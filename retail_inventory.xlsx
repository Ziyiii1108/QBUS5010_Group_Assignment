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d538ddec5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23dceecbc8443c8"/>
    <x:sheet xmlns:r="http://schemas.openxmlformats.org/officeDocument/2006/relationships" name="Data_Dictionary" sheetId="2" r:id="R3de50694b1fc4441"/>
    <x:sheet xmlns:r="http://schemas.openxmlformats.org/officeDocument/2006/relationships" name="Sales_Transactions" sheetId="3" r:id="Ra929c3634ef0426d"/>
    <x:sheet xmlns:r="http://schemas.openxmlformats.org/officeDocument/2006/relationships" name="Deliveries" sheetId="4" r:id="R1bd9ce5be35f4950"/>
    <x:sheet xmlns:r="http://schemas.openxmlformats.org/officeDocument/2006/relationships" name="Inventory_Snapshot" sheetId="5" r:id="Ra4181f81c1004a3d"/>
    <x:sheet xmlns:r="http://schemas.openxmlformats.org/officeDocument/2006/relationships" name="Dashboard_Metrics" sheetId="6" r:id="Rfdd6ac71556c42fa"/>
    <x:sheet xmlns:r="http://schemas.openxmlformats.org/officeDocument/2006/relationships" name="QA_Checks" sheetId="7" r:id="R99e85692bd65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0.00"/>
    <x:numFmt numFmtId="202" formatCode="$0.0000"/>
    <x:numFmt numFmtId="203" formatCode="0.00"/>
    <x:numFmt numFmtId="204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54e5c17824e65" /><Relationship Type="http://schemas.openxmlformats.org/officeDocument/2006/relationships/theme" Target="/xl/theme/theme1.xml" Id="Rd7272e2b0a3741ea" /><Relationship Type="http://schemas.openxmlformats.org/officeDocument/2006/relationships/sharedStrings" Target="/xl/sharedStrings.xml" Id="R4e2e21eb42494ca8" /><Relationship Type="http://schemas.openxmlformats.org/officeDocument/2006/relationships/worksheet" Target="/xl/worksheets/sheet1.xml" Id="R223dceecbc8443c8" /><Relationship Type="http://schemas.openxmlformats.org/officeDocument/2006/relationships/worksheet" Target="/xl/worksheets/sheet2.xml" Id="R3de50694b1fc4441" /><Relationship Type="http://schemas.openxmlformats.org/officeDocument/2006/relationships/worksheet" Target="/xl/worksheets/sheet3.xml" Id="Ra929c3634ef0426d" /><Relationship Type="http://schemas.openxmlformats.org/officeDocument/2006/relationships/worksheet" Target="/xl/worksheets/sheet4.xml" Id="R1bd9ce5be35f4950" /><Relationship Type="http://schemas.openxmlformats.org/officeDocument/2006/relationships/worksheet" Target="/xl/worksheets/sheet5.xml" Id="Ra4181f81c1004a3d" /><Relationship Type="http://schemas.openxmlformats.org/officeDocument/2006/relationships/worksheet" Target="/xl/worksheets/sheet6.xml" Id="Rfdd6ac71556c42fa" /><Relationship Type="http://schemas.openxmlformats.org/officeDocument/2006/relationships/worksheet" Target="/xl/worksheets/sheet7.xml" Id="R99e85692bd654b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46" hidden="0" customWidth="1"/>
    <x:col min="4" max="4" width="38" hidden="0" customWidth="1"/>
  </x:cols>
  <x:sheetData>
    <x:row r="1">
      <x:c r="A1" s="18" t="str">
        <x:v>Retail Inventory Dashboard Dataset — FINAL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13" t="str">
        <x:v>Section</x:v>
      </x:c>
      <x:c r="B3" s="13" t="str">
        <x:v>Item</x:v>
      </x:c>
      <x:c r="C3" s="13" t="str">
        <x:v>Definition</x:v>
      </x:c>
      <x:c r="D3" s="13" t="str">
        <x:v>Notes</x:v>
      </x:c>
    </x:row>
    <x:row r="4">
      <x:c r="A4" s="19" t="str">
        <x:v>Data provenance</x:v>
      </x:c>
      <x:c r="B4" s="19" t="str">
        <x:v>Original source</x:v>
      </x:c>
      <x:c r="C4" s="19" t="str">
        <x:v>Customer and purchase variables are retained from the Kaggle dataset.</x:v>
      </x:c>
      <x:c r="D4" s="19" t="str">
        <x:v>See Data_Dictionary for field-level provenance.</x:v>
      </x:c>
    </x:row>
    <x:row r="5">
      <x:c r="A5" s="19" t="str">
        <x:v>Data provenance</x:v>
      </x:c>
      <x:c r="B5" s="19" t="str">
        <x:v>Synthetic prototype data</x:v>
      </x:c>
      <x:c r="C5" s="19" t="str">
        <x:v>Date, SKU, quantity, inventory, delivery and physical-count variables are generated for prototype development.</x:v>
      </x:c>
      <x:c r="D5" s="19" t="str">
        <x:v>Do not present these as original Kaggle variables.</x:v>
      </x:c>
    </x:row>
    <x:row r="6">
      <x:c r="A6" s="19" t="str">
        <x:v>Keys</x:v>
      </x:c>
      <x:c r="B6" s="19" t="str">
        <x:v>StoreID</x:v>
      </x:c>
      <x:c r="C6" s="19" t="str">
        <x:v>STORE-001</x:v>
      </x:c>
      <x:c r="D6" s="19" t="str">
        <x:v>Single-store prototype.</x:v>
      </x:c>
    </x:row>
    <x:row r="7">
      <x:c r="A7" s="19" t="str">
        <x:v>Keys</x:v>
      </x:c>
      <x:c r="B7" s="19" t="str">
        <x:v>SKU</x:v>
      </x:c>
      <x:c r="C7" s="19" t="str">
        <x:v>Stable product key across all three data tables.</x:v>
      </x:c>
      <x:c r="D7" s="19" t="str">
        <x:v>Use SKU for joins.</x:v>
      </x:c>
    </x:row>
    <x:row r="8">
      <x:c r="A8" s="19" t="str">
        <x:v>Timing</x:v>
      </x:c>
      <x:c r="B8" s="19" t="str">
        <x:v>Inventory snapshot</x:v>
      </x:c>
      <x:c r="C8" s="19" t="str">
        <x:v>2026-09-30</x:v>
      </x:c>
      <x:c r="D8" s="19" t="str">
        <x:v>CurrentStock is a point-in-time stock measure.</x:v>
      </x:c>
    </x:row>
    <x:row r="9">
      <x:c r="A9" s="19" t="str">
        <x:v>Timing</x:v>
      </x:c>
      <x:c r="B9" s="19" t="str">
        <x:v>Physical count date</x:v>
      </x:c>
      <x:c r="C9" s="19" t="str">
        <x:v>2026-09-30</x:v>
      </x:c>
      <x:c r="D9" s="19" t="str">
        <x:v>Aligned with the inventory snapshot.</x:v>
      </x:c>
    </x:row>
    <x:row r="10">
      <x:c r="A10" s="19" t="str">
        <x:v>Timing</x:v>
      </x:c>
      <x:c r="B10" s="19" t="str">
        <x:v>Default sales window</x:v>
      </x:c>
      <x:c r="C10" s="19" t="str">
        <x:v>2026-09-24 to 2026-09-30</x:v>
      </x:c>
      <x:c r="D10" s="19" t="str">
        <x:v>Label the dashboard control 'Sales Window'.</x:v>
      </x:c>
    </x:row>
    <x:row r="11">
      <x:c r="A11" s="19" t="str">
        <x:v>Timing</x:v>
      </x:c>
      <x:c r="B11" s="19" t="str">
        <x:v>Date-filter rule</x:v>
      </x:c>
      <x:c r="C11" s="19" t="str">
        <x:v>Sales-window changes affect sales-based measures only.</x:v>
      </x:c>
      <x:c r="D11" s="19" t="str">
        <x:v>They do not create historical inventory snapshots.</x:v>
      </x:c>
    </x:row>
    <x:row r="12">
      <x:c r="A12" s="19" t="str">
        <x:v>Formula</x:v>
      </x:c>
      <x:c r="B12" s="19" t="str">
        <x:v>CurrentStock</x:v>
      </x:c>
      <x:c r="C12" s="19" t="str">
        <x:v>OpeningStock7D + Received7D - Sales7D</x:v>
      </x:c>
      <x:c r="D12" s="19" t="str">
        <x:v>Inventory balance.</x:v>
      </x:c>
    </x:row>
    <x:row r="13">
      <x:c r="A13" s="19" t="str">
        <x:v>Formula</x:v>
      </x:c>
      <x:c r="B13" s="19" t="str">
        <x:v>IncomingStock</x:v>
      </x:c>
      <x:c r="C13" s="19" t="str">
        <x:v>Pending delivery quantity by SKU</x:v>
      </x:c>
      <x:c r="D13" s="19" t="str">
        <x:v>Matches the Deliveries sheet.</x:v>
      </x:c>
    </x:row>
    <x:row r="14">
      <x:c r="A14" s="19" t="str">
        <x:v>Formula</x:v>
      </x:c>
      <x:c r="B14" s="19" t="str">
        <x:v>SalesVelocity7D</x:v>
      </x:c>
      <x:c r="C14" s="19" t="str">
        <x:v>Sales7D / 7</x:v>
      </x:c>
      <x:c r="D14" s="19" t="str">
        <x:v>Units per day.</x:v>
      </x:c>
    </x:row>
    <x:row r="15">
      <x:c r="A15" s="19" t="str">
        <x:v>Formula</x:v>
      </x:c>
      <x:c r="B15" s="19" t="str">
        <x:v>DaysLeft</x:v>
      </x:c>
      <x:c r="C15" s="19" t="str">
        <x:v>CurrentStock / SalesVelocity7D</x:v>
      </x:c>
      <x:c r="D15" s="19" t="str">
        <x:v>Stock coverage estimate.</x:v>
      </x:c>
    </x:row>
    <x:row r="16">
      <x:c r="A16" s="19" t="str">
        <x:v>Inventory accuracy</x:v>
      </x:c>
      <x:c r="B16" s="19" t="str">
        <x:v>Dashboard KPI</x:v>
      </x:c>
      <x:c r="C16" s="19" t="str">
        <x:v>AVERAGE(CountMatch)</x:v>
      </x:c>
      <x:c r="D16" s="19" t="str">
        <x:v>Matched SKU count / total SKU count.</x:v>
      </x:c>
    </x:row>
    <x:row r="17">
      <x:c r="A17" s="19" t="str">
        <x:v>Inventory accuracy</x:v>
      </x:c>
      <x:c r="B17" s="19" t="str">
        <x:v>SKU diagnostic</x:v>
      </x:c>
      <x:c r="C17" s="19" t="str">
        <x:v>SKUInventoryAccuracyPct</x:v>
      </x:c>
      <x:c r="D17" s="19" t="str">
        <x:v>Use for individual SKU detail, not the headline KPI.</x:v>
      </x:c>
    </x:row>
    <x:row r="18">
      <x:c r="A18" s="19" t="str">
        <x:v>Status rule</x:v>
      </x:c>
      <x:c r="B18" s="19" t="str">
        <x:v>Out of Stock</x:v>
      </x:c>
      <x:c r="C18" s="19" t="str">
        <x:v>CurrentStock = 0</x:v>
      </x:c>
      <x:c r="D18" s="19" t="str">
        <x:v>Prototype assumption.</x:v>
      </x:c>
    </x:row>
    <x:row r="19">
      <x:c r="A19" s="19" t="str">
        <x:v>Status rule</x:v>
      </x:c>
      <x:c r="B19" s="19" t="str">
        <x:v>Urgent Reorder</x:v>
      </x:c>
      <x:c r="C19" s="19" t="str">
        <x:v>DaysLeft &lt; 3</x:v>
      </x:c>
      <x:c r="D19" s="19" t="str">
        <x:v>Prototype assumption.</x:v>
      </x:c>
    </x:row>
    <x:row r="20">
      <x:c r="A20" s="19" t="str">
        <x:v>Status rule</x:v>
      </x:c>
      <x:c r="B20" s="19" t="str">
        <x:v>Reorder Soon</x:v>
      </x:c>
      <x:c r="C20" s="19" t="str">
        <x:v>DaysLeft &lt; 7 OR CurrentStock &lt;= ReorderPoint</x:v>
      </x:c>
      <x:c r="D20" s="19" t="str">
        <x:v>Prototype assumption.</x:v>
      </x:c>
    </x:row>
    <x:row r="21">
      <x:c r="A21" s="19" t="str">
        <x:v>Status rule</x:v>
      </x:c>
      <x:c r="B21" s="19" t="str">
        <x:v>Overstock</x:v>
      </x:c>
      <x:c r="C21" s="19" t="str">
        <x:v>CurrentStock &gt; MaxStockLevel</x:v>
      </x:c>
      <x:c r="D21" s="19" t="str">
        <x:v>Prototype assumption.</x:v>
      </x:c>
    </x:row>
    <x:row r="22">
      <x:c r="A22" s="19" t="str">
        <x:v>Status rule</x:v>
      </x:c>
      <x:c r="B22" s="19" t="str">
        <x:v>Healthy</x:v>
      </x:c>
      <x:c r="C22" s="19" t="str">
        <x:v>All remaining SKUs</x:v>
      </x:c>
      <x:c r="D22" s="19" t="str">
        <x:v>Prototype assumption.</x:v>
      </x:c>
    </x:row>
    <x:row r="23">
      <x:c r="A23" s="19"/>
      <x:c r="B23" s="19"/>
      <x:c r="C23" s="19"/>
      <x:c r="D23" s="19"/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46" hidden="0" customWidth="1"/>
    <x:col min="5" max="5" width="44" hidden="0" customWidth="1"/>
    <x:col min="6" max="6" width="28" hidden="0" customWidth="1"/>
  </x:cols>
  <x:sheetData>
    <x:row r="1">
      <x:c r="A1" s="13" t="str">
        <x:v>Sheet</x:v>
      </x:c>
      <x:c r="B1" s="13" t="str">
        <x:v>Field</x:v>
      </x:c>
      <x:c r="C1" s="13" t="str">
        <x:v>Source Type</x:v>
      </x:c>
      <x:c r="D1" s="13" t="str">
        <x:v>Definition</x:v>
      </x:c>
      <x:c r="E1" s="13" t="str">
        <x:v>Formula / Assumption</x:v>
      </x:c>
      <x:c r="F1" s="13" t="str">
        <x:v>Dashboard Use</x:v>
      </x:c>
    </x:row>
    <x:row r="2">
      <x:c r="A2" s="19" t="str">
        <x:v>Sales_Transactions</x:v>
      </x:c>
      <x:c r="B2" s="19" t="str">
        <x:v>CustomerID</x:v>
      </x:c>
      <x:c r="C2" s="19" t="str">
        <x:v>Original Kaggle</x:v>
      </x:c>
      <x:c r="D2" s="19" t="str">
        <x:v>Customer identifier from the source dataset.</x:v>
      </x:c>
      <x:c r="E2" s="19" t="str"/>
      <x:c r="F2" s="19" t="str">
        <x:v>Reference only</x:v>
      </x:c>
    </x:row>
    <x:row r="3">
      <x:c r="A3" s="19" t="str">
        <x:v>Sales_Transactions</x:v>
      </x:c>
      <x:c r="B3" s="19" t="str">
        <x:v>Age</x:v>
      </x:c>
      <x:c r="C3" s="19" t="str">
        <x:v>Original Kaggle</x:v>
      </x:c>
      <x:c r="D3" s="19" t="str">
        <x:v>Customer age.</x:v>
      </x:c>
      <x:c r="E3" s="19" t="str"/>
      <x:c r="F3" s="19" t="str">
        <x:v>Customer analysis</x:v>
      </x:c>
    </x:row>
    <x:row r="4">
      <x:c r="A4" s="19" t="str">
        <x:v>Sales_Transactions</x:v>
      </x:c>
      <x:c r="B4" s="19" t="str">
        <x:v>Gender</x:v>
      </x:c>
      <x:c r="C4" s="19" t="str">
        <x:v>Original Kaggle</x:v>
      </x:c>
      <x:c r="D4" s="19" t="str">
        <x:v>Customer gender.</x:v>
      </x:c>
      <x:c r="E4" s="19" t="str"/>
      <x:c r="F4" s="19" t="str">
        <x:v>Customer analysis</x:v>
      </x:c>
    </x:row>
    <x:row r="5">
      <x:c r="A5" s="19" t="str">
        <x:v>Sales_Transactions</x:v>
      </x:c>
      <x:c r="B5" s="19" t="str">
        <x:v>Category</x:v>
      </x:c>
      <x:c r="C5" s="19" t="str">
        <x:v>Original Kaggle</x:v>
      </x:c>
      <x:c r="D5" s="19" t="str">
        <x:v>Product category.</x:v>
      </x:c>
      <x:c r="E5" s="19" t="str"/>
      <x:c r="F5" s="19" t="str">
        <x:v>Category filters</x:v>
      </x:c>
    </x:row>
    <x:row r="6">
      <x:c r="A6" s="19" t="str">
        <x:v>Sales_Transactions</x:v>
      </x:c>
      <x:c r="B6" s="19" t="str">
        <x:v>ItemPurchased</x:v>
      </x:c>
      <x:c r="C6" s="19" t="str">
        <x:v>Original Kaggle</x:v>
      </x:c>
      <x:c r="D6" s="19" t="str">
        <x:v>Purchased product name.</x:v>
      </x:c>
      <x:c r="E6" s="19" t="str"/>
      <x:c r="F6" s="19" t="str">
        <x:v>Product analysis</x:v>
      </x:c>
    </x:row>
    <x:row r="7">
      <x:c r="A7" s="19" t="str">
        <x:v>Sales_Transactions</x:v>
      </x:c>
      <x:c r="B7" s="19" t="str">
        <x:v>Amount</x:v>
      </x:c>
      <x:c r="C7" s="19" t="str">
        <x:v>Original Kaggle</x:v>
      </x:c>
      <x:c r="D7" s="19" t="str">
        <x:v>Transaction amount from the source dataset.</x:v>
      </x:c>
      <x:c r="E7" s="19" t="str"/>
      <x:c r="F7" s="19" t="str">
        <x:v>Revenue analysis</x:v>
      </x:c>
    </x:row>
    <x:row r="8">
      <x:c r="A8" s="19" t="str">
        <x:v>Sales_Transactions</x:v>
      </x:c>
      <x:c r="B8" s="19" t="str">
        <x:v>Season</x:v>
      </x:c>
      <x:c r="C8" s="19" t="str">
        <x:v>Original Kaggle</x:v>
      </x:c>
      <x:c r="D8" s="19" t="str">
        <x:v>Season label from the source dataset.</x:v>
      </x:c>
      <x:c r="E8" s="19" t="str"/>
      <x:c r="F8" s="19" t="str">
        <x:v>Seasonal analysis</x:v>
      </x:c>
    </x:row>
    <x:row r="9">
      <x:c r="A9" s="19" t="str">
        <x:v>Sales_Transactions</x:v>
      </x:c>
      <x:c r="B9" s="19" t="str">
        <x:v>PaymentMethod</x:v>
      </x:c>
      <x:c r="C9" s="19" t="str">
        <x:v>Original Kaggle</x:v>
      </x:c>
      <x:c r="D9" s="19" t="str">
        <x:v>Payment method.</x:v>
      </x:c>
      <x:c r="E9" s="19" t="str"/>
      <x:c r="F9" s="19" t="str">
        <x:v>Reference only</x:v>
      </x:c>
    </x:row>
    <x:row r="10">
      <x:c r="A10" s="19" t="str">
        <x:v>Sales_Transactions</x:v>
      </x:c>
      <x:c r="B10" s="19" t="str">
        <x:v>ItemRating</x:v>
      </x:c>
      <x:c r="C10" s="19" t="str">
        <x:v>Original Kaggle</x:v>
      </x:c>
      <x:c r="D10" s="19" t="str">
        <x:v>Product rating.</x:v>
      </x:c>
      <x:c r="E10" s="19" t="str"/>
      <x:c r="F10" s="19" t="str">
        <x:v>Reference only</x:v>
      </x:c>
    </x:row>
    <x:row r="11">
      <x:c r="A11" s="19" t="str">
        <x:v>Sales_Transactions</x:v>
      </x:c>
      <x:c r="B11" s="19" t="str">
        <x:v>DiscountApplied(%)</x:v>
      </x:c>
      <x:c r="C11" s="19" t="str">
        <x:v>Original Kaggle</x:v>
      </x:c>
      <x:c r="D11" s="19" t="str">
        <x:v>Discount percentage.</x:v>
      </x:c>
      <x:c r="E11" s="19" t="str"/>
      <x:c r="F11" s="19" t="str">
        <x:v>Discount analysis</x:v>
      </x:c>
    </x:row>
    <x:row r="12">
      <x:c r="A12" s="19" t="str">
        <x:v>Sales_Transactions</x:v>
      </x:c>
      <x:c r="B12" s="19" t="str">
        <x:v>PreviousPurchases</x:v>
      </x:c>
      <x:c r="C12" s="19" t="str">
        <x:v>Original Kaggle</x:v>
      </x:c>
      <x:c r="D12" s="19" t="str">
        <x:v>Customer's previous purchase count.</x:v>
      </x:c>
      <x:c r="E12" s="19" t="str"/>
      <x:c r="F12" s="19" t="str">
        <x:v>Reference only</x:v>
      </x:c>
    </x:row>
    <x:row r="13">
      <x:c r="A13" s="19" t="str">
        <x:v>Sales_Transactions</x:v>
      </x:c>
      <x:c r="B13" s="19" t="str">
        <x:v>StoreID</x:v>
      </x:c>
      <x:c r="C13" s="19" t="str">
        <x:v>Synthetic</x:v>
      </x:c>
      <x:c r="D13" s="19" t="str">
        <x:v>Single-store identifier added for relational consistency.</x:v>
      </x:c>
      <x:c r="E13" s="19" t="str">
        <x:v>Fixed as STORE-001.</x:v>
      </x:c>
      <x:c r="F13" s="19" t="str">
        <x:v>Store-level filtering</x:v>
      </x:c>
    </x:row>
    <x:row r="14">
      <x:c r="A14" s="19" t="str">
        <x:v>Sales_Transactions</x:v>
      </x:c>
      <x:c r="B14" s="19" t="str">
        <x:v>TransactionDate</x:v>
      </x:c>
      <x:c r="C14" s="19" t="str">
        <x:v>Synthetic</x:v>
      </x:c>
      <x:c r="D14" s="19" t="str">
        <x:v>Transaction date generated consistently with the original Season field.</x:v>
      </x:c>
      <x:c r="E14" s="19" t="str">
        <x:v>Dates fall within the project period.</x:v>
      </x:c>
      <x:c r="F14" s="19" t="str">
        <x:v>Sales-window filtering</x:v>
      </x:c>
    </x:row>
    <x:row r="15">
      <x:c r="A15" s="19" t="str">
        <x:v>Sales_Transactions</x:v>
      </x:c>
      <x:c r="B15" s="19" t="str">
        <x:v>SKU</x:v>
      </x:c>
      <x:c r="C15" s="19" t="str">
        <x:v>Synthetic</x:v>
      </x:c>
      <x:c r="D15" s="19" t="str">
        <x:v>Stable product-level stock keeping unit.</x:v>
      </x:c>
      <x:c r="E15" s="19" t="str">
        <x:v>One SKU per ItemPurchased.</x:v>
      </x:c>
      <x:c r="F15" s="19" t="str">
        <x:v>Join key across tables</x:v>
      </x:c>
    </x:row>
    <x:row r="16">
      <x:c r="A16" s="19" t="str">
        <x:v>Sales_Transactions</x:v>
      </x:c>
      <x:c r="B16" s="19" t="str">
        <x:v>QuantitySold</x:v>
      </x:c>
      <x:c r="C16" s="19" t="str">
        <x:v>Synthetic</x:v>
      </x:c>
      <x:c r="D16" s="19" t="str">
        <x:v>Units sold in the transaction.</x:v>
      </x:c>
      <x:c r="E16" s="19" t="str">
        <x:v>Generated by product category.</x:v>
      </x:c>
      <x:c r="F16" s="19" t="str">
        <x:v>Sales velocity / demand</x:v>
      </x:c>
    </x:row>
    <x:row r="17">
      <x:c r="A17" s="19" t="str">
        <x:v>Sales_Transactions</x:v>
      </x:c>
      <x:c r="B17" s="19" t="str">
        <x:v>DerivedUnitPrice</x:v>
      </x:c>
      <x:c r="C17" s="19" t="str">
        <x:v>Derived</x:v>
      </x:c>
      <x:c r="D17" s="19" t="str">
        <x:v>Effective unit price used only for the prototype.</x:v>
      </x:c>
      <x:c r="E17" s="19" t="str">
        <x:v>Amount / QuantitySold.</x:v>
      </x:c>
      <x:c r="F17" s="19" t="str">
        <x:v>Consistency check</x:v>
      </x:c>
    </x:row>
    <x:row r="18">
      <x:c r="A18" s="19" t="str">
        <x:v>Inventory_Snapshot</x:v>
      </x:c>
      <x:c r="B18" s="19" t="str">
        <x:v>StoreID</x:v>
      </x:c>
      <x:c r="C18" s="19" t="str">
        <x:v>Synthetic</x:v>
      </x:c>
      <x:c r="D18" s="19" t="str">
        <x:v>Store identifier matching transaction and delivery tables.</x:v>
      </x:c>
      <x:c r="E18" s="19" t="str">
        <x:v>STORE-001.</x:v>
      </x:c>
      <x:c r="F18" s="19" t="str">
        <x:v>Join key</x:v>
      </x:c>
    </x:row>
    <x:row r="19">
      <x:c r="A19" s="19" t="str">
        <x:v>Inventory_Snapshot</x:v>
      </x:c>
      <x:c r="B19" s="19" t="str">
        <x:v>SKU</x:v>
      </x:c>
      <x:c r="C19" s="19" t="str">
        <x:v>Synthetic</x:v>
      </x:c>
      <x:c r="D19" s="19" t="str">
        <x:v>Product SKU matching the sales and delivery tables.</x:v>
      </x:c>
      <x:c r="E19" s="19" t="str">
        <x:v>Stable join key.</x:v>
      </x:c>
      <x:c r="F19" s="19" t="str">
        <x:v>Join key</x:v>
      </x:c>
    </x:row>
    <x:row r="20">
      <x:c r="A20" s="19" t="str">
        <x:v>Inventory_Snapshot</x:v>
      </x:c>
      <x:c r="B20" s="19" t="str">
        <x:v>SnapshotDate</x:v>
      </x:c>
      <x:c r="C20" s="19" t="str">
        <x:v>Synthetic</x:v>
      </x:c>
      <x:c r="D20" s="19" t="str">
        <x:v>Date of the inventory snapshot.</x:v>
      </x:c>
      <x:c r="E20" s="19" t="str">
        <x:v>Fixed at 2026-09-30.</x:v>
      </x:c>
      <x:c r="F20" s="19" t="str">
        <x:v>Clarifies stock timing</x:v>
      </x:c>
    </x:row>
    <x:row r="21">
      <x:c r="A21" s="19" t="str">
        <x:v>Inventory_Snapshot</x:v>
      </x:c>
      <x:c r="B21" s="19" t="str">
        <x:v>OpeningStock7D</x:v>
      </x:c>
      <x:c r="C21" s="19" t="str">
        <x:v>Synthetic</x:v>
      </x:c>
      <x:c r="D21" s="19" t="str">
        <x:v>Stock at the start of the 7-day analysis window.</x:v>
      </x:c>
      <x:c r="E21" s="19" t="str">
        <x:v>Constructed so stock balance reconciles.</x:v>
      </x:c>
      <x:c r="F21" s="19" t="str">
        <x:v>Inventory balance</x:v>
      </x:c>
    </x:row>
    <x:row r="22">
      <x:c r="A22" s="19" t="str">
        <x:v>Inventory_Snapshot</x:v>
      </x:c>
      <x:c r="B22" s="19" t="str">
        <x:v>Sales7D</x:v>
      </x:c>
      <x:c r="C22" s="19" t="str">
        <x:v>Derived</x:v>
      </x:c>
      <x:c r="D22" s="19" t="str">
        <x:v>Units sold during 24–30 Sep 2026.</x:v>
      </x:c>
      <x:c r="E22" s="19" t="str">
        <x:v>Sum of QuantitySold by SKU.</x:v>
      </x:c>
      <x:c r="F22" s="19" t="str">
        <x:v>Demand measure</x:v>
      </x:c>
    </x:row>
    <x:row r="23">
      <x:c r="A23" s="19" t="str">
        <x:v>Inventory_Snapshot</x:v>
      </x:c>
      <x:c r="B23" s="19" t="str">
        <x:v>Received7D</x:v>
      </x:c>
      <x:c r="C23" s="19" t="str">
        <x:v>Derived</x:v>
      </x:c>
      <x:c r="D23" s="19" t="str">
        <x:v>Units received during 24–30 Sep 2026.</x:v>
      </x:c>
      <x:c r="E23" s="19" t="str">
        <x:v>Sum of Received deliveries by SKU.</x:v>
      </x:c>
      <x:c r="F23" s="19" t="str">
        <x:v>Supply measure</x:v>
      </x:c>
    </x:row>
    <x:row r="24">
      <x:c r="A24" s="19" t="str">
        <x:v>Inventory_Snapshot</x:v>
      </x:c>
      <x:c r="B24" s="19" t="str">
        <x:v>CurrentStock</x:v>
      </x:c>
      <x:c r="C24" s="19" t="str">
        <x:v>Derived</x:v>
      </x:c>
      <x:c r="D24" s="19" t="str">
        <x:v>Stock on hand at the snapshot date.</x:v>
      </x:c>
      <x:c r="E24" s="19" t="str">
        <x:v>OpeningStock7D + Received7D - Sales7D.</x:v>
      </x:c>
      <x:c r="F24" s="19" t="str">
        <x:v>KPI / scatter plot</x:v>
      </x:c>
    </x:row>
    <x:row r="25">
      <x:c r="A25" s="19" t="str">
        <x:v>Inventory_Snapshot</x:v>
      </x:c>
      <x:c r="B25" s="19" t="str">
        <x:v>ReorderPoint</x:v>
      </x:c>
      <x:c r="C25" s="19" t="str">
        <x:v>Synthetic</x:v>
      </x:c>
      <x:c r="D25" s="19" t="str">
        <x:v>Prototype reorder threshold.</x:v>
      </x:c>
      <x:c r="E25" s="19" t="str">
        <x:v>Generated from recent sales velocity.</x:v>
      </x:c>
      <x:c r="F25" s="19" t="str">
        <x:v>Replenishment status</x:v>
      </x:c>
    </x:row>
    <x:row r="26">
      <x:c r="A26" s="19" t="str">
        <x:v>Inventory_Snapshot</x:v>
      </x:c>
      <x:c r="B26" s="19" t="str">
        <x:v>MaxStockLevel</x:v>
      </x:c>
      <x:c r="C26" s="19" t="str">
        <x:v>Synthetic</x:v>
      </x:c>
      <x:c r="D26" s="19" t="str">
        <x:v>Prototype maximum stock threshold.</x:v>
      </x:c>
      <x:c r="E26" s="19" t="str">
        <x:v>Generated from recent sales velocity.</x:v>
      </x:c>
      <x:c r="F26" s="19" t="str">
        <x:v>Overstock status</x:v>
      </x:c>
    </x:row>
    <x:row r="27">
      <x:c r="A27" s="19" t="str">
        <x:v>Inventory_Snapshot</x:v>
      </x:c>
      <x:c r="B27" s="19" t="str">
        <x:v>IncomingStock</x:v>
      </x:c>
      <x:c r="C27" s="19" t="str">
        <x:v>Derived</x:v>
      </x:c>
      <x:c r="D27" s="19" t="str">
        <x:v>Units in pending deliveries after the snapshot date.</x:v>
      </x:c>
      <x:c r="E27" s="19" t="str">
        <x:v>Sum of Pending delivery quantities.</x:v>
      </x:c>
      <x:c r="F27" s="19" t="str">
        <x:v>Replenishment table</x:v>
      </x:c>
    </x:row>
    <x:row r="28">
      <x:c r="A28" s="19" t="str">
        <x:v>Inventory_Snapshot</x:v>
      </x:c>
      <x:c r="B28" s="19" t="str">
        <x:v>ExpectedDeliveryDate</x:v>
      </x:c>
      <x:c r="C28" s="19" t="str">
        <x:v>Synthetic</x:v>
      </x:c>
      <x:c r="D28" s="19" t="str">
        <x:v>Expected date of the pending delivery.</x:v>
      </x:c>
      <x:c r="E28" s="19" t="str">
        <x:v>Matches the pending delivery record.</x:v>
      </x:c>
      <x:c r="F28" s="19" t="str">
        <x:v>Replenishment table</x:v>
      </x:c>
    </x:row>
    <x:row r="29">
      <x:c r="A29" s="19" t="str">
        <x:v>Inventory_Snapshot</x:v>
      </x:c>
      <x:c r="B29" s="19" t="str">
        <x:v>SalesVelocity7D</x:v>
      </x:c>
      <x:c r="C29" s="19" t="str">
        <x:v>Derived</x:v>
      </x:c>
      <x:c r="D29" s="19" t="str">
        <x:v>Average units sold per day over the 7-day window.</x:v>
      </x:c>
      <x:c r="E29" s="19" t="str">
        <x:v>Sales7D / 7.</x:v>
      </x:c>
      <x:c r="F29" s="19" t="str">
        <x:v>Fast/slow-moving products</x:v>
      </x:c>
    </x:row>
    <x:row r="30">
      <x:c r="A30" s="19" t="str">
        <x:v>Inventory_Snapshot</x:v>
      </x:c>
      <x:c r="B30" s="19" t="str">
        <x:v>DaysLeft</x:v>
      </x:c>
      <x:c r="C30" s="19" t="str">
        <x:v>Derived</x:v>
      </x:c>
      <x:c r="D30" s="19" t="str">
        <x:v>Estimated stock coverage in days.</x:v>
      </x:c>
      <x:c r="E30" s="19" t="str">
        <x:v>CurrentStock / SalesVelocity7D.</x:v>
      </x:c>
      <x:c r="F30" s="19" t="str">
        <x:v>Replenishment priority</x:v>
      </x:c>
    </x:row>
    <x:row r="31">
      <x:c r="A31" s="19" t="str">
        <x:v>Inventory_Snapshot</x:v>
      </x:c>
      <x:c r="B31" s="19" t="str">
        <x:v>RecordedStock</x:v>
      </x:c>
      <x:c r="C31" s="19" t="str">
        <x:v>Synthetic</x:v>
      </x:c>
      <x:c r="D31" s="19" t="str">
        <x:v>System-recorded stock used for stock-count comparison.</x:v>
      </x:c>
      <x:c r="E31" s="19" t="str">
        <x:v>Aligned to the snapshot.</x:v>
      </x:c>
      <x:c r="F31" s="19" t="str">
        <x:v>Inventory accuracy</x:v>
      </x:c>
    </x:row>
    <x:row r="32">
      <x:c r="A32" s="19" t="str">
        <x:v>Inventory_Snapshot</x:v>
      </x:c>
      <x:c r="B32" s="19" t="str">
        <x:v>PhysicalCount</x:v>
      </x:c>
      <x:c r="C32" s="19" t="str">
        <x:v>Synthetic</x:v>
      </x:c>
      <x:c r="D32" s="19" t="str">
        <x:v>Physical stock count.</x:v>
      </x:c>
      <x:c r="E32" s="19" t="str">
        <x:v>Synthetic count used for discrepancy analysis.</x:v>
      </x:c>
      <x:c r="F32" s="19" t="str">
        <x:v>Inventory accuracy</x:v>
      </x:c>
    </x:row>
    <x:row r="33">
      <x:c r="A33" s="19" t="str">
        <x:v>Inventory_Snapshot</x:v>
      </x:c>
      <x:c r="B33" s="19" t="str">
        <x:v>PhysicalCountDate</x:v>
      </x:c>
      <x:c r="C33" s="19" t="str">
        <x:v>Synthetic</x:v>
      </x:c>
      <x:c r="D33" s="19" t="str">
        <x:v>Date of the physical count.</x:v>
      </x:c>
      <x:c r="E33" s="19" t="str">
        <x:v>Fixed at 2026-09-30 to align with the stock snapshot.</x:v>
      </x:c>
      <x:c r="F33" s="19" t="str">
        <x:v>Last physical count</x:v>
      </x:c>
    </x:row>
    <x:row r="34">
      <x:c r="A34" s="19" t="str">
        <x:v>Inventory_Snapshot</x:v>
      </x:c>
      <x:c r="B34" s="19" t="str">
        <x:v>InventoryDiscrepancy</x:v>
      </x:c>
      <x:c r="C34" s="19" t="str">
        <x:v>Derived</x:v>
      </x:c>
      <x:c r="D34" s="19" t="str">
        <x:v>Difference between physical and recorded stock.</x:v>
      </x:c>
      <x:c r="E34" s="19" t="str">
        <x:v>PhysicalCount - RecordedStock.</x:v>
      </x:c>
      <x:c r="F34" s="19" t="str">
        <x:v>Discrepancy view</x:v>
      </x:c>
    </x:row>
    <x:row r="35">
      <x:c r="A35" s="19" t="str">
        <x:v>Inventory_Snapshot</x:v>
      </x:c>
      <x:c r="B35" s="19" t="str">
        <x:v>CountMatch</x:v>
      </x:c>
      <x:c r="C35" s="19" t="str">
        <x:v>Derived</x:v>
      </x:c>
      <x:c r="D35" s="19" t="str">
        <x:v>Whether the physical count exactly matches recorded stock.</x:v>
      </x:c>
      <x:c r="E35" s="19" t="str">
        <x:v>1 when InventoryDiscrepancy = 0, else 0.</x:v>
      </x:c>
      <x:c r="F35" s="19" t="str">
        <x:v>Top inventory-accuracy KPI</x:v>
      </x:c>
    </x:row>
    <x:row r="36">
      <x:c r="A36" s="19" t="str">
        <x:v>Inventory_Snapshot</x:v>
      </x:c>
      <x:c r="B36" s="19" t="str">
        <x:v>SKUInventoryAccuracyPct</x:v>
      </x:c>
      <x:c r="C36" s="19" t="str">
        <x:v>Derived</x:v>
      </x:c>
      <x:c r="D36" s="19" t="str">
        <x:v>SKU-level count accuracy percentage.</x:v>
      </x:c>
      <x:c r="E36" s="19" t="str">
        <x:v>1 - |PhysicalCount - RecordedStock| / RecordedStock.</x:v>
      </x:c>
      <x:c r="F36" s="19" t="str">
        <x:v>SKU detail only</x:v>
      </x:c>
    </x:row>
    <x:row r="37">
      <x:c r="A37" s="19" t="str">
        <x:v>Inventory_Snapshot</x:v>
      </x:c>
      <x:c r="B37" s="19" t="str">
        <x:v>Status</x:v>
      </x:c>
      <x:c r="C37" s="19" t="str">
        <x:v>Derived</x:v>
      </x:c>
      <x:c r="D37" s="19" t="str">
        <x:v>Inventory status category.</x:v>
      </x:c>
      <x:c r="E37" s="19" t="str">
        <x:v>Prototype rules documented in README.</x:v>
      </x:c>
      <x:c r="F37" s="19" t="str">
        <x:v>Replenishment priority</x:v>
      </x:c>
    </x:row>
    <x:row r="38">
      <x:c r="A38" s="19" t="str">
        <x:v>Deliveries</x:v>
      </x:c>
      <x:c r="B38" s="19" t="str">
        <x:v>StoreID</x:v>
      </x:c>
      <x:c r="C38" s="19" t="str">
        <x:v>Synthetic</x:v>
      </x:c>
      <x:c r="D38" s="19" t="str">
        <x:v>Store identifier matching all other tables.</x:v>
      </x:c>
      <x:c r="E38" s="19" t="str">
        <x:v>STORE-001.</x:v>
      </x:c>
      <x:c r="F38" s="19" t="str">
        <x:v>Join key</x:v>
      </x:c>
    </x:row>
    <x:row r="39">
      <x:c r="A39" s="19" t="str">
        <x:v>Deliveries</x:v>
      </x:c>
      <x:c r="B39" s="19" t="str">
        <x:v>DeliveryID</x:v>
      </x:c>
      <x:c r="C39" s="19" t="str">
        <x:v>Synthetic</x:v>
      </x:c>
      <x:c r="D39" s="19" t="str">
        <x:v>Unique delivery record identifier.</x:v>
      </x:c>
      <x:c r="E39" s="19" t="str">
        <x:v>Generated sequentially.</x:v>
      </x:c>
      <x:c r="F39" s="19" t="str">
        <x:v>Delivery tracking</x:v>
      </x:c>
    </x:row>
    <x:row r="40">
      <x:c r="A40" s="19" t="str">
        <x:v>Deliveries</x:v>
      </x:c>
      <x:c r="B40" s="19" t="str">
        <x:v>SKU</x:v>
      </x:c>
      <x:c r="C40" s="19" t="str">
        <x:v>Synthetic</x:v>
      </x:c>
      <x:c r="D40" s="19" t="str">
        <x:v>SKU matching the inventory and sales tables.</x:v>
      </x:c>
      <x:c r="E40" s="19" t="str">
        <x:v>Stable join key.</x:v>
      </x:c>
      <x:c r="F40" s="19" t="str">
        <x:v>Join key</x:v>
      </x:c>
    </x:row>
    <x:row r="41">
      <x:c r="A41" s="19" t="str">
        <x:v>Deliveries</x:v>
      </x:c>
      <x:c r="B41" s="19" t="str">
        <x:v>DeliveryStatus</x:v>
      </x:c>
      <x:c r="C41" s="19" t="str">
        <x:v>Synthetic</x:v>
      </x:c>
      <x:c r="D41" s="19" t="str">
        <x:v>Received or Pending delivery state.</x:v>
      </x:c>
      <x:c r="E41" s="19" t="str">
        <x:v>Generated for prototype logic.</x:v>
      </x:c>
      <x:c r="F41" s="19" t="str">
        <x:v>Supply monitoring</x:v>
      </x:c>
    </x:row>
    <x:row r="42">
      <x:c r="A42" s="19" t="str">
        <x:v>Deliveries</x:v>
      </x:c>
      <x:c r="B42" s="19" t="str">
        <x:v>ExpectedDeliveryDate</x:v>
      </x:c>
      <x:c r="C42" s="19" t="str">
        <x:v>Synthetic</x:v>
      </x:c>
      <x:c r="D42" s="19" t="str">
        <x:v>Expected delivery date.</x:v>
      </x:c>
      <x:c r="E42" s="19" t="str">
        <x:v>Pending date matches Inventory_Snapshot.</x:v>
      </x:c>
      <x:c r="F42" s="19" t="str">
        <x:v>Incoming stock</x:v>
      </x:c>
    </x:row>
    <x:row r="43">
      <x:c r="A43" s="19" t="str">
        <x:v>Deliveries</x:v>
      </x:c>
      <x:c r="B43" s="19" t="str">
        <x:v>ActualDeliveryDate</x:v>
      </x:c>
      <x:c r="C43" s="19" t="str">
        <x:v>Synthetic</x:v>
      </x:c>
      <x:c r="D43" s="19" t="str">
        <x:v>Actual date for received deliveries.</x:v>
      </x:c>
      <x:c r="E43" s="19" t="str">
        <x:v>Blank for pending deliveries.</x:v>
      </x:c>
      <x:c r="F43" s="19" t="str">
        <x:v>Received7D calculation</x:v>
      </x:c>
    </x:row>
    <x:row r="44">
      <x:c r="A44" s="19" t="str">
        <x:v>Deliveries</x:v>
      </x:c>
      <x:c r="B44" s="19" t="str">
        <x:v>DeliveredQuantity</x:v>
      </x:c>
      <x:c r="C44" s="19" t="str">
        <x:v>Synthetic</x:v>
      </x:c>
      <x:c r="D44" s="19" t="str">
        <x:v>Units received or pending.</x:v>
      </x:c>
      <x:c r="E44" s="19" t="str">
        <x:v>Reconciles with inventory metrics.</x:v>
      </x:c>
      <x:c r="F44" s="19" t="str">
        <x:v>Supply / incoming stock</x:v>
      </x:c>
    </x:row>
    <x:row r="45">
      <x:c r="A45" s="19" t="str">
        <x:v>Deliveries</x:v>
      </x:c>
      <x:c r="B45" s="19" t="str">
        <x:v>SupplierLeadTimeDays</x:v>
      </x:c>
      <x:c r="C45" s="19" t="str">
        <x:v>Synthetic</x:v>
      </x:c>
      <x:c r="D45" s="19" t="str">
        <x:v>Prototype supplier lead time.</x:v>
      </x:c>
      <x:c r="E45" s="19" t="str">
        <x:v>Generated 1–5 days.</x:v>
      </x:c>
      <x:c r="F45" s="19" t="str">
        <x:v>Reference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13" t="str">
        <x:v>CustomerID</x:v>
      </x:c>
      <x:c r="B1" s="13" t="str">
        <x:v>Age</x:v>
      </x:c>
      <x:c r="C1" s="13" t="str">
        <x:v>Gender</x:v>
      </x:c>
      <x:c r="D1" s="13" t="str">
        <x:v>Category</x:v>
      </x:c>
      <x:c r="E1" s="13" t="str">
        <x:v>ItemPurchased</x:v>
      </x:c>
      <x:c r="F1" s="13" t="str">
        <x:v>Amount</x:v>
      </x:c>
      <x:c r="G1" s="13" t="str">
        <x:v>Season</x:v>
      </x:c>
      <x:c r="H1" s="13" t="str">
        <x:v>PaymentMethod</x:v>
      </x:c>
      <x:c r="I1" s="13" t="str">
        <x:v>ItemRating</x:v>
      </x:c>
      <x:c r="J1" s="13" t="str">
        <x:v>DiscountApplied(%)</x:v>
      </x:c>
      <x:c r="K1" s="13" t="str">
        <x:v>PreviousPurchases</x:v>
      </x:c>
      <x:c r="L1" s="13" t="str">
        <x:v>StoreID</x:v>
      </x:c>
      <x:c r="M1" s="13" t="str">
        <x:v>TransactionDate</x:v>
      </x:c>
      <x:c r="N1" s="13" t="str">
        <x:v>SKU</x:v>
      </x:c>
      <x:c r="O1" s="13" t="str">
        <x:v>QuantitySold</x:v>
      </x:c>
      <x:c r="P1" s="13" t="str">
        <x:v>DerivedUnitPrice</x:v>
      </x:c>
    </x:row>
    <x:row r="2">
      <x:c r="A2" t="n">
        <x:v>1</x:v>
      </x:c>
      <x:c r="B2" t="n">
        <x:v>58</x:v>
      </x:c>
      <x:c r="C2" t="str">
        <x:v>Female</x:v>
      </x:c>
      <x:c r="D2" t="str">
        <x:v>Accessories</x:v>
      </x:c>
      <x:c r="E2" t="str">
        <x:v>Handbag</x:v>
      </x:c>
      <x:c r="F2" s="24" t="n">
        <x:v>115.5</x:v>
      </x:c>
      <x:c r="G2" t="str">
        <x:v>Autumn</x:v>
      </x:c>
      <x:c r="H2" t="str">
        <x:v>Card</x:v>
      </x:c>
      <x:c r="I2" t="n">
        <x:v>3.5</x:v>
      </x:c>
      <x:c r="J2" t="n">
        <x:v>18</x:v>
      </x:c>
      <x:c r="K2" t="n">
        <x:v>4</x:v>
      </x:c>
      <x:c r="L2" t="str">
        <x:v>STORE-001</x:v>
      </x:c>
      <x:c r="M2" s="22" t="n">
        <x:v>46161</x:v>
      </x:c>
      <x:c r="N2" t="str">
        <x:v>SKU-008</x:v>
      </x:c>
      <x:c r="O2" t="n">
        <x:v>1</x:v>
      </x:c>
      <x:c r="P2" s="26" t="n">
        <x:f>F2/O2</x:f>
        <x:v>115.5</x:v>
      </x:c>
    </x:row>
    <x:row r="3">
      <x:c r="A3" t="n">
        <x:v>2</x:v>
      </x:c>
      <x:c r="B3" t="n">
        <x:v>40</x:v>
      </x:c>
      <x:c r="C3" t="str">
        <x:v>Male</x:v>
      </x:c>
      <x:c r="D3" t="str">
        <x:v>Mens Clothing</x:v>
      </x:c>
      <x:c r="E3" t="str">
        <x:v>Shirt</x:v>
      </x:c>
      <x:c r="F3" s="24" t="n">
        <x:v>103.43</x:v>
      </x:c>
      <x:c r="G3" t="str">
        <x:v>Spring</x:v>
      </x:c>
      <x:c r="H3" t="str">
        <x:v>Card</x:v>
      </x:c>
      <x:c r="I3" t="n">
        <x:v>4.1</x:v>
      </x:c>
      <x:c r="J3" t="n">
        <x:v>13</x:v>
      </x:c>
      <x:c r="K3" t="n">
        <x:v>4</x:v>
      </x:c>
      <x:c r="L3" t="str">
        <x:v>STORE-001</x:v>
      </x:c>
      <x:c r="M3" s="22" t="n">
        <x:v>45957</x:v>
      </x:c>
      <x:c r="N3" t="str">
        <x:v>SKU-020</x:v>
      </x:c>
      <x:c r="O3" t="n">
        <x:v>1</x:v>
      </x:c>
      <x:c r="P3" s="26" t="n">
        <x:f>F3/O3</x:f>
        <x:v>103.43</x:v>
      </x:c>
    </x:row>
    <x:row r="4">
      <x:c r="A4" t="n">
        <x:v>3</x:v>
      </x:c>
      <x:c r="B4" t="n">
        <x:v>66</x:v>
      </x:c>
      <x:c r="C4" t="str">
        <x:v>Female</x:v>
      </x:c>
      <x:c r="D4" t="str">
        <x:v>Sports</x:v>
      </x:c>
      <x:c r="E4" t="str">
        <x:v>Football</x:v>
      </x:c>
      <x:c r="F4" s="24" t="n">
        <x:v>35.45</x:v>
      </x:c>
      <x:c r="G4" t="str">
        <x:v>Spring</x:v>
      </x:c>
      <x:c r="H4" t="str">
        <x:v>Card</x:v>
      </x:c>
      <x:c r="I4" t="n">
        <x:v>3.3</x:v>
      </x:c>
      <x:c r="J4" t="n">
        <x:v>11</x:v>
      </x:c>
      <x:c r="K4" t="n">
        <x:v>3</x:v>
      </x:c>
      <x:c r="L4" t="str">
        <x:v>STORE-001</x:v>
      </x:c>
      <x:c r="M4" s="22" t="n">
        <x:v>45964</x:v>
      </x:c>
      <x:c r="N4" t="str">
        <x:v>SKU-006</x:v>
      </x:c>
      <x:c r="O4" t="n">
        <x:v>3</x:v>
      </x:c>
      <x:c r="P4" s="26" t="n">
        <x:f>F4/O4</x:f>
        <x:v>11.816666666666668</x:v>
      </x:c>
    </x:row>
    <x:row r="5">
      <x:c r="A5" t="n">
        <x:v>4</x:v>
      </x:c>
      <x:c r="B5" t="n">
        <x:v>39</x:v>
      </x:c>
      <x:c r="C5" t="str">
        <x:v>Female</x:v>
      </x:c>
      <x:c r="D5" t="str">
        <x:v>Accessories</x:v>
      </x:c>
      <x:c r="E5" t="str">
        <x:v>Handbag</x:v>
      </x:c>
      <x:c r="F5" s="24" t="n">
        <x:v>153.31</x:v>
      </x:c>
      <x:c r="G5" t="str">
        <x:v>Spring</x:v>
      </x:c>
      <x:c r="H5" t="str">
        <x:v>Card</x:v>
      </x:c>
      <x:c r="I5" t="n">
        <x:v>4.4</x:v>
      </x:c>
      <x:c r="J5" t="n">
        <x:v>13</x:v>
      </x:c>
      <x:c r="K5" t="n">
        <x:v>4</x:v>
      </x:c>
      <x:c r="L5" t="str">
        <x:v>STORE-001</x:v>
      </x:c>
      <x:c r="M5" s="22" t="n">
        <x:v>46295</x:v>
      </x:c>
      <x:c r="N5" t="str">
        <x:v>SKU-008</x:v>
      </x:c>
      <x:c r="O5" t="n">
        <x:v>1</x:v>
      </x:c>
      <x:c r="P5" s="26" t="n">
        <x:f>F5/O5</x:f>
        <x:v>153.31</x:v>
      </x:c>
    </x:row>
    <x:row r="6">
      <x:c r="A6" t="n">
        <x:v>5</x:v>
      </x:c>
      <x:c r="B6" t="n">
        <x:v>23</x:v>
      </x:c>
      <x:c r="C6" t="str">
        <x:v>Female</x:v>
      </x:c>
      <x:c r="D6" t="str">
        <x:v>Home</x:v>
      </x:c>
      <x:c r="E6" t="str">
        <x:v>Curtains</x:v>
      </x:c>
      <x:c r="F6" s="24" t="n">
        <x:v>151.43</x:v>
      </x:c>
      <x:c r="G6" t="str">
        <x:v>Winter</x:v>
      </x:c>
      <x:c r="H6" t="str">
        <x:v>Card</x:v>
      </x:c>
      <x:c r="I6" t="n">
        <x:v>4.1</x:v>
      </x:c>
      <x:c r="J6" t="n">
        <x:v>20</x:v>
      </x:c>
      <x:c r="K6" t="n">
        <x:v>10</x:v>
      </x:c>
      <x:c r="L6" t="str">
        <x:v>STORE-001</x:v>
      </x:c>
      <x:c r="M6" s="22" t="n">
        <x:v>46200</x:v>
      </x:c>
      <x:c r="N6" t="str">
        <x:v>SKU-003</x:v>
      </x:c>
      <x:c r="O6" t="n">
        <x:v>1</x:v>
      </x:c>
      <x:c r="P6" s="26" t="n">
        <x:f>F6/O6</x:f>
        <x:v>151.43</x:v>
      </x:c>
    </x:row>
    <x:row r="7">
      <x:c r="A7" t="n">
        <x:v>6</x:v>
      </x:c>
      <x:c r="B7" t="n">
        <x:v>48</x:v>
      </x:c>
      <x:c r="C7" t="str">
        <x:v>Male</x:v>
      </x:c>
      <x:c r="D7" t="str">
        <x:v>Groceries</x:v>
      </x:c>
      <x:c r="E7" t="str">
        <x:v>Snacks</x:v>
      </x:c>
      <x:c r="F7" s="24" t="n">
        <x:v>36.76</x:v>
      </x:c>
      <x:c r="G7" t="str">
        <x:v>Autumn</x:v>
      </x:c>
      <x:c r="H7" t="str">
        <x:v>Card</x:v>
      </x:c>
      <x:c r="I7" t="n">
        <x:v>2.5</x:v>
      </x:c>
      <x:c r="J7" t="n">
        <x:v>14</x:v>
      </x:c>
      <x:c r="K7" t="n">
        <x:v>2</x:v>
      </x:c>
      <x:c r="L7" t="str">
        <x:v>STORE-001</x:v>
      </x:c>
      <x:c r="M7" s="22" t="n">
        <x:v>46134</x:v>
      </x:c>
      <x:c r="N7" t="str">
        <x:v>SKU-024</x:v>
      </x:c>
      <x:c r="O7" t="n">
        <x:v>2</x:v>
      </x:c>
      <x:c r="P7" s="26" t="n">
        <x:f>F7/O7</x:f>
        <x:v>18.38</x:v>
      </x:c>
    </x:row>
    <x:row r="8">
      <x:c r="A8" t="n">
        <x:v>7</x:v>
      </x:c>
      <x:c r="B8" t="n">
        <x:v>54</x:v>
      </x:c>
      <x:c r="C8" t="str">
        <x:v>Male</x:v>
      </x:c>
      <x:c r="D8" t="str">
        <x:v>Electronics</x:v>
      </x:c>
      <x:c r="E8" t="str">
        <x:v>Mobile Phone</x:v>
      </x:c>
      <x:c r="F8" s="24" t="n">
        <x:v>1396.16</x:v>
      </x:c>
      <x:c r="G8" t="str">
        <x:v>Autumn</x:v>
      </x:c>
      <x:c r="H8" t="str">
        <x:v>Card</x:v>
      </x:c>
      <x:c r="I8" t="n">
        <x:v>4.7</x:v>
      </x:c>
      <x:c r="J8" t="n">
        <x:v>18</x:v>
      </x:c>
      <x:c r="K8" t="n">
        <x:v>4</x:v>
      </x:c>
      <x:c r="L8" t="str">
        <x:v>STORE-001</x:v>
      </x:c>
      <x:c r="M8" s="22" t="n">
        <x:v>46135</x:v>
      </x:c>
      <x:c r="N8" t="str">
        <x:v>SKU-016</x:v>
      </x:c>
      <x:c r="O8" t="n">
        <x:v>1</x:v>
      </x:c>
      <x:c r="P8" s="26" t="n">
        <x:f>F8/O8</x:f>
        <x:v>1396.16</x:v>
      </x:c>
    </x:row>
    <x:row r="9">
      <x:c r="A9" t="n">
        <x:v>8</x:v>
      </x:c>
      <x:c r="B9" t="n">
        <x:v>59</x:v>
      </x:c>
      <x:c r="C9" t="str">
        <x:v>Female</x:v>
      </x:c>
      <x:c r="D9" t="str">
        <x:v>Beauty</x:v>
      </x:c>
      <x:c r="E9" t="str">
        <x:v>Perfume</x:v>
      </x:c>
      <x:c r="F9" s="24" t="n">
        <x:v>35.55</x:v>
      </x:c>
      <x:c r="G9" t="str">
        <x:v>Summer</x:v>
      </x:c>
      <x:c r="H9" t="str">
        <x:v>Card</x:v>
      </x:c>
      <x:c r="I9" t="n">
        <x:v>4.6</x:v>
      </x:c>
      <x:c r="J9" t="n">
        <x:v>14</x:v>
      </x:c>
      <x:c r="K9" t="n">
        <x:v>7</x:v>
      </x:c>
      <x:c r="L9" t="str">
        <x:v>STORE-001</x:v>
      </x:c>
      <x:c r="M9" s="22" t="n">
        <x:v>46058</x:v>
      </x:c>
      <x:c r="N9" t="str">
        <x:v>SKU-017</x:v>
      </x:c>
      <x:c r="O9" t="n">
        <x:v>1</x:v>
      </x:c>
      <x:c r="P9" s="26" t="n">
        <x:f>F9/O9</x:f>
        <x:v>35.55</x:v>
      </x:c>
    </x:row>
    <x:row r="10">
      <x:c r="A10" t="n">
        <x:v>9</x:v>
      </x:c>
      <x:c r="B10" t="n">
        <x:v>51</x:v>
      </x:c>
      <x:c r="C10" t="str">
        <x:v>Male</x:v>
      </x:c>
      <x:c r="D10" t="str">
        <x:v>Electronics</x:v>
      </x:c>
      <x:c r="E10" t="str">
        <x:v>Smart Watch</x:v>
      </x:c>
      <x:c r="F10" s="24" t="n">
        <x:v>2238.79</x:v>
      </x:c>
      <x:c r="G10" t="str">
        <x:v>Spring</x:v>
      </x:c>
      <x:c r="H10" t="str">
        <x:v>Card</x:v>
      </x:c>
      <x:c r="I10" t="n">
        <x:v>4.3</x:v>
      </x:c>
      <x:c r="J10" t="n">
        <x:v>20</x:v>
      </x:c>
      <x:c r="K10" t="n">
        <x:v>5</x:v>
      </x:c>
      <x:c r="L10" t="str">
        <x:v>STORE-001</x:v>
      </x:c>
      <x:c r="M10" s="22" t="n">
        <x:v>45962</x:v>
      </x:c>
      <x:c r="N10" t="str">
        <x:v>SKU-023</x:v>
      </x:c>
      <x:c r="O10" t="n">
        <x:v>1</x:v>
      </x:c>
      <x:c r="P10" s="26" t="n">
        <x:f>F10/O10</x:f>
        <x:v>2238.79</x:v>
      </x:c>
    </x:row>
    <x:row r="11">
      <x:c r="A11" t="n">
        <x:v>10</x:v>
      </x:c>
      <x:c r="B11" t="n">
        <x:v>47</x:v>
      </x:c>
      <x:c r="C11" t="str">
        <x:v>Female</x:v>
      </x:c>
      <x:c r="D11" t="str">
        <x:v>Footwear</x:v>
      </x:c>
      <x:c r="E11" t="str">
        <x:v>Formal Shoes</x:v>
      </x:c>
      <x:c r="F11" s="24" t="n">
        <x:v>225.49</x:v>
      </x:c>
      <x:c r="G11" t="str">
        <x:v>Spring</x:v>
      </x:c>
      <x:c r="H11" t="str">
        <x:v>Card</x:v>
      </x:c>
      <x:c r="I11" t="n">
        <x:v>4.7</x:v>
      </x:c>
      <x:c r="J11" t="n">
        <x:v>18</x:v>
      </x:c>
      <x:c r="K11" t="n">
        <x:v>4</x:v>
      </x:c>
      <x:c r="L11" t="str">
        <x:v>STORE-001</x:v>
      </x:c>
      <x:c r="M11" s="22" t="n">
        <x:v>45954</x:v>
      </x:c>
      <x:c r="N11" t="str">
        <x:v>SKU-007</x:v>
      </x:c>
      <x:c r="O11" t="n">
        <x:v>2</x:v>
      </x:c>
      <x:c r="P11" s="26" t="n">
        <x:f>F11/O11</x:f>
        <x:v>112.745</x:v>
      </x:c>
    </x:row>
    <x:row r="12">
      <x:c r="A12" t="n">
        <x:v>11</x:v>
      </x:c>
      <x:c r="B12" t="n">
        <x:v>32</x:v>
      </x:c>
      <x:c r="C12" t="str">
        <x:v>Male</x:v>
      </x:c>
      <x:c r="D12" t="str">
        <x:v>Mens Clothing</x:v>
      </x:c>
      <x:c r="E12" t="str">
        <x:v>T-Shirt</x:v>
      </x:c>
      <x:c r="F12" s="24" t="n">
        <x:v>120.8</x:v>
      </x:c>
      <x:c r="G12" t="str">
        <x:v>Spring</x:v>
      </x:c>
      <x:c r="H12" t="str">
        <x:v>Card</x:v>
      </x:c>
      <x:c r="I12" t="n">
        <x:v>3.2</x:v>
      </x:c>
      <x:c r="J12" t="n">
        <x:v>8</x:v>
      </x:c>
      <x:c r="K12" t="n">
        <x:v>4</x:v>
      </x:c>
      <x:c r="L12" t="str">
        <x:v>STORE-001</x:v>
      </x:c>
      <x:c r="M12" s="22" t="n">
        <x:v>46292</x:v>
      </x:c>
      <x:c r="N12" t="str">
        <x:v>SKU-027</x:v>
      </x:c>
      <x:c r="O12" t="n">
        <x:v>2</x:v>
      </x:c>
      <x:c r="P12" s="26" t="n">
        <x:f>F12/O12</x:f>
        <x:v>60.4</x:v>
      </x:c>
    </x:row>
    <x:row r="13">
      <x:c r="A13" t="n">
        <x:v>12</x:v>
      </x:c>
      <x:c r="B13" t="n">
        <x:v>31</x:v>
      </x:c>
      <x:c r="C13" t="str">
        <x:v>Female</x:v>
      </x:c>
      <x:c r="D13" t="str">
        <x:v>Accessories</x:v>
      </x:c>
      <x:c r="E13" t="str">
        <x:v>Handbag</x:v>
      </x:c>
      <x:c r="F13" s="24" t="n">
        <x:v>43.69</x:v>
      </x:c>
      <x:c r="G13" t="str">
        <x:v>Summer</x:v>
      </x:c>
      <x:c r="H13" t="str">
        <x:v>Card</x:v>
      </x:c>
      <x:c r="I13" t="n">
        <x:v>3.6</x:v>
      </x:c>
      <x:c r="J13" t="n">
        <x:v>8</x:v>
      </x:c>
      <x:c r="K13" t="n">
        <x:v>4</x:v>
      </x:c>
      <x:c r="L13" t="str">
        <x:v>STORE-001</x:v>
      </x:c>
      <x:c r="M13" s="22" t="n">
        <x:v>46010</x:v>
      </x:c>
      <x:c r="N13" t="str">
        <x:v>SKU-008</x:v>
      </x:c>
      <x:c r="O13" t="n">
        <x:v>3</x:v>
      </x:c>
      <x:c r="P13" s="26" t="n">
        <x:f>F13/O13</x:f>
        <x:v>14.563333333333333</x:v>
      </x:c>
    </x:row>
    <x:row r="14">
      <x:c r="A14" t="n">
        <x:v>13</x:v>
      </x:c>
      <x:c r="B14" t="n">
        <x:v>21</x:v>
      </x:c>
      <x:c r="C14" t="str">
        <x:v>Male</x:v>
      </x:c>
      <x:c r="D14" t="str">
        <x:v>Sports</x:v>
      </x:c>
      <x:c r="E14" t="str">
        <x:v>Yoga Mat</x:v>
      </x:c>
      <x:c r="F14" s="24" t="n">
        <x:v>79.46</x:v>
      </x:c>
      <x:c r="G14" t="str">
        <x:v>Winter</x:v>
      </x:c>
      <x:c r="H14" t="str">
        <x:v>Cash on Delivery</x:v>
      </x:c>
      <x:c r="I14" t="n">
        <x:v>3.8</x:v>
      </x:c>
      <x:c r="J14" t="n">
        <x:v>16</x:v>
      </x:c>
      <x:c r="K14" t="n">
        <x:v>8</x:v>
      </x:c>
      <x:c r="L14" t="str">
        <x:v>STORE-001</x:v>
      </x:c>
      <x:c r="M14" s="22" t="n">
        <x:v>46229</x:v>
      </x:c>
      <x:c r="N14" t="str">
        <x:v>SKU-030</x:v>
      </x:c>
      <x:c r="O14" t="n">
        <x:v>2</x:v>
      </x:c>
      <x:c r="P14" s="26" t="n">
        <x:f>F14/O14</x:f>
        <x:v>39.73</x:v>
      </x:c>
    </x:row>
    <x:row r="15">
      <x:c r="A15" t="n">
        <x:v>14</x:v>
      </x:c>
      <x:c r="B15" t="n">
        <x:v>22</x:v>
      </x:c>
      <x:c r="C15" t="str">
        <x:v>Female</x:v>
      </x:c>
      <x:c r="D15" t="str">
        <x:v>Footwear</x:v>
      </x:c>
      <x:c r="E15" t="str">
        <x:v>Sandals</x:v>
      </x:c>
      <x:c r="F15" s="24" t="n">
        <x:v>189.34</x:v>
      </x:c>
      <x:c r="G15" t="str">
        <x:v>Summer</x:v>
      </x:c>
      <x:c r="H15" t="str">
        <x:v>Card</x:v>
      </x:c>
      <x:c r="I15" t="n">
        <x:v>2.9</x:v>
      </x:c>
      <x:c r="J15" t="n">
        <x:v>10</x:v>
      </x:c>
      <x:c r="K15" t="n">
        <x:v>5</x:v>
      </x:c>
      <x:c r="L15" t="str">
        <x:v>STORE-001</x:v>
      </x:c>
      <x:c r="M15" s="22" t="n">
        <x:v>46045</x:v>
      </x:c>
      <x:c r="N15" t="str">
        <x:v>SKU-019</x:v>
      </x:c>
      <x:c r="O15" t="n">
        <x:v>1</x:v>
      </x:c>
      <x:c r="P15" s="26" t="n">
        <x:f>F15/O15</x:f>
        <x:v>189.34</x:v>
      </x:c>
    </x:row>
    <x:row r="16">
      <x:c r="A16" t="n">
        <x:v>15</x:v>
      </x:c>
      <x:c r="B16" t="n">
        <x:v>47</x:v>
      </x:c>
      <x:c r="C16" t="str">
        <x:v>Male</x:v>
      </x:c>
      <x:c r="D16" t="str">
        <x:v>Sports</x:v>
      </x:c>
      <x:c r="E16" t="str">
        <x:v>Dumbbells</x:v>
      </x:c>
      <x:c r="F16" s="24" t="n">
        <x:v>222.4</x:v>
      </x:c>
      <x:c r="G16" t="str">
        <x:v>Winter</x:v>
      </x:c>
      <x:c r="H16" t="str">
        <x:v>Card</x:v>
      </x:c>
      <x:c r="I16" t="n">
        <x:v>3.9</x:v>
      </x:c>
      <x:c r="J16" t="n">
        <x:v>12</x:v>
      </x:c>
      <x:c r="K16" t="n">
        <x:v>6</x:v>
      </x:c>
      <x:c r="L16" t="str">
        <x:v>STORE-001</x:v>
      </x:c>
      <x:c r="M16" s="22" t="n">
        <x:v>46219</x:v>
      </x:c>
      <x:c r="N16" t="str">
        <x:v>SKU-005</x:v>
      </x:c>
      <x:c r="O16" t="n">
        <x:v>3</x:v>
      </x:c>
      <x:c r="P16" s="26" t="n">
        <x:f>F16/O16</x:f>
        <x:v>74.13333333333334</x:v>
      </x:c>
    </x:row>
    <x:row r="17">
      <x:c r="A17" t="n">
        <x:v>16</x:v>
      </x:c>
      <x:c r="B17" t="n">
        <x:v>60</x:v>
      </x:c>
      <x:c r="C17" t="str">
        <x:v>Male</x:v>
      </x:c>
      <x:c r="D17" t="str">
        <x:v>Sports</x:v>
      </x:c>
      <x:c r="E17" t="str">
        <x:v>Dumbbells</x:v>
      </x:c>
      <x:c r="F17" s="24" t="n">
        <x:v>217.67</x:v>
      </x:c>
      <x:c r="G17" t="str">
        <x:v>Spring</x:v>
      </x:c>
      <x:c r="H17" t="str">
        <x:v>Card</x:v>
      </x:c>
      <x:c r="I17" t="n">
        <x:v>4.6</x:v>
      </x:c>
      <x:c r="J17" t="n">
        <x:v>27</x:v>
      </x:c>
      <x:c r="K17" t="n">
        <x:v>11</x:v>
      </x:c>
      <x:c r="L17" t="str">
        <x:v>STORE-001</x:v>
      </x:c>
      <x:c r="M17" s="22" t="n">
        <x:v>46288</x:v>
      </x:c>
      <x:c r="N17" t="str">
        <x:v>SKU-005</x:v>
      </x:c>
      <x:c r="O17" t="n">
        <x:v>1</x:v>
      </x:c>
      <x:c r="P17" s="26" t="n">
        <x:f>F17/O17</x:f>
        <x:v>217.67</x:v>
      </x:c>
    </x:row>
    <x:row r="18">
      <x:c r="A18" t="n">
        <x:v>17</x:v>
      </x:c>
      <x:c r="B18" t="n">
        <x:v>54</x:v>
      </x:c>
      <x:c r="C18" t="str">
        <x:v>Female</x:v>
      </x:c>
      <x:c r="D18" t="str">
        <x:v>Footwear</x:v>
      </x:c>
      <x:c r="E18" t="str">
        <x:v>Sneakers</x:v>
      </x:c>
      <x:c r="F18" s="24" t="n">
        <x:v>43.8</x:v>
      </x:c>
      <x:c r="G18" t="str">
        <x:v>Spring</x:v>
      </x:c>
      <x:c r="H18" t="str">
        <x:v>Cash on Delivery</x:v>
      </x:c>
      <x:c r="I18" t="n">
        <x:v>2.9</x:v>
      </x:c>
      <x:c r="J18" t="n">
        <x:v>20</x:v>
      </x:c>
      <x:c r="K18" t="n">
        <x:v>5</x:v>
      </x:c>
      <x:c r="L18" t="str">
        <x:v>STORE-001</x:v>
      </x:c>
      <x:c r="M18" s="22" t="n">
        <x:v>46269</x:v>
      </x:c>
      <x:c r="N18" t="str">
        <x:v>SKU-025</x:v>
      </x:c>
      <x:c r="O18" t="n">
        <x:v>2</x:v>
      </x:c>
      <x:c r="P18" s="26" t="n">
        <x:f>F18/O18</x:f>
        <x:v>21.9</x:v>
      </x:c>
    </x:row>
    <x:row r="19">
      <x:c r="A19" t="n">
        <x:v>18</x:v>
      </x:c>
      <x:c r="B19" t="n">
        <x:v>57</x:v>
      </x:c>
      <x:c r="C19" t="str">
        <x:v>Female</x:v>
      </x:c>
      <x:c r="D19" t="str">
        <x:v>Womens Clothing</x:v>
      </x:c>
      <x:c r="E19" t="str">
        <x:v>Jeans</x:v>
      </x:c>
      <x:c r="F19" s="24" t="n">
        <x:v>137.29</x:v>
      </x:c>
      <x:c r="G19" t="str">
        <x:v>Autumn</x:v>
      </x:c>
      <x:c r="H19" t="str">
        <x:v>Card</x:v>
      </x:c>
      <x:c r="I19" t="n">
        <x:v>3.4</x:v>
      </x:c>
      <x:c r="J19" t="n">
        <x:v>22</x:v>
      </x:c>
      <x:c r="K19" t="n">
        <x:v>6</x:v>
      </x:c>
      <x:c r="L19" t="str">
        <x:v>STORE-001</x:v>
      </x:c>
      <x:c r="M19" s="22" t="n">
        <x:v>46141</x:v>
      </x:c>
      <x:c r="N19" t="str">
        <x:v>SKU-011</x:v>
      </x:c>
      <x:c r="O19" t="n">
        <x:v>2</x:v>
      </x:c>
      <x:c r="P19" s="26" t="n">
        <x:f>F19/O19</x:f>
        <x:v>68.645</x:v>
      </x:c>
    </x:row>
    <x:row r="20">
      <x:c r="A20" t="n">
        <x:v>19</x:v>
      </x:c>
      <x:c r="B20" t="n">
        <x:v>68</x:v>
      </x:c>
      <x:c r="C20" t="str">
        <x:v>Female</x:v>
      </x:c>
      <x:c r="D20" t="str">
        <x:v>Home</x:v>
      </x:c>
      <x:c r="E20" t="str">
        <x:v>Lamp</x:v>
      </x:c>
      <x:c r="F20" s="24" t="n">
        <x:v>105.48</x:v>
      </x:c>
      <x:c r="G20" t="str">
        <x:v>Autumn</x:v>
      </x:c>
      <x:c r="H20" t="str">
        <x:v>Card</x:v>
      </x:c>
      <x:c r="I20" t="n">
        <x:v>4.5</x:v>
      </x:c>
      <x:c r="J20" t="n">
        <x:v>14</x:v>
      </x:c>
      <x:c r="K20" t="n">
        <x:v>7</x:v>
      </x:c>
      <x:c r="L20" t="str">
        <x:v>STORE-001</x:v>
      </x:c>
      <x:c r="M20" s="22" t="n">
        <x:v>46104</x:v>
      </x:c>
      <x:c r="N20" t="str">
        <x:v>SKU-013</x:v>
      </x:c>
      <x:c r="O20" t="n">
        <x:v>2</x:v>
      </x:c>
      <x:c r="P20" s="26" t="n">
        <x:f>F20/O20</x:f>
        <x:v>52.74</x:v>
      </x:c>
    </x:row>
    <x:row r="21">
      <x:c r="A21" t="n">
        <x:v>20</x:v>
      </x:c>
      <x:c r="B21" t="n">
        <x:v>22</x:v>
      </x:c>
      <x:c r="C21" t="str">
        <x:v>Female</x:v>
      </x:c>
      <x:c r="D21" t="str">
        <x:v>Womens Clothing</x:v>
      </x:c>
      <x:c r="E21" t="str">
        <x:v>Skirt</x:v>
      </x:c>
      <x:c r="F21" s="24" t="n">
        <x:v>173.52</x:v>
      </x:c>
      <x:c r="G21" t="str">
        <x:v>Summer</x:v>
      </x:c>
      <x:c r="H21" t="str">
        <x:v>Card</x:v>
      </x:c>
      <x:c r="I21" t="n">
        <x:v>3.6</x:v>
      </x:c>
      <x:c r="J21" t="n">
        <x:v>18</x:v>
      </x:c>
      <x:c r="K21" t="n">
        <x:v>4</x:v>
      </x:c>
      <x:c r="L21" t="str">
        <x:v>STORE-001</x:v>
      </x:c>
      <x:c r="M21" s="22" t="n">
        <x:v>46014</x:v>
      </x:c>
      <x:c r="N21" t="str">
        <x:v>SKU-022</x:v>
      </x:c>
      <x:c r="O21" t="n">
        <x:v>1</x:v>
      </x:c>
      <x:c r="P21" s="26" t="n">
        <x:f>F21/O21</x:f>
        <x:v>173.52</x:v>
      </x:c>
    </x:row>
    <x:row r="22">
      <x:c r="A22" t="n">
        <x:v>21</x:v>
      </x:c>
      <x:c r="B22" t="n">
        <x:v>61</x:v>
      </x:c>
      <x:c r="C22" t="str">
        <x:v>Female</x:v>
      </x:c>
      <x:c r="D22" t="str">
        <x:v>Footwear</x:v>
      </x:c>
      <x:c r="E22" t="str">
        <x:v>Sneakers</x:v>
      </x:c>
      <x:c r="F22" s="24" t="n">
        <x:v>68.69</x:v>
      </x:c>
      <x:c r="G22" t="str">
        <x:v>Autumn</x:v>
      </x:c>
      <x:c r="H22" t="str">
        <x:v>Card</x:v>
      </x:c>
      <x:c r="I22" t="n">
        <x:v>4.9</x:v>
      </x:c>
      <x:c r="J22" t="n">
        <x:v>22</x:v>
      </x:c>
      <x:c r="K22" t="n">
        <x:v>6</x:v>
      </x:c>
      <x:c r="L22" t="str">
        <x:v>STORE-001</x:v>
      </x:c>
      <x:c r="M22" s="22" t="n">
        <x:v>46083</x:v>
      </x:c>
      <x:c r="N22" t="str">
        <x:v>SKU-025</x:v>
      </x:c>
      <x:c r="O22" t="n">
        <x:v>1</x:v>
      </x:c>
      <x:c r="P22" s="26" t="n">
        <x:f>F22/O22</x:f>
        <x:v>68.69</x:v>
      </x:c>
    </x:row>
    <x:row r="23">
      <x:c r="A23" t="n">
        <x:v>22</x:v>
      </x:c>
      <x:c r="B23" t="n">
        <x:v>65</x:v>
      </x:c>
      <x:c r="C23" t="str">
        <x:v>Female</x:v>
      </x:c>
      <x:c r="D23" t="str">
        <x:v>Sports</x:v>
      </x:c>
      <x:c r="E23" t="str">
        <x:v>Dumbbells</x:v>
      </x:c>
      <x:c r="F23" s="24" t="n">
        <x:v>31.21</x:v>
      </x:c>
      <x:c r="G23" t="str">
        <x:v>Spring</x:v>
      </x:c>
      <x:c r="H23" t="str">
        <x:v>Cash on Delivery</x:v>
      </x:c>
      <x:c r="I23" t="n">
        <x:v>3.8</x:v>
      </x:c>
      <x:c r="J23" t="n">
        <x:v>14</x:v>
      </x:c>
      <x:c r="K23" t="n">
        <x:v>7</x:v>
      </x:c>
      <x:c r="L23" t="str">
        <x:v>STORE-001</x:v>
      </x:c>
      <x:c r="M23" s="22" t="n">
        <x:v>45962</x:v>
      </x:c>
      <x:c r="N23" t="str">
        <x:v>SKU-005</x:v>
      </x:c>
      <x:c r="O23" t="n">
        <x:v>1</x:v>
      </x:c>
      <x:c r="P23" s="26" t="n">
        <x:f>F23/O23</x:f>
        <x:v>31.21</x:v>
      </x:c>
    </x:row>
    <x:row r="24">
      <x:c r="A24" t="n">
        <x:v>23</x:v>
      </x:c>
      <x:c r="B24" t="n">
        <x:v>25</x:v>
      </x:c>
      <x:c r="C24" t="str">
        <x:v>Male</x:v>
      </x:c>
      <x:c r="D24" t="str">
        <x:v>Sports</x:v>
      </x:c>
      <x:c r="E24" t="str">
        <x:v>Football</x:v>
      </x:c>
      <x:c r="F24" s="24" t="n">
        <x:v>142.5</x:v>
      </x:c>
      <x:c r="G24" t="str">
        <x:v>Autumn</x:v>
      </x:c>
      <x:c r="H24" t="str">
        <x:v>Card</x:v>
      </x:c>
      <x:c r="I24" t="n">
        <x:v>5</x:v>
      </x:c>
      <x:c r="J24" t="n">
        <x:v>13</x:v>
      </x:c>
      <x:c r="K24" t="n">
        <x:v>4</x:v>
      </x:c>
      <x:c r="L24" t="str">
        <x:v>STORE-001</x:v>
      </x:c>
      <x:c r="M24" s="22" t="n">
        <x:v>46173</x:v>
      </x:c>
      <x:c r="N24" t="str">
        <x:v>SKU-006</x:v>
      </x:c>
      <x:c r="O24" t="n">
        <x:v>1</x:v>
      </x:c>
      <x:c r="P24" s="26" t="n">
        <x:f>F24/O24</x:f>
        <x:v>142.5</x:v>
      </x:c>
    </x:row>
    <x:row r="25">
      <x:c r="A25" t="n">
        <x:v>24</x:v>
      </x:c>
      <x:c r="B25" t="n">
        <x:v>35</x:v>
      </x:c>
      <x:c r="C25" t="str">
        <x:v>Male</x:v>
      </x:c>
      <x:c r="D25" t="str">
        <x:v>Mens Clothing</x:v>
      </x:c>
      <x:c r="E25" t="str">
        <x:v>Jeans</x:v>
      </x:c>
      <x:c r="F25" s="24" t="n">
        <x:v>36.98</x:v>
      </x:c>
      <x:c r="G25" t="str">
        <x:v>Summer</x:v>
      </x:c>
      <x:c r="H25" t="str">
        <x:v>Card</x:v>
      </x:c>
      <x:c r="I25" t="n">
        <x:v>4.2</x:v>
      </x:c>
      <x:c r="J25" t="n">
        <x:v>13</x:v>
      </x:c>
      <x:c r="K25" t="n">
        <x:v>4</x:v>
      </x:c>
      <x:c r="L25" t="str">
        <x:v>STORE-001</x:v>
      </x:c>
      <x:c r="M25" s="22" t="n">
        <x:v>46022</x:v>
      </x:c>
      <x:c r="N25" t="str">
        <x:v>SKU-011</x:v>
      </x:c>
      <x:c r="O25" t="n">
        <x:v>1</x:v>
      </x:c>
      <x:c r="P25" s="26" t="n">
        <x:f>F25/O25</x:f>
        <x:v>36.98</x:v>
      </x:c>
    </x:row>
    <x:row r="26">
      <x:c r="A26" t="n">
        <x:v>25</x:v>
      </x:c>
      <x:c r="B26" t="n">
        <x:v>28</x:v>
      </x:c>
      <x:c r="C26" t="str">
        <x:v>Female</x:v>
      </x:c>
      <x:c r="D26" t="str">
        <x:v>Womens Clothing</x:v>
      </x:c>
      <x:c r="E26" t="str">
        <x:v>Top</x:v>
      </x:c>
      <x:c r="F26" s="24" t="n">
        <x:v>56.59</x:v>
      </x:c>
      <x:c r="G26" t="str">
        <x:v>Winter</x:v>
      </x:c>
      <x:c r="H26" t="str">
        <x:v>Card</x:v>
      </x:c>
      <x:c r="I26" t="n">
        <x:v>4.1</x:v>
      </x:c>
      <x:c r="J26" t="n">
        <x:v>26</x:v>
      </x:c>
      <x:c r="K26" t="n">
        <x:v>8</x:v>
      </x:c>
      <x:c r="L26" t="str">
        <x:v>STORE-001</x:v>
      </x:c>
      <x:c r="M26" s="22" t="n">
        <x:v>46253</x:v>
      </x:c>
      <x:c r="N26" t="str">
        <x:v>SKU-028</x:v>
      </x:c>
      <x:c r="O26" t="n">
        <x:v>1</x:v>
      </x:c>
      <x:c r="P26" s="26" t="n">
        <x:f>F26/O26</x:f>
        <x:v>56.59</x:v>
      </x:c>
    </x:row>
    <x:row r="27">
      <x:c r="A27" t="n">
        <x:v>26</x:v>
      </x:c>
      <x:c r="B27" t="n">
        <x:v>41</x:v>
      </x:c>
      <x:c r="C27" t="str">
        <x:v>Male</x:v>
      </x:c>
      <x:c r="D27" t="str">
        <x:v>Sports</x:v>
      </x:c>
      <x:c r="E27" t="str">
        <x:v>Football</x:v>
      </x:c>
      <x:c r="F27" s="24" t="n">
        <x:v>46.19</x:v>
      </x:c>
      <x:c r="G27" t="str">
        <x:v>Winter</x:v>
      </x:c>
      <x:c r="H27" t="str">
        <x:v>Cash on Delivery</x:v>
      </x:c>
      <x:c r="I27" t="n">
        <x:v>3.3</x:v>
      </x:c>
      <x:c r="J27" t="n">
        <x:v>11</x:v>
      </x:c>
      <x:c r="K27" t="n">
        <x:v>3</x:v>
      </x:c>
      <x:c r="L27" t="str">
        <x:v>STORE-001</x:v>
      </x:c>
      <x:c r="M27" s="22" t="n">
        <x:v>46264</x:v>
      </x:c>
      <x:c r="N27" t="str">
        <x:v>SKU-006</x:v>
      </x:c>
      <x:c r="O27" t="n">
        <x:v>2</x:v>
      </x:c>
      <x:c r="P27" s="26" t="n">
        <x:f>F27/O27</x:f>
        <x:v>23.095</x:v>
      </x:c>
    </x:row>
    <x:row r="28">
      <x:c r="A28" t="n">
        <x:v>27</x:v>
      </x:c>
      <x:c r="B28" t="n">
        <x:v>58</x:v>
      </x:c>
      <x:c r="C28" t="str">
        <x:v>Female</x:v>
      </x:c>
      <x:c r="D28" t="str">
        <x:v>Home</x:v>
      </x:c>
      <x:c r="E28" t="str">
        <x:v>Lamp</x:v>
      </x:c>
      <x:c r="F28" s="24" t="n">
        <x:v>137.6</x:v>
      </x:c>
      <x:c r="G28" t="str">
        <x:v>Autumn</x:v>
      </x:c>
      <x:c r="H28" t="str">
        <x:v>Card</x:v>
      </x:c>
      <x:c r="I28" t="n">
        <x:v>3.7</x:v>
      </x:c>
      <x:c r="J28" t="n">
        <x:v>11</x:v>
      </x:c>
      <x:c r="K28" t="n">
        <x:v>3</x:v>
      </x:c>
      <x:c r="L28" t="str">
        <x:v>STORE-001</x:v>
      </x:c>
      <x:c r="M28" s="22" t="n">
        <x:v>46141</x:v>
      </x:c>
      <x:c r="N28" t="str">
        <x:v>SKU-013</x:v>
      </x:c>
      <x:c r="O28" t="n">
        <x:v>1</x:v>
      </x:c>
      <x:c r="P28" s="26" t="n">
        <x:f>F28/O28</x:f>
        <x:v>137.6</x:v>
      </x:c>
    </x:row>
    <x:row r="29">
      <x:c r="A29" t="n">
        <x:v>28</x:v>
      </x:c>
      <x:c r="B29" t="n">
        <x:v>24</x:v>
      </x:c>
      <x:c r="C29" t="str">
        <x:v>Male</x:v>
      </x:c>
      <x:c r="D29" t="str">
        <x:v>Sports</x:v>
      </x:c>
      <x:c r="E29" t="str">
        <x:v>Yoga Mat</x:v>
      </x:c>
      <x:c r="F29" s="24" t="n">
        <x:v>30.97</x:v>
      </x:c>
      <x:c r="G29" t="str">
        <x:v>Autumn</x:v>
      </x:c>
      <x:c r="H29" t="str">
        <x:v>Card</x:v>
      </x:c>
      <x:c r="I29" t="n">
        <x:v>4.4</x:v>
      </x:c>
      <x:c r="J29" t="n">
        <x:v>20</x:v>
      </x:c>
      <x:c r="K29" t="n">
        <x:v>10</x:v>
      </x:c>
      <x:c r="L29" t="str">
        <x:v>STORE-001</x:v>
      </x:c>
      <x:c r="M29" s="22" t="n">
        <x:v>46110</x:v>
      </x:c>
      <x:c r="N29" t="str">
        <x:v>SKU-030</x:v>
      </x:c>
      <x:c r="O29" t="n">
        <x:v>4</x:v>
      </x:c>
      <x:c r="P29" s="26" t="n">
        <x:f>F29/O29</x:f>
        <x:v>7.7425</x:v>
      </x:c>
    </x:row>
    <x:row r="30">
      <x:c r="A30" t="n">
        <x:v>29</x:v>
      </x:c>
      <x:c r="B30" t="n">
        <x:v>50</x:v>
      </x:c>
      <x:c r="C30" t="str">
        <x:v>Female</x:v>
      </x:c>
      <x:c r="D30" t="str">
        <x:v>Sports</x:v>
      </x:c>
      <x:c r="E30" t="str">
        <x:v>Yoga Mat</x:v>
      </x:c>
      <x:c r="F30" s="24" t="n">
        <x:v>178.68</x:v>
      </x:c>
      <x:c r="G30" t="str">
        <x:v>Spring</x:v>
      </x:c>
      <x:c r="H30" t="str">
        <x:v>Card</x:v>
      </x:c>
      <x:c r="I30" t="n">
        <x:v>3.7</x:v>
      </x:c>
      <x:c r="J30" t="n">
        <x:v>11</x:v>
      </x:c>
      <x:c r="K30" t="n">
        <x:v>3</x:v>
      </x:c>
      <x:c r="L30" t="str">
        <x:v>STORE-001</x:v>
      </x:c>
      <x:c r="M30" s="22" t="n">
        <x:v>45990</x:v>
      </x:c>
      <x:c r="N30" t="str">
        <x:v>SKU-030</x:v>
      </x:c>
      <x:c r="O30" t="n">
        <x:v>1</x:v>
      </x:c>
      <x:c r="P30" s="26" t="n">
        <x:f>F30/O30</x:f>
        <x:v>178.68</x:v>
      </x:c>
    </x:row>
    <x:row r="31">
      <x:c r="A31" t="n">
        <x:v>30</x:v>
      </x:c>
      <x:c r="B31" t="n">
        <x:v>69</x:v>
      </x:c>
      <x:c r="C31" t="str">
        <x:v>Male</x:v>
      </x:c>
      <x:c r="D31" t="str">
        <x:v>Sports</x:v>
      </x:c>
      <x:c r="E31" t="str">
        <x:v>Football</x:v>
      </x:c>
      <x:c r="F31" s="24" t="n">
        <x:v>205.78</x:v>
      </x:c>
      <x:c r="G31" t="str">
        <x:v>Autumn</x:v>
      </x:c>
      <x:c r="H31" t="str">
        <x:v>Card</x:v>
      </x:c>
      <x:c r="I31" t="n">
        <x:v>2.7</x:v>
      </x:c>
      <x:c r="J31" t="n">
        <x:v>22</x:v>
      </x:c>
      <x:c r="K31" t="n">
        <x:v>6</x:v>
      </x:c>
      <x:c r="L31" t="str">
        <x:v>STORE-001</x:v>
      </x:c>
      <x:c r="M31" s="22" t="n">
        <x:v>46105</x:v>
      </x:c>
      <x:c r="N31" t="str">
        <x:v>SKU-006</x:v>
      </x:c>
      <x:c r="O31" t="n">
        <x:v>1</x:v>
      </x:c>
      <x:c r="P31" s="26" t="n">
        <x:f>F31/O31</x:f>
        <x:v>205.78</x:v>
      </x:c>
    </x:row>
    <x:row r="32">
      <x:c r="A32" t="n">
        <x:v>31</x:v>
      </x:c>
      <x:c r="B32" t="n">
        <x:v>43</x:v>
      </x:c>
      <x:c r="C32" t="str">
        <x:v>Male</x:v>
      </x:c>
      <x:c r="D32" t="str">
        <x:v>Electronics</x:v>
      </x:c>
      <x:c r="E32" t="str">
        <x:v>Smart Watch</x:v>
      </x:c>
      <x:c r="F32" s="24" t="n">
        <x:v>1572.49</x:v>
      </x:c>
      <x:c r="G32" t="str">
        <x:v>Autumn</x:v>
      </x:c>
      <x:c r="H32" t="str">
        <x:v>Card</x:v>
      </x:c>
      <x:c r="I32" t="n">
        <x:v>3.5</x:v>
      </x:c>
      <x:c r="J32" t="n">
        <x:v>14</x:v>
      </x:c>
      <x:c r="K32" t="n">
        <x:v>7</x:v>
      </x:c>
      <x:c r="L32" t="str">
        <x:v>STORE-001</x:v>
      </x:c>
      <x:c r="M32" s="22" t="n">
        <x:v>46143</x:v>
      </x:c>
      <x:c r="N32" t="str">
        <x:v>SKU-023</x:v>
      </x:c>
      <x:c r="O32" t="n">
        <x:v>1</x:v>
      </x:c>
      <x:c r="P32" s="26" t="n">
        <x:f>F32/O32</x:f>
        <x:v>1572.49</x:v>
      </x:c>
    </x:row>
    <x:row r="33">
      <x:c r="A33" t="n">
        <x:v>32</x:v>
      </x:c>
      <x:c r="B33" t="n">
        <x:v>33</x:v>
      </x:c>
      <x:c r="C33" t="str">
        <x:v>Male</x:v>
      </x:c>
      <x:c r="D33" t="str">
        <x:v>Footwear</x:v>
      </x:c>
      <x:c r="E33" t="str">
        <x:v>Formal Shoes</x:v>
      </x:c>
      <x:c r="F33" s="24" t="n">
        <x:v>172.69</x:v>
      </x:c>
      <x:c r="G33" t="str">
        <x:v>Spring</x:v>
      </x:c>
      <x:c r="H33" t="str">
        <x:v>Card</x:v>
      </x:c>
      <x:c r="I33" t="n">
        <x:v>4.6</x:v>
      </x:c>
      <x:c r="J33" t="n">
        <x:v>19</x:v>
      </x:c>
      <x:c r="K33" t="n">
        <x:v>7</x:v>
      </x:c>
      <x:c r="L33" t="str">
        <x:v>STORE-001</x:v>
      </x:c>
      <x:c r="M33" s="22" t="n">
        <x:v>46275</x:v>
      </x:c>
      <x:c r="N33" t="str">
        <x:v>SKU-007</x:v>
      </x:c>
      <x:c r="O33" t="n">
        <x:v>2</x:v>
      </x:c>
      <x:c r="P33" s="26" t="n">
        <x:f>F33/O33</x:f>
        <x:v>86.345</x:v>
      </x:c>
    </x:row>
    <x:row r="34">
      <x:c r="A34" t="n">
        <x:v>33</x:v>
      </x:c>
      <x:c r="B34" t="n">
        <x:v>58</x:v>
      </x:c>
      <x:c r="C34" t="str">
        <x:v>Female</x:v>
      </x:c>
      <x:c r="D34" t="str">
        <x:v>Beauty</x:v>
      </x:c>
      <x:c r="E34" t="str">
        <x:v>Perfume</x:v>
      </x:c>
      <x:c r="F34" s="24" t="n">
        <x:v>135.4</x:v>
      </x:c>
      <x:c r="G34" t="str">
        <x:v>Spring</x:v>
      </x:c>
      <x:c r="H34" t="str">
        <x:v>Card</x:v>
      </x:c>
      <x:c r="I34" t="n">
        <x:v>3.7</x:v>
      </x:c>
      <x:c r="J34" t="n">
        <x:v>9</x:v>
      </x:c>
      <x:c r="K34" t="n">
        <x:v>2</x:v>
      </x:c>
      <x:c r="L34" t="str">
        <x:v>STORE-001</x:v>
      </x:c>
      <x:c r="M34" s="22" t="n">
        <x:v>46275</x:v>
      </x:c>
      <x:c r="N34" t="str">
        <x:v>SKU-017</x:v>
      </x:c>
      <x:c r="O34" t="n">
        <x:v>1</x:v>
      </x:c>
      <x:c r="P34" s="26" t="n">
        <x:f>F34/O34</x:f>
        <x:v>135.4</x:v>
      </x:c>
    </x:row>
    <x:row r="35">
      <x:c r="A35" t="n">
        <x:v>34</x:v>
      </x:c>
      <x:c r="B35" t="n">
        <x:v>26</x:v>
      </x:c>
      <x:c r="C35" t="str">
        <x:v>Female</x:v>
      </x:c>
      <x:c r="D35" t="str">
        <x:v>Womens Clothing</x:v>
      </x:c>
      <x:c r="E35" t="str">
        <x:v>Dress</x:v>
      </x:c>
      <x:c r="F35" s="24" t="n">
        <x:v>169.72</x:v>
      </x:c>
      <x:c r="G35" t="str">
        <x:v>Autumn</x:v>
      </x:c>
      <x:c r="H35" t="str">
        <x:v>Card</x:v>
      </x:c>
      <x:c r="I35" t="n">
        <x:v>3.8</x:v>
      </x:c>
      <x:c r="J35" t="n">
        <x:v>14</x:v>
      </x:c>
      <x:c r="K35" t="n">
        <x:v>2</x:v>
      </x:c>
      <x:c r="L35" t="str">
        <x:v>STORE-001</x:v>
      </x:c>
      <x:c r="M35" s="22" t="n">
        <x:v>46105</x:v>
      </x:c>
      <x:c r="N35" t="str">
        <x:v>SKU-004</x:v>
      </x:c>
      <x:c r="O35" t="n">
        <x:v>1</x:v>
      </x:c>
      <x:c r="P35" s="26" t="n">
        <x:f>F35/O35</x:f>
        <x:v>169.72</x:v>
      </x:c>
    </x:row>
    <x:row r="36">
      <x:c r="A36" t="n">
        <x:v>35</x:v>
      </x:c>
      <x:c r="B36" t="n">
        <x:v>67</x:v>
      </x:c>
      <x:c r="C36" t="str">
        <x:v>Male</x:v>
      </x:c>
      <x:c r="D36" t="str">
        <x:v>Sports</x:v>
      </x:c>
      <x:c r="E36" t="str">
        <x:v>Football</x:v>
      </x:c>
      <x:c r="F36" s="24" t="n">
        <x:v>238.13</x:v>
      </x:c>
      <x:c r="G36" t="str">
        <x:v>Winter</x:v>
      </x:c>
      <x:c r="H36" t="str">
        <x:v>Card</x:v>
      </x:c>
      <x:c r="I36" t="n">
        <x:v>3.3</x:v>
      </x:c>
      <x:c r="J36" t="n">
        <x:v>17</x:v>
      </x:c>
      <x:c r="K36" t="n">
        <x:v>6</x:v>
      </x:c>
      <x:c r="L36" t="str">
        <x:v>STORE-001</x:v>
      </x:c>
      <x:c r="M36" s="22" t="n">
        <x:v>46238</x:v>
      </x:c>
      <x:c r="N36" t="str">
        <x:v>SKU-006</x:v>
      </x:c>
      <x:c r="O36" t="n">
        <x:v>3</x:v>
      </x:c>
      <x:c r="P36" s="26" t="n">
        <x:f>F36/O36</x:f>
        <x:v>79.37666666666667</x:v>
      </x:c>
    </x:row>
    <x:row r="37">
      <x:c r="A37" t="n">
        <x:v>36</x:v>
      </x:c>
      <x:c r="B37" t="n">
        <x:v>32</x:v>
      </x:c>
      <x:c r="C37" t="str">
        <x:v>Female</x:v>
      </x:c>
      <x:c r="D37" t="str">
        <x:v>Womens Clothing</x:v>
      </x:c>
      <x:c r="E37" t="str">
        <x:v>Jeans</x:v>
      </x:c>
      <x:c r="F37" s="24" t="n">
        <x:v>50.2</x:v>
      </x:c>
      <x:c r="G37" t="str">
        <x:v>Winter</x:v>
      </x:c>
      <x:c r="H37" t="str">
        <x:v>Cash on Delivery</x:v>
      </x:c>
      <x:c r="I37" t="n">
        <x:v>2.4</x:v>
      </x:c>
      <x:c r="J37" t="n">
        <x:v>12</x:v>
      </x:c>
      <x:c r="K37" t="n">
        <x:v>6</x:v>
      </x:c>
      <x:c r="L37" t="str">
        <x:v>STORE-001</x:v>
      </x:c>
      <x:c r="M37" s="22" t="n">
        <x:v>46233</x:v>
      </x:c>
      <x:c r="N37" t="str">
        <x:v>SKU-011</x:v>
      </x:c>
      <x:c r="O37" t="n">
        <x:v>1</x:v>
      </x:c>
      <x:c r="P37" s="26" t="n">
        <x:f>F37/O37</x:f>
        <x:v>50.2</x:v>
      </x:c>
    </x:row>
    <x:row r="38">
      <x:c r="A38" t="n">
        <x:v>37</x:v>
      </x:c>
      <x:c r="B38" t="n">
        <x:v>25</x:v>
      </x:c>
      <x:c r="C38" t="str">
        <x:v>Female</x:v>
      </x:c>
      <x:c r="D38" t="str">
        <x:v>Groceries</x:v>
      </x:c>
      <x:c r="E38" t="str">
        <x:v>Rice Pack</x:v>
      </x:c>
      <x:c r="F38" s="24" t="n">
        <x:v>29.2</x:v>
      </x:c>
      <x:c r="G38" t="str">
        <x:v>Summer</x:v>
      </x:c>
      <x:c r="H38" t="str">
        <x:v>Cash on Delivery</x:v>
      </x:c>
      <x:c r="I38" t="n">
        <x:v>5</x:v>
      </x:c>
      <x:c r="J38" t="n">
        <x:v>8</x:v>
      </x:c>
      <x:c r="K38" t="n">
        <x:v>4</x:v>
      </x:c>
      <x:c r="L38" t="str">
        <x:v>STORE-001</x:v>
      </x:c>
      <x:c r="M38" s="22" t="n">
        <x:v>46036</x:v>
      </x:c>
      <x:c r="N38" t="str">
        <x:v>SKU-018</x:v>
      </x:c>
      <x:c r="O38" t="n">
        <x:v>5</x:v>
      </x:c>
      <x:c r="P38" s="26" t="n">
        <x:f>F38/O38</x:f>
        <x:v>5.84</x:v>
      </x:c>
    </x:row>
    <x:row r="39">
      <x:c r="A39" t="n">
        <x:v>38</x:v>
      </x:c>
      <x:c r="B39" t="n">
        <x:v>50</x:v>
      </x:c>
      <x:c r="C39" t="str">
        <x:v>Male</x:v>
      </x:c>
      <x:c r="D39" t="str">
        <x:v>Mens Clothing</x:v>
      </x:c>
      <x:c r="E39" t="str">
        <x:v>Jacket</x:v>
      </x:c>
      <x:c r="F39" s="24" t="n">
        <x:v>183.2</x:v>
      </x:c>
      <x:c r="G39" t="str">
        <x:v>Autumn</x:v>
      </x:c>
      <x:c r="H39" t="str">
        <x:v>Card</x:v>
      </x:c>
      <x:c r="I39" t="n">
        <x:v>3.9</x:v>
      </x:c>
      <x:c r="J39" t="n">
        <x:v>8</x:v>
      </x:c>
      <x:c r="K39" t="n">
        <x:v>4</x:v>
      </x:c>
      <x:c r="L39" t="str">
        <x:v>STORE-001</x:v>
      </x:c>
      <x:c r="M39" s="22" t="n">
        <x:v>46135</x:v>
      </x:c>
      <x:c r="N39" t="str">
        <x:v>SKU-010</x:v>
      </x:c>
      <x:c r="O39" t="n">
        <x:v>1</x:v>
      </x:c>
      <x:c r="P39" s="26" t="n">
        <x:f>F39/O39</x:f>
        <x:v>183.2</x:v>
      </x:c>
    </x:row>
    <x:row r="40">
      <x:c r="A40" t="n">
        <x:v>39</x:v>
      </x:c>
      <x:c r="B40" t="n">
        <x:v>47</x:v>
      </x:c>
      <x:c r="C40" t="str">
        <x:v>Female</x:v>
      </x:c>
      <x:c r="D40" t="str">
        <x:v>Womens Clothing</x:v>
      </x:c>
      <x:c r="E40" t="str">
        <x:v>Jeans</x:v>
      </x:c>
      <x:c r="F40" s="24" t="n">
        <x:v>129.22</x:v>
      </x:c>
      <x:c r="G40" t="str">
        <x:v>Winter</x:v>
      </x:c>
      <x:c r="H40" t="str">
        <x:v>Card</x:v>
      </x:c>
      <x:c r="I40" t="n">
        <x:v>3.7</x:v>
      </x:c>
      <x:c r="J40" t="n">
        <x:v>14</x:v>
      </x:c>
      <x:c r="K40" t="n">
        <x:v>7</x:v>
      </x:c>
      <x:c r="L40" t="str">
        <x:v>STORE-001</x:v>
      </x:c>
      <x:c r="M40" s="22" t="n">
        <x:v>46232</x:v>
      </x:c>
      <x:c r="N40" t="str">
        <x:v>SKU-011</x:v>
      </x:c>
      <x:c r="O40" t="n">
        <x:v>1</x:v>
      </x:c>
      <x:c r="P40" s="26" t="n">
        <x:f>F40/O40</x:f>
        <x:v>129.22</x:v>
      </x:c>
    </x:row>
    <x:row r="41">
      <x:c r="A41" t="n">
        <x:v>40</x:v>
      </x:c>
      <x:c r="B41" t="n">
        <x:v>66</x:v>
      </x:c>
      <x:c r="C41" t="str">
        <x:v>Male</x:v>
      </x:c>
      <x:c r="D41" t="str">
        <x:v>Sports</x:v>
      </x:c>
      <x:c r="E41" t="str">
        <x:v>Yoga Mat</x:v>
      </x:c>
      <x:c r="F41" s="24" t="n">
        <x:v>219.86</x:v>
      </x:c>
      <x:c r="G41" t="str">
        <x:v>Spring</x:v>
      </x:c>
      <x:c r="H41" t="str">
        <x:v>Card</x:v>
      </x:c>
      <x:c r="I41" t="n">
        <x:v>4</x:v>
      </x:c>
      <x:c r="J41" t="n">
        <x:v>2</x:v>
      </x:c>
      <x:c r="K41" t="n">
        <x:v>1</x:v>
      </x:c>
      <x:c r="L41" t="str">
        <x:v>STORE-001</x:v>
      </x:c>
      <x:c r="M41" s="22" t="n">
        <x:v>46293</x:v>
      </x:c>
      <x:c r="N41" t="str">
        <x:v>SKU-030</x:v>
      </x:c>
      <x:c r="O41" t="n">
        <x:v>1</x:v>
      </x:c>
      <x:c r="P41" s="26" t="n">
        <x:f>F41/O41</x:f>
        <x:v>219.86</x:v>
      </x:c>
    </x:row>
    <x:row r="42">
      <x:c r="A42" t="n">
        <x:v>41</x:v>
      </x:c>
      <x:c r="B42" t="n">
        <x:v>20</x:v>
      </x:c>
      <x:c r="C42" t="str">
        <x:v>Female</x:v>
      </x:c>
      <x:c r="D42" t="str">
        <x:v>Beauty</x:v>
      </x:c>
      <x:c r="E42" t="str">
        <x:v>Perfume</x:v>
      </x:c>
      <x:c r="F42" s="24" t="n">
        <x:v>97.24</x:v>
      </x:c>
      <x:c r="G42" t="str">
        <x:v>Spring</x:v>
      </x:c>
      <x:c r="H42" t="str">
        <x:v>Card</x:v>
      </x:c>
      <x:c r="I42" t="n">
        <x:v>4.1</x:v>
      </x:c>
      <x:c r="J42" t="n">
        <x:v>19</x:v>
      </x:c>
      <x:c r="K42" t="n">
        <x:v>7</x:v>
      </x:c>
      <x:c r="L42" t="str">
        <x:v>STORE-001</x:v>
      </x:c>
      <x:c r="M42" s="22" t="n">
        <x:v>46269</x:v>
      </x:c>
      <x:c r="N42" t="str">
        <x:v>SKU-017</x:v>
      </x:c>
      <x:c r="O42" t="n">
        <x:v>2</x:v>
      </x:c>
      <x:c r="P42" s="26" t="n">
        <x:f>F42/O42</x:f>
        <x:v>48.62</x:v>
      </x:c>
    </x:row>
    <x:row r="43">
      <x:c r="A43" t="n">
        <x:v>42</x:v>
      </x:c>
      <x:c r="B43" t="n">
        <x:v>22</x:v>
      </x:c>
      <x:c r="C43" t="str">
        <x:v>Male</x:v>
      </x:c>
      <x:c r="D43" t="str">
        <x:v>Electronics</x:v>
      </x:c>
      <x:c r="E43" t="str">
        <x:v>Laptop</x:v>
      </x:c>
      <x:c r="F43" s="24" t="n">
        <x:v>2392.7</x:v>
      </x:c>
      <x:c r="G43" t="str">
        <x:v>Winter</x:v>
      </x:c>
      <x:c r="H43" t="str">
        <x:v>Card</x:v>
      </x:c>
      <x:c r="I43" t="n">
        <x:v>5</x:v>
      </x:c>
      <x:c r="J43" t="n">
        <x:v>6</x:v>
      </x:c>
      <x:c r="K43" t="n">
        <x:v>3</x:v>
      </x:c>
      <x:c r="L43" t="str">
        <x:v>STORE-001</x:v>
      </x:c>
      <x:c r="M43" s="22" t="n">
        <x:v>46190</x:v>
      </x:c>
      <x:c r="N43" t="str">
        <x:v>SKU-014</x:v>
      </x:c>
      <x:c r="O43" t="n">
        <x:v>1</x:v>
      </x:c>
      <x:c r="P43" s="26" t="n">
        <x:f>F43/O43</x:f>
        <x:v>2392.7</x:v>
      </x:c>
    </x:row>
    <x:row r="44">
      <x:c r="A44" t="n">
        <x:v>43</x:v>
      </x:c>
      <x:c r="B44" t="n">
        <x:v>23</x:v>
      </x:c>
      <x:c r="C44" t="str">
        <x:v>Female</x:v>
      </x:c>
      <x:c r="D44" t="str">
        <x:v>Footwear</x:v>
      </x:c>
      <x:c r="E44" t="str">
        <x:v>Formal Shoes</x:v>
      </x:c>
      <x:c r="F44" s="24" t="n">
        <x:v>115.21</x:v>
      </x:c>
      <x:c r="G44" t="str">
        <x:v>Summer</x:v>
      </x:c>
      <x:c r="H44" t="str">
        <x:v>Card</x:v>
      </x:c>
      <x:c r="I44" t="n">
        <x:v>4.2</x:v>
      </x:c>
      <x:c r="J44" t="n">
        <x:v>19</x:v>
      </x:c>
      <x:c r="K44" t="n">
        <x:v>7</x:v>
      </x:c>
      <x:c r="L44" t="str">
        <x:v>STORE-001</x:v>
      </x:c>
      <x:c r="M44" s="22" t="n">
        <x:v>46017</x:v>
      </x:c>
      <x:c r="N44" t="str">
        <x:v>SKU-007</x:v>
      </x:c>
      <x:c r="O44" t="n">
        <x:v>2</x:v>
      </x:c>
      <x:c r="P44" s="26" t="n">
        <x:f>F44/O44</x:f>
        <x:v>57.605</x:v>
      </x:c>
    </x:row>
    <x:row r="45">
      <x:c r="A45" t="n">
        <x:v>44</x:v>
      </x:c>
      <x:c r="B45" t="n">
        <x:v>66</x:v>
      </x:c>
      <x:c r="C45" t="str">
        <x:v>Male</x:v>
      </x:c>
      <x:c r="D45" t="str">
        <x:v>Electronics</x:v>
      </x:c>
      <x:c r="E45" t="str">
        <x:v>Mobile Phone</x:v>
      </x:c>
      <x:c r="F45" s="24" t="n">
        <x:v>2260.2</x:v>
      </x:c>
      <x:c r="G45" t="str">
        <x:v>Spring</x:v>
      </x:c>
      <x:c r="H45" t="str">
        <x:v>Card</x:v>
      </x:c>
      <x:c r="I45" t="n">
        <x:v>4.6</x:v>
      </x:c>
      <x:c r="J45" t="n">
        <x:v>9</x:v>
      </x:c>
      <x:c r="K45" t="n">
        <x:v>2</x:v>
      </x:c>
      <x:c r="L45" t="str">
        <x:v>STORE-001</x:v>
      </x:c>
      <x:c r="M45" s="22" t="n">
        <x:v>46270</x:v>
      </x:c>
      <x:c r="N45" t="str">
        <x:v>SKU-016</x:v>
      </x:c>
      <x:c r="O45" t="n">
        <x:v>1</x:v>
      </x:c>
      <x:c r="P45" s="26" t="n">
        <x:f>F45/O45</x:f>
        <x:v>2260.2</x:v>
      </x:c>
    </x:row>
    <x:row r="46">
      <x:c r="A46" t="n">
        <x:v>45</x:v>
      </x:c>
      <x:c r="B46" t="n">
        <x:v>53</x:v>
      </x:c>
      <x:c r="C46" t="str">
        <x:v>Female</x:v>
      </x:c>
      <x:c r="D46" t="str">
        <x:v>Accessories</x:v>
      </x:c>
      <x:c r="E46" t="str">
        <x:v>Sunglasses</x:v>
      </x:c>
      <x:c r="F46" s="24" t="n">
        <x:v>164.67</x:v>
      </x:c>
      <x:c r="G46" t="str">
        <x:v>Autumn</x:v>
      </x:c>
      <x:c r="H46" t="str">
        <x:v>Card</x:v>
      </x:c>
      <x:c r="I46" t="n">
        <x:v>2.6</x:v>
      </x:c>
      <x:c r="J46" t="n">
        <x:v>14</x:v>
      </x:c>
      <x:c r="K46" t="n">
        <x:v>7</x:v>
      </x:c>
      <x:c r="L46" t="str">
        <x:v>STORE-001</x:v>
      </x:c>
      <x:c r="M46" s="22" t="n">
        <x:v>46163</x:v>
      </x:c>
      <x:c r="N46" t="str">
        <x:v>SKU-026</x:v>
      </x:c>
      <x:c r="O46" t="n">
        <x:v>1</x:v>
      </x:c>
      <x:c r="P46" s="26" t="n">
        <x:f>F46/O46</x:f>
        <x:v>164.67</x:v>
      </x:c>
    </x:row>
    <x:row r="47">
      <x:c r="A47" t="n">
        <x:v>46</x:v>
      </x:c>
      <x:c r="B47" t="n">
        <x:v>24</x:v>
      </x:c>
      <x:c r="C47" t="str">
        <x:v>Female</x:v>
      </x:c>
      <x:c r="D47" t="str">
        <x:v>Womens Clothing</x:v>
      </x:c>
      <x:c r="E47" t="str">
        <x:v>Dress</x:v>
      </x:c>
      <x:c r="F47" s="24" t="n">
        <x:v>65.55</x:v>
      </x:c>
      <x:c r="G47" t="str">
        <x:v>Autumn</x:v>
      </x:c>
      <x:c r="H47" t="str">
        <x:v>Card</x:v>
      </x:c>
      <x:c r="I47" t="n">
        <x:v>3.7</x:v>
      </x:c>
      <x:c r="J47" t="n">
        <x:v>14</x:v>
      </x:c>
      <x:c r="K47" t="n">
        <x:v>7</x:v>
      </x:c>
      <x:c r="L47" t="str">
        <x:v>STORE-001</x:v>
      </x:c>
      <x:c r="M47" s="22" t="n">
        <x:v>46082</x:v>
      </x:c>
      <x:c r="N47" t="str">
        <x:v>SKU-004</x:v>
      </x:c>
      <x:c r="O47" t="n">
        <x:v>1</x:v>
      </x:c>
      <x:c r="P47" s="26" t="n">
        <x:f>F47/O47</x:f>
        <x:v>65.55</x:v>
      </x:c>
    </x:row>
    <x:row r="48">
      <x:c r="A48" t="n">
        <x:v>47</x:v>
      </x:c>
      <x:c r="B48" t="n">
        <x:v>22</x:v>
      </x:c>
      <x:c r="C48" t="str">
        <x:v>Male</x:v>
      </x:c>
      <x:c r="D48" t="str">
        <x:v>Mens Clothing</x:v>
      </x:c>
      <x:c r="E48" t="str">
        <x:v>Shirt</x:v>
      </x:c>
      <x:c r="F48" s="24" t="n">
        <x:v>62.69</x:v>
      </x:c>
      <x:c r="G48" t="str">
        <x:v>Winter</x:v>
      </x:c>
      <x:c r="H48" t="str">
        <x:v>Card</x:v>
      </x:c>
      <x:c r="I48" t="n">
        <x:v>3.6</x:v>
      </x:c>
      <x:c r="J48" t="n">
        <x:v>4</x:v>
      </x:c>
      <x:c r="K48" t="n">
        <x:v>2</x:v>
      </x:c>
      <x:c r="L48" t="str">
        <x:v>STORE-001</x:v>
      </x:c>
      <x:c r="M48" s="22" t="n">
        <x:v>46248</x:v>
      </x:c>
      <x:c r="N48" t="str">
        <x:v>SKU-020</x:v>
      </x:c>
      <x:c r="O48" t="n">
        <x:v>1</x:v>
      </x:c>
      <x:c r="P48" s="26" t="n">
        <x:f>F48/O48</x:f>
        <x:v>62.69</x:v>
      </x:c>
    </x:row>
    <x:row r="49">
      <x:c r="A49" t="n">
        <x:v>48</x:v>
      </x:c>
      <x:c r="B49" t="n">
        <x:v>31</x:v>
      </x:c>
      <x:c r="C49" t="str">
        <x:v>Female</x:v>
      </x:c>
      <x:c r="D49" t="str">
        <x:v>Beauty</x:v>
      </x:c>
      <x:c r="E49" t="str">
        <x:v>Makeup Set</x:v>
      </x:c>
      <x:c r="F49" s="24" t="n">
        <x:v>62.91</x:v>
      </x:c>
      <x:c r="G49" t="str">
        <x:v>Autumn</x:v>
      </x:c>
      <x:c r="H49" t="str">
        <x:v>Card</x:v>
      </x:c>
      <x:c r="I49" t="n">
        <x:v>3.5</x:v>
      </x:c>
      <x:c r="J49" t="n">
        <x:v>18</x:v>
      </x:c>
      <x:c r="K49" t="n">
        <x:v>4</x:v>
      </x:c>
      <x:c r="L49" t="str">
        <x:v>STORE-001</x:v>
      </x:c>
      <x:c r="M49" s="22" t="n">
        <x:v>46171</x:v>
      </x:c>
      <x:c r="N49" t="str">
        <x:v>SKU-015</x:v>
      </x:c>
      <x:c r="O49" t="n">
        <x:v>1</x:v>
      </x:c>
      <x:c r="P49" s="26" t="n">
        <x:f>F49/O49</x:f>
        <x:v>62.91</x:v>
      </x:c>
    </x:row>
    <x:row r="50">
      <x:c r="A50" t="n">
        <x:v>49</x:v>
      </x:c>
      <x:c r="B50" t="n">
        <x:v>36</x:v>
      </x:c>
      <x:c r="C50" t="str">
        <x:v>Female</x:v>
      </x:c>
      <x:c r="D50" t="str">
        <x:v>Footwear</x:v>
      </x:c>
      <x:c r="E50" t="str">
        <x:v>Sneakers</x:v>
      </x:c>
      <x:c r="F50" s="24" t="n">
        <x:v>165.43</x:v>
      </x:c>
      <x:c r="G50" t="str">
        <x:v>Summer</x:v>
      </x:c>
      <x:c r="H50" t="str">
        <x:v>Card</x:v>
      </x:c>
      <x:c r="I50" t="n">
        <x:v>4.6</x:v>
      </x:c>
      <x:c r="J50" t="n">
        <x:v>24</x:v>
      </x:c>
      <x:c r="K50" t="n">
        <x:v>7</x:v>
      </x:c>
      <x:c r="L50" t="str">
        <x:v>STORE-001</x:v>
      </x:c>
      <x:c r="M50" s="22" t="n">
        <x:v>46065</x:v>
      </x:c>
      <x:c r="N50" t="str">
        <x:v>SKU-025</x:v>
      </x:c>
      <x:c r="O50" t="n">
        <x:v>2</x:v>
      </x:c>
      <x:c r="P50" s="26" t="n">
        <x:f>F50/O50</x:f>
        <x:v>82.715</x:v>
      </x:c>
    </x:row>
    <x:row r="51">
      <x:c r="A51" t="n">
        <x:v>50</x:v>
      </x:c>
      <x:c r="B51" t="n">
        <x:v>42</x:v>
      </x:c>
      <x:c r="C51" t="str">
        <x:v>Female</x:v>
      </x:c>
      <x:c r="D51" t="str">
        <x:v>Footwear</x:v>
      </x:c>
      <x:c r="E51" t="str">
        <x:v>Sneakers</x:v>
      </x:c>
      <x:c r="F51" s="24" t="n">
        <x:v>222.12</x:v>
      </x:c>
      <x:c r="G51" t="str">
        <x:v>Winter</x:v>
      </x:c>
      <x:c r="H51" t="str">
        <x:v>Card</x:v>
      </x:c>
      <x:c r="I51" t="n">
        <x:v>3.2</x:v>
      </x:c>
      <x:c r="J51" t="n">
        <x:v>18</x:v>
      </x:c>
      <x:c r="K51" t="n">
        <x:v>4</x:v>
      </x:c>
      <x:c r="L51" t="str">
        <x:v>STORE-001</x:v>
      </x:c>
      <x:c r="M51" s="22" t="n">
        <x:v>46200</x:v>
      </x:c>
      <x:c r="N51" t="str">
        <x:v>SKU-025</x:v>
      </x:c>
      <x:c r="O51" t="n">
        <x:v>1</x:v>
      </x:c>
      <x:c r="P51" s="26" t="n">
        <x:f>F51/O51</x:f>
        <x:v>222.12</x:v>
      </x:c>
    </x:row>
    <x:row r="52">
      <x:c r="A52" t="n">
        <x:v>51</x:v>
      </x:c>
      <x:c r="B52" t="n">
        <x:v>36</x:v>
      </x:c>
      <x:c r="C52" t="str">
        <x:v>Male</x:v>
      </x:c>
      <x:c r="D52" t="str">
        <x:v>Home</x:v>
      </x:c>
      <x:c r="E52" t="str">
        <x:v>Lamp</x:v>
      </x:c>
      <x:c r="F52" s="24" t="n">
        <x:v>270.44</x:v>
      </x:c>
      <x:c r="G52" t="str">
        <x:v>Winter</x:v>
      </x:c>
      <x:c r="H52" t="str">
        <x:v>Card</x:v>
      </x:c>
      <x:c r="I52" t="n">
        <x:v>2.3</x:v>
      </x:c>
      <x:c r="J52" t="n">
        <x:v>12</x:v>
      </x:c>
      <x:c r="K52" t="n">
        <x:v>6</x:v>
      </x:c>
      <x:c r="L52" t="str">
        <x:v>STORE-001</x:v>
      </x:c>
      <x:c r="M52" s="22" t="n">
        <x:v>46230</x:v>
      </x:c>
      <x:c r="N52" t="str">
        <x:v>SKU-013</x:v>
      </x:c>
      <x:c r="O52" t="n">
        <x:v>3</x:v>
      </x:c>
      <x:c r="P52" s="26" t="n">
        <x:f>F52/O52</x:f>
        <x:v>90.14666666666666</x:v>
      </x:c>
    </x:row>
    <x:row r="53">
      <x:c r="A53" t="n">
        <x:v>52</x:v>
      </x:c>
      <x:c r="B53" t="n">
        <x:v>25</x:v>
      </x:c>
      <x:c r="C53" t="str">
        <x:v>Female</x:v>
      </x:c>
      <x:c r="D53" t="str">
        <x:v>Womens Clothing</x:v>
      </x:c>
      <x:c r="E53" t="str">
        <x:v>Skirt</x:v>
      </x:c>
      <x:c r="F53" s="24" t="n">
        <x:v>90.54</x:v>
      </x:c>
      <x:c r="G53" t="str">
        <x:v>Autumn</x:v>
      </x:c>
      <x:c r="H53" t="str">
        <x:v>Cash on Delivery</x:v>
      </x:c>
      <x:c r="I53" t="n">
        <x:v>4.6</x:v>
      </x:c>
      <x:c r="J53" t="n">
        <x:v>18</x:v>
      </x:c>
      <x:c r="K53" t="n">
        <x:v>4</x:v>
      </x:c>
      <x:c r="L53" t="str">
        <x:v>STORE-001</x:v>
      </x:c>
      <x:c r="M53" s="22" t="n">
        <x:v>46147</x:v>
      </x:c>
      <x:c r="N53" t="str">
        <x:v>SKU-022</x:v>
      </x:c>
      <x:c r="O53" t="n">
        <x:v>2</x:v>
      </x:c>
      <x:c r="P53" s="26" t="n">
        <x:f>F53/O53</x:f>
        <x:v>45.27</x:v>
      </x:c>
    </x:row>
    <x:row r="54">
      <x:c r="A54" t="n">
        <x:v>53</x:v>
      </x:c>
      <x:c r="B54" t="n">
        <x:v>49</x:v>
      </x:c>
      <x:c r="C54" t="str">
        <x:v>Male</x:v>
      </x:c>
      <x:c r="D54" t="str">
        <x:v>Home</x:v>
      </x:c>
      <x:c r="E54" t="str">
        <x:v>Kitchen Set</x:v>
      </x:c>
      <x:c r="F54" s="24" t="n">
        <x:v>45.03</x:v>
      </x:c>
      <x:c r="G54" t="str">
        <x:v>Summer</x:v>
      </x:c>
      <x:c r="H54" t="str">
        <x:v>Cash on Delivery</x:v>
      </x:c>
      <x:c r="I54" t="n">
        <x:v>3.9</x:v>
      </x:c>
      <x:c r="J54" t="n">
        <x:v>4</x:v>
      </x:c>
      <x:c r="K54" t="n">
        <x:v>2</x:v>
      </x:c>
      <x:c r="L54" t="str">
        <x:v>STORE-001</x:v>
      </x:c>
      <x:c r="M54" s="22" t="n">
        <x:v>46025</x:v>
      </x:c>
      <x:c r="N54" t="str">
        <x:v>SKU-012</x:v>
      </x:c>
      <x:c r="O54" t="n">
        <x:v>1</x:v>
      </x:c>
      <x:c r="P54" s="26" t="n">
        <x:f>F54/O54</x:f>
        <x:v>45.03</x:v>
      </x:c>
    </x:row>
    <x:row r="55">
      <x:c r="A55" t="n">
        <x:v>54</x:v>
      </x:c>
      <x:c r="B55" t="n">
        <x:v>25</x:v>
      </x:c>
      <x:c r="C55" t="str">
        <x:v>Female</x:v>
      </x:c>
      <x:c r="D55" t="str">
        <x:v>Footwear</x:v>
      </x:c>
      <x:c r="E55" t="str">
        <x:v>Formal Shoes</x:v>
      </x:c>
      <x:c r="F55" s="24" t="n">
        <x:v>180.42</x:v>
      </x:c>
      <x:c r="G55" t="str">
        <x:v>Autumn</x:v>
      </x:c>
      <x:c r="H55" t="str">
        <x:v>Card</x:v>
      </x:c>
      <x:c r="I55" t="n">
        <x:v>3.9</x:v>
      </x:c>
      <x:c r="J55" t="n">
        <x:v>22</x:v>
      </x:c>
      <x:c r="K55" t="n">
        <x:v>6</x:v>
      </x:c>
      <x:c r="L55" t="str">
        <x:v>STORE-001</x:v>
      </x:c>
      <x:c r="M55" s="22" t="n">
        <x:v>46100</x:v>
      </x:c>
      <x:c r="N55" t="str">
        <x:v>SKU-007</x:v>
      </x:c>
      <x:c r="O55" t="n">
        <x:v>1</x:v>
      </x:c>
      <x:c r="P55" s="26" t="n">
        <x:f>F55/O55</x:f>
        <x:v>180.42</x:v>
      </x:c>
    </x:row>
    <x:row r="56">
      <x:c r="A56" t="n">
        <x:v>55</x:v>
      </x:c>
      <x:c r="B56" t="n">
        <x:v>52</x:v>
      </x:c>
      <x:c r="C56" t="str">
        <x:v>Female</x:v>
      </x:c>
      <x:c r="D56" t="str">
        <x:v>Accessories</x:v>
      </x:c>
      <x:c r="E56" t="str">
        <x:v>Handbag</x:v>
      </x:c>
      <x:c r="F56" s="24" t="n">
        <x:v>117.7</x:v>
      </x:c>
      <x:c r="G56" t="str">
        <x:v>Winter</x:v>
      </x:c>
      <x:c r="H56" t="str">
        <x:v>Card</x:v>
      </x:c>
      <x:c r="I56" t="n">
        <x:v>3.1</x:v>
      </x:c>
      <x:c r="J56" t="n">
        <x:v>8</x:v>
      </x:c>
      <x:c r="K56" t="n">
        <x:v>4</x:v>
      </x:c>
      <x:c r="L56" t="str">
        <x:v>STORE-001</x:v>
      </x:c>
      <x:c r="M56" s="22" t="n">
        <x:v>46218</x:v>
      </x:c>
      <x:c r="N56" t="str">
        <x:v>SKU-008</x:v>
      </x:c>
      <x:c r="O56" t="n">
        <x:v>1</x:v>
      </x:c>
      <x:c r="P56" s="26" t="n">
        <x:f>F56/O56</x:f>
        <x:v>117.7</x:v>
      </x:c>
    </x:row>
    <x:row r="57">
      <x:c r="A57" t="n">
        <x:v>56</x:v>
      </x:c>
      <x:c r="B57" t="n">
        <x:v>42</x:v>
      </x:c>
      <x:c r="C57" t="str">
        <x:v>Female</x:v>
      </x:c>
      <x:c r="D57" t="str">
        <x:v>Beauty</x:v>
      </x:c>
      <x:c r="E57" t="str">
        <x:v>Makeup Set</x:v>
      </x:c>
      <x:c r="F57" s="24" t="n">
        <x:v>31.42</x:v>
      </x:c>
      <x:c r="G57" t="str">
        <x:v>Summer</x:v>
      </x:c>
      <x:c r="H57" t="str">
        <x:v>Card</x:v>
      </x:c>
      <x:c r="I57" t="n">
        <x:v>2</x:v>
      </x:c>
      <x:c r="J57" t="n">
        <x:v>2</x:v>
      </x:c>
      <x:c r="K57" t="n">
        <x:v>1</x:v>
      </x:c>
      <x:c r="L57" t="str">
        <x:v>STORE-001</x:v>
      </x:c>
      <x:c r="M57" s="22" t="n">
        <x:v>46065</x:v>
      </x:c>
      <x:c r="N57" t="str">
        <x:v>SKU-015</x:v>
      </x:c>
      <x:c r="O57" t="n">
        <x:v>2</x:v>
      </x:c>
      <x:c r="P57" s="26" t="n">
        <x:f>F57/O57</x:f>
        <x:v>15.71</x:v>
      </x:c>
    </x:row>
    <x:row r="58">
      <x:c r="A58" t="n">
        <x:v>57</x:v>
      </x:c>
      <x:c r="B58" t="n">
        <x:v>43</x:v>
      </x:c>
      <x:c r="C58" t="str">
        <x:v>Female</x:v>
      </x:c>
      <x:c r="D58" t="str">
        <x:v>Womens Clothing</x:v>
      </x:c>
      <x:c r="E58" t="str">
        <x:v>Skirt</x:v>
      </x:c>
      <x:c r="F58" s="24" t="n">
        <x:v>188.02</x:v>
      </x:c>
      <x:c r="G58" t="str">
        <x:v>Autumn</x:v>
      </x:c>
      <x:c r="H58" t="str">
        <x:v>Card</x:v>
      </x:c>
      <x:c r="I58" t="n">
        <x:v>4.2</x:v>
      </x:c>
      <x:c r="J58" t="n">
        <x:v>17</x:v>
      </x:c>
      <x:c r="K58" t="n">
        <x:v>6</x:v>
      </x:c>
      <x:c r="L58" t="str">
        <x:v>STORE-001</x:v>
      </x:c>
      <x:c r="M58" s="22" t="n">
        <x:v>46092</x:v>
      </x:c>
      <x:c r="N58" t="str">
        <x:v>SKU-022</x:v>
      </x:c>
      <x:c r="O58" t="n">
        <x:v>1</x:v>
      </x:c>
      <x:c r="P58" s="26" t="n">
        <x:f>F58/O58</x:f>
        <x:v>188.02</x:v>
      </x:c>
    </x:row>
    <x:row r="59">
      <x:c r="A59" t="n">
        <x:v>58</x:v>
      </x:c>
      <x:c r="B59" t="n">
        <x:v>49</x:v>
      </x:c>
      <x:c r="C59" t="str">
        <x:v>Male</x:v>
      </x:c>
      <x:c r="D59" t="str">
        <x:v>Groceries</x:v>
      </x:c>
      <x:c r="E59" t="str">
        <x:v>Snacks</x:v>
      </x:c>
      <x:c r="F59" s="24" t="n">
        <x:v>54.89</x:v>
      </x:c>
      <x:c r="G59" t="str">
        <x:v>Summer</x:v>
      </x:c>
      <x:c r="H59" t="str">
        <x:v>Card</x:v>
      </x:c>
      <x:c r="I59" t="n">
        <x:v>4.4</x:v>
      </x:c>
      <x:c r="J59" t="n">
        <x:v>19</x:v>
      </x:c>
      <x:c r="K59" t="n">
        <x:v>7</x:v>
      </x:c>
      <x:c r="L59" t="str">
        <x:v>STORE-001</x:v>
      </x:c>
      <x:c r="M59" s="22" t="n">
        <x:v>46003</x:v>
      </x:c>
      <x:c r="N59" t="str">
        <x:v>SKU-024</x:v>
      </x:c>
      <x:c r="O59" t="n">
        <x:v>5</x:v>
      </x:c>
      <x:c r="P59" s="26" t="n">
        <x:f>F59/O59</x:f>
        <x:v>10.978</x:v>
      </x:c>
    </x:row>
    <x:row r="60">
      <x:c r="A60" t="n">
        <x:v>59</x:v>
      </x:c>
      <x:c r="B60" t="n">
        <x:v>34</x:v>
      </x:c>
      <x:c r="C60" t="str">
        <x:v>Male</x:v>
      </x:c>
      <x:c r="D60" t="str">
        <x:v>Electronics</x:v>
      </x:c>
      <x:c r="E60" t="str">
        <x:v>Headphones</x:v>
      </x:c>
      <x:c r="F60" s="24" t="n">
        <x:v>1459.73</x:v>
      </x:c>
      <x:c r="G60" t="str">
        <x:v>Spring</x:v>
      </x:c>
      <x:c r="H60" t="str">
        <x:v>Card</x:v>
      </x:c>
      <x:c r="I60" t="n">
        <x:v>4</x:v>
      </x:c>
      <x:c r="J60" t="n">
        <x:v>24</x:v>
      </x:c>
      <x:c r="K60" t="n">
        <x:v>7</x:v>
      </x:c>
      <x:c r="L60" t="str">
        <x:v>STORE-001</x:v>
      </x:c>
      <x:c r="M60" s="22" t="n">
        <x:v>45977</x:v>
      </x:c>
      <x:c r="N60" t="str">
        <x:v>SKU-009</x:v>
      </x:c>
      <x:c r="O60" t="n">
        <x:v>1</x:v>
      </x:c>
      <x:c r="P60" s="26" t="n">
        <x:f>F60/O60</x:f>
        <x:v>1459.73</x:v>
      </x:c>
    </x:row>
    <x:row r="61">
      <x:c r="A61" t="n">
        <x:v>60</x:v>
      </x:c>
      <x:c r="B61" t="n">
        <x:v>58</x:v>
      </x:c>
      <x:c r="C61" t="str">
        <x:v>Male</x:v>
      </x:c>
      <x:c r="D61" t="str">
        <x:v>Mens Clothing</x:v>
      </x:c>
      <x:c r="E61" t="str">
        <x:v>Shirt</x:v>
      </x:c>
      <x:c r="F61" s="24" t="n">
        <x:v>82.99</x:v>
      </x:c>
      <x:c r="G61" t="str">
        <x:v>Spring</x:v>
      </x:c>
      <x:c r="H61" t="str">
        <x:v>Cash on Delivery</x:v>
      </x:c>
      <x:c r="I61" t="n">
        <x:v>4.4</x:v>
      </x:c>
      <x:c r="J61" t="n">
        <x:v>9</x:v>
      </x:c>
      <x:c r="K61" t="n">
        <x:v>2</x:v>
      </x:c>
      <x:c r="L61" t="str">
        <x:v>STORE-001</x:v>
      </x:c>
      <x:c r="M61" s="22" t="n">
        <x:v>46281</x:v>
      </x:c>
      <x:c r="N61" t="str">
        <x:v>SKU-020</x:v>
      </x:c>
      <x:c r="O61" t="n">
        <x:v>2</x:v>
      </x:c>
      <x:c r="P61" s="26" t="n">
        <x:f>F61/O61</x:f>
        <x:v>41.495</x:v>
      </x:c>
    </x:row>
    <x:row r="62">
      <x:c r="A62" t="n">
        <x:v>61</x:v>
      </x:c>
      <x:c r="B62" t="n">
        <x:v>24</x:v>
      </x:c>
      <x:c r="C62" t="str">
        <x:v>Male</x:v>
      </x:c>
      <x:c r="D62" t="str">
        <x:v>Mens Clothing</x:v>
      </x:c>
      <x:c r="E62" t="str">
        <x:v>Jeans</x:v>
      </x:c>
      <x:c r="F62" s="24" t="n">
        <x:v>121.2</x:v>
      </x:c>
      <x:c r="G62" t="str">
        <x:v>Summer</x:v>
      </x:c>
      <x:c r="H62" t="str">
        <x:v>Card</x:v>
      </x:c>
      <x:c r="I62" t="n">
        <x:v>4.3</x:v>
      </x:c>
      <x:c r="J62" t="n">
        <x:v>12</x:v>
      </x:c>
      <x:c r="K62" t="n">
        <x:v>6</x:v>
      </x:c>
      <x:c r="L62" t="str">
        <x:v>STORE-001</x:v>
      </x:c>
      <x:c r="M62" s="22" t="n">
        <x:v>46037</x:v>
      </x:c>
      <x:c r="N62" t="str">
        <x:v>SKU-011</x:v>
      </x:c>
      <x:c r="O62" t="n">
        <x:v>2</x:v>
      </x:c>
      <x:c r="P62" s="26" t="n">
        <x:f>F62/O62</x:f>
        <x:v>60.6</x:v>
      </x:c>
    </x:row>
    <x:row r="63">
      <x:c r="A63" t="n">
        <x:v>62</x:v>
      </x:c>
      <x:c r="B63" t="n">
        <x:v>55</x:v>
      </x:c>
      <x:c r="C63" t="str">
        <x:v>Female</x:v>
      </x:c>
      <x:c r="D63" t="str">
        <x:v>Accessories</x:v>
      </x:c>
      <x:c r="E63" t="str">
        <x:v>Handbag</x:v>
      </x:c>
      <x:c r="F63" s="24" t="n">
        <x:v>152.29</x:v>
      </x:c>
      <x:c r="G63" t="str">
        <x:v>Winter</x:v>
      </x:c>
      <x:c r="H63" t="str">
        <x:v>Card</x:v>
      </x:c>
      <x:c r="I63" t="n">
        <x:v>4.7</x:v>
      </x:c>
      <x:c r="J63" t="n">
        <x:v>15</x:v>
      </x:c>
      <x:c r="K63" t="n">
        <x:v>5</x:v>
      </x:c>
      <x:c r="L63" t="str">
        <x:v>STORE-001</x:v>
      </x:c>
      <x:c r="M63" s="22" t="n">
        <x:v>46248</x:v>
      </x:c>
      <x:c r="N63" t="str">
        <x:v>SKU-008</x:v>
      </x:c>
      <x:c r="O63" t="n">
        <x:v>3</x:v>
      </x:c>
      <x:c r="P63" s="26" t="n">
        <x:f>F63/O63</x:f>
        <x:v>50.76333333333333</x:v>
      </x:c>
    </x:row>
    <x:row r="64">
      <x:c r="A64" t="n">
        <x:v>63</x:v>
      </x:c>
      <x:c r="B64" t="n">
        <x:v>59</x:v>
      </x:c>
      <x:c r="C64" t="str">
        <x:v>Female</x:v>
      </x:c>
      <x:c r="D64" t="str">
        <x:v>Groceries</x:v>
      </x:c>
      <x:c r="E64" t="str">
        <x:v>Snacks</x:v>
      </x:c>
      <x:c r="F64" s="24" t="n">
        <x:v>59.46</x:v>
      </x:c>
      <x:c r="G64" t="str">
        <x:v>Winter</x:v>
      </x:c>
      <x:c r="H64" t="str">
        <x:v>Cash on Delivery</x:v>
      </x:c>
      <x:c r="I64" t="n">
        <x:v>4</x:v>
      </x:c>
      <x:c r="J64" t="n">
        <x:v>18</x:v>
      </x:c>
      <x:c r="K64" t="n">
        <x:v>4</x:v>
      </x:c>
      <x:c r="L64" t="str">
        <x:v>STORE-001</x:v>
      </x:c>
      <x:c r="M64" s="22" t="n">
        <x:v>46232</x:v>
      </x:c>
      <x:c r="N64" t="str">
        <x:v>SKU-024</x:v>
      </x:c>
      <x:c r="O64" t="n">
        <x:v>1</x:v>
      </x:c>
      <x:c r="P64" s="26" t="n">
        <x:f>F64/O64</x:f>
        <x:v>59.46</x:v>
      </x:c>
    </x:row>
    <x:row r="65">
      <x:c r="A65" t="n">
        <x:v>64</x:v>
      </x:c>
      <x:c r="B65" t="n">
        <x:v>70</x:v>
      </x:c>
      <x:c r="C65" t="str">
        <x:v>Male</x:v>
      </x:c>
      <x:c r="D65" t="str">
        <x:v>Groceries</x:v>
      </x:c>
      <x:c r="E65" t="str">
        <x:v>Cooking Oil</x:v>
      </x:c>
      <x:c r="F65" s="24" t="n">
        <x:v>73.3</x:v>
      </x:c>
      <x:c r="G65" t="str">
        <x:v>Winter</x:v>
      </x:c>
      <x:c r="H65" t="str">
        <x:v>Card</x:v>
      </x:c>
      <x:c r="I65" t="n">
        <x:v>2.9</x:v>
      </x:c>
      <x:c r="J65" t="n">
        <x:v>9</x:v>
      </x:c>
      <x:c r="K65" t="n">
        <x:v>2</x:v>
      </x:c>
      <x:c r="L65" t="str">
        <x:v>STORE-001</x:v>
      </x:c>
      <x:c r="M65" s="22" t="n">
        <x:v>46178</x:v>
      </x:c>
      <x:c r="N65" t="str">
        <x:v>SKU-002</x:v>
      </x:c>
      <x:c r="O65" t="n">
        <x:v>2</x:v>
      </x:c>
      <x:c r="P65" s="26" t="n">
        <x:f>F65/O65</x:f>
        <x:v>36.65</x:v>
      </x:c>
    </x:row>
    <x:row r="66">
      <x:c r="A66" t="n">
        <x:v>65</x:v>
      </x:c>
      <x:c r="B66" t="n">
        <x:v>20</x:v>
      </x:c>
      <x:c r="C66" t="str">
        <x:v>Male</x:v>
      </x:c>
      <x:c r="D66" t="str">
        <x:v>Footwear</x:v>
      </x:c>
      <x:c r="E66" t="str">
        <x:v>Sandals</x:v>
      </x:c>
      <x:c r="F66" s="24" t="n">
        <x:v>123.79</x:v>
      </x:c>
      <x:c r="G66" t="str">
        <x:v>Spring</x:v>
      </x:c>
      <x:c r="H66" t="str">
        <x:v>Card</x:v>
      </x:c>
      <x:c r="I66" t="n">
        <x:v>3.5</x:v>
      </x:c>
      <x:c r="J66" t="n">
        <x:v>6</x:v>
      </x:c>
      <x:c r="K66" t="n">
        <x:v>3</x:v>
      </x:c>
      <x:c r="L66" t="str">
        <x:v>STORE-001</x:v>
      </x:c>
      <x:c r="M66" s="22" t="n">
        <x:v>45984</x:v>
      </x:c>
      <x:c r="N66" t="str">
        <x:v>SKU-019</x:v>
      </x:c>
      <x:c r="O66" t="n">
        <x:v>1</x:v>
      </x:c>
      <x:c r="P66" s="26" t="n">
        <x:f>F66/O66</x:f>
        <x:v>123.79</x:v>
      </x:c>
    </x:row>
    <x:row r="67">
      <x:c r="A67" t="n">
        <x:v>66</x:v>
      </x:c>
      <x:c r="B67" t="n">
        <x:v>30</x:v>
      </x:c>
      <x:c r="C67" t="str">
        <x:v>Female</x:v>
      </x:c>
      <x:c r="D67" t="str">
        <x:v>Womens Clothing</x:v>
      </x:c>
      <x:c r="E67" t="str">
        <x:v>Skirt</x:v>
      </x:c>
      <x:c r="F67" s="24" t="n">
        <x:v>155.38</x:v>
      </x:c>
      <x:c r="G67" t="str">
        <x:v>Summer</x:v>
      </x:c>
      <x:c r="H67" t="str">
        <x:v>Card</x:v>
      </x:c>
      <x:c r="I67" t="n">
        <x:v>3</x:v>
      </x:c>
      <x:c r="J67" t="n">
        <x:v>6</x:v>
      </x:c>
      <x:c r="K67" t="n">
        <x:v>3</x:v>
      </x:c>
      <x:c r="L67" t="str">
        <x:v>STORE-001</x:v>
      </x:c>
      <x:c r="M67" s="22" t="n">
        <x:v>46001</x:v>
      </x:c>
      <x:c r="N67" t="str">
        <x:v>SKU-022</x:v>
      </x:c>
      <x:c r="O67" t="n">
        <x:v>1</x:v>
      </x:c>
      <x:c r="P67" s="26" t="n">
        <x:f>F67/O67</x:f>
        <x:v>155.38</x:v>
      </x:c>
    </x:row>
    <x:row r="68">
      <x:c r="A68" t="n">
        <x:v>67</x:v>
      </x:c>
      <x:c r="B68" t="n">
        <x:v>25</x:v>
      </x:c>
      <x:c r="C68" t="str">
        <x:v>Male</x:v>
      </x:c>
      <x:c r="D68" t="str">
        <x:v>Electronics</x:v>
      </x:c>
      <x:c r="E68" t="str">
        <x:v>Laptop</x:v>
      </x:c>
      <x:c r="F68" s="24" t="n">
        <x:v>1951.47</x:v>
      </x:c>
      <x:c r="G68" t="str">
        <x:v>Autumn</x:v>
      </x:c>
      <x:c r="H68" t="str">
        <x:v>Card</x:v>
      </x:c>
      <x:c r="I68" t="n">
        <x:v>3.8</x:v>
      </x:c>
      <x:c r="J68" t="n">
        <x:v>14</x:v>
      </x:c>
      <x:c r="K68" t="n">
        <x:v>2</x:v>
      </x:c>
      <x:c r="L68" t="str">
        <x:v>STORE-001</x:v>
      </x:c>
      <x:c r="M68" s="22" t="n">
        <x:v>46139</x:v>
      </x:c>
      <x:c r="N68" t="str">
        <x:v>SKU-014</x:v>
      </x:c>
      <x:c r="O68" t="n">
        <x:v>1</x:v>
      </x:c>
      <x:c r="P68" s="26" t="n">
        <x:f>F68/O68</x:f>
        <x:v>1951.47</x:v>
      </x:c>
    </x:row>
    <x:row r="69">
      <x:c r="A69" t="n">
        <x:v>68</x:v>
      </x:c>
      <x:c r="B69" t="n">
        <x:v>41</x:v>
      </x:c>
      <x:c r="C69" t="str">
        <x:v>Female</x:v>
      </x:c>
      <x:c r="D69" t="str">
        <x:v>Footwear</x:v>
      </x:c>
      <x:c r="E69" t="str">
        <x:v>Sneakers</x:v>
      </x:c>
      <x:c r="F69" s="24" t="n">
        <x:v>102.92</x:v>
      </x:c>
      <x:c r="G69" t="str">
        <x:v>Spring</x:v>
      </x:c>
      <x:c r="H69" t="str">
        <x:v>Card</x:v>
      </x:c>
      <x:c r="I69" t="n">
        <x:v>4</x:v>
      </x:c>
      <x:c r="J69" t="n">
        <x:v>12</x:v>
      </x:c>
      <x:c r="K69" t="n">
        <x:v>6</x:v>
      </x:c>
      <x:c r="L69" t="str">
        <x:v>STORE-001</x:v>
      </x:c>
      <x:c r="M69" s="22" t="n">
        <x:v>45965</x:v>
      </x:c>
      <x:c r="N69" t="str">
        <x:v>SKU-025</x:v>
      </x:c>
      <x:c r="O69" t="n">
        <x:v>1</x:v>
      </x:c>
      <x:c r="P69" s="26" t="n">
        <x:f>F69/O69</x:f>
        <x:v>102.92</x:v>
      </x:c>
    </x:row>
    <x:row r="70">
      <x:c r="A70" t="n">
        <x:v>69</x:v>
      </x:c>
      <x:c r="B70" t="n">
        <x:v>35</x:v>
      </x:c>
      <x:c r="C70" t="str">
        <x:v>Female</x:v>
      </x:c>
      <x:c r="D70" t="str">
        <x:v>Beauty</x:v>
      </x:c>
      <x:c r="E70" t="str">
        <x:v>Makeup Set</x:v>
      </x:c>
      <x:c r="F70" s="24" t="n">
        <x:v>112.83</x:v>
      </x:c>
      <x:c r="G70" t="str">
        <x:v>Spring</x:v>
      </x:c>
      <x:c r="H70" t="str">
        <x:v>Card</x:v>
      </x:c>
      <x:c r="I70" t="n">
        <x:v>3.8</x:v>
      </x:c>
      <x:c r="J70" t="n">
        <x:v>10</x:v>
      </x:c>
      <x:c r="K70" t="n">
        <x:v>5</x:v>
      </x:c>
      <x:c r="L70" t="str">
        <x:v>STORE-001</x:v>
      </x:c>
      <x:c r="M70" s="22" t="n">
        <x:v>45947</x:v>
      </x:c>
      <x:c r="N70" t="str">
        <x:v>SKU-015</x:v>
      </x:c>
      <x:c r="O70" t="n">
        <x:v>1</x:v>
      </x:c>
      <x:c r="P70" s="26" t="n">
        <x:f>F70/O70</x:f>
        <x:v>112.83</x:v>
      </x:c>
    </x:row>
    <x:row r="71">
      <x:c r="A71" t="n">
        <x:v>70</x:v>
      </x:c>
      <x:c r="B71" t="n">
        <x:v>29</x:v>
      </x:c>
      <x:c r="C71" t="str">
        <x:v>Male</x:v>
      </x:c>
      <x:c r="D71" t="str">
        <x:v>Sports</x:v>
      </x:c>
      <x:c r="E71" t="str">
        <x:v>Football</x:v>
      </x:c>
      <x:c r="F71" s="24" t="n">
        <x:v>30.71</x:v>
      </x:c>
      <x:c r="G71" t="str">
        <x:v>Autumn</x:v>
      </x:c>
      <x:c r="H71" t="str">
        <x:v>Card</x:v>
      </x:c>
      <x:c r="I71" t="n">
        <x:v>3.7</x:v>
      </x:c>
      <x:c r="J71" t="n">
        <x:v>16</x:v>
      </x:c>
      <x:c r="K71" t="n">
        <x:v>3</x:v>
      </x:c>
      <x:c r="L71" t="str">
        <x:v>STORE-001</x:v>
      </x:c>
      <x:c r="M71" s="22" t="n">
        <x:v>46113</x:v>
      </x:c>
      <x:c r="N71" t="str">
        <x:v>SKU-006</x:v>
      </x:c>
      <x:c r="O71" t="n">
        <x:v>1</x:v>
      </x:c>
      <x:c r="P71" s="26" t="n">
        <x:f>F71/O71</x:f>
        <x:v>30.71</x:v>
      </x:c>
    </x:row>
    <x:row r="72">
      <x:c r="A72" t="n">
        <x:v>71</x:v>
      </x:c>
      <x:c r="B72" t="n">
        <x:v>42</x:v>
      </x:c>
      <x:c r="C72" t="str">
        <x:v>Male</x:v>
      </x:c>
      <x:c r="D72" t="str">
        <x:v>Sports</x:v>
      </x:c>
      <x:c r="E72" t="str">
        <x:v>Yoga Mat</x:v>
      </x:c>
      <x:c r="F72" s="24" t="n">
        <x:v>101.34</x:v>
      </x:c>
      <x:c r="G72" t="str">
        <x:v>Spring</x:v>
      </x:c>
      <x:c r="H72" t="str">
        <x:v>Card</x:v>
      </x:c>
      <x:c r="I72" t="n">
        <x:v>3</x:v>
      </x:c>
      <x:c r="J72" t="n">
        <x:v>32</x:v>
      </x:c>
      <x:c r="K72" t="n">
        <x:v>11</x:v>
      </x:c>
      <x:c r="L72" t="str">
        <x:v>STORE-001</x:v>
      </x:c>
      <x:c r="M72" s="22" t="n">
        <x:v>46286</x:v>
      </x:c>
      <x:c r="N72" t="str">
        <x:v>SKU-030</x:v>
      </x:c>
      <x:c r="O72" t="n">
        <x:v>2</x:v>
      </x:c>
      <x:c r="P72" s="26" t="n">
        <x:f>F72/O72</x:f>
        <x:v>50.67</x:v>
      </x:c>
    </x:row>
    <x:row r="73">
      <x:c r="A73" t="n">
        <x:v>72</x:v>
      </x:c>
      <x:c r="B73" t="n">
        <x:v>20</x:v>
      </x:c>
      <x:c r="C73" t="str">
        <x:v>Male</x:v>
      </x:c>
      <x:c r="D73" t="str">
        <x:v>Footwear</x:v>
      </x:c>
      <x:c r="E73" t="str">
        <x:v>Formal Shoes</x:v>
      </x:c>
      <x:c r="F73" s="24" t="n">
        <x:v>213.27</x:v>
      </x:c>
      <x:c r="G73" t="str">
        <x:v>Winter</x:v>
      </x:c>
      <x:c r="H73" t="str">
        <x:v>Card</x:v>
      </x:c>
      <x:c r="I73" t="n">
        <x:v>5</x:v>
      </x:c>
      <x:c r="J73" t="n">
        <x:v>11</x:v>
      </x:c>
      <x:c r="K73" t="n">
        <x:v>3</x:v>
      </x:c>
      <x:c r="L73" t="str">
        <x:v>STORE-001</x:v>
      </x:c>
      <x:c r="M73" s="22" t="n">
        <x:v>46237</x:v>
      </x:c>
      <x:c r="N73" t="str">
        <x:v>SKU-007</x:v>
      </x:c>
      <x:c r="O73" t="n">
        <x:v>3</x:v>
      </x:c>
      <x:c r="P73" s="26" t="n">
        <x:f>F73/O73</x:f>
        <x:v>71.09</x:v>
      </x:c>
    </x:row>
    <x:row r="74">
      <x:c r="A74" t="n">
        <x:v>73</x:v>
      </x:c>
      <x:c r="B74" t="n">
        <x:v>53</x:v>
      </x:c>
      <x:c r="C74" t="str">
        <x:v>Male</x:v>
      </x:c>
      <x:c r="D74" t="str">
        <x:v>Sports</x:v>
      </x:c>
      <x:c r="E74" t="str">
        <x:v>Yoga Mat</x:v>
      </x:c>
      <x:c r="F74" s="24" t="n">
        <x:v>196.81</x:v>
      </x:c>
      <x:c r="G74" t="str">
        <x:v>Winter</x:v>
      </x:c>
      <x:c r="H74" t="str">
        <x:v>Card</x:v>
      </x:c>
      <x:c r="I74" t="n">
        <x:v>4.4</x:v>
      </x:c>
      <x:c r="J74" t="n">
        <x:v>17</x:v>
      </x:c>
      <x:c r="K74" t="n">
        <x:v>6</x:v>
      </x:c>
      <x:c r="L74" t="str">
        <x:v>STORE-001</x:v>
      </x:c>
      <x:c r="M74" s="22" t="n">
        <x:v>46179</x:v>
      </x:c>
      <x:c r="N74" t="str">
        <x:v>SKU-030</x:v>
      </x:c>
      <x:c r="O74" t="n">
        <x:v>1</x:v>
      </x:c>
      <x:c r="P74" s="26" t="n">
        <x:f>F74/O74</x:f>
        <x:v>196.81</x:v>
      </x:c>
    </x:row>
    <x:row r="75">
      <x:c r="A75" t="n">
        <x:v>74</x:v>
      </x:c>
      <x:c r="B75" t="n">
        <x:v>58</x:v>
      </x:c>
      <x:c r="C75" t="str">
        <x:v>Male</x:v>
      </x:c>
      <x:c r="D75" t="str">
        <x:v>Sports</x:v>
      </x:c>
      <x:c r="E75" t="str">
        <x:v>Yoga Mat</x:v>
      </x:c>
      <x:c r="F75" s="24" t="n">
        <x:v>246.49</x:v>
      </x:c>
      <x:c r="G75" t="str">
        <x:v>Autumn</x:v>
      </x:c>
      <x:c r="H75" t="str">
        <x:v>Card</x:v>
      </x:c>
      <x:c r="I75" t="n">
        <x:v>4.5</x:v>
      </x:c>
      <x:c r="J75" t="n">
        <x:v>11</x:v>
      </x:c>
      <x:c r="K75" t="n">
        <x:v>3</x:v>
      </x:c>
      <x:c r="L75" t="str">
        <x:v>STORE-001</x:v>
      </x:c>
      <x:c r="M75" s="22" t="n">
        <x:v>46136</x:v>
      </x:c>
      <x:c r="N75" t="str">
        <x:v>SKU-030</x:v>
      </x:c>
      <x:c r="O75" t="n">
        <x:v>2</x:v>
      </x:c>
      <x:c r="P75" s="26" t="n">
        <x:f>F75/O75</x:f>
        <x:v>123.245</x:v>
      </x:c>
    </x:row>
    <x:row r="76">
      <x:c r="A76" t="n">
        <x:v>75</x:v>
      </x:c>
      <x:c r="B76" t="n">
        <x:v>40</x:v>
      </x:c>
      <x:c r="C76" t="str">
        <x:v>Female</x:v>
      </x:c>
      <x:c r="D76" t="str">
        <x:v>Womens Clothing</x:v>
      </x:c>
      <x:c r="E76" t="str">
        <x:v>Top</x:v>
      </x:c>
      <x:c r="F76" s="24" t="n">
        <x:v>124.21</x:v>
      </x:c>
      <x:c r="G76" t="str">
        <x:v>Summer</x:v>
      </x:c>
      <x:c r="H76" t="str">
        <x:v>Card</x:v>
      </x:c>
      <x:c r="I76" t="n">
        <x:v>3</x:v>
      </x:c>
      <x:c r="J76" t="n">
        <x:v>6</x:v>
      </x:c>
      <x:c r="K76" t="n">
        <x:v>3</x:v>
      </x:c>
      <x:c r="L76" t="str">
        <x:v>STORE-001</x:v>
      </x:c>
      <x:c r="M76" s="22" t="n">
        <x:v>46073</x:v>
      </x:c>
      <x:c r="N76" t="str">
        <x:v>SKU-028</x:v>
      </x:c>
      <x:c r="O76" t="n">
        <x:v>2</x:v>
      </x:c>
      <x:c r="P76" s="26" t="n">
        <x:f>F76/O76</x:f>
        <x:v>62.105</x:v>
      </x:c>
    </x:row>
    <x:row r="77">
      <x:c r="A77" t="n">
        <x:v>76</x:v>
      </x:c>
      <x:c r="B77" t="n">
        <x:v>59</x:v>
      </x:c>
      <x:c r="C77" t="str">
        <x:v>Female</x:v>
      </x:c>
      <x:c r="D77" t="str">
        <x:v>Beauty</x:v>
      </x:c>
      <x:c r="E77" t="str">
        <x:v>Skincare Kit</x:v>
      </x:c>
      <x:c r="F77" s="24" t="n">
        <x:v>42.8</x:v>
      </x:c>
      <x:c r="G77" t="str">
        <x:v>Winter</x:v>
      </x:c>
      <x:c r="H77" t="str">
        <x:v>Card</x:v>
      </x:c>
      <x:c r="I77" t="n">
        <x:v>3.1</x:v>
      </x:c>
      <x:c r="J77" t="n">
        <x:v>13</x:v>
      </x:c>
      <x:c r="K77" t="n">
        <x:v>4</x:v>
      </x:c>
      <x:c r="L77" t="str">
        <x:v>STORE-001</x:v>
      </x:c>
      <x:c r="M77" s="22" t="n">
        <x:v>46254</x:v>
      </x:c>
      <x:c r="N77" t="str">
        <x:v>SKU-021</x:v>
      </x:c>
      <x:c r="O77" t="n">
        <x:v>1</x:v>
      </x:c>
      <x:c r="P77" s="26" t="n">
        <x:f>F77/O77</x:f>
        <x:v>42.8</x:v>
      </x:c>
    </x:row>
    <x:row r="78">
      <x:c r="A78" t="n">
        <x:v>77</x:v>
      </x:c>
      <x:c r="B78" t="n">
        <x:v>70</x:v>
      </x:c>
      <x:c r="C78" t="str">
        <x:v>Male</x:v>
      </x:c>
      <x:c r="D78" t="str">
        <x:v>Mens Clothing</x:v>
      </x:c>
      <x:c r="E78" t="str">
        <x:v>Shirt</x:v>
      </x:c>
      <x:c r="F78" s="24" t="n">
        <x:v>96.18</x:v>
      </x:c>
      <x:c r="G78" t="str">
        <x:v>Autumn</x:v>
      </x:c>
      <x:c r="H78" t="str">
        <x:v>Card</x:v>
      </x:c>
      <x:c r="I78" t="n">
        <x:v>2.7</x:v>
      </x:c>
      <x:c r="J78" t="n">
        <x:v>20</x:v>
      </x:c>
      <x:c r="K78" t="n">
        <x:v>5</x:v>
      </x:c>
      <x:c r="L78" t="str">
        <x:v>STORE-001</x:v>
      </x:c>
      <x:c r="M78" s="22" t="n">
        <x:v>46126</x:v>
      </x:c>
      <x:c r="N78" t="str">
        <x:v>SKU-020</x:v>
      </x:c>
      <x:c r="O78" t="n">
        <x:v>1</x:v>
      </x:c>
      <x:c r="P78" s="26" t="n">
        <x:f>F78/O78</x:f>
        <x:v>96.18</x:v>
      </x:c>
    </x:row>
    <x:row r="79">
      <x:c r="A79" t="n">
        <x:v>78</x:v>
      </x:c>
      <x:c r="B79" t="n">
        <x:v>38</x:v>
      </x:c>
      <x:c r="C79" t="str">
        <x:v>Male</x:v>
      </x:c>
      <x:c r="D79" t="str">
        <x:v>Electronics</x:v>
      </x:c>
      <x:c r="E79" t="str">
        <x:v>Mobile Phone</x:v>
      </x:c>
      <x:c r="F79" s="24" t="n">
        <x:v>2888.09</x:v>
      </x:c>
      <x:c r="G79" t="str">
        <x:v>Winter</x:v>
      </x:c>
      <x:c r="H79" t="str">
        <x:v>Card</x:v>
      </x:c>
      <x:c r="I79" t="n">
        <x:v>3.6</x:v>
      </x:c>
      <x:c r="J79" t="n">
        <x:v>8</x:v>
      </x:c>
      <x:c r="K79" t="n">
        <x:v>4</x:v>
      </x:c>
      <x:c r="L79" t="str">
        <x:v>STORE-001</x:v>
      </x:c>
      <x:c r="M79" s="22" t="n">
        <x:v>46184</x:v>
      </x:c>
      <x:c r="N79" t="str">
        <x:v>SKU-016</x:v>
      </x:c>
      <x:c r="O79" t="n">
        <x:v>1</x:v>
      </x:c>
      <x:c r="P79" s="26" t="n">
        <x:f>F79/O79</x:f>
        <x:v>2888.09</x:v>
      </x:c>
    </x:row>
    <x:row r="80">
      <x:c r="A80" t="n">
        <x:v>79</x:v>
      </x:c>
      <x:c r="B80" t="n">
        <x:v>62</x:v>
      </x:c>
      <x:c r="C80" t="str">
        <x:v>Female</x:v>
      </x:c>
      <x:c r="D80" t="str">
        <x:v>Accessories</x:v>
      </x:c>
      <x:c r="E80" t="str">
        <x:v>Sunglasses</x:v>
      </x:c>
      <x:c r="F80" s="24" t="n">
        <x:v>151.06</x:v>
      </x:c>
      <x:c r="G80" t="str">
        <x:v>Autumn</x:v>
      </x:c>
      <x:c r="H80" t="str">
        <x:v>Card</x:v>
      </x:c>
      <x:c r="I80" t="n">
        <x:v>4.1</x:v>
      </x:c>
      <x:c r="J80" t="n">
        <x:v>20</x:v>
      </x:c>
      <x:c r="K80" t="n">
        <x:v>5</x:v>
      </x:c>
      <x:c r="L80" t="str">
        <x:v>STORE-001</x:v>
      </x:c>
      <x:c r="M80" s="22" t="n">
        <x:v>46112</x:v>
      </x:c>
      <x:c r="N80" t="str">
        <x:v>SKU-026</x:v>
      </x:c>
      <x:c r="O80" t="n">
        <x:v>2</x:v>
      </x:c>
      <x:c r="P80" s="26" t="n">
        <x:f>F80/O80</x:f>
        <x:v>75.53</x:v>
      </x:c>
    </x:row>
    <x:row r="81">
      <x:c r="A81" t="n">
        <x:v>80</x:v>
      </x:c>
      <x:c r="B81" t="n">
        <x:v>35</x:v>
      </x:c>
      <x:c r="C81" t="str">
        <x:v>Female</x:v>
      </x:c>
      <x:c r="D81" t="str">
        <x:v>Accessories</x:v>
      </x:c>
      <x:c r="E81" t="str">
        <x:v>Handbag</x:v>
      </x:c>
      <x:c r="F81" s="24" t="n">
        <x:v>141.45</x:v>
      </x:c>
      <x:c r="G81" t="str">
        <x:v>Autumn</x:v>
      </x:c>
      <x:c r="H81" t="str">
        <x:v>Card</x:v>
      </x:c>
      <x:c r="I81" t="n">
        <x:v>5</x:v>
      </x:c>
      <x:c r="J81" t="n">
        <x:v>19</x:v>
      </x:c>
      <x:c r="K81" t="n">
        <x:v>7</x:v>
      </x:c>
      <x:c r="L81" t="str">
        <x:v>STORE-001</x:v>
      </x:c>
      <x:c r="M81" s="22" t="n">
        <x:v>46119</x:v>
      </x:c>
      <x:c r="N81" t="str">
        <x:v>SKU-008</x:v>
      </x:c>
      <x:c r="O81" t="n">
        <x:v>1</x:v>
      </x:c>
      <x:c r="P81" s="26" t="n">
        <x:f>F81/O81</x:f>
        <x:v>141.45</x:v>
      </x:c>
    </x:row>
    <x:row r="82">
      <x:c r="A82" t="n">
        <x:v>81</x:v>
      </x:c>
      <x:c r="B82" t="n">
        <x:v>26</x:v>
      </x:c>
      <x:c r="C82" t="str">
        <x:v>Male</x:v>
      </x:c>
      <x:c r="D82" t="str">
        <x:v>Groceries</x:v>
      </x:c>
      <x:c r="E82" t="str">
        <x:v>Cooking Oil</x:v>
      </x:c>
      <x:c r="F82" s="24" t="n">
        <x:v>73.66</x:v>
      </x:c>
      <x:c r="G82" t="str">
        <x:v>Spring</x:v>
      </x:c>
      <x:c r="H82" t="str">
        <x:v>Card</x:v>
      </x:c>
      <x:c r="I82" t="n">
        <x:v>4.7</x:v>
      </x:c>
      <x:c r="J82" t="n">
        <x:v>11</x:v>
      </x:c>
      <x:c r="K82" t="n">
        <x:v>3</x:v>
      </x:c>
      <x:c r="L82" t="str">
        <x:v>STORE-001</x:v>
      </x:c>
      <x:c r="M82" s="22" t="n">
        <x:v>45935</x:v>
      </x:c>
      <x:c r="N82" t="str">
        <x:v>SKU-002</x:v>
      </x:c>
      <x:c r="O82" t="n">
        <x:v>4</x:v>
      </x:c>
      <x:c r="P82" s="26" t="n">
        <x:f>F82/O82</x:f>
        <x:v>18.415</x:v>
      </x:c>
    </x:row>
    <x:row r="83">
      <x:c r="A83" t="n">
        <x:v>82</x:v>
      </x:c>
      <x:c r="B83" t="n">
        <x:v>58</x:v>
      </x:c>
      <x:c r="C83" t="str">
        <x:v>Male</x:v>
      </x:c>
      <x:c r="D83" t="str">
        <x:v>Mens Clothing</x:v>
      </x:c>
      <x:c r="E83" t="str">
        <x:v>Jacket</x:v>
      </x:c>
      <x:c r="F83" s="24" t="n">
        <x:v>36.29</x:v>
      </x:c>
      <x:c r="G83" t="str">
        <x:v>Autumn</x:v>
      </x:c>
      <x:c r="H83" t="str">
        <x:v>Card</x:v>
      </x:c>
      <x:c r="I83" t="n">
        <x:v>3.4</x:v>
      </x:c>
      <x:c r="J83" t="n">
        <x:v>6</x:v>
      </x:c>
      <x:c r="K83" t="n">
        <x:v>3</x:v>
      </x:c>
      <x:c r="L83" t="str">
        <x:v>STORE-001</x:v>
      </x:c>
      <x:c r="M83" s="22" t="n">
        <x:v>46111</x:v>
      </x:c>
      <x:c r="N83" t="str">
        <x:v>SKU-010</x:v>
      </x:c>
      <x:c r="O83" t="n">
        <x:v>1</x:v>
      </x:c>
      <x:c r="P83" s="26" t="n">
        <x:f>F83/O83</x:f>
        <x:v>36.29</x:v>
      </x:c>
    </x:row>
    <x:row r="84">
      <x:c r="A84" t="n">
        <x:v>83</x:v>
      </x:c>
      <x:c r="B84" t="n">
        <x:v>45</x:v>
      </x:c>
      <x:c r="C84" t="str">
        <x:v>Male</x:v>
      </x:c>
      <x:c r="D84" t="str">
        <x:v>Footwear</x:v>
      </x:c>
      <x:c r="E84" t="str">
        <x:v>Sandals</x:v>
      </x:c>
      <x:c r="F84" s="24" t="n">
        <x:v>208.84</x:v>
      </x:c>
      <x:c r="G84" t="str">
        <x:v>Summer</x:v>
      </x:c>
      <x:c r="H84" t="str">
        <x:v>Card</x:v>
      </x:c>
      <x:c r="I84" t="n">
        <x:v>4.4</x:v>
      </x:c>
      <x:c r="J84" t="n">
        <x:v>18</x:v>
      </x:c>
      <x:c r="K84" t="n">
        <x:v>9</x:v>
      </x:c>
      <x:c r="L84" t="str">
        <x:v>STORE-001</x:v>
      </x:c>
      <x:c r="M84" s="22" t="n">
        <x:v>45998</x:v>
      </x:c>
      <x:c r="N84" t="str">
        <x:v>SKU-019</x:v>
      </x:c>
      <x:c r="O84" t="n">
        <x:v>3</x:v>
      </x:c>
      <x:c r="P84" s="26" t="n">
        <x:f>F84/O84</x:f>
        <x:v>69.61333333333333</x:v>
      </x:c>
    </x:row>
    <x:row r="85">
      <x:c r="A85" t="n">
        <x:v>84</x:v>
      </x:c>
      <x:c r="B85" t="n">
        <x:v>58</x:v>
      </x:c>
      <x:c r="C85" t="str">
        <x:v>Female</x:v>
      </x:c>
      <x:c r="D85" t="str">
        <x:v>Womens Clothing</x:v>
      </x:c>
      <x:c r="E85" t="str">
        <x:v>Dress</x:v>
      </x:c>
      <x:c r="F85" s="24" t="n">
        <x:v>98.33</x:v>
      </x:c>
      <x:c r="G85" t="str">
        <x:v>Spring</x:v>
      </x:c>
      <x:c r="H85" t="str">
        <x:v>Card</x:v>
      </x:c>
      <x:c r="I85" t="n">
        <x:v>4.1</x:v>
      </x:c>
      <x:c r="J85" t="n">
        <x:v>26</x:v>
      </x:c>
      <x:c r="K85" t="n">
        <x:v>8</x:v>
      </x:c>
      <x:c r="L85" t="str">
        <x:v>STORE-001</x:v>
      </x:c>
      <x:c r="M85" s="22" t="n">
        <x:v>46270</x:v>
      </x:c>
      <x:c r="N85" t="str">
        <x:v>SKU-004</x:v>
      </x:c>
      <x:c r="O85" t="n">
        <x:v>2</x:v>
      </x:c>
      <x:c r="P85" s="26" t="n">
        <x:f>F85/O85</x:f>
        <x:v>49.165</x:v>
      </x:c>
    </x:row>
    <x:row r="86">
      <x:c r="A86" t="n">
        <x:v>85</x:v>
      </x:c>
      <x:c r="B86" t="n">
        <x:v>49</x:v>
      </x:c>
      <x:c r="C86" t="str">
        <x:v>Female</x:v>
      </x:c>
      <x:c r="D86" t="str">
        <x:v>Womens Clothing</x:v>
      </x:c>
      <x:c r="E86" t="str">
        <x:v>Dress</x:v>
      </x:c>
      <x:c r="F86" s="24" t="n">
        <x:v>37.16</x:v>
      </x:c>
      <x:c r="G86" t="str">
        <x:v>Summer</x:v>
      </x:c>
      <x:c r="H86" t="str">
        <x:v>Cash on Delivery</x:v>
      </x:c>
      <x:c r="I86" t="n">
        <x:v>3.7</x:v>
      </x:c>
      <x:c r="J86" t="n">
        <x:v>16</x:v>
      </x:c>
      <x:c r="K86" t="n">
        <x:v>3</x:v>
      </x:c>
      <x:c r="L86" t="str">
        <x:v>STORE-001</x:v>
      </x:c>
      <x:c r="M86" s="22" t="n">
        <x:v>45995</x:v>
      </x:c>
      <x:c r="N86" t="str">
        <x:v>SKU-004</x:v>
      </x:c>
      <x:c r="O86" t="n">
        <x:v>1</x:v>
      </x:c>
      <x:c r="P86" s="26" t="n">
        <x:f>F86/O86</x:f>
        <x:v>37.16</x:v>
      </x:c>
    </x:row>
    <x:row r="87">
      <x:c r="A87" t="n">
        <x:v>86</x:v>
      </x:c>
      <x:c r="B87" t="n">
        <x:v>65</x:v>
      </x:c>
      <x:c r="C87" t="str">
        <x:v>Female</x:v>
      </x:c>
      <x:c r="D87" t="str">
        <x:v>Beauty</x:v>
      </x:c>
      <x:c r="E87" t="str">
        <x:v>Makeup Set</x:v>
      </x:c>
      <x:c r="F87" s="24" t="n">
        <x:v>41.71</x:v>
      </x:c>
      <x:c r="G87" t="str">
        <x:v>Winter</x:v>
      </x:c>
      <x:c r="H87" t="str">
        <x:v>Card</x:v>
      </x:c>
      <x:c r="I87" t="n">
        <x:v>3.3</x:v>
      </x:c>
      <x:c r="J87" t="n">
        <x:v>19</x:v>
      </x:c>
      <x:c r="K87" t="n">
        <x:v>7</x:v>
      </x:c>
      <x:c r="L87" t="str">
        <x:v>STORE-001</x:v>
      </x:c>
      <x:c r="M87" s="22" t="n">
        <x:v>46218</x:v>
      </x:c>
      <x:c r="N87" t="str">
        <x:v>SKU-015</x:v>
      </x:c>
      <x:c r="O87" t="n">
        <x:v>2</x:v>
      </x:c>
      <x:c r="P87" s="26" t="n">
        <x:f>F87/O87</x:f>
        <x:v>20.855</x:v>
      </x:c>
    </x:row>
    <x:row r="88">
      <x:c r="A88" t="n">
        <x:v>87</x:v>
      </x:c>
      <x:c r="B88" t="n">
        <x:v>22</x:v>
      </x:c>
      <x:c r="C88" t="str">
        <x:v>Female</x:v>
      </x:c>
      <x:c r="D88" t="str">
        <x:v>Beauty</x:v>
      </x:c>
      <x:c r="E88" t="str">
        <x:v>Makeup Set</x:v>
      </x:c>
      <x:c r="F88" s="24" t="n">
        <x:v>145.98</x:v>
      </x:c>
      <x:c r="G88" t="str">
        <x:v>Summer</x:v>
      </x:c>
      <x:c r="H88" t="str">
        <x:v>Card</x:v>
      </x:c>
      <x:c r="I88" t="n">
        <x:v>3.5</x:v>
      </x:c>
      <x:c r="J88" t="n">
        <x:v>24</x:v>
      </x:c>
      <x:c r="K88" t="n">
        <x:v>7</x:v>
      </x:c>
      <x:c r="L88" t="str">
        <x:v>STORE-001</x:v>
      </x:c>
      <x:c r="M88" s="22" t="n">
        <x:v>46028</x:v>
      </x:c>
      <x:c r="N88" t="str">
        <x:v>SKU-015</x:v>
      </x:c>
      <x:c r="O88" t="n">
        <x:v>1</x:v>
      </x:c>
      <x:c r="P88" s="26" t="n">
        <x:f>F88/O88</x:f>
        <x:v>145.98</x:v>
      </x:c>
    </x:row>
    <x:row r="89">
      <x:c r="A89" t="n">
        <x:v>88</x:v>
      </x:c>
      <x:c r="B89" t="n">
        <x:v>44</x:v>
      </x:c>
      <x:c r="C89" t="str">
        <x:v>Male</x:v>
      </x:c>
      <x:c r="D89" t="str">
        <x:v>Electronics</x:v>
      </x:c>
      <x:c r="E89" t="str">
        <x:v>Mobile Phone</x:v>
      </x:c>
      <x:c r="F89" s="24" t="n">
        <x:v>1643.58</x:v>
      </x:c>
      <x:c r="G89" t="str">
        <x:v>Autumn</x:v>
      </x:c>
      <x:c r="H89" t="str">
        <x:v>Card</x:v>
      </x:c>
      <x:c r="I89" t="n">
        <x:v>3.2</x:v>
      </x:c>
      <x:c r="J89" t="n">
        <x:v>11</x:v>
      </x:c>
      <x:c r="K89" t="n">
        <x:v>3</x:v>
      </x:c>
      <x:c r="L89" t="str">
        <x:v>STORE-001</x:v>
      </x:c>
      <x:c r="M89" s="22" t="n">
        <x:v>46113</x:v>
      </x:c>
      <x:c r="N89" t="str">
        <x:v>SKU-016</x:v>
      </x:c>
      <x:c r="O89" t="n">
        <x:v>1</x:v>
      </x:c>
      <x:c r="P89" s="26" t="n">
        <x:f>F89/O89</x:f>
        <x:v>1643.58</x:v>
      </x:c>
    </x:row>
    <x:row r="90">
      <x:c r="A90" t="n">
        <x:v>89</x:v>
      </x:c>
      <x:c r="B90" t="n">
        <x:v>61</x:v>
      </x:c>
      <x:c r="C90" t="str">
        <x:v>Male</x:v>
      </x:c>
      <x:c r="D90" t="str">
        <x:v>Electronics</x:v>
      </x:c>
      <x:c r="E90" t="str">
        <x:v>Laptop</x:v>
      </x:c>
      <x:c r="F90" s="24" t="n">
        <x:v>2338.03</x:v>
      </x:c>
      <x:c r="G90" t="str">
        <x:v>Spring</x:v>
      </x:c>
      <x:c r="H90" t="str">
        <x:v>Card</x:v>
      </x:c>
      <x:c r="I90" t="n">
        <x:v>3.8</x:v>
      </x:c>
      <x:c r="J90" t="n">
        <x:v>14</x:v>
      </x:c>
      <x:c r="K90" t="n">
        <x:v>2</x:v>
      </x:c>
      <x:c r="L90" t="str">
        <x:v>STORE-001</x:v>
      </x:c>
      <x:c r="M90" s="22" t="n">
        <x:v>45952</x:v>
      </x:c>
      <x:c r="N90" t="str">
        <x:v>SKU-014</x:v>
      </x:c>
      <x:c r="O90" t="n">
        <x:v>1</x:v>
      </x:c>
      <x:c r="P90" s="26" t="n">
        <x:f>F90/O90</x:f>
        <x:v>2338.03</x:v>
      </x:c>
    </x:row>
    <x:row r="91">
      <x:c r="A91" t="n">
        <x:v>90</x:v>
      </x:c>
      <x:c r="B91" t="n">
        <x:v>56</x:v>
      </x:c>
      <x:c r="C91" t="str">
        <x:v>Female</x:v>
      </x:c>
      <x:c r="D91" t="str">
        <x:v>Groceries</x:v>
      </x:c>
      <x:c r="E91" t="str">
        <x:v>Rice Pack</x:v>
      </x:c>
      <x:c r="F91" s="24" t="n">
        <x:v>68.84</x:v>
      </x:c>
      <x:c r="G91" t="str">
        <x:v>Summer</x:v>
      </x:c>
      <x:c r="H91" t="str">
        <x:v>Cash on Delivery</x:v>
      </x:c>
      <x:c r="I91" t="n">
        <x:v>5</x:v>
      </x:c>
      <x:c r="J91" t="n">
        <x:v>19</x:v>
      </x:c>
      <x:c r="K91" t="n">
        <x:v>7</x:v>
      </x:c>
      <x:c r="L91" t="str">
        <x:v>STORE-001</x:v>
      </x:c>
      <x:c r="M91" s="22" t="n">
        <x:v>46057</x:v>
      </x:c>
      <x:c r="N91" t="str">
        <x:v>SKU-018</x:v>
      </x:c>
      <x:c r="O91" t="n">
        <x:v>1</x:v>
      </x:c>
      <x:c r="P91" s="26" t="n">
        <x:f>F91/O91</x:f>
        <x:v>68.84</x:v>
      </x:c>
    </x:row>
    <x:row r="92">
      <x:c r="A92" t="n">
        <x:v>91</x:v>
      </x:c>
      <x:c r="B92" t="n">
        <x:v>35</x:v>
      </x:c>
      <x:c r="C92" t="str">
        <x:v>Female</x:v>
      </x:c>
      <x:c r="D92" t="str">
        <x:v>Accessories</x:v>
      </x:c>
      <x:c r="E92" t="str">
        <x:v>Sunglasses</x:v>
      </x:c>
      <x:c r="F92" s="24" t="n">
        <x:v>45.66</x:v>
      </x:c>
      <x:c r="G92" t="str">
        <x:v>Spring</x:v>
      </x:c>
      <x:c r="H92" t="str">
        <x:v>Cash on Delivery</x:v>
      </x:c>
      <x:c r="I92" t="n">
        <x:v>4.6</x:v>
      </x:c>
      <x:c r="J92" t="n">
        <x:v>18</x:v>
      </x:c>
      <x:c r="K92" t="n">
        <x:v>4</x:v>
      </x:c>
      <x:c r="L92" t="str">
        <x:v>STORE-001</x:v>
      </x:c>
      <x:c r="M92" s="22" t="n">
        <x:v>46289</x:v>
      </x:c>
      <x:c r="N92" t="str">
        <x:v>SKU-026</x:v>
      </x:c>
      <x:c r="O92" t="n">
        <x:v>1</x:v>
      </x:c>
      <x:c r="P92" s="26" t="n">
        <x:f>F92/O92</x:f>
        <x:v>45.66</x:v>
      </x:c>
    </x:row>
    <x:row r="93">
      <x:c r="A93" t="n">
        <x:v>92</x:v>
      </x:c>
      <x:c r="B93" t="n">
        <x:v>51</x:v>
      </x:c>
      <x:c r="C93" t="str">
        <x:v>Male</x:v>
      </x:c>
      <x:c r="D93" t="str">
        <x:v>Footwear</x:v>
      </x:c>
      <x:c r="E93" t="str">
        <x:v>Sandals</x:v>
      </x:c>
      <x:c r="F93" s="24" t="n">
        <x:v>40.24</x:v>
      </x:c>
      <x:c r="G93" t="str">
        <x:v>Winter</x:v>
      </x:c>
      <x:c r="H93" t="str">
        <x:v>Card</x:v>
      </x:c>
      <x:c r="I93" t="n">
        <x:v>3.8</x:v>
      </x:c>
      <x:c r="J93" t="n">
        <x:v>18</x:v>
      </x:c>
      <x:c r="K93" t="n">
        <x:v>4</x:v>
      </x:c>
      <x:c r="L93" t="str">
        <x:v>STORE-001</x:v>
      </x:c>
      <x:c r="M93" s="22" t="n">
        <x:v>46222</x:v>
      </x:c>
      <x:c r="N93" t="str">
        <x:v>SKU-019</x:v>
      </x:c>
      <x:c r="O93" t="n">
        <x:v>1</x:v>
      </x:c>
      <x:c r="P93" s="26" t="n">
        <x:f>F93/O93</x:f>
        <x:v>40.24</x:v>
      </x:c>
    </x:row>
    <x:row r="94">
      <x:c r="A94" t="n">
        <x:v>93</x:v>
      </x:c>
      <x:c r="B94" t="n">
        <x:v>36</x:v>
      </x:c>
      <x:c r="C94" t="str">
        <x:v>Female</x:v>
      </x:c>
      <x:c r="D94" t="str">
        <x:v>Footwear</x:v>
      </x:c>
      <x:c r="E94" t="str">
        <x:v>Sneakers</x:v>
      </x:c>
      <x:c r="F94" s="24" t="n">
        <x:v>203.77</x:v>
      </x:c>
      <x:c r="G94" t="str">
        <x:v>Spring</x:v>
      </x:c>
      <x:c r="H94" t="str">
        <x:v>Card</x:v>
      </x:c>
      <x:c r="I94" t="n">
        <x:v>4.4</x:v>
      </x:c>
      <x:c r="J94" t="n">
        <x:v>19</x:v>
      </x:c>
      <x:c r="K94" t="n">
        <x:v>7</x:v>
      </x:c>
      <x:c r="L94" t="str">
        <x:v>STORE-001</x:v>
      </x:c>
      <x:c r="M94" s="22" t="n">
        <x:v>46294</x:v>
      </x:c>
      <x:c r="N94" t="str">
        <x:v>SKU-025</x:v>
      </x:c>
      <x:c r="O94" t="n">
        <x:v>1</x:v>
      </x:c>
      <x:c r="P94" s="26" t="n">
        <x:f>F94/O94</x:f>
        <x:v>203.77</x:v>
      </x:c>
    </x:row>
    <x:row r="95">
      <x:c r="A95" t="n">
        <x:v>94</x:v>
      </x:c>
      <x:c r="B95" t="n">
        <x:v>20</x:v>
      </x:c>
      <x:c r="C95" t="str">
        <x:v>Female</x:v>
      </x:c>
      <x:c r="D95" t="str">
        <x:v>Accessories</x:v>
      </x:c>
      <x:c r="E95" t="str">
        <x:v>Wallet</x:v>
      </x:c>
      <x:c r="F95" s="24" t="n">
        <x:v>159.45</x:v>
      </x:c>
      <x:c r="G95" t="str">
        <x:v>Winter</x:v>
      </x:c>
      <x:c r="H95" t="str">
        <x:v>Card</x:v>
      </x:c>
      <x:c r="I95" t="n">
        <x:v>4.6</x:v>
      </x:c>
      <x:c r="J95" t="n">
        <x:v>20</x:v>
      </x:c>
      <x:c r="K95" t="n">
        <x:v>5</x:v>
      </x:c>
      <x:c r="L95" t="str">
        <x:v>STORE-001</x:v>
      </x:c>
      <x:c r="M95" s="22" t="n">
        <x:v>46197</x:v>
      </x:c>
      <x:c r="N95" t="str">
        <x:v>SKU-029</x:v>
      </x:c>
      <x:c r="O95" t="n">
        <x:v>1</x:v>
      </x:c>
      <x:c r="P95" s="26" t="n">
        <x:f>F95/O95</x:f>
        <x:v>159.45</x:v>
      </x:c>
    </x:row>
    <x:row r="96">
      <x:c r="A96" t="n">
        <x:v>95</x:v>
      </x:c>
      <x:c r="B96" t="n">
        <x:v>25</x:v>
      </x:c>
      <x:c r="C96" t="str">
        <x:v>Male</x:v>
      </x:c>
      <x:c r="D96" t="str">
        <x:v>Footwear</x:v>
      </x:c>
      <x:c r="E96" t="str">
        <x:v>Sandals</x:v>
      </x:c>
      <x:c r="F96" s="24" t="n">
        <x:v>183.49</x:v>
      </x:c>
      <x:c r="G96" t="str">
        <x:v>Autumn</x:v>
      </x:c>
      <x:c r="H96" t="str">
        <x:v>Card</x:v>
      </x:c>
      <x:c r="I96" t="n">
        <x:v>3.5</x:v>
      </x:c>
      <x:c r="J96" t="n">
        <x:v>20</x:v>
      </x:c>
      <x:c r="K96" t="n">
        <x:v>5</x:v>
      </x:c>
      <x:c r="L96" t="str">
        <x:v>STORE-001</x:v>
      </x:c>
      <x:c r="M96" s="22" t="n">
        <x:v>46136</x:v>
      </x:c>
      <x:c r="N96" t="str">
        <x:v>SKU-019</x:v>
      </x:c>
      <x:c r="O96" t="n">
        <x:v>1</x:v>
      </x:c>
      <x:c r="P96" s="26" t="n">
        <x:f>F96/O96</x:f>
        <x:v>183.49</x:v>
      </x:c>
    </x:row>
    <x:row r="97">
      <x:c r="A97" t="n">
        <x:v>96</x:v>
      </x:c>
      <x:c r="B97" t="n">
        <x:v>21</x:v>
      </x:c>
      <x:c r="C97" t="str">
        <x:v>Male</x:v>
      </x:c>
      <x:c r="D97" t="str">
        <x:v>Mens Clothing</x:v>
      </x:c>
      <x:c r="E97" t="str">
        <x:v>Jacket</x:v>
      </x:c>
      <x:c r="F97" s="24" t="n">
        <x:v>76.45</x:v>
      </x:c>
      <x:c r="G97" t="str">
        <x:v>Summer</x:v>
      </x:c>
      <x:c r="H97" t="str">
        <x:v>Card</x:v>
      </x:c>
      <x:c r="I97" t="n">
        <x:v>4.4</x:v>
      </x:c>
      <x:c r="J97" t="n">
        <x:v>12</x:v>
      </x:c>
      <x:c r="K97" t="n">
        <x:v>6</x:v>
      </x:c>
      <x:c r="L97" t="str">
        <x:v>STORE-001</x:v>
      </x:c>
      <x:c r="M97" s="22" t="n">
        <x:v>46033</x:v>
      </x:c>
      <x:c r="N97" t="str">
        <x:v>SKU-010</x:v>
      </x:c>
      <x:c r="O97" t="n">
        <x:v>1</x:v>
      </x:c>
      <x:c r="P97" s="26" t="n">
        <x:f>F97/O97</x:f>
        <x:v>76.45</x:v>
      </x:c>
    </x:row>
    <x:row r="98">
      <x:c r="A98" t="n">
        <x:v>97</x:v>
      </x:c>
      <x:c r="B98" t="n">
        <x:v>20</x:v>
      </x:c>
      <x:c r="C98" t="str">
        <x:v>Female</x:v>
      </x:c>
      <x:c r="D98" t="str">
        <x:v>Accessories</x:v>
      </x:c>
      <x:c r="E98" t="str">
        <x:v>Wallet</x:v>
      </x:c>
      <x:c r="F98" s="24" t="n">
        <x:v>54.1</x:v>
      </x:c>
      <x:c r="G98" t="str">
        <x:v>Summer</x:v>
      </x:c>
      <x:c r="H98" t="str">
        <x:v>Card</x:v>
      </x:c>
      <x:c r="I98" t="n">
        <x:v>4.1</x:v>
      </x:c>
      <x:c r="J98" t="n">
        <x:v>16</x:v>
      </x:c>
      <x:c r="K98" t="n">
        <x:v>3</x:v>
      </x:c>
      <x:c r="L98" t="str">
        <x:v>STORE-001</x:v>
      </x:c>
      <x:c r="M98" s="22" t="n">
        <x:v>46013</x:v>
      </x:c>
      <x:c r="N98" t="str">
        <x:v>SKU-029</x:v>
      </x:c>
      <x:c r="O98" t="n">
        <x:v>2</x:v>
      </x:c>
      <x:c r="P98" s="26" t="n">
        <x:f>F98/O98</x:f>
        <x:v>27.05</x:v>
      </x:c>
    </x:row>
    <x:row r="99">
      <x:c r="A99" t="n">
        <x:v>98</x:v>
      </x:c>
      <x:c r="B99" t="n">
        <x:v>65</x:v>
      </x:c>
      <x:c r="C99" t="str">
        <x:v>Female</x:v>
      </x:c>
      <x:c r="D99" t="str">
        <x:v>Accessories</x:v>
      </x:c>
      <x:c r="E99" t="str">
        <x:v>Handbag</x:v>
      </x:c>
      <x:c r="F99" s="24" t="n">
        <x:v>41</x:v>
      </x:c>
      <x:c r="G99" t="str">
        <x:v>Autumn</x:v>
      </x:c>
      <x:c r="H99" t="str">
        <x:v>Cash on Delivery</x:v>
      </x:c>
      <x:c r="I99" t="n">
        <x:v>4</x:v>
      </x:c>
      <x:c r="J99" t="n">
        <x:v>10</x:v>
      </x:c>
      <x:c r="K99" t="n">
        <x:v>5</x:v>
      </x:c>
      <x:c r="L99" t="str">
        <x:v>STORE-001</x:v>
      </x:c>
      <x:c r="M99" s="22" t="n">
        <x:v>46106</x:v>
      </x:c>
      <x:c r="N99" t="str">
        <x:v>SKU-008</x:v>
      </x:c>
      <x:c r="O99" t="n">
        <x:v>1</x:v>
      </x:c>
      <x:c r="P99" s="26" t="n">
        <x:f>F99/O99</x:f>
        <x:v>41</x:v>
      </x:c>
    </x:row>
    <x:row r="100">
      <x:c r="A100" t="n">
        <x:v>99</x:v>
      </x:c>
      <x:c r="B100" t="n">
        <x:v>39</x:v>
      </x:c>
      <x:c r="C100" t="str">
        <x:v>Female</x:v>
      </x:c>
      <x:c r="D100" t="str">
        <x:v>Footwear</x:v>
      </x:c>
      <x:c r="E100" t="str">
        <x:v>Sneakers</x:v>
      </x:c>
      <x:c r="F100" s="24" t="n">
        <x:v>73.77</x:v>
      </x:c>
      <x:c r="G100" t="str">
        <x:v>Spring</x:v>
      </x:c>
      <x:c r="H100" t="str">
        <x:v>Card</x:v>
      </x:c>
      <x:c r="I100" t="n">
        <x:v>3.5</x:v>
      </x:c>
      <x:c r="J100" t="n">
        <x:v>17</x:v>
      </x:c>
      <x:c r="K100" t="n">
        <x:v>6</x:v>
      </x:c>
      <x:c r="L100" t="str">
        <x:v>STORE-001</x:v>
      </x:c>
      <x:c r="M100" s="22" t="n">
        <x:v>46283</x:v>
      </x:c>
      <x:c r="N100" t="str">
        <x:v>SKU-025</x:v>
      </x:c>
      <x:c r="O100" t="n">
        <x:v>1</x:v>
      </x:c>
      <x:c r="P100" s="26" t="n">
        <x:f>F100/O100</x:f>
        <x:v>73.77</x:v>
      </x:c>
    </x:row>
    <x:row r="101">
      <x:c r="A101" t="n">
        <x:v>100</x:v>
      </x:c>
      <x:c r="B101" t="n">
        <x:v>51</x:v>
      </x:c>
      <x:c r="C101" t="str">
        <x:v>Male</x:v>
      </x:c>
      <x:c r="D101" t="str">
        <x:v>Electronics</x:v>
      </x:c>
      <x:c r="E101" t="str">
        <x:v>Smart Watch</x:v>
      </x:c>
      <x:c r="F101" s="24" t="n">
        <x:v>2449.63</x:v>
      </x:c>
      <x:c r="G101" t="str">
        <x:v>Autumn</x:v>
      </x:c>
      <x:c r="H101" t="str">
        <x:v>Card</x:v>
      </x:c>
      <x:c r="I101" t="n">
        <x:v>1.9</x:v>
      </x:c>
      <x:c r="J101" t="n">
        <x:v>4</x:v>
      </x:c>
      <x:c r="K101" t="n">
        <x:v>2</x:v>
      </x:c>
      <x:c r="L101" t="str">
        <x:v>STORE-001</x:v>
      </x:c>
      <x:c r="M101" s="22" t="n">
        <x:v>46098</x:v>
      </x:c>
      <x:c r="N101" t="str">
        <x:v>SKU-023</x:v>
      </x:c>
      <x:c r="O101" t="n">
        <x:v>1</x:v>
      </x:c>
      <x:c r="P101" s="26" t="n">
        <x:f>F101/O101</x:f>
        <x:v>2449.63</x:v>
      </x:c>
    </x:row>
    <x:row r="102">
      <x:c r="A102" t="n">
        <x:v>101</x:v>
      </x:c>
      <x:c r="B102" t="n">
        <x:v>65</x:v>
      </x:c>
      <x:c r="C102" t="str">
        <x:v>Female</x:v>
      </x:c>
      <x:c r="D102" t="str">
        <x:v>Home</x:v>
      </x:c>
      <x:c r="E102" t="str">
        <x:v>Curtains</x:v>
      </x:c>
      <x:c r="F102" s="24" t="n">
        <x:v>86.79</x:v>
      </x:c>
      <x:c r="G102" t="str">
        <x:v>Spring</x:v>
      </x:c>
      <x:c r="H102" t="str">
        <x:v>Cash on Delivery</x:v>
      </x:c>
      <x:c r="I102" t="n">
        <x:v>3.6</x:v>
      </x:c>
      <x:c r="J102" t="n">
        <x:v>12</x:v>
      </x:c>
      <x:c r="K102" t="n">
        <x:v>6</x:v>
      </x:c>
      <x:c r="L102" t="str">
        <x:v>STORE-001</x:v>
      </x:c>
      <x:c r="M102" s="22" t="n">
        <x:v>45934</x:v>
      </x:c>
      <x:c r="N102" t="str">
        <x:v>SKU-003</x:v>
      </x:c>
      <x:c r="O102" t="n">
        <x:v>2</x:v>
      </x:c>
      <x:c r="P102" s="26" t="n">
        <x:f>F102/O102</x:f>
        <x:v>43.395</x:v>
      </x:c>
    </x:row>
    <x:row r="103">
      <x:c r="A103" t="n">
        <x:v>102</x:v>
      </x:c>
      <x:c r="B103" t="n">
        <x:v>58</x:v>
      </x:c>
      <x:c r="C103" t="str">
        <x:v>Female</x:v>
      </x:c>
      <x:c r="D103" t="str">
        <x:v>Womens Clothing</x:v>
      </x:c>
      <x:c r="E103" t="str">
        <x:v>Skirt</x:v>
      </x:c>
      <x:c r="F103" s="24" t="n">
        <x:v>64.03</x:v>
      </x:c>
      <x:c r="G103" t="str">
        <x:v>Summer</x:v>
      </x:c>
      <x:c r="H103" t="str">
        <x:v>Card</x:v>
      </x:c>
      <x:c r="I103" t="n">
        <x:v>3.2</x:v>
      </x:c>
      <x:c r="J103" t="n">
        <x:v>13</x:v>
      </x:c>
      <x:c r="K103" t="n">
        <x:v>4</x:v>
      </x:c>
      <x:c r="L103" t="str">
        <x:v>STORE-001</x:v>
      </x:c>
      <x:c r="M103" s="22" t="n">
        <x:v>46003</x:v>
      </x:c>
      <x:c r="N103" t="str">
        <x:v>SKU-022</x:v>
      </x:c>
      <x:c r="O103" t="n">
        <x:v>2</x:v>
      </x:c>
      <x:c r="P103" s="26" t="n">
        <x:f>F103/O103</x:f>
        <x:v>32.015</x:v>
      </x:c>
    </x:row>
    <x:row r="104">
      <x:c r="A104" t="n">
        <x:v>103</x:v>
      </x:c>
      <x:c r="B104" t="n">
        <x:v>50</x:v>
      </x:c>
      <x:c r="C104" t="str">
        <x:v>Female</x:v>
      </x:c>
      <x:c r="D104" t="str">
        <x:v>Footwear</x:v>
      </x:c>
      <x:c r="E104" t="str">
        <x:v>Formal Shoes</x:v>
      </x:c>
      <x:c r="F104" s="24" t="n">
        <x:v>171.31</x:v>
      </x:c>
      <x:c r="G104" t="str">
        <x:v>Autumn</x:v>
      </x:c>
      <x:c r="H104" t="str">
        <x:v>Card</x:v>
      </x:c>
      <x:c r="I104" t="n">
        <x:v>5</x:v>
      </x:c>
      <x:c r="J104" t="n">
        <x:v>21</x:v>
      </x:c>
      <x:c r="K104" t="n">
        <x:v>8</x:v>
      </x:c>
      <x:c r="L104" t="str">
        <x:v>STORE-001</x:v>
      </x:c>
      <x:c r="M104" s="22" t="n">
        <x:v>46158</x:v>
      </x:c>
      <x:c r="N104" t="str">
        <x:v>SKU-007</x:v>
      </x:c>
      <x:c r="O104" t="n">
        <x:v>1</x:v>
      </x:c>
      <x:c r="P104" s="26" t="n">
        <x:f>F104/O104</x:f>
        <x:v>171.31</x:v>
      </x:c>
    </x:row>
    <x:row r="105">
      <x:c r="A105" t="n">
        <x:v>104</x:v>
      </x:c>
      <x:c r="B105" t="n">
        <x:v>42</x:v>
      </x:c>
      <x:c r="C105" t="str">
        <x:v>Female</x:v>
      </x:c>
      <x:c r="D105" t="str">
        <x:v>Groceries</x:v>
      </x:c>
      <x:c r="E105" t="str">
        <x:v>Snacks</x:v>
      </x:c>
      <x:c r="F105" s="24" t="n">
        <x:v>21.44</x:v>
      </x:c>
      <x:c r="G105" t="str">
        <x:v>Autumn</x:v>
      </x:c>
      <x:c r="H105" t="str">
        <x:v>Card</x:v>
      </x:c>
      <x:c r="I105" t="n">
        <x:v>3.6</x:v>
      </x:c>
      <x:c r="J105" t="n">
        <x:v>19</x:v>
      </x:c>
      <x:c r="K105" t="n">
        <x:v>7</x:v>
      </x:c>
      <x:c r="L105" t="str">
        <x:v>STORE-001</x:v>
      </x:c>
      <x:c r="M105" s="22" t="n">
        <x:v>46099</x:v>
      </x:c>
      <x:c r="N105" t="str">
        <x:v>SKU-024</x:v>
      </x:c>
      <x:c r="O105" t="n">
        <x:v>3</x:v>
      </x:c>
      <x:c r="P105" s="26" t="n">
        <x:f>F105/O105</x:f>
        <x:v>7.146666666666667</x:v>
      </x:c>
    </x:row>
    <x:row r="106">
      <x:c r="A106" t="n">
        <x:v>105</x:v>
      </x:c>
      <x:c r="B106" t="n">
        <x:v>60</x:v>
      </x:c>
      <x:c r="C106" t="str">
        <x:v>Male</x:v>
      </x:c>
      <x:c r="D106" t="str">
        <x:v>Mens Clothing</x:v>
      </x:c>
      <x:c r="E106" t="str">
        <x:v>Jacket</x:v>
      </x:c>
      <x:c r="F106" s="24" t="n">
        <x:v>145.64</x:v>
      </x:c>
      <x:c r="G106" t="str">
        <x:v>Winter</x:v>
      </x:c>
      <x:c r="H106" t="str">
        <x:v>Card</x:v>
      </x:c>
      <x:c r="I106" t="n">
        <x:v>3.3</x:v>
      </x:c>
      <x:c r="J106" t="n">
        <x:v>2</x:v>
      </x:c>
      <x:c r="K106" t="n">
        <x:v>1</x:v>
      </x:c>
      <x:c r="L106" t="str">
        <x:v>STORE-001</x:v>
      </x:c>
      <x:c r="M106" s="22" t="n">
        <x:v>46210</x:v>
      </x:c>
      <x:c r="N106" t="str">
        <x:v>SKU-010</x:v>
      </x:c>
      <x:c r="O106" t="n">
        <x:v>1</x:v>
      </x:c>
      <x:c r="P106" s="26" t="n">
        <x:f>F106/O106</x:f>
        <x:v>145.64</x:v>
      </x:c>
    </x:row>
    <x:row r="107">
      <x:c r="A107" t="n">
        <x:v>106</x:v>
      </x:c>
      <x:c r="B107" t="n">
        <x:v>50</x:v>
      </x:c>
      <x:c r="C107" t="str">
        <x:v>Female</x:v>
      </x:c>
      <x:c r="D107" t="str">
        <x:v>Footwear</x:v>
      </x:c>
      <x:c r="E107" t="str">
        <x:v>Sneakers</x:v>
      </x:c>
      <x:c r="F107" s="24" t="n">
        <x:v>112.65</x:v>
      </x:c>
      <x:c r="G107" t="str">
        <x:v>Spring</x:v>
      </x:c>
      <x:c r="H107" t="str">
        <x:v>Card</x:v>
      </x:c>
      <x:c r="I107" t="n">
        <x:v>3.9</x:v>
      </x:c>
      <x:c r="J107" t="n">
        <x:v>10</x:v>
      </x:c>
      <x:c r="K107" t="n">
        <x:v>5</x:v>
      </x:c>
      <x:c r="L107" t="str">
        <x:v>STORE-001</x:v>
      </x:c>
      <x:c r="M107" s="22" t="n">
        <x:v>45960</x:v>
      </x:c>
      <x:c r="N107" t="str">
        <x:v>SKU-025</x:v>
      </x:c>
      <x:c r="O107" t="n">
        <x:v>2</x:v>
      </x:c>
      <x:c r="P107" s="26" t="n">
        <x:f>F107/O107</x:f>
        <x:v>56.325</x:v>
      </x:c>
    </x:row>
    <x:row r="108">
      <x:c r="A108" t="n">
        <x:v>107</x:v>
      </x:c>
      <x:c r="B108" t="n">
        <x:v>55</x:v>
      </x:c>
      <x:c r="C108" t="str">
        <x:v>Female</x:v>
      </x:c>
      <x:c r="D108" t="str">
        <x:v>Footwear</x:v>
      </x:c>
      <x:c r="E108" t="str">
        <x:v>Formal Shoes</x:v>
      </x:c>
      <x:c r="F108" s="24" t="n">
        <x:v>177.55</x:v>
      </x:c>
      <x:c r="G108" t="str">
        <x:v>Summer</x:v>
      </x:c>
      <x:c r="H108" t="str">
        <x:v>Card</x:v>
      </x:c>
      <x:c r="I108" t="n">
        <x:v>4.2</x:v>
      </x:c>
      <x:c r="J108" t="n">
        <x:v>17</x:v>
      </x:c>
      <x:c r="K108" t="n">
        <x:v>6</x:v>
      </x:c>
      <x:c r="L108" t="str">
        <x:v>STORE-001</x:v>
      </x:c>
      <x:c r="M108" s="22" t="n">
        <x:v>46022</x:v>
      </x:c>
      <x:c r="N108" t="str">
        <x:v>SKU-007</x:v>
      </x:c>
      <x:c r="O108" t="n">
        <x:v>1</x:v>
      </x:c>
      <x:c r="P108" s="26" t="n">
        <x:f>F108/O108</x:f>
        <x:v>177.55</x:v>
      </x:c>
    </x:row>
    <x:row r="109">
      <x:c r="A109" t="n">
        <x:v>108</x:v>
      </x:c>
      <x:c r="B109" t="n">
        <x:v>61</x:v>
      </x:c>
      <x:c r="C109" t="str">
        <x:v>Female</x:v>
      </x:c>
      <x:c r="D109" t="str">
        <x:v>Womens Clothing</x:v>
      </x:c>
      <x:c r="E109" t="str">
        <x:v>Skirt</x:v>
      </x:c>
      <x:c r="F109" s="24" t="n">
        <x:v>100.22</x:v>
      </x:c>
      <x:c r="G109" t="str">
        <x:v>Summer</x:v>
      </x:c>
      <x:c r="H109" t="str">
        <x:v>Card</x:v>
      </x:c>
      <x:c r="I109" t="n">
        <x:v>3.8</x:v>
      </x:c>
      <x:c r="J109" t="n">
        <x:v>4</x:v>
      </x:c>
      <x:c r="K109" t="n">
        <x:v>2</x:v>
      </x:c>
      <x:c r="L109" t="str">
        <x:v>STORE-001</x:v>
      </x:c>
      <x:c r="M109" s="22" t="n">
        <x:v>46038</x:v>
      </x:c>
      <x:c r="N109" t="str">
        <x:v>SKU-022</x:v>
      </x:c>
      <x:c r="O109" t="n">
        <x:v>1</x:v>
      </x:c>
      <x:c r="P109" s="26" t="n">
        <x:f>F109/O109</x:f>
        <x:v>100.22</x:v>
      </x:c>
    </x:row>
    <x:row r="110">
      <x:c r="A110" t="n">
        <x:v>109</x:v>
      </x:c>
      <x:c r="B110" t="n">
        <x:v>33</x:v>
      </x:c>
      <x:c r="C110" t="str">
        <x:v>Female</x:v>
      </x:c>
      <x:c r="D110" t="str">
        <x:v>Footwear</x:v>
      </x:c>
      <x:c r="E110" t="str">
        <x:v>Formal Shoes</x:v>
      </x:c>
      <x:c r="F110" s="24" t="n">
        <x:v>60</x:v>
      </x:c>
      <x:c r="G110" t="str">
        <x:v>Summer</x:v>
      </x:c>
      <x:c r="H110" t="str">
        <x:v>Card</x:v>
      </x:c>
      <x:c r="I110" t="n">
        <x:v>3.3</x:v>
      </x:c>
      <x:c r="J110" t="n">
        <x:v>8</x:v>
      </x:c>
      <x:c r="K110" t="n">
        <x:v>4</x:v>
      </x:c>
      <x:c r="L110" t="str">
        <x:v>STORE-001</x:v>
      </x:c>
      <x:c r="M110" s="22" t="n">
        <x:v>46068</x:v>
      </x:c>
      <x:c r="N110" t="str">
        <x:v>SKU-007</x:v>
      </x:c>
      <x:c r="O110" t="n">
        <x:v>1</x:v>
      </x:c>
      <x:c r="P110" s="26" t="n">
        <x:f>F110/O110</x:f>
        <x:v>60</x:v>
      </x:c>
    </x:row>
    <x:row r="111">
      <x:c r="A111" t="n">
        <x:v>110</x:v>
      </x:c>
      <x:c r="B111" t="n">
        <x:v>66</x:v>
      </x:c>
      <x:c r="C111" t="str">
        <x:v>Male</x:v>
      </x:c>
      <x:c r="D111" t="str">
        <x:v>Footwear</x:v>
      </x:c>
      <x:c r="E111" t="str">
        <x:v>Formal Shoes</x:v>
      </x:c>
      <x:c r="F111" s="24" t="n">
        <x:v>75.65</x:v>
      </x:c>
      <x:c r="G111" t="str">
        <x:v>Winter</x:v>
      </x:c>
      <x:c r="H111" t="str">
        <x:v>Card</x:v>
      </x:c>
      <x:c r="I111" t="n">
        <x:v>4</x:v>
      </x:c>
      <x:c r="J111" t="n">
        <x:v>14</x:v>
      </x:c>
      <x:c r="K111" t="n">
        <x:v>7</x:v>
      </x:c>
      <x:c r="L111" t="str">
        <x:v>STORE-001</x:v>
      </x:c>
      <x:c r="M111" s="22" t="n">
        <x:v>46265</x:v>
      </x:c>
      <x:c r="N111" t="str">
        <x:v>SKU-007</x:v>
      </x:c>
      <x:c r="O111" t="n">
        <x:v>2</x:v>
      </x:c>
      <x:c r="P111" s="26" t="n">
        <x:f>F111/O111</x:f>
        <x:v>37.825</x:v>
      </x:c>
    </x:row>
    <x:row r="112">
      <x:c r="A112" t="n">
        <x:v>111</x:v>
      </x:c>
      <x:c r="B112" t="n">
        <x:v>66</x:v>
      </x:c>
      <x:c r="C112" t="str">
        <x:v>Male</x:v>
      </x:c>
      <x:c r="D112" t="str">
        <x:v>Electronics</x:v>
      </x:c>
      <x:c r="E112" t="str">
        <x:v>Laptop</x:v>
      </x:c>
      <x:c r="F112" s="24" t="n">
        <x:v>2263.46</x:v>
      </x:c>
      <x:c r="G112" t="str">
        <x:v>Autumn</x:v>
      </x:c>
      <x:c r="H112" t="str">
        <x:v>Card</x:v>
      </x:c>
      <x:c r="I112" t="n">
        <x:v>3.8</x:v>
      </x:c>
      <x:c r="J112" t="n">
        <x:v>13</x:v>
      </x:c>
      <x:c r="K112" t="n">
        <x:v>4</x:v>
      </x:c>
      <x:c r="L112" t="str">
        <x:v>STORE-001</x:v>
      </x:c>
      <x:c r="M112" s="22" t="n">
        <x:v>46128</x:v>
      </x:c>
      <x:c r="N112" t="str">
        <x:v>SKU-014</x:v>
      </x:c>
      <x:c r="O112" t="n">
        <x:v>1</x:v>
      </x:c>
      <x:c r="P112" s="26" t="n">
        <x:f>F112/O112</x:f>
        <x:v>2263.46</x:v>
      </x:c>
    </x:row>
    <x:row r="113">
      <x:c r="A113" t="n">
        <x:v>112</x:v>
      </x:c>
      <x:c r="B113" t="n">
        <x:v>45</x:v>
      </x:c>
      <x:c r="C113" t="str">
        <x:v>Male</x:v>
      </x:c>
      <x:c r="D113" t="str">
        <x:v>Footwear</x:v>
      </x:c>
      <x:c r="E113" t="str">
        <x:v>Formal Shoes</x:v>
      </x:c>
      <x:c r="F113" s="24" t="n">
        <x:v>77.8</x:v>
      </x:c>
      <x:c r="G113" t="str">
        <x:v>Winter</x:v>
      </x:c>
      <x:c r="H113" t="str">
        <x:v>Cash on Delivery</x:v>
      </x:c>
      <x:c r="I113" t="n">
        <x:v>3.2</x:v>
      </x:c>
      <x:c r="J113" t="n">
        <x:v>9</x:v>
      </x:c>
      <x:c r="K113" t="n">
        <x:v>2</x:v>
      </x:c>
      <x:c r="L113" t="str">
        <x:v>STORE-001</x:v>
      </x:c>
      <x:c r="M113" s="22" t="n">
        <x:v>46215</x:v>
      </x:c>
      <x:c r="N113" t="str">
        <x:v>SKU-007</x:v>
      </x:c>
      <x:c r="O113" t="n">
        <x:v>1</x:v>
      </x:c>
      <x:c r="P113" s="26" t="n">
        <x:f>F113/O113</x:f>
        <x:v>77.8</x:v>
      </x:c>
    </x:row>
    <x:row r="114">
      <x:c r="A114" t="n">
        <x:v>113</x:v>
      </x:c>
      <x:c r="B114" t="n">
        <x:v>69</x:v>
      </x:c>
      <x:c r="C114" t="str">
        <x:v>Female</x:v>
      </x:c>
      <x:c r="D114" t="str">
        <x:v>Womens Clothing</x:v>
      </x:c>
      <x:c r="E114" t="str">
        <x:v>Top</x:v>
      </x:c>
      <x:c r="F114" s="24" t="n">
        <x:v>84.93</x:v>
      </x:c>
      <x:c r="G114" t="str">
        <x:v>Autumn</x:v>
      </x:c>
      <x:c r="H114" t="str">
        <x:v>Cash on Delivery</x:v>
      </x:c>
      <x:c r="I114" t="n">
        <x:v>4.6</x:v>
      </x:c>
      <x:c r="J114" t="n">
        <x:v>17</x:v>
      </x:c>
      <x:c r="K114" t="n">
        <x:v>6</x:v>
      </x:c>
      <x:c r="L114" t="str">
        <x:v>STORE-001</x:v>
      </x:c>
      <x:c r="M114" s="22" t="n">
        <x:v>46170</x:v>
      </x:c>
      <x:c r="N114" t="str">
        <x:v>SKU-028</x:v>
      </x:c>
      <x:c r="O114" t="n">
        <x:v>1</x:v>
      </x:c>
      <x:c r="P114" s="26" t="n">
        <x:f>F114/O114</x:f>
        <x:v>84.93</x:v>
      </x:c>
    </x:row>
    <x:row r="115">
      <x:c r="A115" t="n">
        <x:v>114</x:v>
      </x:c>
      <x:c r="B115" t="n">
        <x:v>27</x:v>
      </x:c>
      <x:c r="C115" t="str">
        <x:v>Female</x:v>
      </x:c>
      <x:c r="D115" t="str">
        <x:v>Sports</x:v>
      </x:c>
      <x:c r="E115" t="str">
        <x:v>Football</x:v>
      </x:c>
      <x:c r="F115" s="24" t="n">
        <x:v>124.84</x:v>
      </x:c>
      <x:c r="G115" t="str">
        <x:v>Spring</x:v>
      </x:c>
      <x:c r="H115" t="str">
        <x:v>Card</x:v>
      </x:c>
      <x:c r="I115" t="n">
        <x:v>3.2</x:v>
      </x:c>
      <x:c r="J115" t="n">
        <x:v>20</x:v>
      </x:c>
      <x:c r="K115" t="n">
        <x:v>10</x:v>
      </x:c>
      <x:c r="L115" t="str">
        <x:v>STORE-001</x:v>
      </x:c>
      <x:c r="M115" s="22" t="n">
        <x:v>45951</x:v>
      </x:c>
      <x:c r="N115" t="str">
        <x:v>SKU-006</x:v>
      </x:c>
      <x:c r="O115" t="n">
        <x:v>1</x:v>
      </x:c>
      <x:c r="P115" s="26" t="n">
        <x:f>F115/O115</x:f>
        <x:v>124.84</x:v>
      </x:c>
    </x:row>
    <x:row r="116">
      <x:c r="A116" t="n">
        <x:v>115</x:v>
      </x:c>
      <x:c r="B116" t="n">
        <x:v>23</x:v>
      </x:c>
      <x:c r="C116" t="str">
        <x:v>Male</x:v>
      </x:c>
      <x:c r="D116" t="str">
        <x:v>Footwear</x:v>
      </x:c>
      <x:c r="E116" t="str">
        <x:v>Formal Shoes</x:v>
      </x:c>
      <x:c r="F116" s="24" t="n">
        <x:v>122.71</x:v>
      </x:c>
      <x:c r="G116" t="str">
        <x:v>Summer</x:v>
      </x:c>
      <x:c r="H116" t="str">
        <x:v>Card</x:v>
      </x:c>
      <x:c r="I116" t="n">
        <x:v>3.4</x:v>
      </x:c>
      <x:c r="J116" t="n">
        <x:v>8</x:v>
      </x:c>
      <x:c r="K116" t="n">
        <x:v>4</x:v>
      </x:c>
      <x:c r="L116" t="str">
        <x:v>STORE-001</x:v>
      </x:c>
      <x:c r="M116" s="22" t="n">
        <x:v>46074</x:v>
      </x:c>
      <x:c r="N116" t="str">
        <x:v>SKU-007</x:v>
      </x:c>
      <x:c r="O116" t="n">
        <x:v>1</x:v>
      </x:c>
      <x:c r="P116" s="26" t="n">
        <x:f>F116/O116</x:f>
        <x:v>122.71</x:v>
      </x:c>
    </x:row>
    <x:row r="117">
      <x:c r="A117" t="n">
        <x:v>116</x:v>
      </x:c>
      <x:c r="B117" t="n">
        <x:v>60</x:v>
      </x:c>
      <x:c r="C117" t="str">
        <x:v>Male</x:v>
      </x:c>
      <x:c r="D117" t="str">
        <x:v>Electronics</x:v>
      </x:c>
      <x:c r="E117" t="str">
        <x:v>Mobile Phone</x:v>
      </x:c>
      <x:c r="F117" s="24" t="n">
        <x:v>1317.58</x:v>
      </x:c>
      <x:c r="G117" t="str">
        <x:v>Winter</x:v>
      </x:c>
      <x:c r="H117" t="str">
        <x:v>Card</x:v>
      </x:c>
      <x:c r="I117" t="n">
        <x:v>4.2</x:v>
      </x:c>
      <x:c r="J117" t="n">
        <x:v>26</x:v>
      </x:c>
      <x:c r="K117" t="n">
        <x:v>8</x:v>
      </x:c>
      <x:c r="L117" t="str">
        <x:v>STORE-001</x:v>
      </x:c>
      <x:c r="M117" s="22" t="n">
        <x:v>46221</x:v>
      </x:c>
      <x:c r="N117" t="str">
        <x:v>SKU-016</x:v>
      </x:c>
      <x:c r="O117" t="n">
        <x:v>3</x:v>
      </x:c>
      <x:c r="P117" s="26" t="n">
        <x:f>F117/O117</x:f>
        <x:v>439.1933333333333</x:v>
      </x:c>
    </x:row>
    <x:row r="118">
      <x:c r="A118" t="n">
        <x:v>117</x:v>
      </x:c>
      <x:c r="B118" t="n">
        <x:v>31</x:v>
      </x:c>
      <x:c r="C118" t="str">
        <x:v>Female</x:v>
      </x:c>
      <x:c r="D118" t="str">
        <x:v>Beauty</x:v>
      </x:c>
      <x:c r="E118" t="str">
        <x:v>Perfume</x:v>
      </x:c>
      <x:c r="F118" s="24" t="n">
        <x:v>70.51</x:v>
      </x:c>
      <x:c r="G118" t="str">
        <x:v>Spring</x:v>
      </x:c>
      <x:c r="H118" t="str">
        <x:v>Cash on Delivery</x:v>
      </x:c>
      <x:c r="I118" t="n">
        <x:v>4.2</x:v>
      </x:c>
      <x:c r="J118" t="n">
        <x:v>18</x:v>
      </x:c>
      <x:c r="K118" t="n">
        <x:v>4</x:v>
      </x:c>
      <x:c r="L118" t="str">
        <x:v>STORE-001</x:v>
      </x:c>
      <x:c r="M118" s="22" t="n">
        <x:v>46272</x:v>
      </x:c>
      <x:c r="N118" t="str">
        <x:v>SKU-017</x:v>
      </x:c>
      <x:c r="O118" t="n">
        <x:v>1</x:v>
      </x:c>
      <x:c r="P118" s="26" t="n">
        <x:f>F118/O118</x:f>
        <x:v>70.51</x:v>
      </x:c>
    </x:row>
    <x:row r="119">
      <x:c r="A119" t="n">
        <x:v>118</x:v>
      </x:c>
      <x:c r="B119" t="n">
        <x:v>28</x:v>
      </x:c>
      <x:c r="C119" t="str">
        <x:v>Male</x:v>
      </x:c>
      <x:c r="D119" t="str">
        <x:v>Sports</x:v>
      </x:c>
      <x:c r="E119" t="str">
        <x:v>Yoga Mat</x:v>
      </x:c>
      <x:c r="F119" s="24" t="n">
        <x:v>132.82</x:v>
      </x:c>
      <x:c r="G119" t="str">
        <x:v>Autumn</x:v>
      </x:c>
      <x:c r="H119" t="str">
        <x:v>Card</x:v>
      </x:c>
      <x:c r="I119" t="n">
        <x:v>2.9</x:v>
      </x:c>
      <x:c r="J119" t="n">
        <x:v>9</x:v>
      </x:c>
      <x:c r="K119" t="n">
        <x:v>2</x:v>
      </x:c>
      <x:c r="L119" t="str">
        <x:v>STORE-001</x:v>
      </x:c>
      <x:c r="M119" s="22" t="n">
        <x:v>46131</x:v>
      </x:c>
      <x:c r="N119" t="str">
        <x:v>SKU-030</x:v>
      </x:c>
      <x:c r="O119" t="n">
        <x:v>1</x:v>
      </x:c>
      <x:c r="P119" s="26" t="n">
        <x:f>F119/O119</x:f>
        <x:v>132.82</x:v>
      </x:c>
    </x:row>
    <x:row r="120">
      <x:c r="A120" t="n">
        <x:v>119</x:v>
      </x:c>
      <x:c r="B120" t="n">
        <x:v>56</x:v>
      </x:c>
      <x:c r="C120" t="str">
        <x:v>Male</x:v>
      </x:c>
      <x:c r="D120" t="str">
        <x:v>Footwear</x:v>
      </x:c>
      <x:c r="E120" t="str">
        <x:v>Sandals</x:v>
      </x:c>
      <x:c r="F120" s="24" t="n">
        <x:v>200.63</x:v>
      </x:c>
      <x:c r="G120" t="str">
        <x:v>Summer</x:v>
      </x:c>
      <x:c r="H120" t="str">
        <x:v>Card</x:v>
      </x:c>
      <x:c r="I120" t="n">
        <x:v>4</x:v>
      </x:c>
      <x:c r="J120" t="n">
        <x:v>18</x:v>
      </x:c>
      <x:c r="K120" t="n">
        <x:v>4</x:v>
      </x:c>
      <x:c r="L120" t="str">
        <x:v>STORE-001</x:v>
      </x:c>
      <x:c r="M120" s="22" t="n">
        <x:v>46012</x:v>
      </x:c>
      <x:c r="N120" t="str">
        <x:v>SKU-019</x:v>
      </x:c>
      <x:c r="O120" t="n">
        <x:v>1</x:v>
      </x:c>
      <x:c r="P120" s="26" t="n">
        <x:f>F120/O120</x:f>
        <x:v>200.63</x:v>
      </x:c>
    </x:row>
    <x:row r="121">
      <x:c r="A121" t="n">
        <x:v>120</x:v>
      </x:c>
      <x:c r="B121" t="n">
        <x:v>34</x:v>
      </x:c>
      <x:c r="C121" t="str">
        <x:v>Female</x:v>
      </x:c>
      <x:c r="D121" t="str">
        <x:v>Womens Clothing</x:v>
      </x:c>
      <x:c r="E121" t="str">
        <x:v>Skirt</x:v>
      </x:c>
      <x:c r="F121" s="24" t="n">
        <x:v>47.24</x:v>
      </x:c>
      <x:c r="G121" t="str">
        <x:v>Spring</x:v>
      </x:c>
      <x:c r="H121" t="str">
        <x:v>Cash on Delivery</x:v>
      </x:c>
      <x:c r="I121" t="n">
        <x:v>4.1</x:v>
      </x:c>
      <x:c r="J121" t="n">
        <x:v>15</x:v>
      </x:c>
      <x:c r="K121" t="n">
        <x:v>5</x:v>
      </x:c>
      <x:c r="L121" t="str">
        <x:v>STORE-001</x:v>
      </x:c>
      <x:c r="M121" s="22" t="n">
        <x:v>45975</x:v>
      </x:c>
      <x:c r="N121" t="str">
        <x:v>SKU-022</x:v>
      </x:c>
      <x:c r="O121" t="n">
        <x:v>1</x:v>
      </x:c>
      <x:c r="P121" s="26" t="n">
        <x:f>F121/O121</x:f>
        <x:v>47.24</x:v>
      </x:c>
    </x:row>
    <x:row r="122">
      <x:c r="A122" t="n">
        <x:v>121</x:v>
      </x:c>
      <x:c r="B122" t="n">
        <x:v>37</x:v>
      </x:c>
      <x:c r="C122" t="str">
        <x:v>Female</x:v>
      </x:c>
      <x:c r="D122" t="str">
        <x:v>Footwear</x:v>
      </x:c>
      <x:c r="E122" t="str">
        <x:v>Formal Shoes</x:v>
      </x:c>
      <x:c r="F122" s="24" t="n">
        <x:v>65.6</x:v>
      </x:c>
      <x:c r="G122" t="str">
        <x:v>Winter</x:v>
      </x:c>
      <x:c r="H122" t="str">
        <x:v>Cash on Delivery</x:v>
      </x:c>
      <x:c r="I122" t="n">
        <x:v>3.2</x:v>
      </x:c>
      <x:c r="J122" t="n">
        <x:v>15</x:v>
      </x:c>
      <x:c r="K122" t="n">
        <x:v>5</x:v>
      </x:c>
      <x:c r="L122" t="str">
        <x:v>STORE-001</x:v>
      </x:c>
      <x:c r="M122" s="22" t="n">
        <x:v>46232</x:v>
      </x:c>
      <x:c r="N122" t="str">
        <x:v>SKU-007</x:v>
      </x:c>
      <x:c r="O122" t="n">
        <x:v>2</x:v>
      </x:c>
      <x:c r="P122" s="26" t="n">
        <x:f>F122/O122</x:f>
        <x:v>32.8</x:v>
      </x:c>
    </x:row>
    <x:row r="123">
      <x:c r="A123" t="n">
        <x:v>122</x:v>
      </x:c>
      <x:c r="B123" t="n">
        <x:v>63</x:v>
      </x:c>
      <x:c r="C123" t="str">
        <x:v>Female</x:v>
      </x:c>
      <x:c r="D123" t="str">
        <x:v>Accessories</x:v>
      </x:c>
      <x:c r="E123" t="str">
        <x:v>Sunglasses</x:v>
      </x:c>
      <x:c r="F123" s="24" t="n">
        <x:v>20.41</x:v>
      </x:c>
      <x:c r="G123" t="str">
        <x:v>Autumn</x:v>
      </x:c>
      <x:c r="H123" t="str">
        <x:v>Cash on Delivery</x:v>
      </x:c>
      <x:c r="I123" t="n">
        <x:v>3.7</x:v>
      </x:c>
      <x:c r="J123" t="n">
        <x:v>17</x:v>
      </x:c>
      <x:c r="K123" t="n">
        <x:v>6</x:v>
      </x:c>
      <x:c r="L123" t="str">
        <x:v>STORE-001</x:v>
      </x:c>
      <x:c r="M123" s="22" t="n">
        <x:v>46114</x:v>
      </x:c>
      <x:c r="N123" t="str">
        <x:v>SKU-026</x:v>
      </x:c>
      <x:c r="O123" t="n">
        <x:v>2</x:v>
      </x:c>
      <x:c r="P123" s="26" t="n">
        <x:f>F123/O123</x:f>
        <x:v>10.205</x:v>
      </x:c>
    </x:row>
    <x:row r="124">
      <x:c r="A124" t="n">
        <x:v>123</x:v>
      </x:c>
      <x:c r="B124" t="n">
        <x:v>35</x:v>
      </x:c>
      <x:c r="C124" t="str">
        <x:v>Male</x:v>
      </x:c>
      <x:c r="D124" t="str">
        <x:v>Electronics</x:v>
      </x:c>
      <x:c r="E124" t="str">
        <x:v>Smart Watch</x:v>
      </x:c>
      <x:c r="F124" s="24" t="n">
        <x:v>1187.02</x:v>
      </x:c>
      <x:c r="G124" t="str">
        <x:v>Autumn</x:v>
      </x:c>
      <x:c r="H124" t="str">
        <x:v>Card</x:v>
      </x:c>
      <x:c r="I124" t="n">
        <x:v>3.5</x:v>
      </x:c>
      <x:c r="J124" t="n">
        <x:v>15</x:v>
      </x:c>
      <x:c r="K124" t="n">
        <x:v>5</x:v>
      </x:c>
      <x:c r="L124" t="str">
        <x:v>STORE-001</x:v>
      </x:c>
      <x:c r="M124" s="22" t="n">
        <x:v>46132</x:v>
      </x:c>
      <x:c r="N124" t="str">
        <x:v>SKU-023</x:v>
      </x:c>
      <x:c r="O124" t="n">
        <x:v>1</x:v>
      </x:c>
      <x:c r="P124" s="26" t="n">
        <x:f>F124/O124</x:f>
        <x:v>1187.02</x:v>
      </x:c>
    </x:row>
    <x:row r="125">
      <x:c r="A125" t="n">
        <x:v>124</x:v>
      </x:c>
      <x:c r="B125" t="n">
        <x:v>53</x:v>
      </x:c>
      <x:c r="C125" t="str">
        <x:v>Male</x:v>
      </x:c>
      <x:c r="D125" t="str">
        <x:v>Electronics</x:v>
      </x:c>
      <x:c r="E125" t="str">
        <x:v>Mobile Phone</x:v>
      </x:c>
      <x:c r="F125" s="24" t="n">
        <x:v>559.1</x:v>
      </x:c>
      <x:c r="G125" t="str">
        <x:v>Autumn</x:v>
      </x:c>
      <x:c r="H125" t="str">
        <x:v>Card</x:v>
      </x:c>
      <x:c r="I125" t="n">
        <x:v>3.4</x:v>
      </x:c>
      <x:c r="J125" t="n">
        <x:v>17</x:v>
      </x:c>
      <x:c r="K125" t="n">
        <x:v>6</x:v>
      </x:c>
      <x:c r="L125" t="str">
        <x:v>STORE-001</x:v>
      </x:c>
      <x:c r="M125" s="22" t="n">
        <x:v>46170</x:v>
      </x:c>
      <x:c r="N125" t="str">
        <x:v>SKU-016</x:v>
      </x:c>
      <x:c r="O125" t="n">
        <x:v>1</x:v>
      </x:c>
      <x:c r="P125" s="26" t="n">
        <x:f>F125/O125</x:f>
        <x:v>559.1</x:v>
      </x:c>
    </x:row>
    <x:row r="126">
      <x:c r="A126" t="n">
        <x:v>125</x:v>
      </x:c>
      <x:c r="B126" t="n">
        <x:v>54</x:v>
      </x:c>
      <x:c r="C126" t="str">
        <x:v>Male</x:v>
      </x:c>
      <x:c r="D126" t="str">
        <x:v>Footwear</x:v>
      </x:c>
      <x:c r="E126" t="str">
        <x:v>Formal Shoes</x:v>
      </x:c>
      <x:c r="F126" s="24" t="n">
        <x:v>129.92</x:v>
      </x:c>
      <x:c r="G126" t="str">
        <x:v>Winter</x:v>
      </x:c>
      <x:c r="H126" t="str">
        <x:v>Card</x:v>
      </x:c>
      <x:c r="I126" t="n">
        <x:v>4.2</x:v>
      </x:c>
      <x:c r="J126" t="n">
        <x:v>13</x:v>
      </x:c>
      <x:c r="K126" t="n">
        <x:v>4</x:v>
      </x:c>
      <x:c r="L126" t="str">
        <x:v>STORE-001</x:v>
      </x:c>
      <x:c r="M126" s="22" t="n">
        <x:v>46241</x:v>
      </x:c>
      <x:c r="N126" t="str">
        <x:v>SKU-007</x:v>
      </x:c>
      <x:c r="O126" t="n">
        <x:v>3</x:v>
      </x:c>
      <x:c r="P126" s="26" t="n">
        <x:f>F126/O126</x:f>
        <x:v>43.306666666666665</x:v>
      </x:c>
    </x:row>
    <x:row r="127">
      <x:c r="A127" t="n">
        <x:v>126</x:v>
      </x:c>
      <x:c r="B127" t="n">
        <x:v>65</x:v>
      </x:c>
      <x:c r="C127" t="str">
        <x:v>Female</x:v>
      </x:c>
      <x:c r="D127" t="str">
        <x:v>Groceries</x:v>
      </x:c>
      <x:c r="E127" t="str">
        <x:v>Beverages</x:v>
      </x:c>
      <x:c r="F127" s="24" t="n">
        <x:v>19.39</x:v>
      </x:c>
      <x:c r="G127" t="str">
        <x:v>Spring</x:v>
      </x:c>
      <x:c r="H127" t="str">
        <x:v>Cash on Delivery</x:v>
      </x:c>
      <x:c r="I127" t="n">
        <x:v>3.4</x:v>
      </x:c>
      <x:c r="J127" t="n">
        <x:v>6</x:v>
      </x:c>
      <x:c r="K127" t="n">
        <x:v>3</x:v>
      </x:c>
      <x:c r="L127" t="str">
        <x:v>STORE-001</x:v>
      </x:c>
      <x:c r="M127" s="22" t="n">
        <x:v>46281</x:v>
      </x:c>
      <x:c r="N127" t="str">
        <x:v>SKU-001</x:v>
      </x:c>
      <x:c r="O127" t="n">
        <x:v>1</x:v>
      </x:c>
      <x:c r="P127" s="26" t="n">
        <x:f>F127/O127</x:f>
        <x:v>19.39</x:v>
      </x:c>
    </x:row>
    <x:row r="128">
      <x:c r="A128" t="n">
        <x:v>127</x:v>
      </x:c>
      <x:c r="B128" t="n">
        <x:v>24</x:v>
      </x:c>
      <x:c r="C128" t="str">
        <x:v>Female</x:v>
      </x:c>
      <x:c r="D128" t="str">
        <x:v>Beauty</x:v>
      </x:c>
      <x:c r="E128" t="str">
        <x:v>Makeup Set</x:v>
      </x:c>
      <x:c r="F128" s="24" t="n">
        <x:v>97.07</x:v>
      </x:c>
      <x:c r="G128" t="str">
        <x:v>Autumn</x:v>
      </x:c>
      <x:c r="H128" t="str">
        <x:v>Cash on Delivery</x:v>
      </x:c>
      <x:c r="I128" t="n">
        <x:v>2.4</x:v>
      </x:c>
      <x:c r="J128" t="n">
        <x:v>13</x:v>
      </x:c>
      <x:c r="K128" t="n">
        <x:v>4</x:v>
      </x:c>
      <x:c r="L128" t="str">
        <x:v>STORE-001</x:v>
      </x:c>
      <x:c r="M128" s="22" t="n">
        <x:v>46099</x:v>
      </x:c>
      <x:c r="N128" t="str">
        <x:v>SKU-015</x:v>
      </x:c>
      <x:c r="O128" t="n">
        <x:v>1</x:v>
      </x:c>
      <x:c r="P128" s="26" t="n">
        <x:f>F128/O128</x:f>
        <x:v>97.07</x:v>
      </x:c>
    </x:row>
    <x:row r="129">
      <x:c r="A129" t="n">
        <x:v>128</x:v>
      </x:c>
      <x:c r="B129" t="n">
        <x:v>55</x:v>
      </x:c>
      <x:c r="C129" t="str">
        <x:v>Male</x:v>
      </x:c>
      <x:c r="D129" t="str">
        <x:v>Sports</x:v>
      </x:c>
      <x:c r="E129" t="str">
        <x:v>Dumbbells</x:v>
      </x:c>
      <x:c r="F129" s="24" t="n">
        <x:v>70.21</x:v>
      </x:c>
      <x:c r="G129" t="str">
        <x:v>Spring</x:v>
      </x:c>
      <x:c r="H129" t="str">
        <x:v>Cash on Delivery</x:v>
      </x:c>
      <x:c r="I129" t="n">
        <x:v>3.4</x:v>
      </x:c>
      <x:c r="J129" t="n">
        <x:v>18</x:v>
      </x:c>
      <x:c r="K129" t="n">
        <x:v>4</x:v>
      </x:c>
      <x:c r="L129" t="str">
        <x:v>STORE-001</x:v>
      </x:c>
      <x:c r="M129" s="22" t="n">
        <x:v>46269</x:v>
      </x:c>
      <x:c r="N129" t="str">
        <x:v>SKU-005</x:v>
      </x:c>
      <x:c r="O129" t="n">
        <x:v>1</x:v>
      </x:c>
      <x:c r="P129" s="26" t="n">
        <x:f>F129/O129</x:f>
        <x:v>70.21</x:v>
      </x:c>
    </x:row>
    <x:row r="130">
      <x:c r="A130" t="n">
        <x:v>129</x:v>
      </x:c>
      <x:c r="B130" t="n">
        <x:v>64</x:v>
      </x:c>
      <x:c r="C130" t="str">
        <x:v>Male</x:v>
      </x:c>
      <x:c r="D130" t="str">
        <x:v>Sports</x:v>
      </x:c>
      <x:c r="E130" t="str">
        <x:v>Yoga Mat</x:v>
      </x:c>
      <x:c r="F130" s="24" t="n">
        <x:v>248.31</x:v>
      </x:c>
      <x:c r="G130" t="str">
        <x:v>Winter</x:v>
      </x:c>
      <x:c r="H130" t="str">
        <x:v>Card</x:v>
      </x:c>
      <x:c r="I130" t="n">
        <x:v>3.7</x:v>
      </x:c>
      <x:c r="J130" t="n">
        <x:v>19</x:v>
      </x:c>
      <x:c r="K130" t="n">
        <x:v>7</x:v>
      </x:c>
      <x:c r="L130" t="str">
        <x:v>STORE-001</x:v>
      </x:c>
      <x:c r="M130" s="22" t="n">
        <x:v>46174</x:v>
      </x:c>
      <x:c r="N130" t="str">
        <x:v>SKU-030</x:v>
      </x:c>
      <x:c r="O130" t="n">
        <x:v>2</x:v>
      </x:c>
      <x:c r="P130" s="26" t="n">
        <x:f>F130/O130</x:f>
        <x:v>124.155</x:v>
      </x:c>
    </x:row>
    <x:row r="131">
      <x:c r="A131" t="n">
        <x:v>130</x:v>
      </x:c>
      <x:c r="B131" t="n">
        <x:v>21</x:v>
      </x:c>
      <x:c r="C131" t="str">
        <x:v>Male</x:v>
      </x:c>
      <x:c r="D131" t="str">
        <x:v>Sports</x:v>
      </x:c>
      <x:c r="E131" t="str">
        <x:v>Football</x:v>
      </x:c>
      <x:c r="F131" s="24" t="n">
        <x:v>149.61</x:v>
      </x:c>
      <x:c r="G131" t="str">
        <x:v>Autumn</x:v>
      </x:c>
      <x:c r="H131" t="str">
        <x:v>Card</x:v>
      </x:c>
      <x:c r="I131" t="n">
        <x:v>3.6</x:v>
      </x:c>
      <x:c r="J131" t="n">
        <x:v>21</x:v>
      </x:c>
      <x:c r="K131" t="n">
        <x:v>8</x:v>
      </x:c>
      <x:c r="L131" t="str">
        <x:v>STORE-001</x:v>
      </x:c>
      <x:c r="M131" s="22" t="n">
        <x:v>46135</x:v>
      </x:c>
      <x:c r="N131" t="str">
        <x:v>SKU-006</x:v>
      </x:c>
      <x:c r="O131" t="n">
        <x:v>1</x:v>
      </x:c>
      <x:c r="P131" s="26" t="n">
        <x:f>F131/O131</x:f>
        <x:v>149.61</x:v>
      </x:c>
    </x:row>
    <x:row r="132">
      <x:c r="A132" t="n">
        <x:v>131</x:v>
      </x:c>
      <x:c r="B132" t="n">
        <x:v>66</x:v>
      </x:c>
      <x:c r="C132" t="str">
        <x:v>Male</x:v>
      </x:c>
      <x:c r="D132" t="str">
        <x:v>Home</x:v>
      </x:c>
      <x:c r="E132" t="str">
        <x:v>Lamp</x:v>
      </x:c>
      <x:c r="F132" s="24" t="n">
        <x:v>132.77</x:v>
      </x:c>
      <x:c r="G132" t="str">
        <x:v>Spring</x:v>
      </x:c>
      <x:c r="H132" t="str">
        <x:v>Card</x:v>
      </x:c>
      <x:c r="I132" t="n">
        <x:v>3.5</x:v>
      </x:c>
      <x:c r="J132" t="n">
        <x:v>17</x:v>
      </x:c>
      <x:c r="K132" t="n">
        <x:v>6</x:v>
      </x:c>
      <x:c r="L132" t="str">
        <x:v>STORE-001</x:v>
      </x:c>
      <x:c r="M132" s="22" t="n">
        <x:v>45965</x:v>
      </x:c>
      <x:c r="N132" t="str">
        <x:v>SKU-013</x:v>
      </x:c>
      <x:c r="O132" t="n">
        <x:v>1</x:v>
      </x:c>
      <x:c r="P132" s="26" t="n">
        <x:f>F132/O132</x:f>
        <x:v>132.77</x:v>
      </x:c>
    </x:row>
    <x:row r="133">
      <x:c r="A133" t="n">
        <x:v>132</x:v>
      </x:c>
      <x:c r="B133" t="n">
        <x:v>39</x:v>
      </x:c>
      <x:c r="C133" t="str">
        <x:v>Female</x:v>
      </x:c>
      <x:c r="D133" t="str">
        <x:v>Beauty</x:v>
      </x:c>
      <x:c r="E133" t="str">
        <x:v>Makeup Set</x:v>
      </x:c>
      <x:c r="F133" s="24" t="n">
        <x:v>37.23</x:v>
      </x:c>
      <x:c r="G133" t="str">
        <x:v>Winter</x:v>
      </x:c>
      <x:c r="H133" t="str">
        <x:v>Card</x:v>
      </x:c>
      <x:c r="I133" t="n">
        <x:v>3.4</x:v>
      </x:c>
      <x:c r="J133" t="n">
        <x:v>14</x:v>
      </x:c>
      <x:c r="K133" t="n">
        <x:v>7</x:v>
      </x:c>
      <x:c r="L133" t="str">
        <x:v>STORE-001</x:v>
      </x:c>
      <x:c r="M133" s="22" t="n">
        <x:v>46235</x:v>
      </x:c>
      <x:c r="N133" t="str">
        <x:v>SKU-015</x:v>
      </x:c>
      <x:c r="O133" t="n">
        <x:v>1</x:v>
      </x:c>
      <x:c r="P133" s="26" t="n">
        <x:f>F133/O133</x:f>
        <x:v>37.23</x:v>
      </x:c>
    </x:row>
    <x:row r="134">
      <x:c r="A134" t="n">
        <x:v>133</x:v>
      </x:c>
      <x:c r="B134" t="n">
        <x:v>53</x:v>
      </x:c>
      <x:c r="C134" t="str">
        <x:v>Female</x:v>
      </x:c>
      <x:c r="D134" t="str">
        <x:v>Footwear</x:v>
      </x:c>
      <x:c r="E134" t="str">
        <x:v>Sneakers</x:v>
      </x:c>
      <x:c r="F134" s="24" t="n">
        <x:v>88.84</x:v>
      </x:c>
      <x:c r="G134" t="str">
        <x:v>Summer</x:v>
      </x:c>
      <x:c r="H134" t="str">
        <x:v>Cash on Delivery</x:v>
      </x:c>
      <x:c r="I134" t="n">
        <x:v>1.8</x:v>
      </x:c>
      <x:c r="J134" t="n">
        <x:v>16</x:v>
      </x:c>
      <x:c r="K134" t="n">
        <x:v>3</x:v>
      </x:c>
      <x:c r="L134" t="str">
        <x:v>STORE-001</x:v>
      </x:c>
      <x:c r="M134" s="22" t="n">
        <x:v>46056</x:v>
      </x:c>
      <x:c r="N134" t="str">
        <x:v>SKU-025</x:v>
      </x:c>
      <x:c r="O134" t="n">
        <x:v>1</x:v>
      </x:c>
      <x:c r="P134" s="26" t="n">
        <x:f>F134/O134</x:f>
        <x:v>88.84</x:v>
      </x:c>
    </x:row>
    <x:row r="135">
      <x:c r="A135" t="n">
        <x:v>134</x:v>
      </x:c>
      <x:c r="B135" t="n">
        <x:v>25</x:v>
      </x:c>
      <x:c r="C135" t="str">
        <x:v>Female</x:v>
      </x:c>
      <x:c r="D135" t="str">
        <x:v>Womens Clothing</x:v>
      </x:c>
      <x:c r="E135" t="str">
        <x:v>Top</x:v>
      </x:c>
      <x:c r="F135" s="24" t="n">
        <x:v>140.53</x:v>
      </x:c>
      <x:c r="G135" t="str">
        <x:v>Spring</x:v>
      </x:c>
      <x:c r="H135" t="str">
        <x:v>Card</x:v>
      </x:c>
      <x:c r="I135" t="n">
        <x:v>3.9</x:v>
      </x:c>
      <x:c r="J135" t="n">
        <x:v>11</x:v>
      </x:c>
      <x:c r="K135" t="n">
        <x:v>3</x:v>
      </x:c>
      <x:c r="L135" t="str">
        <x:v>STORE-001</x:v>
      </x:c>
      <x:c r="M135" s="22" t="n">
        <x:v>46278</x:v>
      </x:c>
      <x:c r="N135" t="str">
        <x:v>SKU-028</x:v>
      </x:c>
      <x:c r="O135" t="n">
        <x:v>1</x:v>
      </x:c>
      <x:c r="P135" s="26" t="n">
        <x:f>F135/O135</x:f>
        <x:v>140.53</x:v>
      </x:c>
    </x:row>
    <x:row r="136">
      <x:c r="A136" t="n">
        <x:v>135</x:v>
      </x:c>
      <x:c r="B136" t="n">
        <x:v>30</x:v>
      </x:c>
      <x:c r="C136" t="str">
        <x:v>Female</x:v>
      </x:c>
      <x:c r="D136" t="str">
        <x:v>Sports</x:v>
      </x:c>
      <x:c r="E136" t="str">
        <x:v>Football</x:v>
      </x:c>
      <x:c r="F136" s="24" t="n">
        <x:v>121.83</x:v>
      </x:c>
      <x:c r="G136" t="str">
        <x:v>Autumn</x:v>
      </x:c>
      <x:c r="H136" t="str">
        <x:v>Card</x:v>
      </x:c>
      <x:c r="I136" t="n">
        <x:v>3.5</x:v>
      </x:c>
      <x:c r="J136" t="n">
        <x:v>16</x:v>
      </x:c>
      <x:c r="K136" t="n">
        <x:v>3</x:v>
      </x:c>
      <x:c r="L136" t="str">
        <x:v>STORE-001</x:v>
      </x:c>
      <x:c r="M136" s="22" t="n">
        <x:v>46088</x:v>
      </x:c>
      <x:c r="N136" t="str">
        <x:v>SKU-006</x:v>
      </x:c>
      <x:c r="O136" t="n">
        <x:v>3</x:v>
      </x:c>
      <x:c r="P136" s="26" t="n">
        <x:f>F136/O136</x:f>
        <x:v>40.61</x:v>
      </x:c>
    </x:row>
    <x:row r="137">
      <x:c r="A137" t="n">
        <x:v>136</x:v>
      </x:c>
      <x:c r="B137" t="n">
        <x:v>23</x:v>
      </x:c>
      <x:c r="C137" t="str">
        <x:v>Male</x:v>
      </x:c>
      <x:c r="D137" t="str">
        <x:v>Electronics</x:v>
      </x:c>
      <x:c r="E137" t="str">
        <x:v>Headphones</x:v>
      </x:c>
      <x:c r="F137" s="24" t="n">
        <x:v>1052.01</x:v>
      </x:c>
      <x:c r="G137" t="str">
        <x:v>Autumn</x:v>
      </x:c>
      <x:c r="H137" t="str">
        <x:v>Card</x:v>
      </x:c>
      <x:c r="I137" t="n">
        <x:v>4.1</x:v>
      </x:c>
      <x:c r="J137" t="n">
        <x:v>24</x:v>
      </x:c>
      <x:c r="K137" t="n">
        <x:v>7</x:v>
      </x:c>
      <x:c r="L137" t="str">
        <x:v>STORE-001</x:v>
      </x:c>
      <x:c r="M137" s="22" t="n">
        <x:v>46103</x:v>
      </x:c>
      <x:c r="N137" t="str">
        <x:v>SKU-009</x:v>
      </x:c>
      <x:c r="O137" t="n">
        <x:v>1</x:v>
      </x:c>
      <x:c r="P137" s="26" t="n">
        <x:f>F137/O137</x:f>
        <x:v>1052.01</x:v>
      </x:c>
    </x:row>
    <x:row r="138">
      <x:c r="A138" t="n">
        <x:v>137</x:v>
      </x:c>
      <x:c r="B138" t="n">
        <x:v>41</x:v>
      </x:c>
      <x:c r="C138" t="str">
        <x:v>Female</x:v>
      </x:c>
      <x:c r="D138" t="str">
        <x:v>Groceries</x:v>
      </x:c>
      <x:c r="E138" t="str">
        <x:v>Cooking Oil</x:v>
      </x:c>
      <x:c r="F138" s="24" t="n">
        <x:v>77.29</x:v>
      </x:c>
      <x:c r="G138" t="str">
        <x:v>Winter</x:v>
      </x:c>
      <x:c r="H138" t="str">
        <x:v>Card</x:v>
      </x:c>
      <x:c r="I138" t="n">
        <x:v>3.9</x:v>
      </x:c>
      <x:c r="J138" t="n">
        <x:v>18</x:v>
      </x:c>
      <x:c r="K138" t="n">
        <x:v>4</x:v>
      </x:c>
      <x:c r="L138" t="str">
        <x:v>STORE-001</x:v>
      </x:c>
      <x:c r="M138" s="22" t="n">
        <x:v>46224</x:v>
      </x:c>
      <x:c r="N138" t="str">
        <x:v>SKU-002</x:v>
      </x:c>
      <x:c r="O138" t="n">
        <x:v>2</x:v>
      </x:c>
      <x:c r="P138" s="26" t="n">
        <x:f>F138/O138</x:f>
        <x:v>38.645</x:v>
      </x:c>
    </x:row>
    <x:row r="139">
      <x:c r="A139" t="n">
        <x:v>138</x:v>
      </x:c>
      <x:c r="B139" t="n">
        <x:v>40</x:v>
      </x:c>
      <x:c r="C139" t="str">
        <x:v>Female</x:v>
      </x:c>
      <x:c r="D139" t="str">
        <x:v>Beauty</x:v>
      </x:c>
      <x:c r="E139" t="str">
        <x:v>Skincare Kit</x:v>
      </x:c>
      <x:c r="F139" s="24" t="n">
        <x:v>124.2</x:v>
      </x:c>
      <x:c r="G139" t="str">
        <x:v>Spring</x:v>
      </x:c>
      <x:c r="H139" t="str">
        <x:v>Card</x:v>
      </x:c>
      <x:c r="I139" t="n">
        <x:v>3.1</x:v>
      </x:c>
      <x:c r="J139" t="n">
        <x:v>17</x:v>
      </x:c>
      <x:c r="K139" t="n">
        <x:v>6</x:v>
      </x:c>
      <x:c r="L139" t="str">
        <x:v>STORE-001</x:v>
      </x:c>
      <x:c r="M139" s="22" t="n">
        <x:v>45944</x:v>
      </x:c>
      <x:c r="N139" t="str">
        <x:v>SKU-021</x:v>
      </x:c>
      <x:c r="O139" t="n">
        <x:v>2</x:v>
      </x:c>
      <x:c r="P139" s="26" t="n">
        <x:f>F139/O139</x:f>
        <x:v>62.1</x:v>
      </x:c>
    </x:row>
    <x:row r="140">
      <x:c r="A140" t="n">
        <x:v>139</x:v>
      </x:c>
      <x:c r="B140" t="n">
        <x:v>23</x:v>
      </x:c>
      <x:c r="C140" t="str">
        <x:v>Female</x:v>
      </x:c>
      <x:c r="D140" t="str">
        <x:v>Footwear</x:v>
      </x:c>
      <x:c r="E140" t="str">
        <x:v>Formal Shoes</x:v>
      </x:c>
      <x:c r="F140" s="24" t="n">
        <x:v>139.96</x:v>
      </x:c>
      <x:c r="G140" t="str">
        <x:v>Autumn</x:v>
      </x:c>
      <x:c r="H140" t="str">
        <x:v>Card</x:v>
      </x:c>
      <x:c r="I140" t="n">
        <x:v>4.1</x:v>
      </x:c>
      <x:c r="J140" t="n">
        <x:v>18</x:v>
      </x:c>
      <x:c r="K140" t="n">
        <x:v>9</x:v>
      </x:c>
      <x:c r="L140" t="str">
        <x:v>STORE-001</x:v>
      </x:c>
      <x:c r="M140" s="22" t="n">
        <x:v>46083</x:v>
      </x:c>
      <x:c r="N140" t="str">
        <x:v>SKU-007</x:v>
      </x:c>
      <x:c r="O140" t="n">
        <x:v>2</x:v>
      </x:c>
      <x:c r="P140" s="26" t="n">
        <x:f>F140/O140</x:f>
        <x:v>69.98</x:v>
      </x:c>
    </x:row>
    <x:row r="141">
      <x:c r="A141" t="n">
        <x:v>140</x:v>
      </x:c>
      <x:c r="B141" t="n">
        <x:v>59</x:v>
      </x:c>
      <x:c r="C141" t="str">
        <x:v>Male</x:v>
      </x:c>
      <x:c r="D141" t="str">
        <x:v>Footwear</x:v>
      </x:c>
      <x:c r="E141" t="str">
        <x:v>Formal Shoes</x:v>
      </x:c>
      <x:c r="F141" s="24" t="n">
        <x:v>121.13</x:v>
      </x:c>
      <x:c r="G141" t="str">
        <x:v>Summer</x:v>
      </x:c>
      <x:c r="H141" t="str">
        <x:v>Card</x:v>
      </x:c>
      <x:c r="I141" t="n">
        <x:v>3.6</x:v>
      </x:c>
      <x:c r="J141" t="n">
        <x:v>10</x:v>
      </x:c>
      <x:c r="K141" t="n">
        <x:v>5</x:v>
      </x:c>
      <x:c r="L141" t="str">
        <x:v>STORE-001</x:v>
      </x:c>
      <x:c r="M141" s="22" t="n">
        <x:v>46061</x:v>
      </x:c>
      <x:c r="N141" t="str">
        <x:v>SKU-007</x:v>
      </x:c>
      <x:c r="O141" t="n">
        <x:v>1</x:v>
      </x:c>
      <x:c r="P141" s="26" t="n">
        <x:f>F141/O141</x:f>
        <x:v>121.13</x:v>
      </x:c>
    </x:row>
    <x:row r="142">
      <x:c r="A142" t="n">
        <x:v>141</x:v>
      </x:c>
      <x:c r="B142" t="n">
        <x:v>56</x:v>
      </x:c>
      <x:c r="C142" t="str">
        <x:v>Female</x:v>
      </x:c>
      <x:c r="D142" t="str">
        <x:v>Groceries</x:v>
      </x:c>
      <x:c r="E142" t="str">
        <x:v>Snacks</x:v>
      </x:c>
      <x:c r="F142" s="24" t="n">
        <x:v>58.72</x:v>
      </x:c>
      <x:c r="G142" t="str">
        <x:v>Autumn</x:v>
      </x:c>
      <x:c r="H142" t="str">
        <x:v>Card</x:v>
      </x:c>
      <x:c r="I142" t="n">
        <x:v>2.6</x:v>
      </x:c>
      <x:c r="J142" t="n">
        <x:v>2</x:v>
      </x:c>
      <x:c r="K142" t="n">
        <x:v>1</x:v>
      </x:c>
      <x:c r="L142" t="str">
        <x:v>STORE-001</x:v>
      </x:c>
      <x:c r="M142" s="22" t="n">
        <x:v>46127</x:v>
      </x:c>
      <x:c r="N142" t="str">
        <x:v>SKU-024</x:v>
      </x:c>
      <x:c r="O142" t="n">
        <x:v>1</x:v>
      </x:c>
      <x:c r="P142" s="26" t="n">
        <x:f>F142/O142</x:f>
        <x:v>58.72</x:v>
      </x:c>
    </x:row>
    <x:row r="143">
      <x:c r="A143" t="n">
        <x:v>142</x:v>
      </x:c>
      <x:c r="B143" t="n">
        <x:v>34</x:v>
      </x:c>
      <x:c r="C143" t="str">
        <x:v>Male</x:v>
      </x:c>
      <x:c r="D143" t="str">
        <x:v>Sports</x:v>
      </x:c>
      <x:c r="E143" t="str">
        <x:v>Dumbbells</x:v>
      </x:c>
      <x:c r="F143" s="24" t="n">
        <x:v>64.17</x:v>
      </x:c>
      <x:c r="G143" t="str">
        <x:v>Autumn</x:v>
      </x:c>
      <x:c r="H143" t="str">
        <x:v>Card</x:v>
      </x:c>
      <x:c r="I143" t="n">
        <x:v>3</x:v>
      </x:c>
      <x:c r="J143" t="n">
        <x:v>8</x:v>
      </x:c>
      <x:c r="K143" t="n">
        <x:v>4</x:v>
      </x:c>
      <x:c r="L143" t="str">
        <x:v>STORE-001</x:v>
      </x:c>
      <x:c r="M143" s="22" t="n">
        <x:v>46142</x:v>
      </x:c>
      <x:c r="N143" t="str">
        <x:v>SKU-005</x:v>
      </x:c>
      <x:c r="O143" t="n">
        <x:v>3</x:v>
      </x:c>
      <x:c r="P143" s="26" t="n">
        <x:f>F143/O143</x:f>
        <x:v>21.39</x:v>
      </x:c>
    </x:row>
    <x:row r="144">
      <x:c r="A144" t="n">
        <x:v>143</x:v>
      </x:c>
      <x:c r="B144" t="n">
        <x:v>59</x:v>
      </x:c>
      <x:c r="C144" t="str">
        <x:v>Male</x:v>
      </x:c>
      <x:c r="D144" t="str">
        <x:v>Footwear</x:v>
      </x:c>
      <x:c r="E144" t="str">
        <x:v>Formal Shoes</x:v>
      </x:c>
      <x:c r="F144" s="24" t="n">
        <x:v>42.19</x:v>
      </x:c>
      <x:c r="G144" t="str">
        <x:v>Spring</x:v>
      </x:c>
      <x:c r="H144" t="str">
        <x:v>Cash on Delivery</x:v>
      </x:c>
      <x:c r="I144" t="n">
        <x:v>3.2</x:v>
      </x:c>
      <x:c r="J144" t="n">
        <x:v>4</x:v>
      </x:c>
      <x:c r="K144" t="n">
        <x:v>2</x:v>
      </x:c>
      <x:c r="L144" t="str">
        <x:v>STORE-001</x:v>
      </x:c>
      <x:c r="M144" s="22" t="n">
        <x:v>45956</x:v>
      </x:c>
      <x:c r="N144" t="str">
        <x:v>SKU-007</x:v>
      </x:c>
      <x:c r="O144" t="n">
        <x:v>2</x:v>
      </x:c>
      <x:c r="P144" s="26" t="n">
        <x:f>F144/O144</x:f>
        <x:v>21.095</x:v>
      </x:c>
    </x:row>
    <x:row r="145">
      <x:c r="A145" t="n">
        <x:v>144</x:v>
      </x:c>
      <x:c r="B145" t="n">
        <x:v>40</x:v>
      </x:c>
      <x:c r="C145" t="str">
        <x:v>Female</x:v>
      </x:c>
      <x:c r="D145" t="str">
        <x:v>Footwear</x:v>
      </x:c>
      <x:c r="E145" t="str">
        <x:v>Formal Shoes</x:v>
      </x:c>
      <x:c r="F145" s="24" t="n">
        <x:v>166.4</x:v>
      </x:c>
      <x:c r="G145" t="str">
        <x:v>Autumn</x:v>
      </x:c>
      <x:c r="H145" t="str">
        <x:v>Card</x:v>
      </x:c>
      <x:c r="I145" t="n">
        <x:v>3.8</x:v>
      </x:c>
      <x:c r="J145" t="n">
        <x:v>14</x:v>
      </x:c>
      <x:c r="K145" t="n">
        <x:v>7</x:v>
      </x:c>
      <x:c r="L145" t="str">
        <x:v>STORE-001</x:v>
      </x:c>
      <x:c r="M145" s="22" t="n">
        <x:v>46139</x:v>
      </x:c>
      <x:c r="N145" t="str">
        <x:v>SKU-007</x:v>
      </x:c>
      <x:c r="O145" t="n">
        <x:v>1</x:v>
      </x:c>
      <x:c r="P145" s="26" t="n">
        <x:f>F145/O145</x:f>
        <x:v>166.4</x:v>
      </x:c>
    </x:row>
    <x:row r="146">
      <x:c r="A146" t="n">
        <x:v>145</x:v>
      </x:c>
      <x:c r="B146" t="n">
        <x:v>33</x:v>
      </x:c>
      <x:c r="C146" t="str">
        <x:v>Female</x:v>
      </x:c>
      <x:c r="D146" t="str">
        <x:v>Womens Clothing</x:v>
      </x:c>
      <x:c r="E146" t="str">
        <x:v>Top</x:v>
      </x:c>
      <x:c r="F146" s="24" t="n">
        <x:v>76.54</x:v>
      </x:c>
      <x:c r="G146" t="str">
        <x:v>Summer</x:v>
      </x:c>
      <x:c r="H146" t="str">
        <x:v>Card</x:v>
      </x:c>
      <x:c r="I146" t="n">
        <x:v>4.2</x:v>
      </x:c>
      <x:c r="J146" t="n">
        <x:v>6</x:v>
      </x:c>
      <x:c r="K146" t="n">
        <x:v>3</x:v>
      </x:c>
      <x:c r="L146" t="str">
        <x:v>STORE-001</x:v>
      </x:c>
      <x:c r="M146" s="22" t="n">
        <x:v>45993</x:v>
      </x:c>
      <x:c r="N146" t="str">
        <x:v>SKU-028</x:v>
      </x:c>
      <x:c r="O146" t="n">
        <x:v>2</x:v>
      </x:c>
      <x:c r="P146" s="26" t="n">
        <x:f>F146/O146</x:f>
        <x:v>38.27</x:v>
      </x:c>
    </x:row>
    <x:row r="147">
      <x:c r="A147" t="n">
        <x:v>146</x:v>
      </x:c>
      <x:c r="B147" t="n">
        <x:v>68</x:v>
      </x:c>
      <x:c r="C147" t="str">
        <x:v>Female</x:v>
      </x:c>
      <x:c r="D147" t="str">
        <x:v>Womens Clothing</x:v>
      </x:c>
      <x:c r="E147" t="str">
        <x:v>Dress</x:v>
      </x:c>
      <x:c r="F147" s="24" t="n">
        <x:v>158.36</x:v>
      </x:c>
      <x:c r="G147" t="str">
        <x:v>Spring</x:v>
      </x:c>
      <x:c r="H147" t="str">
        <x:v>Card</x:v>
      </x:c>
      <x:c r="I147" t="n">
        <x:v>3.6</x:v>
      </x:c>
      <x:c r="J147" t="n">
        <x:v>23</x:v>
      </x:c>
      <x:c r="K147" t="n">
        <x:v>9</x:v>
      </x:c>
      <x:c r="L147" t="str">
        <x:v>STORE-001</x:v>
      </x:c>
      <x:c r="M147" s="22" t="n">
        <x:v>45973</x:v>
      </x:c>
      <x:c r="N147" t="str">
        <x:v>SKU-004</x:v>
      </x:c>
      <x:c r="O147" t="n">
        <x:v>1</x:v>
      </x:c>
      <x:c r="P147" s="26" t="n">
        <x:f>F147/O147</x:f>
        <x:v>158.36</x:v>
      </x:c>
    </x:row>
    <x:row r="148">
      <x:c r="A148" t="n">
        <x:v>147</x:v>
      </x:c>
      <x:c r="B148" t="n">
        <x:v>48</x:v>
      </x:c>
      <x:c r="C148" t="str">
        <x:v>Male</x:v>
      </x:c>
      <x:c r="D148" t="str">
        <x:v>Footwear</x:v>
      </x:c>
      <x:c r="E148" t="str">
        <x:v>Formal Shoes</x:v>
      </x:c>
      <x:c r="F148" s="24" t="n">
        <x:v>84.84</x:v>
      </x:c>
      <x:c r="G148" t="str">
        <x:v>Summer</x:v>
      </x:c>
      <x:c r="H148" t="str">
        <x:v>Card</x:v>
      </x:c>
      <x:c r="I148" t="n">
        <x:v>4.7</x:v>
      </x:c>
      <x:c r="J148" t="n">
        <x:v>26</x:v>
      </x:c>
      <x:c r="K148" t="n">
        <x:v>8</x:v>
      </x:c>
      <x:c r="L148" t="str">
        <x:v>STORE-001</x:v>
      </x:c>
      <x:c r="M148" s="22" t="n">
        <x:v>46013</x:v>
      </x:c>
      <x:c r="N148" t="str">
        <x:v>SKU-007</x:v>
      </x:c>
      <x:c r="O148" t="n">
        <x:v>1</x:v>
      </x:c>
      <x:c r="P148" s="26" t="n">
        <x:f>F148/O148</x:f>
        <x:v>84.84</x:v>
      </x:c>
    </x:row>
    <x:row r="149">
      <x:c r="A149" t="n">
        <x:v>148</x:v>
      </x:c>
      <x:c r="B149" t="n">
        <x:v>27</x:v>
      </x:c>
      <x:c r="C149" t="str">
        <x:v>Female</x:v>
      </x:c>
      <x:c r="D149" t="str">
        <x:v>Footwear</x:v>
      </x:c>
      <x:c r="E149" t="str">
        <x:v>Sneakers</x:v>
      </x:c>
      <x:c r="F149" s="24" t="n">
        <x:v>195.76</x:v>
      </x:c>
      <x:c r="G149" t="str">
        <x:v>Summer</x:v>
      </x:c>
      <x:c r="H149" t="str">
        <x:v>Card</x:v>
      </x:c>
      <x:c r="I149" t="n">
        <x:v>4</x:v>
      </x:c>
      <x:c r="J149" t="n">
        <x:v>17</x:v>
      </x:c>
      <x:c r="K149" t="n">
        <x:v>6</x:v>
      </x:c>
      <x:c r="L149" t="str">
        <x:v>STORE-001</x:v>
      </x:c>
      <x:c r="M149" s="22" t="n">
        <x:v>45994</x:v>
      </x:c>
      <x:c r="N149" t="str">
        <x:v>SKU-025</x:v>
      </x:c>
      <x:c r="O149" t="n">
        <x:v>1</x:v>
      </x:c>
      <x:c r="P149" s="26" t="n">
        <x:f>F149/O149</x:f>
        <x:v>195.76</x:v>
      </x:c>
    </x:row>
    <x:row r="150">
      <x:c r="A150" t="n">
        <x:v>149</x:v>
      </x:c>
      <x:c r="B150" t="n">
        <x:v>46</x:v>
      </x:c>
      <x:c r="C150" t="str">
        <x:v>Male</x:v>
      </x:c>
      <x:c r="D150" t="str">
        <x:v>Sports</x:v>
      </x:c>
      <x:c r="E150" t="str">
        <x:v>Football</x:v>
      </x:c>
      <x:c r="F150" s="24" t="n">
        <x:v>146.21</x:v>
      </x:c>
      <x:c r="G150" t="str">
        <x:v>Summer</x:v>
      </x:c>
      <x:c r="H150" t="str">
        <x:v>Card</x:v>
      </x:c>
      <x:c r="I150" t="n">
        <x:v>3.6</x:v>
      </x:c>
      <x:c r="J150" t="n">
        <x:v>8</x:v>
      </x:c>
      <x:c r="K150" t="n">
        <x:v>4</x:v>
      </x:c>
      <x:c r="L150" t="str">
        <x:v>STORE-001</x:v>
      </x:c>
      <x:c r="M150" s="22" t="n">
        <x:v>46014</x:v>
      </x:c>
      <x:c r="N150" t="str">
        <x:v>SKU-006</x:v>
      </x:c>
      <x:c r="O150" t="n">
        <x:v>2</x:v>
      </x:c>
      <x:c r="P150" s="26" t="n">
        <x:f>F150/O150</x:f>
        <x:v>73.105</x:v>
      </x:c>
    </x:row>
    <x:row r="151">
      <x:c r="A151" t="n">
        <x:v>150</x:v>
      </x:c>
      <x:c r="B151" t="n">
        <x:v>35</x:v>
      </x:c>
      <x:c r="C151" t="str">
        <x:v>Male</x:v>
      </x:c>
      <x:c r="D151" t="str">
        <x:v>Mens Clothing</x:v>
      </x:c>
      <x:c r="E151" t="str">
        <x:v>T-Shirt</x:v>
      </x:c>
      <x:c r="F151" s="24" t="n">
        <x:v>115.35</x:v>
      </x:c>
      <x:c r="G151" t="str">
        <x:v>Winter</x:v>
      </x:c>
      <x:c r="H151" t="str">
        <x:v>Card</x:v>
      </x:c>
      <x:c r="I151" t="n">
        <x:v>4.1</x:v>
      </x:c>
      <x:c r="J151" t="n">
        <x:v>13</x:v>
      </x:c>
      <x:c r="K151" t="n">
        <x:v>4</x:v>
      </x:c>
      <x:c r="L151" t="str">
        <x:v>STORE-001</x:v>
      </x:c>
      <x:c r="M151" s="22" t="n">
        <x:v>46215</x:v>
      </x:c>
      <x:c r="N151" t="str">
        <x:v>SKU-027</x:v>
      </x:c>
      <x:c r="O151" t="n">
        <x:v>1</x:v>
      </x:c>
      <x:c r="P151" s="26" t="n">
        <x:f>F151/O151</x:f>
        <x:v>115.35</x:v>
      </x:c>
    </x:row>
    <x:row r="152">
      <x:c r="A152" t="n">
        <x:v>151</x:v>
      </x:c>
      <x:c r="B152" t="n">
        <x:v>57</x:v>
      </x:c>
      <x:c r="C152" t="str">
        <x:v>Male</x:v>
      </x:c>
      <x:c r="D152" t="str">
        <x:v>Sports</x:v>
      </x:c>
      <x:c r="E152" t="str">
        <x:v>Football</x:v>
      </x:c>
      <x:c r="F152" s="24" t="n">
        <x:v>31.54</x:v>
      </x:c>
      <x:c r="G152" t="str">
        <x:v>Winter</x:v>
      </x:c>
      <x:c r="H152" t="str">
        <x:v>Cash on Delivery</x:v>
      </x:c>
      <x:c r="I152" t="n">
        <x:v>5</x:v>
      </x:c>
      <x:c r="J152" t="n">
        <x:v>16</x:v>
      </x:c>
      <x:c r="K152" t="n">
        <x:v>3</x:v>
      </x:c>
      <x:c r="L152" t="str">
        <x:v>STORE-001</x:v>
      </x:c>
      <x:c r="M152" s="22" t="n">
        <x:v>46252</x:v>
      </x:c>
      <x:c r="N152" t="str">
        <x:v>SKU-006</x:v>
      </x:c>
      <x:c r="O152" t="n">
        <x:v>1</x:v>
      </x:c>
      <x:c r="P152" s="26" t="n">
        <x:f>F152/O152</x:f>
        <x:v>31.54</x:v>
      </x:c>
    </x:row>
    <x:row r="153">
      <x:c r="A153" t="n">
        <x:v>152</x:v>
      </x:c>
      <x:c r="B153" t="n">
        <x:v>35</x:v>
      </x:c>
      <x:c r="C153" t="str">
        <x:v>Female</x:v>
      </x:c>
      <x:c r="D153" t="str">
        <x:v>Footwear</x:v>
      </x:c>
      <x:c r="E153" t="str">
        <x:v>Formal Shoes</x:v>
      </x:c>
      <x:c r="F153" s="24" t="n">
        <x:v>142.19</x:v>
      </x:c>
      <x:c r="G153" t="str">
        <x:v>Spring</x:v>
      </x:c>
      <x:c r="H153" t="str">
        <x:v>Card</x:v>
      </x:c>
      <x:c r="I153" t="n">
        <x:v>3.6</x:v>
      </x:c>
      <x:c r="J153" t="n">
        <x:v>16</x:v>
      </x:c>
      <x:c r="K153" t="n">
        <x:v>3</x:v>
      </x:c>
      <x:c r="L153" t="str">
        <x:v>STORE-001</x:v>
      </x:c>
      <x:c r="M153" s="22" t="n">
        <x:v>45987</x:v>
      </x:c>
      <x:c r="N153" t="str">
        <x:v>SKU-007</x:v>
      </x:c>
      <x:c r="O153" t="n">
        <x:v>1</x:v>
      </x:c>
      <x:c r="P153" s="26" t="n">
        <x:f>F153/O153</x:f>
        <x:v>142.19</x:v>
      </x:c>
    </x:row>
    <x:row r="154">
      <x:c r="A154" t="n">
        <x:v>153</x:v>
      </x:c>
      <x:c r="B154" t="n">
        <x:v>38</x:v>
      </x:c>
      <x:c r="C154" t="str">
        <x:v>Female</x:v>
      </x:c>
      <x:c r="D154" t="str">
        <x:v>Footwear</x:v>
      </x:c>
      <x:c r="E154" t="str">
        <x:v>Formal Shoes</x:v>
      </x:c>
      <x:c r="F154" s="24" t="n">
        <x:v>246.21</x:v>
      </x:c>
      <x:c r="G154" t="str">
        <x:v>Autumn</x:v>
      </x:c>
      <x:c r="H154" t="str">
        <x:v>Card</x:v>
      </x:c>
      <x:c r="I154" t="n">
        <x:v>3.1</x:v>
      </x:c>
      <x:c r="J154" t="n">
        <x:v>8</x:v>
      </x:c>
      <x:c r="K154" t="n">
        <x:v>4</x:v>
      </x:c>
      <x:c r="L154" t="str">
        <x:v>STORE-001</x:v>
      </x:c>
      <x:c r="M154" s="22" t="n">
        <x:v>46112</x:v>
      </x:c>
      <x:c r="N154" t="str">
        <x:v>SKU-007</x:v>
      </x:c>
      <x:c r="O154" t="n">
        <x:v>1</x:v>
      </x:c>
      <x:c r="P154" s="26" t="n">
        <x:f>F154/O154</x:f>
        <x:v>246.21</x:v>
      </x:c>
    </x:row>
    <x:row r="155">
      <x:c r="A155" t="n">
        <x:v>154</x:v>
      </x:c>
      <x:c r="B155" t="n">
        <x:v>68</x:v>
      </x:c>
      <x:c r="C155" t="str">
        <x:v>Male</x:v>
      </x:c>
      <x:c r="D155" t="str">
        <x:v>Footwear</x:v>
      </x:c>
      <x:c r="E155" t="str">
        <x:v>Sandals</x:v>
      </x:c>
      <x:c r="F155" s="24" t="n">
        <x:v>194.06</x:v>
      </x:c>
      <x:c r="G155" t="str">
        <x:v>Spring</x:v>
      </x:c>
      <x:c r="H155" t="str">
        <x:v>Card</x:v>
      </x:c>
      <x:c r="I155" t="n">
        <x:v>3.8</x:v>
      </x:c>
      <x:c r="J155" t="n">
        <x:v>18</x:v>
      </x:c>
      <x:c r="K155" t="n">
        <x:v>4</x:v>
      </x:c>
      <x:c r="L155" t="str">
        <x:v>STORE-001</x:v>
      </x:c>
      <x:c r="M155" s="22" t="n">
        <x:v>45970</x:v>
      </x:c>
      <x:c r="N155" t="str">
        <x:v>SKU-019</x:v>
      </x:c>
      <x:c r="O155" t="n">
        <x:v>1</x:v>
      </x:c>
      <x:c r="P155" s="26" t="n">
        <x:f>F155/O155</x:f>
        <x:v>194.06</x:v>
      </x:c>
    </x:row>
    <x:row r="156">
      <x:c r="A156" t="n">
        <x:v>155</x:v>
      </x:c>
      <x:c r="B156" t="n">
        <x:v>66</x:v>
      </x:c>
      <x:c r="C156" t="str">
        <x:v>Female</x:v>
      </x:c>
      <x:c r="D156" t="str">
        <x:v>Accessories</x:v>
      </x:c>
      <x:c r="E156" t="str">
        <x:v>Handbag</x:v>
      </x:c>
      <x:c r="F156" s="24" t="n">
        <x:v>172.05</x:v>
      </x:c>
      <x:c r="G156" t="str">
        <x:v>Winter</x:v>
      </x:c>
      <x:c r="H156" t="str">
        <x:v>Card</x:v>
      </x:c>
      <x:c r="I156" t="n">
        <x:v>2.5</x:v>
      </x:c>
      <x:c r="J156" t="n">
        <x:v>17</x:v>
      </x:c>
      <x:c r="K156" t="n">
        <x:v>6</x:v>
      </x:c>
      <x:c r="L156" t="str">
        <x:v>STORE-001</x:v>
      </x:c>
      <x:c r="M156" s="22" t="n">
        <x:v>46238</x:v>
      </x:c>
      <x:c r="N156" t="str">
        <x:v>SKU-008</x:v>
      </x:c>
      <x:c r="O156" t="n">
        <x:v>4</x:v>
      </x:c>
      <x:c r="P156" s="26" t="n">
        <x:f>F156/O156</x:f>
        <x:v>43.0125</x:v>
      </x:c>
    </x:row>
    <x:row r="157">
      <x:c r="A157" t="n">
        <x:v>156</x:v>
      </x:c>
      <x:c r="B157" t="n">
        <x:v>38</x:v>
      </x:c>
      <x:c r="C157" t="str">
        <x:v>Female</x:v>
      </x:c>
      <x:c r="D157" t="str">
        <x:v>Womens Clothing</x:v>
      </x:c>
      <x:c r="E157" t="str">
        <x:v>Skirt</x:v>
      </x:c>
      <x:c r="F157" s="24" t="n">
        <x:v>94.08</x:v>
      </x:c>
      <x:c r="G157" t="str">
        <x:v>Summer</x:v>
      </x:c>
      <x:c r="H157" t="str">
        <x:v>Cash on Delivery</x:v>
      </x:c>
      <x:c r="I157" t="n">
        <x:v>4.1</x:v>
      </x:c>
      <x:c r="J157" t="n">
        <x:v>22</x:v>
      </x:c>
      <x:c r="K157" t="n">
        <x:v>6</x:v>
      </x:c>
      <x:c r="L157" t="str">
        <x:v>STORE-001</x:v>
      </x:c>
      <x:c r="M157" s="22" t="n">
        <x:v>46011</x:v>
      </x:c>
      <x:c r="N157" t="str">
        <x:v>SKU-022</x:v>
      </x:c>
      <x:c r="O157" t="n">
        <x:v>1</x:v>
      </x:c>
      <x:c r="P157" s="26" t="n">
        <x:f>F157/O157</x:f>
        <x:v>94.08</x:v>
      </x:c>
    </x:row>
    <x:row r="158">
      <x:c r="A158" t="n">
        <x:v>157</x:v>
      </x:c>
      <x:c r="B158" t="n">
        <x:v>20</x:v>
      </x:c>
      <x:c r="C158" t="str">
        <x:v>Female</x:v>
      </x:c>
      <x:c r="D158" t="str">
        <x:v>Womens Clothing</x:v>
      </x:c>
      <x:c r="E158" t="str">
        <x:v>Dress</x:v>
      </x:c>
      <x:c r="F158" s="24" t="n">
        <x:v>57.01</x:v>
      </x:c>
      <x:c r="G158" t="str">
        <x:v>Summer</x:v>
      </x:c>
      <x:c r="H158" t="str">
        <x:v>Card</x:v>
      </x:c>
      <x:c r="I158" t="n">
        <x:v>3.1</x:v>
      </x:c>
      <x:c r="J158" t="n">
        <x:v>15</x:v>
      </x:c>
      <x:c r="K158" t="n">
        <x:v>5</x:v>
      </x:c>
      <x:c r="L158" t="str">
        <x:v>STORE-001</x:v>
      </x:c>
      <x:c r="M158" s="22" t="n">
        <x:v>46043</x:v>
      </x:c>
      <x:c r="N158" t="str">
        <x:v>SKU-004</x:v>
      </x:c>
      <x:c r="O158" t="n">
        <x:v>1</x:v>
      </x:c>
      <x:c r="P158" s="26" t="n">
        <x:f>F158/O158</x:f>
        <x:v>57.01</x:v>
      </x:c>
    </x:row>
    <x:row r="159">
      <x:c r="A159" t="n">
        <x:v>158</x:v>
      </x:c>
      <x:c r="B159" t="n">
        <x:v>47</x:v>
      </x:c>
      <x:c r="C159" t="str">
        <x:v>Female</x:v>
      </x:c>
      <x:c r="D159" t="str">
        <x:v>Footwear</x:v>
      </x:c>
      <x:c r="E159" t="str">
        <x:v>Formal Shoes</x:v>
      </x:c>
      <x:c r="F159" s="24" t="n">
        <x:v>130.07</x:v>
      </x:c>
      <x:c r="G159" t="str">
        <x:v>Spring</x:v>
      </x:c>
      <x:c r="H159" t="str">
        <x:v>Card</x:v>
      </x:c>
      <x:c r="I159" t="n">
        <x:v>3.1</x:v>
      </x:c>
      <x:c r="J159" t="n">
        <x:v>13</x:v>
      </x:c>
      <x:c r="K159" t="n">
        <x:v>4</x:v>
      </x:c>
      <x:c r="L159" t="str">
        <x:v>STORE-001</x:v>
      </x:c>
      <x:c r="M159" s="22" t="n">
        <x:v>46288</x:v>
      </x:c>
      <x:c r="N159" t="str">
        <x:v>SKU-007</x:v>
      </x:c>
      <x:c r="O159" t="n">
        <x:v>1</x:v>
      </x:c>
      <x:c r="P159" s="26" t="n">
        <x:f>F159/O159</x:f>
        <x:v>130.07</x:v>
      </x:c>
    </x:row>
    <x:row r="160">
      <x:c r="A160" t="n">
        <x:v>159</x:v>
      </x:c>
      <x:c r="B160" t="n">
        <x:v>62</x:v>
      </x:c>
      <x:c r="C160" t="str">
        <x:v>Male</x:v>
      </x:c>
      <x:c r="D160" t="str">
        <x:v>Mens Clothing</x:v>
      </x:c>
      <x:c r="E160" t="str">
        <x:v>Shirt</x:v>
      </x:c>
      <x:c r="F160" s="24" t="n">
        <x:v>161.22</x:v>
      </x:c>
      <x:c r="G160" t="str">
        <x:v>Autumn</x:v>
      </x:c>
      <x:c r="H160" t="str">
        <x:v>Card</x:v>
      </x:c>
      <x:c r="I160" t="n">
        <x:v>4.7</x:v>
      </x:c>
      <x:c r="J160" t="n">
        <x:v>18</x:v>
      </x:c>
      <x:c r="K160" t="n">
        <x:v>4</x:v>
      </x:c>
      <x:c r="L160" t="str">
        <x:v>STORE-001</x:v>
      </x:c>
      <x:c r="M160" s="22" t="n">
        <x:v>46091</x:v>
      </x:c>
      <x:c r="N160" t="str">
        <x:v>SKU-020</x:v>
      </x:c>
      <x:c r="O160" t="n">
        <x:v>1</x:v>
      </x:c>
      <x:c r="P160" s="26" t="n">
        <x:f>F160/O160</x:f>
        <x:v>161.22</x:v>
      </x:c>
    </x:row>
    <x:row r="161">
      <x:c r="A161" t="n">
        <x:v>160</x:v>
      </x:c>
      <x:c r="B161" t="n">
        <x:v>33</x:v>
      </x:c>
      <x:c r="C161" t="str">
        <x:v>Male</x:v>
      </x:c>
      <x:c r="D161" t="str">
        <x:v>Electronics</x:v>
      </x:c>
      <x:c r="E161" t="str">
        <x:v>Mobile Phone</x:v>
      </x:c>
      <x:c r="F161" s="24" t="n">
        <x:v>862.41</x:v>
      </x:c>
      <x:c r="G161" t="str">
        <x:v>Spring</x:v>
      </x:c>
      <x:c r="H161" t="str">
        <x:v>Card</x:v>
      </x:c>
      <x:c r="I161" t="n">
        <x:v>3.5</x:v>
      </x:c>
      <x:c r="J161" t="n">
        <x:v>12</x:v>
      </x:c>
      <x:c r="K161" t="n">
        <x:v>6</x:v>
      </x:c>
      <x:c r="L161" t="str">
        <x:v>STORE-001</x:v>
      </x:c>
      <x:c r="M161" s="22" t="n">
        <x:v>45953</x:v>
      </x:c>
      <x:c r="N161" t="str">
        <x:v>SKU-016</x:v>
      </x:c>
      <x:c r="O161" t="n">
        <x:v>1</x:v>
      </x:c>
      <x:c r="P161" s="26" t="n">
        <x:f>F161/O161</x:f>
        <x:v>862.41</x:v>
      </x:c>
    </x:row>
    <x:row r="162">
      <x:c r="A162" t="n">
        <x:v>161</x:v>
      </x:c>
      <x:c r="B162" t="n">
        <x:v>23</x:v>
      </x:c>
      <x:c r="C162" t="str">
        <x:v>Male</x:v>
      </x:c>
      <x:c r="D162" t="str">
        <x:v>Footwear</x:v>
      </x:c>
      <x:c r="E162" t="str">
        <x:v>Formal Shoes</x:v>
      </x:c>
      <x:c r="F162" s="24" t="n">
        <x:v>157.86</x:v>
      </x:c>
      <x:c r="G162" t="str">
        <x:v>Spring</x:v>
      </x:c>
      <x:c r="H162" t="str">
        <x:v>Card</x:v>
      </x:c>
      <x:c r="I162" t="n">
        <x:v>5</x:v>
      </x:c>
      <x:c r="J162" t="n">
        <x:v>13</x:v>
      </x:c>
      <x:c r="K162" t="n">
        <x:v>4</x:v>
      </x:c>
      <x:c r="L162" t="str">
        <x:v>STORE-001</x:v>
      </x:c>
      <x:c r="M162" s="22" t="n">
        <x:v>46278</x:v>
      </x:c>
      <x:c r="N162" t="str">
        <x:v>SKU-007</x:v>
      </x:c>
      <x:c r="O162" t="n">
        <x:v>1</x:v>
      </x:c>
      <x:c r="P162" s="26" t="n">
        <x:f>F162/O162</x:f>
        <x:v>157.86</x:v>
      </x:c>
    </x:row>
    <x:row r="163">
      <x:c r="A163" t="n">
        <x:v>162</x:v>
      </x:c>
      <x:c r="B163" t="n">
        <x:v>25</x:v>
      </x:c>
      <x:c r="C163" t="str">
        <x:v>Female</x:v>
      </x:c>
      <x:c r="D163" t="str">
        <x:v>Beauty</x:v>
      </x:c>
      <x:c r="E163" t="str">
        <x:v>Skincare Kit</x:v>
      </x:c>
      <x:c r="F163" s="24" t="n">
        <x:v>142.94</x:v>
      </x:c>
      <x:c r="G163" t="str">
        <x:v>Autumn</x:v>
      </x:c>
      <x:c r="H163" t="str">
        <x:v>Card</x:v>
      </x:c>
      <x:c r="I163" t="n">
        <x:v>4.5</x:v>
      </x:c>
      <x:c r="J163" t="n">
        <x:v>17</x:v>
      </x:c>
      <x:c r="K163" t="n">
        <x:v>6</x:v>
      </x:c>
      <x:c r="L163" t="str">
        <x:v>STORE-001</x:v>
      </x:c>
      <x:c r="M163" s="22" t="n">
        <x:v>46164</x:v>
      </x:c>
      <x:c r="N163" t="str">
        <x:v>SKU-021</x:v>
      </x:c>
      <x:c r="O163" t="n">
        <x:v>2</x:v>
      </x:c>
      <x:c r="P163" s="26" t="n">
        <x:f>F163/O163</x:f>
        <x:v>71.47</x:v>
      </x:c>
    </x:row>
    <x:row r="164">
      <x:c r="A164" t="n">
        <x:v>163</x:v>
      </x:c>
      <x:c r="B164" t="n">
        <x:v>29</x:v>
      </x:c>
      <x:c r="C164" t="str">
        <x:v>Male</x:v>
      </x:c>
      <x:c r="D164" t="str">
        <x:v>Sports</x:v>
      </x:c>
      <x:c r="E164" t="str">
        <x:v>Football</x:v>
      </x:c>
      <x:c r="F164" s="24" t="n">
        <x:v>70.31</x:v>
      </x:c>
      <x:c r="G164" t="str">
        <x:v>Summer</x:v>
      </x:c>
      <x:c r="H164" t="str">
        <x:v>Cash on Delivery</x:v>
      </x:c>
      <x:c r="I164" t="n">
        <x:v>3</x:v>
      </x:c>
      <x:c r="J164" t="n">
        <x:v>8</x:v>
      </x:c>
      <x:c r="K164" t="n">
        <x:v>4</x:v>
      </x:c>
      <x:c r="L164" t="str">
        <x:v>STORE-001</x:v>
      </x:c>
      <x:c r="M164" s="22" t="n">
        <x:v>46067</x:v>
      </x:c>
      <x:c r="N164" t="str">
        <x:v>SKU-006</x:v>
      </x:c>
      <x:c r="O164" t="n">
        <x:v>1</x:v>
      </x:c>
      <x:c r="P164" s="26" t="n">
        <x:f>F164/O164</x:f>
        <x:v>70.31</x:v>
      </x:c>
    </x:row>
    <x:row r="165">
      <x:c r="A165" t="n">
        <x:v>164</x:v>
      </x:c>
      <x:c r="B165" t="n">
        <x:v>60</x:v>
      </x:c>
      <x:c r="C165" t="str">
        <x:v>Female</x:v>
      </x:c>
      <x:c r="D165" t="str">
        <x:v>Womens Clothing</x:v>
      </x:c>
      <x:c r="E165" t="str">
        <x:v>Dress</x:v>
      </x:c>
      <x:c r="F165" s="24" t="n">
        <x:v>34.62</x:v>
      </x:c>
      <x:c r="G165" t="str">
        <x:v>Summer</x:v>
      </x:c>
      <x:c r="H165" t="str">
        <x:v>Card</x:v>
      </x:c>
      <x:c r="I165" t="n">
        <x:v>4.2</x:v>
      </x:c>
      <x:c r="J165" t="n">
        <x:v>20</x:v>
      </x:c>
      <x:c r="K165" t="n">
        <x:v>5</x:v>
      </x:c>
      <x:c r="L165" t="str">
        <x:v>STORE-001</x:v>
      </x:c>
      <x:c r="M165" s="22" t="n">
        <x:v>46045</x:v>
      </x:c>
      <x:c r="N165" t="str">
        <x:v>SKU-004</x:v>
      </x:c>
      <x:c r="O165" t="n">
        <x:v>2</x:v>
      </x:c>
      <x:c r="P165" s="26" t="n">
        <x:f>F165/O165</x:f>
        <x:v>17.31</x:v>
      </x:c>
    </x:row>
    <x:row r="166">
      <x:c r="A166" t="n">
        <x:v>165</x:v>
      </x:c>
      <x:c r="B166" t="n">
        <x:v>69</x:v>
      </x:c>
      <x:c r="C166" t="str">
        <x:v>Male</x:v>
      </x:c>
      <x:c r="D166" t="str">
        <x:v>Footwear</x:v>
      </x:c>
      <x:c r="E166" t="str">
        <x:v>Sandals</x:v>
      </x:c>
      <x:c r="F166" s="24" t="n">
        <x:v>82.79</x:v>
      </x:c>
      <x:c r="G166" t="str">
        <x:v>Summer</x:v>
      </x:c>
      <x:c r="H166" t="str">
        <x:v>Cash on Delivery</x:v>
      </x:c>
      <x:c r="I166" t="n">
        <x:v>5</x:v>
      </x:c>
      <x:c r="J166" t="n">
        <x:v>21</x:v>
      </x:c>
      <x:c r="K166" t="n">
        <x:v>8</x:v>
      </x:c>
      <x:c r="L166" t="str">
        <x:v>STORE-001</x:v>
      </x:c>
      <x:c r="M166" s="22" t="n">
        <x:v>46004</x:v>
      </x:c>
      <x:c r="N166" t="str">
        <x:v>SKU-019</x:v>
      </x:c>
      <x:c r="O166" t="n">
        <x:v>2</x:v>
      </x:c>
      <x:c r="P166" s="26" t="n">
        <x:f>F166/O166</x:f>
        <x:v>41.395</x:v>
      </x:c>
    </x:row>
    <x:row r="167">
      <x:c r="A167" t="n">
        <x:v>166</x:v>
      </x:c>
      <x:c r="B167" t="n">
        <x:v>35</x:v>
      </x:c>
      <x:c r="C167" t="str">
        <x:v>Male</x:v>
      </x:c>
      <x:c r="D167" t="str">
        <x:v>Footwear</x:v>
      </x:c>
      <x:c r="E167" t="str">
        <x:v>Formal Shoes</x:v>
      </x:c>
      <x:c r="F167" s="24" t="n">
        <x:v>75.46</x:v>
      </x:c>
      <x:c r="G167" t="str">
        <x:v>Autumn</x:v>
      </x:c>
      <x:c r="H167" t="str">
        <x:v>Card</x:v>
      </x:c>
      <x:c r="I167" t="n">
        <x:v>2.5</x:v>
      </x:c>
      <x:c r="J167" t="n">
        <x:v>16</x:v>
      </x:c>
      <x:c r="K167" t="n">
        <x:v>3</x:v>
      </x:c>
      <x:c r="L167" t="str">
        <x:v>STORE-001</x:v>
      </x:c>
      <x:c r="M167" s="22" t="n">
        <x:v>46140</x:v>
      </x:c>
      <x:c r="N167" t="str">
        <x:v>SKU-007</x:v>
      </x:c>
      <x:c r="O167" t="n">
        <x:v>3</x:v>
      </x:c>
      <x:c r="P167" s="26" t="n">
        <x:f>F167/O167</x:f>
        <x:v>25.153333333333332</x:v>
      </x:c>
    </x:row>
    <x:row r="168">
      <x:c r="A168" t="n">
        <x:v>167</x:v>
      </x:c>
      <x:c r="B168" t="n">
        <x:v>49</x:v>
      </x:c>
      <x:c r="C168" t="str">
        <x:v>Female</x:v>
      </x:c>
      <x:c r="D168" t="str">
        <x:v>Accessories</x:v>
      </x:c>
      <x:c r="E168" t="str">
        <x:v>Handbag</x:v>
      </x:c>
      <x:c r="F168" s="24" t="n">
        <x:v>148.58</x:v>
      </x:c>
      <x:c r="G168" t="str">
        <x:v>Summer</x:v>
      </x:c>
      <x:c r="H168" t="str">
        <x:v>Card</x:v>
      </x:c>
      <x:c r="I168" t="n">
        <x:v>4.3</x:v>
      </x:c>
      <x:c r="J168" t="n">
        <x:v>26</x:v>
      </x:c>
      <x:c r="K168" t="n">
        <x:v>8</x:v>
      </x:c>
      <x:c r="L168" t="str">
        <x:v>STORE-001</x:v>
      </x:c>
      <x:c r="M168" s="22" t="n">
        <x:v>46011</x:v>
      </x:c>
      <x:c r="N168" t="str">
        <x:v>SKU-008</x:v>
      </x:c>
      <x:c r="O168" t="n">
        <x:v>1</x:v>
      </x:c>
      <x:c r="P168" s="26" t="n">
        <x:f>F168/O168</x:f>
        <x:v>148.58</x:v>
      </x:c>
    </x:row>
    <x:row r="169">
      <x:c r="A169" t="n">
        <x:v>168</x:v>
      </x:c>
      <x:c r="B169" t="n">
        <x:v>52</x:v>
      </x:c>
      <x:c r="C169" t="str">
        <x:v>Female</x:v>
      </x:c>
      <x:c r="D169" t="str">
        <x:v>Womens Clothing</x:v>
      </x:c>
      <x:c r="E169" t="str">
        <x:v>Top</x:v>
      </x:c>
      <x:c r="F169" s="24" t="n">
        <x:v>43.5</x:v>
      </x:c>
      <x:c r="G169" t="str">
        <x:v>Autumn</x:v>
      </x:c>
      <x:c r="H169" t="str">
        <x:v>Cash on Delivery</x:v>
      </x:c>
      <x:c r="I169" t="n">
        <x:v>3.4</x:v>
      </x:c>
      <x:c r="J169" t="n">
        <x:v>24</x:v>
      </x:c>
      <x:c r="K169" t="n">
        <x:v>7</x:v>
      </x:c>
      <x:c r="L169" t="str">
        <x:v>STORE-001</x:v>
      </x:c>
      <x:c r="M169" s="22" t="n">
        <x:v>46129</x:v>
      </x:c>
      <x:c r="N169" t="str">
        <x:v>SKU-028</x:v>
      </x:c>
      <x:c r="O169" t="n">
        <x:v>1</x:v>
      </x:c>
      <x:c r="P169" s="26" t="n">
        <x:f>F169/O169</x:f>
        <x:v>43.5</x:v>
      </x:c>
    </x:row>
    <x:row r="170">
      <x:c r="A170" t="n">
        <x:v>169</x:v>
      </x:c>
      <x:c r="B170" t="n">
        <x:v>28</x:v>
      </x:c>
      <x:c r="C170" t="str">
        <x:v>Male</x:v>
      </x:c>
      <x:c r="D170" t="str">
        <x:v>Mens Clothing</x:v>
      </x:c>
      <x:c r="E170" t="str">
        <x:v>Jacket</x:v>
      </x:c>
      <x:c r="F170" s="24" t="n">
        <x:v>179.57</x:v>
      </x:c>
      <x:c r="G170" t="str">
        <x:v>Winter</x:v>
      </x:c>
      <x:c r="H170" t="str">
        <x:v>Card</x:v>
      </x:c>
      <x:c r="I170" t="n">
        <x:v>3.2</x:v>
      </x:c>
      <x:c r="J170" t="n">
        <x:v>6</x:v>
      </x:c>
      <x:c r="K170" t="n">
        <x:v>3</x:v>
      </x:c>
      <x:c r="L170" t="str">
        <x:v>STORE-001</x:v>
      </x:c>
      <x:c r="M170" s="22" t="n">
        <x:v>46178</x:v>
      </x:c>
      <x:c r="N170" t="str">
        <x:v>SKU-010</x:v>
      </x:c>
      <x:c r="O170" t="n">
        <x:v>2</x:v>
      </x:c>
      <x:c r="P170" s="26" t="n">
        <x:f>F170/O170</x:f>
        <x:v>89.785</x:v>
      </x:c>
    </x:row>
    <x:row r="171">
      <x:c r="A171" t="n">
        <x:v>170</x:v>
      </x:c>
      <x:c r="B171" t="n">
        <x:v>70</x:v>
      </x:c>
      <x:c r="C171" t="str">
        <x:v>Male</x:v>
      </x:c>
      <x:c r="D171" t="str">
        <x:v>Sports</x:v>
      </x:c>
      <x:c r="E171" t="str">
        <x:v>Football</x:v>
      </x:c>
      <x:c r="F171" s="24" t="n">
        <x:v>122.99</x:v>
      </x:c>
      <x:c r="G171" t="str">
        <x:v>Autumn</x:v>
      </x:c>
      <x:c r="H171" t="str">
        <x:v>Card</x:v>
      </x:c>
      <x:c r="I171" t="n">
        <x:v>3.4</x:v>
      </x:c>
      <x:c r="J171" t="n">
        <x:v>10</x:v>
      </x:c>
      <x:c r="K171" t="n">
        <x:v>5</x:v>
      </x:c>
      <x:c r="L171" t="str">
        <x:v>STORE-001</x:v>
      </x:c>
      <x:c r="M171" s="22" t="n">
        <x:v>46112</x:v>
      </x:c>
      <x:c r="N171" t="str">
        <x:v>SKU-006</x:v>
      </x:c>
      <x:c r="O171" t="n">
        <x:v>1</x:v>
      </x:c>
      <x:c r="P171" s="26" t="n">
        <x:f>F171/O171</x:f>
        <x:v>122.99</x:v>
      </x:c>
    </x:row>
    <x:row r="172">
      <x:c r="A172" t="n">
        <x:v>171</x:v>
      </x:c>
      <x:c r="B172" t="n">
        <x:v>53</x:v>
      </x:c>
      <x:c r="C172" t="str">
        <x:v>Female</x:v>
      </x:c>
      <x:c r="D172" t="str">
        <x:v>Footwear</x:v>
      </x:c>
      <x:c r="E172" t="str">
        <x:v>Sandals</x:v>
      </x:c>
      <x:c r="F172" s="24" t="n">
        <x:v>76.73</x:v>
      </x:c>
      <x:c r="G172" t="str">
        <x:v>Autumn</x:v>
      </x:c>
      <x:c r="H172" t="str">
        <x:v>Cash on Delivery</x:v>
      </x:c>
      <x:c r="I172" t="n">
        <x:v>5</x:v>
      </x:c>
      <x:c r="J172" t="n">
        <x:v>24</x:v>
      </x:c>
      <x:c r="K172" t="n">
        <x:v>7</x:v>
      </x:c>
      <x:c r="L172" t="str">
        <x:v>STORE-001</x:v>
      </x:c>
      <x:c r="M172" s="22" t="n">
        <x:v>46113</x:v>
      </x:c>
      <x:c r="N172" t="str">
        <x:v>SKU-019</x:v>
      </x:c>
      <x:c r="O172" t="n">
        <x:v>1</x:v>
      </x:c>
      <x:c r="P172" s="26" t="n">
        <x:f>F172/O172</x:f>
        <x:v>76.73</x:v>
      </x:c>
    </x:row>
    <x:row r="173">
      <x:c r="A173" t="n">
        <x:v>172</x:v>
      </x:c>
      <x:c r="B173" t="n">
        <x:v>36</x:v>
      </x:c>
      <x:c r="C173" t="str">
        <x:v>Male</x:v>
      </x:c>
      <x:c r="D173" t="str">
        <x:v>Sports</x:v>
      </x:c>
      <x:c r="E173" t="str">
        <x:v>Football</x:v>
      </x:c>
      <x:c r="F173" s="24" t="n">
        <x:v>227.24</x:v>
      </x:c>
      <x:c r="G173" t="str">
        <x:v>Summer</x:v>
      </x:c>
      <x:c r="H173" t="str">
        <x:v>Card</x:v>
      </x:c>
      <x:c r="I173" t="n">
        <x:v>3.4</x:v>
      </x:c>
      <x:c r="J173" t="n">
        <x:v>14</x:v>
      </x:c>
      <x:c r="K173" t="n">
        <x:v>2</x:v>
      </x:c>
      <x:c r="L173" t="str">
        <x:v>STORE-001</x:v>
      </x:c>
      <x:c r="M173" s="22" t="n">
        <x:v>46058</x:v>
      </x:c>
      <x:c r="N173" t="str">
        <x:v>SKU-006</x:v>
      </x:c>
      <x:c r="O173" t="n">
        <x:v>1</x:v>
      </x:c>
      <x:c r="P173" s="26" t="n">
        <x:f>F173/O173</x:f>
        <x:v>227.24</x:v>
      </x:c>
    </x:row>
    <x:row r="174">
      <x:c r="A174" t="n">
        <x:v>173</x:v>
      </x:c>
      <x:c r="B174" t="n">
        <x:v>53</x:v>
      </x:c>
      <x:c r="C174" t="str">
        <x:v>Female</x:v>
      </x:c>
      <x:c r="D174" t="str">
        <x:v>Womens Clothing</x:v>
      </x:c>
      <x:c r="E174" t="str">
        <x:v>Jeans</x:v>
      </x:c>
      <x:c r="F174" s="24" t="n">
        <x:v>94.87</x:v>
      </x:c>
      <x:c r="G174" t="str">
        <x:v>Winter</x:v>
      </x:c>
      <x:c r="H174" t="str">
        <x:v>Cash on Delivery</x:v>
      </x:c>
      <x:c r="I174" t="n">
        <x:v>3.6</x:v>
      </x:c>
      <x:c r="J174" t="n">
        <x:v>13</x:v>
      </x:c>
      <x:c r="K174" t="n">
        <x:v>4</x:v>
      </x:c>
      <x:c r="L174" t="str">
        <x:v>STORE-001</x:v>
      </x:c>
      <x:c r="M174" s="22" t="n">
        <x:v>46178</x:v>
      </x:c>
      <x:c r="N174" t="str">
        <x:v>SKU-011</x:v>
      </x:c>
      <x:c r="O174" t="n">
        <x:v>1</x:v>
      </x:c>
      <x:c r="P174" s="26" t="n">
        <x:f>F174/O174</x:f>
        <x:v>94.87</x:v>
      </x:c>
    </x:row>
    <x:row r="175">
      <x:c r="A175" t="n">
        <x:v>174</x:v>
      </x:c>
      <x:c r="B175" t="n">
        <x:v>38</x:v>
      </x:c>
      <x:c r="C175" t="str">
        <x:v>Female</x:v>
      </x:c>
      <x:c r="D175" t="str">
        <x:v>Womens Clothing</x:v>
      </x:c>
      <x:c r="E175" t="str">
        <x:v>Skirt</x:v>
      </x:c>
      <x:c r="F175" s="24" t="n">
        <x:v>166.83</x:v>
      </x:c>
      <x:c r="G175" t="str">
        <x:v>Winter</x:v>
      </x:c>
      <x:c r="H175" t="str">
        <x:v>Card</x:v>
      </x:c>
      <x:c r="I175" t="n">
        <x:v>4.1</x:v>
      </x:c>
      <x:c r="J175" t="n">
        <x:v>16</x:v>
      </x:c>
      <x:c r="K175" t="n">
        <x:v>3</x:v>
      </x:c>
      <x:c r="L175" t="str">
        <x:v>STORE-001</x:v>
      </x:c>
      <x:c r="M175" s="22" t="n">
        <x:v>46263</x:v>
      </x:c>
      <x:c r="N175" t="str">
        <x:v>SKU-022</x:v>
      </x:c>
      <x:c r="O175" t="n">
        <x:v>2</x:v>
      </x:c>
      <x:c r="P175" s="26" t="n">
        <x:f>F175/O175</x:f>
        <x:v>83.415</x:v>
      </x:c>
    </x:row>
    <x:row r="176">
      <x:c r="A176" t="n">
        <x:v>175</x:v>
      </x:c>
      <x:c r="B176" t="n">
        <x:v>38</x:v>
      </x:c>
      <x:c r="C176" t="str">
        <x:v>Male</x:v>
      </x:c>
      <x:c r="D176" t="str">
        <x:v>Sports</x:v>
      </x:c>
      <x:c r="E176" t="str">
        <x:v>Yoga Mat</x:v>
      </x:c>
      <x:c r="F176" s="24" t="n">
        <x:v>52.06</x:v>
      </x:c>
      <x:c r="G176" t="str">
        <x:v>Winter</x:v>
      </x:c>
      <x:c r="H176" t="str">
        <x:v>Card</x:v>
      </x:c>
      <x:c r="I176" t="n">
        <x:v>2.3</x:v>
      </x:c>
      <x:c r="J176" t="n">
        <x:v>4</x:v>
      </x:c>
      <x:c r="K176" t="n">
        <x:v>2</x:v>
      </x:c>
      <x:c r="L176" t="str">
        <x:v>STORE-001</x:v>
      </x:c>
      <x:c r="M176" s="22" t="n">
        <x:v>46177</x:v>
      </x:c>
      <x:c r="N176" t="str">
        <x:v>SKU-030</x:v>
      </x:c>
      <x:c r="O176" t="n">
        <x:v>1</x:v>
      </x:c>
      <x:c r="P176" s="26" t="n">
        <x:f>F176/O176</x:f>
        <x:v>52.06</x:v>
      </x:c>
    </x:row>
    <x:row r="177">
      <x:c r="A177" t="n">
        <x:v>176</x:v>
      </x:c>
      <x:c r="B177" t="n">
        <x:v>54</x:v>
      </x:c>
      <x:c r="C177" t="str">
        <x:v>Male</x:v>
      </x:c>
      <x:c r="D177" t="str">
        <x:v>Mens Clothing</x:v>
      </x:c>
      <x:c r="E177" t="str">
        <x:v>Shirt</x:v>
      </x:c>
      <x:c r="F177" s="24" t="n">
        <x:v>38.18</x:v>
      </x:c>
      <x:c r="G177" t="str">
        <x:v>Winter</x:v>
      </x:c>
      <x:c r="H177" t="str">
        <x:v>Cash on Delivery</x:v>
      </x:c>
      <x:c r="I177" t="n">
        <x:v>3.5</x:v>
      </x:c>
      <x:c r="J177" t="n">
        <x:v>12</x:v>
      </x:c>
      <x:c r="K177" t="n">
        <x:v>6</x:v>
      </x:c>
      <x:c r="L177" t="str">
        <x:v>STORE-001</x:v>
      </x:c>
      <x:c r="M177" s="22" t="n">
        <x:v>46199</x:v>
      </x:c>
      <x:c r="N177" t="str">
        <x:v>SKU-020</x:v>
      </x:c>
      <x:c r="O177" t="n">
        <x:v>2</x:v>
      </x:c>
      <x:c r="P177" s="26" t="n">
        <x:f>F177/O177</x:f>
        <x:v>19.09</x:v>
      </x:c>
    </x:row>
    <x:row r="178">
      <x:c r="A178" t="n">
        <x:v>177</x:v>
      </x:c>
      <x:c r="B178" t="n">
        <x:v>67</x:v>
      </x:c>
      <x:c r="C178" t="str">
        <x:v>Female</x:v>
      </x:c>
      <x:c r="D178" t="str">
        <x:v>Accessories</x:v>
      </x:c>
      <x:c r="E178" t="str">
        <x:v>Wallet</x:v>
      </x:c>
      <x:c r="F178" s="24" t="n">
        <x:v>156.91</x:v>
      </x:c>
      <x:c r="G178" t="str">
        <x:v>Summer</x:v>
      </x:c>
      <x:c r="H178" t="str">
        <x:v>Card</x:v>
      </x:c>
      <x:c r="I178" t="n">
        <x:v>3.3</x:v>
      </x:c>
      <x:c r="J178" t="n">
        <x:v>8</x:v>
      </x:c>
      <x:c r="K178" t="n">
        <x:v>4</x:v>
      </x:c>
      <x:c r="L178" t="str">
        <x:v>STORE-001</x:v>
      </x:c>
      <x:c r="M178" s="22" t="n">
        <x:v>46048</x:v>
      </x:c>
      <x:c r="N178" t="str">
        <x:v>SKU-029</x:v>
      </x:c>
      <x:c r="O178" t="n">
        <x:v>1</x:v>
      </x:c>
      <x:c r="P178" s="26" t="n">
        <x:f>F178/O178</x:f>
        <x:v>156.91</x:v>
      </x:c>
    </x:row>
    <x:row r="179">
      <x:c r="A179" t="n">
        <x:v>178</x:v>
      </x:c>
      <x:c r="B179" t="n">
        <x:v>36</x:v>
      </x:c>
      <x:c r="C179" t="str">
        <x:v>Female</x:v>
      </x:c>
      <x:c r="D179" t="str">
        <x:v>Beauty</x:v>
      </x:c>
      <x:c r="E179" t="str">
        <x:v>Skincare Kit</x:v>
      </x:c>
      <x:c r="F179" s="24" t="n">
        <x:v>110.28</x:v>
      </x:c>
      <x:c r="G179" t="str">
        <x:v>Spring</x:v>
      </x:c>
      <x:c r="H179" t="str">
        <x:v>Card</x:v>
      </x:c>
      <x:c r="I179" t="n">
        <x:v>3.8</x:v>
      </x:c>
      <x:c r="J179" t="n">
        <x:v>16</x:v>
      </x:c>
      <x:c r="K179" t="n">
        <x:v>3</x:v>
      </x:c>
      <x:c r="L179" t="str">
        <x:v>STORE-001</x:v>
      </x:c>
      <x:c r="M179" s="22" t="n">
        <x:v>46292</x:v>
      </x:c>
      <x:c r="N179" t="str">
        <x:v>SKU-021</x:v>
      </x:c>
      <x:c r="O179" t="n">
        <x:v>2</x:v>
      </x:c>
      <x:c r="P179" s="26" t="n">
        <x:f>F179/O179</x:f>
        <x:v>55.14</x:v>
      </x:c>
    </x:row>
    <x:row r="180">
      <x:c r="A180" t="n">
        <x:v>179</x:v>
      </x:c>
      <x:c r="B180" t="n">
        <x:v>48</x:v>
      </x:c>
      <x:c r="C180" t="str">
        <x:v>Female</x:v>
      </x:c>
      <x:c r="D180" t="str">
        <x:v>Accessories</x:v>
      </x:c>
      <x:c r="E180" t="str">
        <x:v>Wallet</x:v>
      </x:c>
      <x:c r="F180" s="24" t="n">
        <x:v>114.67</x:v>
      </x:c>
      <x:c r="G180" t="str">
        <x:v>Winter</x:v>
      </x:c>
      <x:c r="H180" t="str">
        <x:v>Card</x:v>
      </x:c>
      <x:c r="I180" t="n">
        <x:v>3.5</x:v>
      </x:c>
      <x:c r="J180" t="n">
        <x:v>8</x:v>
      </x:c>
      <x:c r="K180" t="n">
        <x:v>4</x:v>
      </x:c>
      <x:c r="L180" t="str">
        <x:v>STORE-001</x:v>
      </x:c>
      <x:c r="M180" s="22" t="n">
        <x:v>46247</x:v>
      </x:c>
      <x:c r="N180" t="str">
        <x:v>SKU-029</x:v>
      </x:c>
      <x:c r="O180" t="n">
        <x:v>2</x:v>
      </x:c>
      <x:c r="P180" s="26" t="n">
        <x:f>F180/O180</x:f>
        <x:v>57.335</x:v>
      </x:c>
    </x:row>
    <x:row r="181">
      <x:c r="A181" t="n">
        <x:v>180</x:v>
      </x:c>
      <x:c r="B181" t="n">
        <x:v>20</x:v>
      </x:c>
      <x:c r="C181" t="str">
        <x:v>Female</x:v>
      </x:c>
      <x:c r="D181" t="str">
        <x:v>Womens Clothing</x:v>
      </x:c>
      <x:c r="E181" t="str">
        <x:v>Top</x:v>
      </x:c>
      <x:c r="F181" s="24" t="n">
        <x:v>73.25</x:v>
      </x:c>
      <x:c r="G181" t="str">
        <x:v>Winter</x:v>
      </x:c>
      <x:c r="H181" t="str">
        <x:v>Card</x:v>
      </x:c>
      <x:c r="I181" t="n">
        <x:v>2.5</x:v>
      </x:c>
      <x:c r="J181" t="n">
        <x:v>11</x:v>
      </x:c>
      <x:c r="K181" t="n">
        <x:v>3</x:v>
      </x:c>
      <x:c r="L181" t="str">
        <x:v>STORE-001</x:v>
      </x:c>
      <x:c r="M181" s="22" t="n">
        <x:v>46206</x:v>
      </x:c>
      <x:c r="N181" t="str">
        <x:v>SKU-028</x:v>
      </x:c>
      <x:c r="O181" t="n">
        <x:v>1</x:v>
      </x:c>
      <x:c r="P181" s="26" t="n">
        <x:f>F181/O181</x:f>
        <x:v>73.25</x:v>
      </x:c>
    </x:row>
    <x:row r="182">
      <x:c r="A182" t="n">
        <x:v>181</x:v>
      </x:c>
      <x:c r="B182" t="n">
        <x:v>48</x:v>
      </x:c>
      <x:c r="C182" t="str">
        <x:v>Male</x:v>
      </x:c>
      <x:c r="D182" t="str">
        <x:v>Sports</x:v>
      </x:c>
      <x:c r="E182" t="str">
        <x:v>Yoga Mat</x:v>
      </x:c>
      <x:c r="F182" s="24" t="n">
        <x:v>162.43</x:v>
      </x:c>
      <x:c r="G182" t="str">
        <x:v>Summer</x:v>
      </x:c>
      <x:c r="H182" t="str">
        <x:v>Card</x:v>
      </x:c>
      <x:c r="I182" t="n">
        <x:v>3.4</x:v>
      </x:c>
      <x:c r="J182" t="n">
        <x:v>11</x:v>
      </x:c>
      <x:c r="K182" t="n">
        <x:v>3</x:v>
      </x:c>
      <x:c r="L182" t="str">
        <x:v>STORE-001</x:v>
      </x:c>
      <x:c r="M182" s="22" t="n">
        <x:v>45995</x:v>
      </x:c>
      <x:c r="N182" t="str">
        <x:v>SKU-030</x:v>
      </x:c>
      <x:c r="O182" t="n">
        <x:v>1</x:v>
      </x:c>
      <x:c r="P182" s="26" t="n">
        <x:f>F182/O182</x:f>
        <x:v>162.43</x:v>
      </x:c>
    </x:row>
    <x:row r="183">
      <x:c r="A183" t="n">
        <x:v>182</x:v>
      </x:c>
      <x:c r="B183" t="n">
        <x:v>40</x:v>
      </x:c>
      <x:c r="C183" t="str">
        <x:v>Male</x:v>
      </x:c>
      <x:c r="D183" t="str">
        <x:v>Mens Clothing</x:v>
      </x:c>
      <x:c r="E183" t="str">
        <x:v>Jeans</x:v>
      </x:c>
      <x:c r="F183" s="24" t="n">
        <x:v>79.89</x:v>
      </x:c>
      <x:c r="G183" t="str">
        <x:v>Summer</x:v>
      </x:c>
      <x:c r="H183" t="str">
        <x:v>Card</x:v>
      </x:c>
      <x:c r="I183" t="n">
        <x:v>4.4</x:v>
      </x:c>
      <x:c r="J183" t="n">
        <x:v>18</x:v>
      </x:c>
      <x:c r="K183" t="n">
        <x:v>4</x:v>
      </x:c>
      <x:c r="L183" t="str">
        <x:v>STORE-001</x:v>
      </x:c>
      <x:c r="M183" s="22" t="n">
        <x:v>46008</x:v>
      </x:c>
      <x:c r="N183" t="str">
        <x:v>SKU-011</x:v>
      </x:c>
      <x:c r="O183" t="n">
        <x:v>1</x:v>
      </x:c>
      <x:c r="P183" s="26" t="n">
        <x:f>F183/O183</x:f>
        <x:v>79.89</x:v>
      </x:c>
    </x:row>
    <x:row r="184">
      <x:c r="A184" t="n">
        <x:v>183</x:v>
      </x:c>
      <x:c r="B184" t="n">
        <x:v>60</x:v>
      </x:c>
      <x:c r="C184" t="str">
        <x:v>Male</x:v>
      </x:c>
      <x:c r="D184" t="str">
        <x:v>Footwear</x:v>
      </x:c>
      <x:c r="E184" t="str">
        <x:v>Formal Shoes</x:v>
      </x:c>
      <x:c r="F184" s="24" t="n">
        <x:v>248.49</x:v>
      </x:c>
      <x:c r="G184" t="str">
        <x:v>Autumn</x:v>
      </x:c>
      <x:c r="H184" t="str">
        <x:v>Card</x:v>
      </x:c>
      <x:c r="I184" t="n">
        <x:v>4.2</x:v>
      </x:c>
      <x:c r="J184" t="n">
        <x:v>6</x:v>
      </x:c>
      <x:c r="K184" t="n">
        <x:v>3</x:v>
      </x:c>
      <x:c r="L184" t="str">
        <x:v>STORE-001</x:v>
      </x:c>
      <x:c r="M184" s="22" t="n">
        <x:v>46111</x:v>
      </x:c>
      <x:c r="N184" t="str">
        <x:v>SKU-007</x:v>
      </x:c>
      <x:c r="O184" t="n">
        <x:v>1</x:v>
      </x:c>
      <x:c r="P184" s="26" t="n">
        <x:f>F184/O184</x:f>
        <x:v>248.49</x:v>
      </x:c>
    </x:row>
    <x:row r="185">
      <x:c r="A185" t="n">
        <x:v>184</x:v>
      </x:c>
      <x:c r="B185" t="n">
        <x:v>52</x:v>
      </x:c>
      <x:c r="C185" t="str">
        <x:v>Male</x:v>
      </x:c>
      <x:c r="D185" t="str">
        <x:v>Sports</x:v>
      </x:c>
      <x:c r="E185" t="str">
        <x:v>Yoga Mat</x:v>
      </x:c>
      <x:c r="F185" s="24" t="n">
        <x:v>187.31</x:v>
      </x:c>
      <x:c r="G185" t="str">
        <x:v>Winter</x:v>
      </x:c>
      <x:c r="H185" t="str">
        <x:v>Card</x:v>
      </x:c>
      <x:c r="I185" t="n">
        <x:v>4.7</x:v>
      </x:c>
      <x:c r="J185" t="n">
        <x:v>7</x:v>
      </x:c>
      <x:c r="K185" t="n">
        <x:v>1</x:v>
      </x:c>
      <x:c r="L185" t="str">
        <x:v>STORE-001</x:v>
      </x:c>
      <x:c r="M185" s="22" t="n">
        <x:v>46223</x:v>
      </x:c>
      <x:c r="N185" t="str">
        <x:v>SKU-030</x:v>
      </x:c>
      <x:c r="O185" t="n">
        <x:v>3</x:v>
      </x:c>
      <x:c r="P185" s="26" t="n">
        <x:f>F185/O185</x:f>
        <x:v>62.43666666666667</x:v>
      </x:c>
    </x:row>
    <x:row r="186">
      <x:c r="A186" t="n">
        <x:v>185</x:v>
      </x:c>
      <x:c r="B186" t="n">
        <x:v>66</x:v>
      </x:c>
      <x:c r="C186" t="str">
        <x:v>Male</x:v>
      </x:c>
      <x:c r="D186" t="str">
        <x:v>Home</x:v>
      </x:c>
      <x:c r="E186" t="str">
        <x:v>Curtains</x:v>
      </x:c>
      <x:c r="F186" s="24" t="n">
        <x:v>60.91</x:v>
      </x:c>
      <x:c r="G186" t="str">
        <x:v>Winter</x:v>
      </x:c>
      <x:c r="H186" t="str">
        <x:v>Card</x:v>
      </x:c>
      <x:c r="I186" t="n">
        <x:v>4</x:v>
      </x:c>
      <x:c r="J186" t="n">
        <x:v>8</x:v>
      </x:c>
      <x:c r="K186" t="n">
        <x:v>4</x:v>
      </x:c>
      <x:c r="L186" t="str">
        <x:v>STORE-001</x:v>
      </x:c>
      <x:c r="M186" s="22" t="n">
        <x:v>46181</x:v>
      </x:c>
      <x:c r="N186" t="str">
        <x:v>SKU-003</x:v>
      </x:c>
      <x:c r="O186" t="n">
        <x:v>1</x:v>
      </x:c>
      <x:c r="P186" s="26" t="n">
        <x:f>F186/O186</x:f>
        <x:v>60.91</x:v>
      </x:c>
    </x:row>
    <x:row r="187">
      <x:c r="A187" t="n">
        <x:v>186</x:v>
      </x:c>
      <x:c r="B187" t="n">
        <x:v>60</x:v>
      </x:c>
      <x:c r="C187" t="str">
        <x:v>Female</x:v>
      </x:c>
      <x:c r="D187" t="str">
        <x:v>Accessories</x:v>
      </x:c>
      <x:c r="E187" t="str">
        <x:v>Handbag</x:v>
      </x:c>
      <x:c r="F187" s="24" t="n">
        <x:v>21.62</x:v>
      </x:c>
      <x:c r="G187" t="str">
        <x:v>Spring</x:v>
      </x:c>
      <x:c r="H187" t="str">
        <x:v>Cash on Delivery</x:v>
      </x:c>
      <x:c r="I187" t="n">
        <x:v>3.8</x:v>
      </x:c>
      <x:c r="J187" t="n">
        <x:v>19</x:v>
      </x:c>
      <x:c r="K187" t="n">
        <x:v>7</x:v>
      </x:c>
      <x:c r="L187" t="str">
        <x:v>STORE-001</x:v>
      </x:c>
      <x:c r="M187" s="22" t="n">
        <x:v>46268</x:v>
      </x:c>
      <x:c r="N187" t="str">
        <x:v>SKU-008</x:v>
      </x:c>
      <x:c r="O187" t="n">
        <x:v>1</x:v>
      </x:c>
      <x:c r="P187" s="26" t="n">
        <x:f>F187/O187</x:f>
        <x:v>21.62</x:v>
      </x:c>
    </x:row>
    <x:row r="188">
      <x:c r="A188" t="n">
        <x:v>187</x:v>
      </x:c>
      <x:c r="B188" t="n">
        <x:v>36</x:v>
      </x:c>
      <x:c r="C188" t="str">
        <x:v>Male</x:v>
      </x:c>
      <x:c r="D188" t="str">
        <x:v>Footwear</x:v>
      </x:c>
      <x:c r="E188" t="str">
        <x:v>Sandals</x:v>
      </x:c>
      <x:c r="F188" s="24" t="n">
        <x:v>142.06</x:v>
      </x:c>
      <x:c r="G188" t="str">
        <x:v>Autumn</x:v>
      </x:c>
      <x:c r="H188" t="str">
        <x:v>Card</x:v>
      </x:c>
      <x:c r="I188" t="n">
        <x:v>3.5</x:v>
      </x:c>
      <x:c r="J188" t="n">
        <x:v>4</x:v>
      </x:c>
      <x:c r="K188" t="n">
        <x:v>2</x:v>
      </x:c>
      <x:c r="L188" t="str">
        <x:v>STORE-001</x:v>
      </x:c>
      <x:c r="M188" s="22" t="n">
        <x:v>46104</x:v>
      </x:c>
      <x:c r="N188" t="str">
        <x:v>SKU-019</x:v>
      </x:c>
      <x:c r="O188" t="n">
        <x:v>1</x:v>
      </x:c>
      <x:c r="P188" s="26" t="n">
        <x:f>F188/O188</x:f>
        <x:v>142.06</x:v>
      </x:c>
    </x:row>
    <x:row r="189">
      <x:c r="A189" t="n">
        <x:v>188</x:v>
      </x:c>
      <x:c r="B189" t="n">
        <x:v>57</x:v>
      </x:c>
      <x:c r="C189" t="str">
        <x:v>Female</x:v>
      </x:c>
      <x:c r="D189" t="str">
        <x:v>Accessories</x:v>
      </x:c>
      <x:c r="E189" t="str">
        <x:v>Wallet</x:v>
      </x:c>
      <x:c r="F189" s="24" t="n">
        <x:v>84.62</x:v>
      </x:c>
      <x:c r="G189" t="str">
        <x:v>Autumn</x:v>
      </x:c>
      <x:c r="H189" t="str">
        <x:v>Card</x:v>
      </x:c>
      <x:c r="I189" t="n">
        <x:v>2.8</x:v>
      </x:c>
      <x:c r="J189" t="n">
        <x:v>18</x:v>
      </x:c>
      <x:c r="K189" t="n">
        <x:v>4</x:v>
      </x:c>
      <x:c r="L189" t="str">
        <x:v>STORE-001</x:v>
      </x:c>
      <x:c r="M189" s="22" t="n">
        <x:v>46162</x:v>
      </x:c>
      <x:c r="N189" t="str">
        <x:v>SKU-029</x:v>
      </x:c>
      <x:c r="O189" t="n">
        <x:v>1</x:v>
      </x:c>
      <x:c r="P189" s="26" t="n">
        <x:f>F189/O189</x:f>
        <x:v>84.62</x:v>
      </x:c>
    </x:row>
    <x:row r="190">
      <x:c r="A190" t="n">
        <x:v>189</x:v>
      </x:c>
      <x:c r="B190" t="n">
        <x:v>63</x:v>
      </x:c>
      <x:c r="C190" t="str">
        <x:v>Male</x:v>
      </x:c>
      <x:c r="D190" t="str">
        <x:v>Footwear</x:v>
      </x:c>
      <x:c r="E190" t="str">
        <x:v>Sandals</x:v>
      </x:c>
      <x:c r="F190" s="24" t="n">
        <x:v>162.26</x:v>
      </x:c>
      <x:c r="G190" t="str">
        <x:v>Autumn</x:v>
      </x:c>
      <x:c r="H190" t="str">
        <x:v>Card</x:v>
      </x:c>
      <x:c r="I190" t="n">
        <x:v>3.5</x:v>
      </x:c>
      <x:c r="J190" t="n">
        <x:v>12</x:v>
      </x:c>
      <x:c r="K190" t="n">
        <x:v>6</x:v>
      </x:c>
      <x:c r="L190" t="str">
        <x:v>STORE-001</x:v>
      </x:c>
      <x:c r="M190" s="22" t="n">
        <x:v>46156</x:v>
      </x:c>
      <x:c r="N190" t="str">
        <x:v>SKU-019</x:v>
      </x:c>
      <x:c r="O190" t="n">
        <x:v>2</x:v>
      </x:c>
      <x:c r="P190" s="26" t="n">
        <x:f>F190/O190</x:f>
        <x:v>81.13</x:v>
      </x:c>
    </x:row>
    <x:row r="191">
      <x:c r="A191" t="n">
        <x:v>190</x:v>
      </x:c>
      <x:c r="B191" t="n">
        <x:v>38</x:v>
      </x:c>
      <x:c r="C191" t="str">
        <x:v>Male</x:v>
      </x:c>
      <x:c r="D191" t="str">
        <x:v>Mens Clothing</x:v>
      </x:c>
      <x:c r="E191" t="str">
        <x:v>T-Shirt</x:v>
      </x:c>
      <x:c r="F191" s="24" t="n">
        <x:v>31.14</x:v>
      </x:c>
      <x:c r="G191" t="str">
        <x:v>Summer</x:v>
      </x:c>
      <x:c r="H191" t="str">
        <x:v>Card</x:v>
      </x:c>
      <x:c r="I191" t="n">
        <x:v>4.4</x:v>
      </x:c>
      <x:c r="J191" t="n">
        <x:v>19</x:v>
      </x:c>
      <x:c r="K191" t="n">
        <x:v>7</x:v>
      </x:c>
      <x:c r="L191" t="str">
        <x:v>STORE-001</x:v>
      </x:c>
      <x:c r="M191" s="22" t="n">
        <x:v>46047</x:v>
      </x:c>
      <x:c r="N191" t="str">
        <x:v>SKU-027</x:v>
      </x:c>
      <x:c r="O191" t="n">
        <x:v>1</x:v>
      </x:c>
      <x:c r="P191" s="26" t="n">
        <x:f>F191/O191</x:f>
        <x:v>31.14</x:v>
      </x:c>
    </x:row>
    <x:row r="192">
      <x:c r="A192" t="n">
        <x:v>191</x:v>
      </x:c>
      <x:c r="B192" t="n">
        <x:v>23</x:v>
      </x:c>
      <x:c r="C192" t="str">
        <x:v>Male</x:v>
      </x:c>
      <x:c r="D192" t="str">
        <x:v>Groceries</x:v>
      </x:c>
      <x:c r="E192" t="str">
        <x:v>Cooking Oil</x:v>
      </x:c>
      <x:c r="F192" s="24" t="n">
        <x:v>7.07</x:v>
      </x:c>
      <x:c r="G192" t="str">
        <x:v>Spring</x:v>
      </x:c>
      <x:c r="H192" t="str">
        <x:v>Cash on Delivery</x:v>
      </x:c>
      <x:c r="I192" t="n">
        <x:v>3.7</x:v>
      </x:c>
      <x:c r="J192" t="n">
        <x:v>18</x:v>
      </x:c>
      <x:c r="K192" t="n">
        <x:v>4</x:v>
      </x:c>
      <x:c r="L192" t="str">
        <x:v>STORE-001</x:v>
      </x:c>
      <x:c r="M192" s="22" t="n">
        <x:v>45945</x:v>
      </x:c>
      <x:c r="N192" t="str">
        <x:v>SKU-002</x:v>
      </x:c>
      <x:c r="O192" t="n">
        <x:v>4</x:v>
      </x:c>
      <x:c r="P192" s="26" t="n">
        <x:f>F192/O192</x:f>
        <x:v>1.7675</x:v>
      </x:c>
    </x:row>
    <x:row r="193">
      <x:c r="A193" t="n">
        <x:v>192</x:v>
      </x:c>
      <x:c r="B193" t="n">
        <x:v>56</x:v>
      </x:c>
      <x:c r="C193" t="str">
        <x:v>Female</x:v>
      </x:c>
      <x:c r="D193" t="str">
        <x:v>Home</x:v>
      </x:c>
      <x:c r="E193" t="str">
        <x:v>Lamp</x:v>
      </x:c>
      <x:c r="F193" s="24" t="n">
        <x:v>157.98</x:v>
      </x:c>
      <x:c r="G193" t="str">
        <x:v>Winter</x:v>
      </x:c>
      <x:c r="H193" t="str">
        <x:v>Card</x:v>
      </x:c>
      <x:c r="I193" t="n">
        <x:v>4.8</x:v>
      </x:c>
      <x:c r="J193" t="n">
        <x:v>10</x:v>
      </x:c>
      <x:c r="K193" t="n">
        <x:v>5</x:v>
      </x:c>
      <x:c r="L193" t="str">
        <x:v>STORE-001</x:v>
      </x:c>
      <x:c r="M193" s="22" t="n">
        <x:v>46186</x:v>
      </x:c>
      <x:c r="N193" t="str">
        <x:v>SKU-013</x:v>
      </x:c>
      <x:c r="O193" t="n">
        <x:v>2</x:v>
      </x:c>
      <x:c r="P193" s="26" t="n">
        <x:f>F193/O193</x:f>
        <x:v>78.99</x:v>
      </x:c>
    </x:row>
    <x:row r="194">
      <x:c r="A194" t="n">
        <x:v>193</x:v>
      </x:c>
      <x:c r="B194" t="n">
        <x:v>51</x:v>
      </x:c>
      <x:c r="C194" t="str">
        <x:v>Female</x:v>
      </x:c>
      <x:c r="D194" t="str">
        <x:v>Beauty</x:v>
      </x:c>
      <x:c r="E194" t="str">
        <x:v>Skincare Kit</x:v>
      </x:c>
      <x:c r="F194" s="24" t="n">
        <x:v>82.12</x:v>
      </x:c>
      <x:c r="G194" t="str">
        <x:v>Winter</x:v>
      </x:c>
      <x:c r="H194" t="str">
        <x:v>Card</x:v>
      </x:c>
      <x:c r="I194" t="n">
        <x:v>3.2</x:v>
      </x:c>
      <x:c r="J194" t="n">
        <x:v>13</x:v>
      </x:c>
      <x:c r="K194" t="n">
        <x:v>4</x:v>
      </x:c>
      <x:c r="L194" t="str">
        <x:v>STORE-001</x:v>
      </x:c>
      <x:c r="M194" s="22" t="n">
        <x:v>46216</x:v>
      </x:c>
      <x:c r="N194" t="str">
        <x:v>SKU-021</x:v>
      </x:c>
      <x:c r="O194" t="n">
        <x:v>1</x:v>
      </x:c>
      <x:c r="P194" s="26" t="n">
        <x:f>F194/O194</x:f>
        <x:v>82.12</x:v>
      </x:c>
    </x:row>
    <x:row r="195">
      <x:c r="A195" t="n">
        <x:v>194</x:v>
      </x:c>
      <x:c r="B195" t="n">
        <x:v>65</x:v>
      </x:c>
      <x:c r="C195" t="str">
        <x:v>Male</x:v>
      </x:c>
      <x:c r="D195" t="str">
        <x:v>Sports</x:v>
      </x:c>
      <x:c r="E195" t="str">
        <x:v>Dumbbells</x:v>
      </x:c>
      <x:c r="F195" s="24" t="n">
        <x:v>150.48</x:v>
      </x:c>
      <x:c r="G195" t="str">
        <x:v>Winter</x:v>
      </x:c>
      <x:c r="H195" t="str">
        <x:v>Card</x:v>
      </x:c>
      <x:c r="I195" t="n">
        <x:v>3.5</x:v>
      </x:c>
      <x:c r="J195" t="n">
        <x:v>20</x:v>
      </x:c>
      <x:c r="K195" t="n">
        <x:v>5</x:v>
      </x:c>
      <x:c r="L195" t="str">
        <x:v>STORE-001</x:v>
      </x:c>
      <x:c r="M195" s="22" t="n">
        <x:v>46254</x:v>
      </x:c>
      <x:c r="N195" t="str">
        <x:v>SKU-005</x:v>
      </x:c>
      <x:c r="O195" t="n">
        <x:v>2</x:v>
      </x:c>
      <x:c r="P195" s="26" t="n">
        <x:f>F195/O195</x:f>
        <x:v>75.24</x:v>
      </x:c>
    </x:row>
    <x:row r="196">
      <x:c r="A196" t="n">
        <x:v>195</x:v>
      </x:c>
      <x:c r="B196" t="n">
        <x:v>36</x:v>
      </x:c>
      <x:c r="C196" t="str">
        <x:v>Male</x:v>
      </x:c>
      <x:c r="D196" t="str">
        <x:v>Sports</x:v>
      </x:c>
      <x:c r="E196" t="str">
        <x:v>Yoga Mat</x:v>
      </x:c>
      <x:c r="F196" s="24" t="n">
        <x:v>153.11</x:v>
      </x:c>
      <x:c r="G196" t="str">
        <x:v>Summer</x:v>
      </x:c>
      <x:c r="H196" t="str">
        <x:v>Card</x:v>
      </x:c>
      <x:c r="I196" t="n">
        <x:v>4</x:v>
      </x:c>
      <x:c r="J196" t="n">
        <x:v>6</x:v>
      </x:c>
      <x:c r="K196" t="n">
        <x:v>3</x:v>
      </x:c>
      <x:c r="L196" t="str">
        <x:v>STORE-001</x:v>
      </x:c>
      <x:c r="M196" s="22" t="n">
        <x:v>46014</x:v>
      </x:c>
      <x:c r="N196" t="str">
        <x:v>SKU-030</x:v>
      </x:c>
      <x:c r="O196" t="n">
        <x:v>1</x:v>
      </x:c>
      <x:c r="P196" s="26" t="n">
        <x:f>F196/O196</x:f>
        <x:v>153.11</x:v>
      </x:c>
    </x:row>
    <x:row r="197">
      <x:c r="A197" t="n">
        <x:v>196</x:v>
      </x:c>
      <x:c r="B197" t="n">
        <x:v>46</x:v>
      </x:c>
      <x:c r="C197" t="str">
        <x:v>Male</x:v>
      </x:c>
      <x:c r="D197" t="str">
        <x:v>Mens Clothing</x:v>
      </x:c>
      <x:c r="E197" t="str">
        <x:v>Shirt</x:v>
      </x:c>
      <x:c r="F197" s="24" t="n">
        <x:v>107.94</x:v>
      </x:c>
      <x:c r="G197" t="str">
        <x:v>Spring</x:v>
      </x:c>
      <x:c r="H197" t="str">
        <x:v>Card</x:v>
      </x:c>
      <x:c r="I197" t="n">
        <x:v>3.8</x:v>
      </x:c>
      <x:c r="J197" t="n">
        <x:v>6</x:v>
      </x:c>
      <x:c r="K197" t="n">
        <x:v>3</x:v>
      </x:c>
      <x:c r="L197" t="str">
        <x:v>STORE-001</x:v>
      </x:c>
      <x:c r="M197" s="22" t="n">
        <x:v>45974</x:v>
      </x:c>
      <x:c r="N197" t="str">
        <x:v>SKU-020</x:v>
      </x:c>
      <x:c r="O197" t="n">
        <x:v>2</x:v>
      </x:c>
      <x:c r="P197" s="26" t="n">
        <x:f>F197/O197</x:f>
        <x:v>53.97</x:v>
      </x:c>
    </x:row>
    <x:row r="198">
      <x:c r="A198" t="n">
        <x:v>197</x:v>
      </x:c>
      <x:c r="B198" t="n">
        <x:v>31</x:v>
      </x:c>
      <x:c r="C198" t="str">
        <x:v>Female</x:v>
      </x:c>
      <x:c r="D198" t="str">
        <x:v>Sports</x:v>
      </x:c>
      <x:c r="E198" t="str">
        <x:v>Yoga Mat</x:v>
      </x:c>
      <x:c r="F198" s="24" t="n">
        <x:v>245.72</x:v>
      </x:c>
      <x:c r="G198" t="str">
        <x:v>Winter</x:v>
      </x:c>
      <x:c r="H198" t="str">
        <x:v>Card</x:v>
      </x:c>
      <x:c r="I198" t="n">
        <x:v>4.1</x:v>
      </x:c>
      <x:c r="J198" t="n">
        <x:v>20</x:v>
      </x:c>
      <x:c r="K198" t="n">
        <x:v>5</x:v>
      </x:c>
      <x:c r="L198" t="str">
        <x:v>STORE-001</x:v>
      </x:c>
      <x:c r="M198" s="22" t="n">
        <x:v>46174</x:v>
      </x:c>
      <x:c r="N198" t="str">
        <x:v>SKU-030</x:v>
      </x:c>
      <x:c r="O198" t="n">
        <x:v>2</x:v>
      </x:c>
      <x:c r="P198" s="26" t="n">
        <x:f>F198/O198</x:f>
        <x:v>122.86</x:v>
      </x:c>
    </x:row>
    <x:row r="199">
      <x:c r="A199" t="n">
        <x:v>198</x:v>
      </x:c>
      <x:c r="B199" t="n">
        <x:v>70</x:v>
      </x:c>
      <x:c r="C199" t="str">
        <x:v>Female</x:v>
      </x:c>
      <x:c r="D199" t="str">
        <x:v>Beauty</x:v>
      </x:c>
      <x:c r="E199" t="str">
        <x:v>Makeup Set</x:v>
      </x:c>
      <x:c r="F199" s="24" t="n">
        <x:v>79.28</x:v>
      </x:c>
      <x:c r="G199" t="str">
        <x:v>Winter</x:v>
      </x:c>
      <x:c r="H199" t="str">
        <x:v>Card</x:v>
      </x:c>
      <x:c r="I199" t="n">
        <x:v>2</x:v>
      </x:c>
      <x:c r="J199" t="n">
        <x:v>12</x:v>
      </x:c>
      <x:c r="K199" t="n">
        <x:v>6</x:v>
      </x:c>
      <x:c r="L199" t="str">
        <x:v>STORE-001</x:v>
      </x:c>
      <x:c r="M199" s="22" t="n">
        <x:v>46226</x:v>
      </x:c>
      <x:c r="N199" t="str">
        <x:v>SKU-015</x:v>
      </x:c>
      <x:c r="O199" t="n">
        <x:v>1</x:v>
      </x:c>
      <x:c r="P199" s="26" t="n">
        <x:f>F199/O199</x:f>
        <x:v>79.28</x:v>
      </x:c>
    </x:row>
    <x:row r="200">
      <x:c r="A200" t="n">
        <x:v>199</x:v>
      </x:c>
      <x:c r="B200" t="n">
        <x:v>68</x:v>
      </x:c>
      <x:c r="C200" t="str">
        <x:v>Male</x:v>
      </x:c>
      <x:c r="D200" t="str">
        <x:v>Footwear</x:v>
      </x:c>
      <x:c r="E200" t="str">
        <x:v>Sandals</x:v>
      </x:c>
      <x:c r="F200" s="24" t="n">
        <x:v>225.53</x:v>
      </x:c>
      <x:c r="G200" t="str">
        <x:v>Spring</x:v>
      </x:c>
      <x:c r="H200" t="str">
        <x:v>Card</x:v>
      </x:c>
      <x:c r="I200" t="n">
        <x:v>4.5</x:v>
      </x:c>
      <x:c r="J200" t="n">
        <x:v>13</x:v>
      </x:c>
      <x:c r="K200" t="n">
        <x:v>4</x:v>
      </x:c>
      <x:c r="L200" t="str">
        <x:v>STORE-001</x:v>
      </x:c>
      <x:c r="M200" s="22" t="n">
        <x:v>46283</x:v>
      </x:c>
      <x:c r="N200" t="str">
        <x:v>SKU-019</x:v>
      </x:c>
      <x:c r="O200" t="n">
        <x:v>2</x:v>
      </x:c>
      <x:c r="P200" s="26" t="n">
        <x:f>F200/O200</x:f>
        <x:v>112.765</x:v>
      </x:c>
    </x:row>
    <x:row r="201">
      <x:c r="A201" t="n">
        <x:v>200</x:v>
      </x:c>
      <x:c r="B201" t="n">
        <x:v>29</x:v>
      </x:c>
      <x:c r="C201" t="str">
        <x:v>Female</x:v>
      </x:c>
      <x:c r="D201" t="str">
        <x:v>Beauty</x:v>
      </x:c>
      <x:c r="E201" t="str">
        <x:v>Makeup Set</x:v>
      </x:c>
      <x:c r="F201" s="24" t="n">
        <x:v>63.34</x:v>
      </x:c>
      <x:c r="G201" t="str">
        <x:v>Summer</x:v>
      </x:c>
      <x:c r="H201" t="str">
        <x:v>Card</x:v>
      </x:c>
      <x:c r="I201" t="n">
        <x:v>4.5</x:v>
      </x:c>
      <x:c r="J201" t="n">
        <x:v>17</x:v>
      </x:c>
      <x:c r="K201" t="n">
        <x:v>6</x:v>
      </x:c>
      <x:c r="L201" t="str">
        <x:v>STORE-001</x:v>
      </x:c>
      <x:c r="M201" s="22" t="n">
        <x:v>46071</x:v>
      </x:c>
      <x:c r="N201" t="str">
        <x:v>SKU-015</x:v>
      </x:c>
      <x:c r="O201" t="n">
        <x:v>2</x:v>
      </x:c>
      <x:c r="P201" s="26" t="n">
        <x:f>F201/O201</x:f>
        <x:v>31.67</x:v>
      </x:c>
    </x:row>
    <x:row r="202">
      <x:c r="A202" t="n">
        <x:v>201</x:v>
      </x:c>
      <x:c r="B202" t="n">
        <x:v>20</x:v>
      </x:c>
      <x:c r="C202" t="str">
        <x:v>Female</x:v>
      </x:c>
      <x:c r="D202" t="str">
        <x:v>Beauty</x:v>
      </x:c>
      <x:c r="E202" t="str">
        <x:v>Perfume</x:v>
      </x:c>
      <x:c r="F202" s="24" t="n">
        <x:v>38.57</x:v>
      </x:c>
      <x:c r="G202" t="str">
        <x:v>Spring</x:v>
      </x:c>
      <x:c r="H202" t="str">
        <x:v>Card</x:v>
      </x:c>
      <x:c r="I202" t="n">
        <x:v>4.6</x:v>
      </x:c>
      <x:c r="J202" t="n">
        <x:v>19</x:v>
      </x:c>
      <x:c r="K202" t="n">
        <x:v>7</x:v>
      </x:c>
      <x:c r="L202" t="str">
        <x:v>STORE-001</x:v>
      </x:c>
      <x:c r="M202" s="22" t="n">
        <x:v>46266</x:v>
      </x:c>
      <x:c r="N202" t="str">
        <x:v>SKU-017</x:v>
      </x:c>
      <x:c r="O202" t="n">
        <x:v>1</x:v>
      </x:c>
      <x:c r="P202" s="26" t="n">
        <x:f>F202/O202</x:f>
        <x:v>38.57</x:v>
      </x:c>
    </x:row>
    <x:row r="203">
      <x:c r="A203" t="n">
        <x:v>202</x:v>
      </x:c>
      <x:c r="B203" t="n">
        <x:v>30</x:v>
      </x:c>
      <x:c r="C203" t="str">
        <x:v>Male</x:v>
      </x:c>
      <x:c r="D203" t="str">
        <x:v>Mens Clothing</x:v>
      </x:c>
      <x:c r="E203" t="str">
        <x:v>T-Shirt</x:v>
      </x:c>
      <x:c r="F203" s="24" t="n">
        <x:v>128.1</x:v>
      </x:c>
      <x:c r="G203" t="str">
        <x:v>Summer</x:v>
      </x:c>
      <x:c r="H203" t="str">
        <x:v>Card</x:v>
      </x:c>
      <x:c r="I203" t="n">
        <x:v>3</x:v>
      </x:c>
      <x:c r="J203" t="n">
        <x:v>12</x:v>
      </x:c>
      <x:c r="K203" t="n">
        <x:v>1</x:v>
      </x:c>
      <x:c r="L203" t="str">
        <x:v>STORE-001</x:v>
      </x:c>
      <x:c r="M203" s="22" t="n">
        <x:v>46062</x:v>
      </x:c>
      <x:c r="N203" t="str">
        <x:v>SKU-027</x:v>
      </x:c>
      <x:c r="O203" t="n">
        <x:v>2</x:v>
      </x:c>
      <x:c r="P203" s="26" t="n">
        <x:f>F203/O203</x:f>
        <x:v>64.05</x:v>
      </x:c>
    </x:row>
    <x:row r="204">
      <x:c r="A204" t="n">
        <x:v>203</x:v>
      </x:c>
      <x:c r="B204" t="n">
        <x:v>57</x:v>
      </x:c>
      <x:c r="C204" t="str">
        <x:v>Female</x:v>
      </x:c>
      <x:c r="D204" t="str">
        <x:v>Beauty</x:v>
      </x:c>
      <x:c r="E204" t="str">
        <x:v>Perfume</x:v>
      </x:c>
      <x:c r="F204" s="24" t="n">
        <x:v>129.47</x:v>
      </x:c>
      <x:c r="G204" t="str">
        <x:v>Spring</x:v>
      </x:c>
      <x:c r="H204" t="str">
        <x:v>Card</x:v>
      </x:c>
      <x:c r="I204" t="n">
        <x:v>4.4</x:v>
      </x:c>
      <x:c r="J204" t="n">
        <x:v>15</x:v>
      </x:c>
      <x:c r="K204" t="n">
        <x:v>5</x:v>
      </x:c>
      <x:c r="L204" t="str">
        <x:v>STORE-001</x:v>
      </x:c>
      <x:c r="M204" s="22" t="n">
        <x:v>45944</x:v>
      </x:c>
      <x:c r="N204" t="str">
        <x:v>SKU-017</x:v>
      </x:c>
      <x:c r="O204" t="n">
        <x:v>2</x:v>
      </x:c>
      <x:c r="P204" s="26" t="n">
        <x:f>F204/O204</x:f>
        <x:v>64.735</x:v>
      </x:c>
    </x:row>
    <x:row r="205">
      <x:c r="A205" t="n">
        <x:v>204</x:v>
      </x:c>
      <x:c r="B205" t="n">
        <x:v>46</x:v>
      </x:c>
      <x:c r="C205" t="str">
        <x:v>Female</x:v>
      </x:c>
      <x:c r="D205" t="str">
        <x:v>Beauty</x:v>
      </x:c>
      <x:c r="E205" t="str">
        <x:v>Perfume</x:v>
      </x:c>
      <x:c r="F205" s="24" t="n">
        <x:v>49.38</x:v>
      </x:c>
      <x:c r="G205" t="str">
        <x:v>Spring</x:v>
      </x:c>
      <x:c r="H205" t="str">
        <x:v>Cash on Delivery</x:v>
      </x:c>
      <x:c r="I205" t="n">
        <x:v>3.4</x:v>
      </x:c>
      <x:c r="J205" t="n">
        <x:v>19</x:v>
      </x:c>
      <x:c r="K205" t="n">
        <x:v>7</x:v>
      </x:c>
      <x:c r="L205" t="str">
        <x:v>STORE-001</x:v>
      </x:c>
      <x:c r="M205" s="22" t="n">
        <x:v>46270</x:v>
      </x:c>
      <x:c r="N205" t="str">
        <x:v>SKU-017</x:v>
      </x:c>
      <x:c r="O205" t="n">
        <x:v>1</x:v>
      </x:c>
      <x:c r="P205" s="26" t="n">
        <x:f>F205/O205</x:f>
        <x:v>49.38</x:v>
      </x:c>
    </x:row>
    <x:row r="206">
      <x:c r="A206" t="n">
        <x:v>205</x:v>
      </x:c>
      <x:c r="B206" t="n">
        <x:v>55</x:v>
      </x:c>
      <x:c r="C206" t="str">
        <x:v>Female</x:v>
      </x:c>
      <x:c r="D206" t="str">
        <x:v>Footwear</x:v>
      </x:c>
      <x:c r="E206" t="str">
        <x:v>Formal Shoes</x:v>
      </x:c>
      <x:c r="F206" s="24" t="n">
        <x:v>90.81</x:v>
      </x:c>
      <x:c r="G206" t="str">
        <x:v>Autumn</x:v>
      </x:c>
      <x:c r="H206" t="str">
        <x:v>Card</x:v>
      </x:c>
      <x:c r="I206" t="n">
        <x:v>4.4</x:v>
      </x:c>
      <x:c r="J206" t="n">
        <x:v>24</x:v>
      </x:c>
      <x:c r="K206" t="n">
        <x:v>7</x:v>
      </x:c>
      <x:c r="L206" t="str">
        <x:v>STORE-001</x:v>
      </x:c>
      <x:c r="M206" s="22" t="n">
        <x:v>46141</x:v>
      </x:c>
      <x:c r="N206" t="str">
        <x:v>SKU-007</x:v>
      </x:c>
      <x:c r="O206" t="n">
        <x:v>2</x:v>
      </x:c>
      <x:c r="P206" s="26" t="n">
        <x:f>F206/O206</x:f>
        <x:v>45.405</x:v>
      </x:c>
    </x:row>
    <x:row r="207">
      <x:c r="A207" t="n">
        <x:v>206</x:v>
      </x:c>
      <x:c r="B207" t="n">
        <x:v>68</x:v>
      </x:c>
      <x:c r="C207" t="str">
        <x:v>Male</x:v>
      </x:c>
      <x:c r="D207" t="str">
        <x:v>Groceries</x:v>
      </x:c>
      <x:c r="E207" t="str">
        <x:v>Cooking Oil</x:v>
      </x:c>
      <x:c r="F207" s="24" t="n">
        <x:v>63.73</x:v>
      </x:c>
      <x:c r="G207" t="str">
        <x:v>Winter</x:v>
      </x:c>
      <x:c r="H207" t="str">
        <x:v>Card</x:v>
      </x:c>
      <x:c r="I207" t="n">
        <x:v>4.5</x:v>
      </x:c>
      <x:c r="J207" t="n">
        <x:v>24</x:v>
      </x:c>
      <x:c r="K207" t="n">
        <x:v>7</x:v>
      </x:c>
      <x:c r="L207" t="str">
        <x:v>STORE-001</x:v>
      </x:c>
      <x:c r="M207" s="22" t="n">
        <x:v>46219</x:v>
      </x:c>
      <x:c r="N207" t="str">
        <x:v>SKU-002</x:v>
      </x:c>
      <x:c r="O207" t="n">
        <x:v>4</x:v>
      </x:c>
      <x:c r="P207" s="26" t="n">
        <x:f>F207/O207</x:f>
        <x:v>15.9325</x:v>
      </x:c>
    </x:row>
    <x:row r="208">
      <x:c r="A208" t="n">
        <x:v>207</x:v>
      </x:c>
      <x:c r="B208" t="n">
        <x:v>62</x:v>
      </x:c>
      <x:c r="C208" t="str">
        <x:v>Male</x:v>
      </x:c>
      <x:c r="D208" t="str">
        <x:v>Mens Clothing</x:v>
      </x:c>
      <x:c r="E208" t="str">
        <x:v>T-Shirt</x:v>
      </x:c>
      <x:c r="F208" s="24" t="n">
        <x:v>127.21</x:v>
      </x:c>
      <x:c r="G208" t="str">
        <x:v>Autumn</x:v>
      </x:c>
      <x:c r="H208" t="str">
        <x:v>Card</x:v>
      </x:c>
      <x:c r="I208" t="n">
        <x:v>4.9</x:v>
      </x:c>
      <x:c r="J208" t="n">
        <x:v>14</x:v>
      </x:c>
      <x:c r="K208" t="n">
        <x:v>7</x:v>
      </x:c>
      <x:c r="L208" t="str">
        <x:v>STORE-001</x:v>
      </x:c>
      <x:c r="M208" s="22" t="n">
        <x:v>46156</x:v>
      </x:c>
      <x:c r="N208" t="str">
        <x:v>SKU-027</x:v>
      </x:c>
      <x:c r="O208" t="n">
        <x:v>1</x:v>
      </x:c>
      <x:c r="P208" s="26" t="n">
        <x:f>F208/O208</x:f>
        <x:v>127.21</x:v>
      </x:c>
    </x:row>
    <x:row r="209">
      <x:c r="A209" t="n">
        <x:v>208</x:v>
      </x:c>
      <x:c r="B209" t="n">
        <x:v>29</x:v>
      </x:c>
      <x:c r="C209" t="str">
        <x:v>Male</x:v>
      </x:c>
      <x:c r="D209" t="str">
        <x:v>Groceries</x:v>
      </x:c>
      <x:c r="E209" t="str">
        <x:v>Snacks</x:v>
      </x:c>
      <x:c r="F209" s="24" t="n">
        <x:v>54.98</x:v>
      </x:c>
      <x:c r="G209" t="str">
        <x:v>Autumn</x:v>
      </x:c>
      <x:c r="H209" t="str">
        <x:v>Cash on Delivery</x:v>
      </x:c>
      <x:c r="I209" t="n">
        <x:v>2.9</x:v>
      </x:c>
      <x:c r="J209" t="n">
        <x:v>16</x:v>
      </x:c>
      <x:c r="K209" t="n">
        <x:v>8</x:v>
      </x:c>
      <x:c r="L209" t="str">
        <x:v>STORE-001</x:v>
      </x:c>
      <x:c r="M209" s="22" t="n">
        <x:v>46097</x:v>
      </x:c>
      <x:c r="N209" t="str">
        <x:v>SKU-024</x:v>
      </x:c>
      <x:c r="O209" t="n">
        <x:v>2</x:v>
      </x:c>
      <x:c r="P209" s="26" t="n">
        <x:f>F209/O209</x:f>
        <x:v>27.49</x:v>
      </x:c>
    </x:row>
    <x:row r="210">
      <x:c r="A210" t="n">
        <x:v>209</x:v>
      </x:c>
      <x:c r="B210" t="n">
        <x:v>58</x:v>
      </x:c>
      <x:c r="C210" t="str">
        <x:v>Female</x:v>
      </x:c>
      <x:c r="D210" t="str">
        <x:v>Accessories</x:v>
      </x:c>
      <x:c r="E210" t="str">
        <x:v>Sunglasses</x:v>
      </x:c>
      <x:c r="F210" s="24" t="n">
        <x:v>37.76</x:v>
      </x:c>
      <x:c r="G210" t="str">
        <x:v>Autumn</x:v>
      </x:c>
      <x:c r="H210" t="str">
        <x:v>Card</x:v>
      </x:c>
      <x:c r="I210" t="n">
        <x:v>3.5</x:v>
      </x:c>
      <x:c r="J210" t="n">
        <x:v>14</x:v>
      </x:c>
      <x:c r="K210" t="n">
        <x:v>2</x:v>
      </x:c>
      <x:c r="L210" t="str">
        <x:v>STORE-001</x:v>
      </x:c>
      <x:c r="M210" s="22" t="n">
        <x:v>46104</x:v>
      </x:c>
      <x:c r="N210" t="str">
        <x:v>SKU-026</x:v>
      </x:c>
      <x:c r="O210" t="n">
        <x:v>1</x:v>
      </x:c>
      <x:c r="P210" s="26" t="n">
        <x:f>F210/O210</x:f>
        <x:v>37.76</x:v>
      </x:c>
    </x:row>
    <x:row r="211">
      <x:c r="A211" t="n">
        <x:v>210</x:v>
      </x:c>
      <x:c r="B211" t="n">
        <x:v>50</x:v>
      </x:c>
      <x:c r="C211" t="str">
        <x:v>Female</x:v>
      </x:c>
      <x:c r="D211" t="str">
        <x:v>Beauty</x:v>
      </x:c>
      <x:c r="E211" t="str">
        <x:v>Makeup Set</x:v>
      </x:c>
      <x:c r="F211" s="24" t="n">
        <x:v>81.4</x:v>
      </x:c>
      <x:c r="G211" t="str">
        <x:v>Spring</x:v>
      </x:c>
      <x:c r="H211" t="str">
        <x:v>Cash on Delivery</x:v>
      </x:c>
      <x:c r="I211" t="n">
        <x:v>4.9</x:v>
      </x:c>
      <x:c r="J211" t="n">
        <x:v>20</x:v>
      </x:c>
      <x:c r="K211" t="n">
        <x:v>5</x:v>
      </x:c>
      <x:c r="L211" t="str">
        <x:v>STORE-001</x:v>
      </x:c>
      <x:c r="M211" s="22" t="n">
        <x:v>45984</x:v>
      </x:c>
      <x:c r="N211" t="str">
        <x:v>SKU-015</x:v>
      </x:c>
      <x:c r="O211" t="n">
        <x:v>2</x:v>
      </x:c>
      <x:c r="P211" s="26" t="n">
        <x:f>F211/O211</x:f>
        <x:v>40.7</x:v>
      </x:c>
    </x:row>
    <x:row r="212">
      <x:c r="A212" t="n">
        <x:v>211</x:v>
      </x:c>
      <x:c r="B212" t="n">
        <x:v>22</x:v>
      </x:c>
      <x:c r="C212" t="str">
        <x:v>Female</x:v>
      </x:c>
      <x:c r="D212" t="str">
        <x:v>Footwear</x:v>
      </x:c>
      <x:c r="E212" t="str">
        <x:v>Sneakers</x:v>
      </x:c>
      <x:c r="F212" s="24" t="n">
        <x:v>183.26</x:v>
      </x:c>
      <x:c r="G212" t="str">
        <x:v>Winter</x:v>
      </x:c>
      <x:c r="H212" t="str">
        <x:v>Card</x:v>
      </x:c>
      <x:c r="I212" t="n">
        <x:v>2.4</x:v>
      </x:c>
      <x:c r="J212" t="n">
        <x:v>6</x:v>
      </x:c>
      <x:c r="K212" t="n">
        <x:v>3</x:v>
      </x:c>
      <x:c r="L212" t="str">
        <x:v>STORE-001</x:v>
      </x:c>
      <x:c r="M212" s="22" t="n">
        <x:v>46244</x:v>
      </x:c>
      <x:c r="N212" t="str">
        <x:v>SKU-025</x:v>
      </x:c>
      <x:c r="O212" t="n">
        <x:v>1</x:v>
      </x:c>
      <x:c r="P212" s="26" t="n">
        <x:f>F212/O212</x:f>
        <x:v>183.26</x:v>
      </x:c>
    </x:row>
    <x:row r="213">
      <x:c r="A213" t="n">
        <x:v>212</x:v>
      </x:c>
      <x:c r="B213" t="n">
        <x:v>29</x:v>
      </x:c>
      <x:c r="C213" t="str">
        <x:v>Female</x:v>
      </x:c>
      <x:c r="D213" t="str">
        <x:v>Womens Clothing</x:v>
      </x:c>
      <x:c r="E213" t="str">
        <x:v>Jeans</x:v>
      </x:c>
      <x:c r="F213" s="24" t="n">
        <x:v>172.51</x:v>
      </x:c>
      <x:c r="G213" t="str">
        <x:v>Autumn</x:v>
      </x:c>
      <x:c r="H213" t="str">
        <x:v>Card</x:v>
      </x:c>
      <x:c r="I213" t="n">
        <x:v>3.8</x:v>
      </x:c>
      <x:c r="J213" t="n">
        <x:v>13</x:v>
      </x:c>
      <x:c r="K213" t="n">
        <x:v>4</x:v>
      </x:c>
      <x:c r="L213" t="str">
        <x:v>STORE-001</x:v>
      </x:c>
      <x:c r="M213" s="22" t="n">
        <x:v>46090</x:v>
      </x:c>
      <x:c r="N213" t="str">
        <x:v>SKU-011</x:v>
      </x:c>
      <x:c r="O213" t="n">
        <x:v>1</x:v>
      </x:c>
      <x:c r="P213" s="26" t="n">
        <x:f>F213/O213</x:f>
        <x:v>172.51</x:v>
      </x:c>
    </x:row>
    <x:row r="214">
      <x:c r="A214" t="n">
        <x:v>213</x:v>
      </x:c>
      <x:c r="B214" t="n">
        <x:v>43</x:v>
      </x:c>
      <x:c r="C214" t="str">
        <x:v>Male</x:v>
      </x:c>
      <x:c r="D214" t="str">
        <x:v>Sports</x:v>
      </x:c>
      <x:c r="E214" t="str">
        <x:v>Yoga Mat</x:v>
      </x:c>
      <x:c r="F214" s="24" t="n">
        <x:v>141.78</x:v>
      </x:c>
      <x:c r="G214" t="str">
        <x:v>Winter</x:v>
      </x:c>
      <x:c r="H214" t="str">
        <x:v>Card</x:v>
      </x:c>
      <x:c r="I214" t="n">
        <x:v>2.9</x:v>
      </x:c>
      <x:c r="J214" t="n">
        <x:v>24</x:v>
      </x:c>
      <x:c r="K214" t="n">
        <x:v>7</x:v>
      </x:c>
      <x:c r="L214" t="str">
        <x:v>STORE-001</x:v>
      </x:c>
      <x:c r="M214" s="22" t="n">
        <x:v>46180</x:v>
      </x:c>
      <x:c r="N214" t="str">
        <x:v>SKU-030</x:v>
      </x:c>
      <x:c r="O214" t="n">
        <x:v>1</x:v>
      </x:c>
      <x:c r="P214" s="26" t="n">
        <x:f>F214/O214</x:f>
        <x:v>141.78</x:v>
      </x:c>
    </x:row>
    <x:row r="215">
      <x:c r="A215" t="n">
        <x:v>214</x:v>
      </x:c>
      <x:c r="B215" t="n">
        <x:v>25</x:v>
      </x:c>
      <x:c r="C215" t="str">
        <x:v>Male</x:v>
      </x:c>
      <x:c r="D215" t="str">
        <x:v>Groceries</x:v>
      </x:c>
      <x:c r="E215" t="str">
        <x:v>Rice Pack</x:v>
      </x:c>
      <x:c r="F215" s="24" t="n">
        <x:v>62.99</x:v>
      </x:c>
      <x:c r="G215" t="str">
        <x:v>Autumn</x:v>
      </x:c>
      <x:c r="H215" t="str">
        <x:v>Card</x:v>
      </x:c>
      <x:c r="I215" t="n">
        <x:v>2.9</x:v>
      </x:c>
      <x:c r="J215" t="n">
        <x:v>16</x:v>
      </x:c>
      <x:c r="K215" t="n">
        <x:v>3</x:v>
      </x:c>
      <x:c r="L215" t="str">
        <x:v>STORE-001</x:v>
      </x:c>
      <x:c r="M215" s="22" t="n">
        <x:v>46134</x:v>
      </x:c>
      <x:c r="N215" t="str">
        <x:v>SKU-018</x:v>
      </x:c>
      <x:c r="O215" t="n">
        <x:v>2</x:v>
      </x:c>
      <x:c r="P215" s="26" t="n">
        <x:f>F215/O215</x:f>
        <x:v>31.495</x:v>
      </x:c>
    </x:row>
    <x:row r="216">
      <x:c r="A216" t="n">
        <x:v>215</x:v>
      </x:c>
      <x:c r="B216" t="n">
        <x:v>32</x:v>
      </x:c>
      <x:c r="C216" t="str">
        <x:v>Male</x:v>
      </x:c>
      <x:c r="D216" t="str">
        <x:v>Footwear</x:v>
      </x:c>
      <x:c r="E216" t="str">
        <x:v>Sneakers</x:v>
      </x:c>
      <x:c r="F216" s="24" t="n">
        <x:v>154.86</x:v>
      </x:c>
      <x:c r="G216" t="str">
        <x:v>Spring</x:v>
      </x:c>
      <x:c r="H216" t="str">
        <x:v>Card</x:v>
      </x:c>
      <x:c r="I216" t="n">
        <x:v>4.1</x:v>
      </x:c>
      <x:c r="J216" t="n">
        <x:v>18</x:v>
      </x:c>
      <x:c r="K216" t="n">
        <x:v>4</x:v>
      </x:c>
      <x:c r="L216" t="str">
        <x:v>STORE-001</x:v>
      </x:c>
      <x:c r="M216" s="22" t="n">
        <x:v>45948</x:v>
      </x:c>
      <x:c r="N216" t="str">
        <x:v>SKU-025</x:v>
      </x:c>
      <x:c r="O216" t="n">
        <x:v>2</x:v>
      </x:c>
      <x:c r="P216" s="26" t="n">
        <x:f>F216/O216</x:f>
        <x:v>77.43</x:v>
      </x:c>
    </x:row>
    <x:row r="217">
      <x:c r="A217" t="n">
        <x:v>216</x:v>
      </x:c>
      <x:c r="B217" t="n">
        <x:v>47</x:v>
      </x:c>
      <x:c r="C217" t="str">
        <x:v>Male</x:v>
      </x:c>
      <x:c r="D217" t="str">
        <x:v>Footwear</x:v>
      </x:c>
      <x:c r="E217" t="str">
        <x:v>Formal Shoes</x:v>
      </x:c>
      <x:c r="F217" s="24" t="n">
        <x:v>162.26</x:v>
      </x:c>
      <x:c r="G217" t="str">
        <x:v>Autumn</x:v>
      </x:c>
      <x:c r="H217" t="str">
        <x:v>Card</x:v>
      </x:c>
      <x:c r="I217" t="n">
        <x:v>4</x:v>
      </x:c>
      <x:c r="J217" t="n">
        <x:v>19</x:v>
      </x:c>
      <x:c r="K217" t="n">
        <x:v>7</x:v>
      </x:c>
      <x:c r="L217" t="str">
        <x:v>STORE-001</x:v>
      </x:c>
      <x:c r="M217" s="22" t="n">
        <x:v>46096</x:v>
      </x:c>
      <x:c r="N217" t="str">
        <x:v>SKU-007</x:v>
      </x:c>
      <x:c r="O217" t="n">
        <x:v>1</x:v>
      </x:c>
      <x:c r="P217" s="26" t="n">
        <x:f>F217/O217</x:f>
        <x:v>162.26</x:v>
      </x:c>
    </x:row>
    <x:row r="218">
      <x:c r="A218" t="n">
        <x:v>217</x:v>
      </x:c>
      <x:c r="B218" t="n">
        <x:v>26</x:v>
      </x:c>
      <x:c r="C218" t="str">
        <x:v>Female</x:v>
      </x:c>
      <x:c r="D218" t="str">
        <x:v>Beauty</x:v>
      </x:c>
      <x:c r="E218" t="str">
        <x:v>Makeup Set</x:v>
      </x:c>
      <x:c r="F218" s="24" t="n">
        <x:v>60.97</x:v>
      </x:c>
      <x:c r="G218" t="str">
        <x:v>Spring</x:v>
      </x:c>
      <x:c r="H218" t="str">
        <x:v>Card</x:v>
      </x:c>
      <x:c r="I218" t="n">
        <x:v>4.6</x:v>
      </x:c>
      <x:c r="J218" t="n">
        <x:v>21</x:v>
      </x:c>
      <x:c r="K218" t="n">
        <x:v>8</x:v>
      </x:c>
      <x:c r="L218" t="str">
        <x:v>STORE-001</x:v>
      </x:c>
      <x:c r="M218" s="22" t="n">
        <x:v>46270</x:v>
      </x:c>
      <x:c r="N218" t="str">
        <x:v>SKU-015</x:v>
      </x:c>
      <x:c r="O218" t="n">
        <x:v>1</x:v>
      </x:c>
      <x:c r="P218" s="26" t="n">
        <x:f>F218/O218</x:f>
        <x:v>60.97</x:v>
      </x:c>
    </x:row>
    <x:row r="219">
      <x:c r="A219" t="n">
        <x:v>218</x:v>
      </x:c>
      <x:c r="B219" t="n">
        <x:v>69</x:v>
      </x:c>
      <x:c r="C219" t="str">
        <x:v>Female</x:v>
      </x:c>
      <x:c r="D219" t="str">
        <x:v>Groceries</x:v>
      </x:c>
      <x:c r="E219" t="str">
        <x:v>Beverages</x:v>
      </x:c>
      <x:c r="F219" s="24" t="n">
        <x:v>52.32</x:v>
      </x:c>
      <x:c r="G219" t="str">
        <x:v>Winter</x:v>
      </x:c>
      <x:c r="H219" t="str">
        <x:v>Cash on Delivery</x:v>
      </x:c>
      <x:c r="I219" t="n">
        <x:v>3.6</x:v>
      </x:c>
      <x:c r="J219" t="n">
        <x:v>10</x:v>
      </x:c>
      <x:c r="K219" t="n">
        <x:v>5</x:v>
      </x:c>
      <x:c r="L219" t="str">
        <x:v>STORE-001</x:v>
      </x:c>
      <x:c r="M219" s="22" t="n">
        <x:v>46243</x:v>
      </x:c>
      <x:c r="N219" t="str">
        <x:v>SKU-001</x:v>
      </x:c>
      <x:c r="O219" t="n">
        <x:v>1</x:v>
      </x:c>
      <x:c r="P219" s="26" t="n">
        <x:f>F219/O219</x:f>
        <x:v>52.32</x:v>
      </x:c>
    </x:row>
    <x:row r="220">
      <x:c r="A220" t="n">
        <x:v>219</x:v>
      </x:c>
      <x:c r="B220" t="n">
        <x:v>25</x:v>
      </x:c>
      <x:c r="C220" t="str">
        <x:v>Female</x:v>
      </x:c>
      <x:c r="D220" t="str">
        <x:v>Womens Clothing</x:v>
      </x:c>
      <x:c r="E220" t="str">
        <x:v>Top</x:v>
      </x:c>
      <x:c r="F220" s="24" t="n">
        <x:v>122.97</x:v>
      </x:c>
      <x:c r="G220" t="str">
        <x:v>Autumn</x:v>
      </x:c>
      <x:c r="H220" t="str">
        <x:v>Card</x:v>
      </x:c>
      <x:c r="I220" t="n">
        <x:v>4.3</x:v>
      </x:c>
      <x:c r="J220" t="n">
        <x:v>24</x:v>
      </x:c>
      <x:c r="K220" t="n">
        <x:v>7</x:v>
      </x:c>
      <x:c r="L220" t="str">
        <x:v>STORE-001</x:v>
      </x:c>
      <x:c r="M220" s="22" t="n">
        <x:v>46166</x:v>
      </x:c>
      <x:c r="N220" t="str">
        <x:v>SKU-028</x:v>
      </x:c>
      <x:c r="O220" t="n">
        <x:v>1</x:v>
      </x:c>
      <x:c r="P220" s="26" t="n">
        <x:f>F220/O220</x:f>
        <x:v>122.97</x:v>
      </x:c>
    </x:row>
    <x:row r="221">
      <x:c r="A221" t="n">
        <x:v>220</x:v>
      </x:c>
      <x:c r="B221" t="n">
        <x:v>63</x:v>
      </x:c>
      <x:c r="C221" t="str">
        <x:v>Female</x:v>
      </x:c>
      <x:c r="D221" t="str">
        <x:v>Sports</x:v>
      </x:c>
      <x:c r="E221" t="str">
        <x:v>Dumbbells</x:v>
      </x:c>
      <x:c r="F221" s="24" t="n">
        <x:v>245.76</x:v>
      </x:c>
      <x:c r="G221" t="str">
        <x:v>Spring</x:v>
      </x:c>
      <x:c r="H221" t="str">
        <x:v>Card</x:v>
      </x:c>
      <x:c r="I221" t="n">
        <x:v>4</x:v>
      </x:c>
      <x:c r="J221" t="n">
        <x:v>13</x:v>
      </x:c>
      <x:c r="K221" t="n">
        <x:v>4</x:v>
      </x:c>
      <x:c r="L221" t="str">
        <x:v>STORE-001</x:v>
      </x:c>
      <x:c r="M221" s="22" t="n">
        <x:v>46285</x:v>
      </x:c>
      <x:c r="N221" t="str">
        <x:v>SKU-005</x:v>
      </x:c>
      <x:c r="O221" t="n">
        <x:v>1</x:v>
      </x:c>
      <x:c r="P221" s="26" t="n">
        <x:f>F221/O221</x:f>
        <x:v>245.76</x:v>
      </x:c>
    </x:row>
    <x:row r="222">
      <x:c r="A222" t="n">
        <x:v>221</x:v>
      </x:c>
      <x:c r="B222" t="n">
        <x:v>45</x:v>
      </x:c>
      <x:c r="C222" t="str">
        <x:v>Female</x:v>
      </x:c>
      <x:c r="D222" t="str">
        <x:v>Sports</x:v>
      </x:c>
      <x:c r="E222" t="str">
        <x:v>Football</x:v>
      </x:c>
      <x:c r="F222" s="24" t="n">
        <x:v>229.28</x:v>
      </x:c>
      <x:c r="G222" t="str">
        <x:v>Autumn</x:v>
      </x:c>
      <x:c r="H222" t="str">
        <x:v>Card</x:v>
      </x:c>
      <x:c r="I222" t="n">
        <x:v>4.9</x:v>
      </x:c>
      <x:c r="J222" t="n">
        <x:v>16</x:v>
      </x:c>
      <x:c r="K222" t="n">
        <x:v>8</x:v>
      </x:c>
      <x:c r="L222" t="str">
        <x:v>STORE-001</x:v>
      </x:c>
      <x:c r="M222" s="22" t="n">
        <x:v>46099</x:v>
      </x:c>
      <x:c r="N222" t="str">
        <x:v>SKU-006</x:v>
      </x:c>
      <x:c r="O222" t="n">
        <x:v>2</x:v>
      </x:c>
      <x:c r="P222" s="26" t="n">
        <x:f>F222/O222</x:f>
        <x:v>114.64</x:v>
      </x:c>
    </x:row>
    <x:row r="223">
      <x:c r="A223" t="n">
        <x:v>222</x:v>
      </x:c>
      <x:c r="B223" t="n">
        <x:v>43</x:v>
      </x:c>
      <x:c r="C223" t="str">
        <x:v>Female</x:v>
      </x:c>
      <x:c r="D223" t="str">
        <x:v>Womens Clothing</x:v>
      </x:c>
      <x:c r="E223" t="str">
        <x:v>Jeans</x:v>
      </x:c>
      <x:c r="F223" s="24" t="n">
        <x:v>32.06</x:v>
      </x:c>
      <x:c r="G223" t="str">
        <x:v>Summer</x:v>
      </x:c>
      <x:c r="H223" t="str">
        <x:v>Card</x:v>
      </x:c>
      <x:c r="I223" t="n">
        <x:v>3.5</x:v>
      </x:c>
      <x:c r="J223" t="n">
        <x:v>7</x:v>
      </x:c>
      <x:c r="K223" t="n">
        <x:v>1</x:v>
      </x:c>
      <x:c r="L223" t="str">
        <x:v>STORE-001</x:v>
      </x:c>
      <x:c r="M223" s="22" t="n">
        <x:v>46070</x:v>
      </x:c>
      <x:c r="N223" t="str">
        <x:v>SKU-011</x:v>
      </x:c>
      <x:c r="O223" t="n">
        <x:v>2</x:v>
      </x:c>
      <x:c r="P223" s="26" t="n">
        <x:f>F223/O223</x:f>
        <x:v>16.03</x:v>
      </x:c>
    </x:row>
    <x:row r="224">
      <x:c r="A224" t="n">
        <x:v>223</x:v>
      </x:c>
      <x:c r="B224" t="n">
        <x:v>40</x:v>
      </x:c>
      <x:c r="C224" t="str">
        <x:v>Female</x:v>
      </x:c>
      <x:c r="D224" t="str">
        <x:v>Footwear</x:v>
      </x:c>
      <x:c r="E224" t="str">
        <x:v>Formal Shoes</x:v>
      </x:c>
      <x:c r="F224" s="24" t="n">
        <x:v>148.08</x:v>
      </x:c>
      <x:c r="G224" t="str">
        <x:v>Winter</x:v>
      </x:c>
      <x:c r="H224" t="str">
        <x:v>Card</x:v>
      </x:c>
      <x:c r="I224" t="n">
        <x:v>3.7</x:v>
      </x:c>
      <x:c r="J224" t="n">
        <x:v>10</x:v>
      </x:c>
      <x:c r="K224" t="n">
        <x:v>5</x:v>
      </x:c>
      <x:c r="L224" t="str">
        <x:v>STORE-001</x:v>
      </x:c>
      <x:c r="M224" s="22" t="n">
        <x:v>46253</x:v>
      </x:c>
      <x:c r="N224" t="str">
        <x:v>SKU-007</x:v>
      </x:c>
      <x:c r="O224" t="n">
        <x:v>1</x:v>
      </x:c>
      <x:c r="P224" s="26" t="n">
        <x:f>F224/O224</x:f>
        <x:v>148.08</x:v>
      </x:c>
    </x:row>
    <x:row r="225">
      <x:c r="A225" t="n">
        <x:v>224</x:v>
      </x:c>
      <x:c r="B225" t="n">
        <x:v>48</x:v>
      </x:c>
      <x:c r="C225" t="str">
        <x:v>Male</x:v>
      </x:c>
      <x:c r="D225" t="str">
        <x:v>Sports</x:v>
      </x:c>
      <x:c r="E225" t="str">
        <x:v>Football</x:v>
      </x:c>
      <x:c r="F225" s="24" t="n">
        <x:v>32.34</x:v>
      </x:c>
      <x:c r="G225" t="str">
        <x:v>Winter</x:v>
      </x:c>
      <x:c r="H225" t="str">
        <x:v>Cash on Delivery</x:v>
      </x:c>
      <x:c r="I225" t="n">
        <x:v>4.1</x:v>
      </x:c>
      <x:c r="J225" t="n">
        <x:v>6</x:v>
      </x:c>
      <x:c r="K225" t="n">
        <x:v>3</x:v>
      </x:c>
      <x:c r="L225" t="str">
        <x:v>STORE-001</x:v>
      </x:c>
      <x:c r="M225" s="22" t="n">
        <x:v>46176</x:v>
      </x:c>
      <x:c r="N225" t="str">
        <x:v>SKU-006</x:v>
      </x:c>
      <x:c r="O225" t="n">
        <x:v>1</x:v>
      </x:c>
      <x:c r="P225" s="26" t="n">
        <x:f>F225/O225</x:f>
        <x:v>32.34</x:v>
      </x:c>
    </x:row>
    <x:row r="226">
      <x:c r="A226" t="n">
        <x:v>225</x:v>
      </x:c>
      <x:c r="B226" t="n">
        <x:v>39</x:v>
      </x:c>
      <x:c r="C226" t="str">
        <x:v>Male</x:v>
      </x:c>
      <x:c r="D226" t="str">
        <x:v>Sports</x:v>
      </x:c>
      <x:c r="E226" t="str">
        <x:v>Football</x:v>
      </x:c>
      <x:c r="F226" s="24" t="n">
        <x:v>79.09</x:v>
      </x:c>
      <x:c r="G226" t="str">
        <x:v>Winter</x:v>
      </x:c>
      <x:c r="H226" t="str">
        <x:v>Card</x:v>
      </x:c>
      <x:c r="I226" t="n">
        <x:v>4</x:v>
      </x:c>
      <x:c r="J226" t="n">
        <x:v>8</x:v>
      </x:c>
      <x:c r="K226" t="n">
        <x:v>4</x:v>
      </x:c>
      <x:c r="L226" t="str">
        <x:v>STORE-001</x:v>
      </x:c>
      <x:c r="M226" s="22" t="n">
        <x:v>46181</x:v>
      </x:c>
      <x:c r="N226" t="str">
        <x:v>SKU-006</x:v>
      </x:c>
      <x:c r="O226" t="n">
        <x:v>1</x:v>
      </x:c>
      <x:c r="P226" s="26" t="n">
        <x:f>F226/O226</x:f>
        <x:v>79.09</x:v>
      </x:c>
    </x:row>
    <x:row r="227">
      <x:c r="A227" t="n">
        <x:v>226</x:v>
      </x:c>
      <x:c r="B227" t="n">
        <x:v>23</x:v>
      </x:c>
      <x:c r="C227" t="str">
        <x:v>Male</x:v>
      </x:c>
      <x:c r="D227" t="str">
        <x:v>Sports</x:v>
      </x:c>
      <x:c r="E227" t="str">
        <x:v>Dumbbells</x:v>
      </x:c>
      <x:c r="F227" s="24" t="n">
        <x:v>121.19</x:v>
      </x:c>
      <x:c r="G227" t="str">
        <x:v>Autumn</x:v>
      </x:c>
      <x:c r="H227" t="str">
        <x:v>Card</x:v>
      </x:c>
      <x:c r="I227" t="n">
        <x:v>3.2</x:v>
      </x:c>
      <x:c r="J227" t="n">
        <x:v>17</x:v>
      </x:c>
      <x:c r="K227" t="n">
        <x:v>6</x:v>
      </x:c>
      <x:c r="L227" t="str">
        <x:v>STORE-001</x:v>
      </x:c>
      <x:c r="M227" s="22" t="n">
        <x:v>46124</x:v>
      </x:c>
      <x:c r="N227" t="str">
        <x:v>SKU-005</x:v>
      </x:c>
      <x:c r="O227" t="n">
        <x:v>2</x:v>
      </x:c>
      <x:c r="P227" s="26" t="n">
        <x:f>F227/O227</x:f>
        <x:v>60.595</x:v>
      </x:c>
    </x:row>
    <x:row r="228">
      <x:c r="A228" t="n">
        <x:v>227</x:v>
      </x:c>
      <x:c r="B228" t="n">
        <x:v>42</x:v>
      </x:c>
      <x:c r="C228" t="str">
        <x:v>Female</x:v>
      </x:c>
      <x:c r="D228" t="str">
        <x:v>Womens Clothing</x:v>
      </x:c>
      <x:c r="E228" t="str">
        <x:v>Jeans</x:v>
      </x:c>
      <x:c r="F228" s="24" t="n">
        <x:v>64.76</x:v>
      </x:c>
      <x:c r="G228" t="str">
        <x:v>Summer</x:v>
      </x:c>
      <x:c r="H228" t="str">
        <x:v>Card</x:v>
      </x:c>
      <x:c r="I228" t="n">
        <x:v>3.7</x:v>
      </x:c>
      <x:c r="J228" t="n">
        <x:v>11</x:v>
      </x:c>
      <x:c r="K228" t="n">
        <x:v>3</x:v>
      </x:c>
      <x:c r="L228" t="str">
        <x:v>STORE-001</x:v>
      </x:c>
      <x:c r="M228" s="22" t="n">
        <x:v>46066</x:v>
      </x:c>
      <x:c r="N228" t="str">
        <x:v>SKU-011</x:v>
      </x:c>
      <x:c r="O228" t="n">
        <x:v>2</x:v>
      </x:c>
      <x:c r="P228" s="26" t="n">
        <x:f>F228/O228</x:f>
        <x:v>32.38</x:v>
      </x:c>
    </x:row>
    <x:row r="229">
      <x:c r="A229" t="n">
        <x:v>228</x:v>
      </x:c>
      <x:c r="B229" t="n">
        <x:v>43</x:v>
      </x:c>
      <x:c r="C229" t="str">
        <x:v>Male</x:v>
      </x:c>
      <x:c r="D229" t="str">
        <x:v>Electronics</x:v>
      </x:c>
      <x:c r="E229" t="str">
        <x:v>Smart Watch</x:v>
      </x:c>
      <x:c r="F229" s="24" t="n">
        <x:v>2234.05</x:v>
      </x:c>
      <x:c r="G229" t="str">
        <x:v>Summer</x:v>
      </x:c>
      <x:c r="H229" t="str">
        <x:v>Card</x:v>
      </x:c>
      <x:c r="I229" t="n">
        <x:v>4.2</x:v>
      </x:c>
      <x:c r="J229" t="n">
        <x:v>12</x:v>
      </x:c>
      <x:c r="K229" t="n">
        <x:v>6</x:v>
      </x:c>
      <x:c r="L229" t="str">
        <x:v>STORE-001</x:v>
      </x:c>
      <x:c r="M229" s="22" t="n">
        <x:v>46044</x:v>
      </x:c>
      <x:c r="N229" t="str">
        <x:v>SKU-023</x:v>
      </x:c>
      <x:c r="O229" t="n">
        <x:v>1</x:v>
      </x:c>
      <x:c r="P229" s="26" t="n">
        <x:f>F229/O229</x:f>
        <x:v>2234.05</x:v>
      </x:c>
    </x:row>
    <x:row r="230">
      <x:c r="A230" t="n">
        <x:v>229</x:v>
      </x:c>
      <x:c r="B230" t="n">
        <x:v>60</x:v>
      </x:c>
      <x:c r="C230" t="str">
        <x:v>Male</x:v>
      </x:c>
      <x:c r="D230" t="str">
        <x:v>Sports</x:v>
      </x:c>
      <x:c r="E230" t="str">
        <x:v>Yoga Mat</x:v>
      </x:c>
      <x:c r="F230" s="24" t="n">
        <x:v>106.49</x:v>
      </x:c>
      <x:c r="G230" t="str">
        <x:v>Summer</x:v>
      </x:c>
      <x:c r="H230" t="str">
        <x:v>Card</x:v>
      </x:c>
      <x:c r="I230" t="n">
        <x:v>3.4</x:v>
      </x:c>
      <x:c r="J230" t="n">
        <x:v>16</x:v>
      </x:c>
      <x:c r="K230" t="n">
        <x:v>3</x:v>
      </x:c>
      <x:c r="L230" t="str">
        <x:v>STORE-001</x:v>
      </x:c>
      <x:c r="M230" s="22" t="n">
        <x:v>46028</x:v>
      </x:c>
      <x:c r="N230" t="str">
        <x:v>SKU-030</x:v>
      </x:c>
      <x:c r="O230" t="n">
        <x:v>2</x:v>
      </x:c>
      <x:c r="P230" s="26" t="n">
        <x:f>F230/O230</x:f>
        <x:v>53.245</x:v>
      </x:c>
    </x:row>
    <x:row r="231">
      <x:c r="A231" t="n">
        <x:v>230</x:v>
      </x:c>
      <x:c r="B231" t="n">
        <x:v>55</x:v>
      </x:c>
      <x:c r="C231" t="str">
        <x:v>Male</x:v>
      </x:c>
      <x:c r="D231" t="str">
        <x:v>Electronics</x:v>
      </x:c>
      <x:c r="E231" t="str">
        <x:v>Headphones</x:v>
      </x:c>
      <x:c r="F231" s="24" t="n">
        <x:v>2024.08</x:v>
      </x:c>
      <x:c r="G231" t="str">
        <x:v>Summer</x:v>
      </x:c>
      <x:c r="H231" t="str">
        <x:v>Card</x:v>
      </x:c>
      <x:c r="I231" t="n">
        <x:v>3.2</x:v>
      </x:c>
      <x:c r="J231" t="n">
        <x:v>18</x:v>
      </x:c>
      <x:c r="K231" t="n">
        <x:v>4</x:v>
      </x:c>
      <x:c r="L231" t="str">
        <x:v>STORE-001</x:v>
      </x:c>
      <x:c r="M231" s="22" t="n">
        <x:v>46007</x:v>
      </x:c>
      <x:c r="N231" t="str">
        <x:v>SKU-009</x:v>
      </x:c>
      <x:c r="O231" t="n">
        <x:v>1</x:v>
      </x:c>
      <x:c r="P231" s="26" t="n">
        <x:f>F231/O231</x:f>
        <x:v>2024.08</x:v>
      </x:c>
    </x:row>
    <x:row r="232">
      <x:c r="A232" t="n">
        <x:v>231</x:v>
      </x:c>
      <x:c r="B232" t="n">
        <x:v>55</x:v>
      </x:c>
      <x:c r="C232" t="str">
        <x:v>Male</x:v>
      </x:c>
      <x:c r="D232" t="str">
        <x:v>Mens Clothing</x:v>
      </x:c>
      <x:c r="E232" t="str">
        <x:v>Shirt</x:v>
      </x:c>
      <x:c r="F232" s="24" t="n">
        <x:v>122.22</x:v>
      </x:c>
      <x:c r="G232" t="str">
        <x:v>Summer</x:v>
      </x:c>
      <x:c r="H232" t="str">
        <x:v>Card</x:v>
      </x:c>
      <x:c r="I232" t="n">
        <x:v>4.1</x:v>
      </x:c>
      <x:c r="J232" t="n">
        <x:v>13</x:v>
      </x:c>
      <x:c r="K232" t="n">
        <x:v>4</x:v>
      </x:c>
      <x:c r="L232" t="str">
        <x:v>STORE-001</x:v>
      </x:c>
      <x:c r="M232" s="22" t="n">
        <x:v>46069</x:v>
      </x:c>
      <x:c r="N232" t="str">
        <x:v>SKU-020</x:v>
      </x:c>
      <x:c r="O232" t="n">
        <x:v>1</x:v>
      </x:c>
      <x:c r="P232" s="26" t="n">
        <x:f>F232/O232</x:f>
        <x:v>122.22</x:v>
      </x:c>
    </x:row>
    <x:row r="233">
      <x:c r="A233" t="n">
        <x:v>232</x:v>
      </x:c>
      <x:c r="B233" t="n">
        <x:v>51</x:v>
      </x:c>
      <x:c r="C233" t="str">
        <x:v>Female</x:v>
      </x:c>
      <x:c r="D233" t="str">
        <x:v>Beauty</x:v>
      </x:c>
      <x:c r="E233" t="str">
        <x:v>Perfume</x:v>
      </x:c>
      <x:c r="F233" s="24" t="n">
        <x:v>112.88</x:v>
      </x:c>
      <x:c r="G233" t="str">
        <x:v>Autumn</x:v>
      </x:c>
      <x:c r="H233" t="str">
        <x:v>Card</x:v>
      </x:c>
      <x:c r="I233" t="n">
        <x:v>4.9</x:v>
      </x:c>
      <x:c r="J233" t="n">
        <x:v>22</x:v>
      </x:c>
      <x:c r="K233" t="n">
        <x:v>6</x:v>
      </x:c>
      <x:c r="L233" t="str">
        <x:v>STORE-001</x:v>
      </x:c>
      <x:c r="M233" s="22" t="n">
        <x:v>46109</x:v>
      </x:c>
      <x:c r="N233" t="str">
        <x:v>SKU-017</x:v>
      </x:c>
      <x:c r="O233" t="n">
        <x:v>2</x:v>
      </x:c>
      <x:c r="P233" s="26" t="n">
        <x:f>F233/O233</x:f>
        <x:v>56.44</x:v>
      </x:c>
    </x:row>
    <x:row r="234">
      <x:c r="A234" t="n">
        <x:v>233</x:v>
      </x:c>
      <x:c r="B234" t="n">
        <x:v>58</x:v>
      </x:c>
      <x:c r="C234" t="str">
        <x:v>Male</x:v>
      </x:c>
      <x:c r="D234" t="str">
        <x:v>Footwear</x:v>
      </x:c>
      <x:c r="E234" t="str">
        <x:v>Sandals</x:v>
      </x:c>
      <x:c r="F234" s="24" t="n">
        <x:v>66.28</x:v>
      </x:c>
      <x:c r="G234" t="str">
        <x:v>Winter</x:v>
      </x:c>
      <x:c r="H234" t="str">
        <x:v>Cash on Delivery</x:v>
      </x:c>
      <x:c r="I234" t="n">
        <x:v>2.7</x:v>
      </x:c>
      <x:c r="J234" t="n">
        <x:v>6</x:v>
      </x:c>
      <x:c r="K234" t="n">
        <x:v>3</x:v>
      </x:c>
      <x:c r="L234" t="str">
        <x:v>STORE-001</x:v>
      </x:c>
      <x:c r="M234" s="22" t="n">
        <x:v>46244</x:v>
      </x:c>
      <x:c r="N234" t="str">
        <x:v>SKU-019</x:v>
      </x:c>
      <x:c r="O234" t="n">
        <x:v>1</x:v>
      </x:c>
      <x:c r="P234" s="26" t="n">
        <x:f>F234/O234</x:f>
        <x:v>66.28</x:v>
      </x:c>
    </x:row>
    <x:row r="235">
      <x:c r="A235" t="n">
        <x:v>234</x:v>
      </x:c>
      <x:c r="B235" t="n">
        <x:v>22</x:v>
      </x:c>
      <x:c r="C235" t="str">
        <x:v>Male</x:v>
      </x:c>
      <x:c r="D235" t="str">
        <x:v>Sports</x:v>
      </x:c>
      <x:c r="E235" t="str">
        <x:v>Dumbbells</x:v>
      </x:c>
      <x:c r="F235" s="24" t="n">
        <x:v>122.95</x:v>
      </x:c>
      <x:c r="G235" t="str">
        <x:v>Autumn</x:v>
      </x:c>
      <x:c r="H235" t="str">
        <x:v>Card</x:v>
      </x:c>
      <x:c r="I235" t="n">
        <x:v>3.1</x:v>
      </x:c>
      <x:c r="J235" t="n">
        <x:v>22</x:v>
      </x:c>
      <x:c r="K235" t="n">
        <x:v>6</x:v>
      </x:c>
      <x:c r="L235" t="str">
        <x:v>STORE-001</x:v>
      </x:c>
      <x:c r="M235" s="22" t="n">
        <x:v>46096</x:v>
      </x:c>
      <x:c r="N235" t="str">
        <x:v>SKU-005</x:v>
      </x:c>
      <x:c r="O235" t="n">
        <x:v>2</x:v>
      </x:c>
      <x:c r="P235" s="26" t="n">
        <x:f>F235/O235</x:f>
        <x:v>61.475</x:v>
      </x:c>
    </x:row>
    <x:row r="236">
      <x:c r="A236" t="n">
        <x:v>235</x:v>
      </x:c>
      <x:c r="B236" t="n">
        <x:v>54</x:v>
      </x:c>
      <x:c r="C236" t="str">
        <x:v>Female</x:v>
      </x:c>
      <x:c r="D236" t="str">
        <x:v>Beauty</x:v>
      </x:c>
      <x:c r="E236" t="str">
        <x:v>Makeup Set</x:v>
      </x:c>
      <x:c r="F236" s="24" t="n">
        <x:v>129.63</x:v>
      </x:c>
      <x:c r="G236" t="str">
        <x:v>Spring</x:v>
      </x:c>
      <x:c r="H236" t="str">
        <x:v>Card</x:v>
      </x:c>
      <x:c r="I236" t="n">
        <x:v>5</x:v>
      </x:c>
      <x:c r="J236" t="n">
        <x:v>10</x:v>
      </x:c>
      <x:c r="K236" t="n">
        <x:v>5</x:v>
      </x:c>
      <x:c r="L236" t="str">
        <x:v>STORE-001</x:v>
      </x:c>
      <x:c r="M236" s="22" t="n">
        <x:v>46273</x:v>
      </x:c>
      <x:c r="N236" t="str">
        <x:v>SKU-015</x:v>
      </x:c>
      <x:c r="O236" t="n">
        <x:v>1</x:v>
      </x:c>
      <x:c r="P236" s="26" t="n">
        <x:f>F236/O236</x:f>
        <x:v>129.63</x:v>
      </x:c>
    </x:row>
    <x:row r="237">
      <x:c r="A237" t="n">
        <x:v>236</x:v>
      </x:c>
      <x:c r="B237" t="n">
        <x:v>59</x:v>
      </x:c>
      <x:c r="C237" t="str">
        <x:v>Male</x:v>
      </x:c>
      <x:c r="D237" t="str">
        <x:v>Mens Clothing</x:v>
      </x:c>
      <x:c r="E237" t="str">
        <x:v>Jacket</x:v>
      </x:c>
      <x:c r="F237" s="24" t="n">
        <x:v>191.92</x:v>
      </x:c>
      <x:c r="G237" t="str">
        <x:v>Autumn</x:v>
      </x:c>
      <x:c r="H237" t="str">
        <x:v>Card</x:v>
      </x:c>
      <x:c r="I237" t="n">
        <x:v>3.9</x:v>
      </x:c>
      <x:c r="J237" t="n">
        <x:v>21</x:v>
      </x:c>
      <x:c r="K237" t="n">
        <x:v>8</x:v>
      </x:c>
      <x:c r="L237" t="str">
        <x:v>STORE-001</x:v>
      </x:c>
      <x:c r="M237" s="22" t="n">
        <x:v>46163</x:v>
      </x:c>
      <x:c r="N237" t="str">
        <x:v>SKU-010</x:v>
      </x:c>
      <x:c r="O237" t="n">
        <x:v>1</x:v>
      </x:c>
      <x:c r="P237" s="26" t="n">
        <x:f>F237/O237</x:f>
        <x:v>191.92</x:v>
      </x:c>
    </x:row>
    <x:row r="238">
      <x:c r="A238" t="n">
        <x:v>237</x:v>
      </x:c>
      <x:c r="B238" t="n">
        <x:v>22</x:v>
      </x:c>
      <x:c r="C238" t="str">
        <x:v>Female</x:v>
      </x:c>
      <x:c r="D238" t="str">
        <x:v>Accessories</x:v>
      </x:c>
      <x:c r="E238" t="str">
        <x:v>Sunglasses</x:v>
      </x:c>
      <x:c r="F238" s="24" t="n">
        <x:v>21.95</x:v>
      </x:c>
      <x:c r="G238" t="str">
        <x:v>Winter</x:v>
      </x:c>
      <x:c r="H238" t="str">
        <x:v>Cash on Delivery</x:v>
      </x:c>
      <x:c r="I238" t="n">
        <x:v>3.6</x:v>
      </x:c>
      <x:c r="J238" t="n">
        <x:v>16</x:v>
      </x:c>
      <x:c r="K238" t="n">
        <x:v>3</x:v>
      </x:c>
      <x:c r="L238" t="str">
        <x:v>STORE-001</x:v>
      </x:c>
      <x:c r="M238" s="22" t="n">
        <x:v>46179</x:v>
      </x:c>
      <x:c r="N238" t="str">
        <x:v>SKU-026</x:v>
      </x:c>
      <x:c r="O238" t="n">
        <x:v>1</x:v>
      </x:c>
      <x:c r="P238" s="26" t="n">
        <x:f>F238/O238</x:f>
        <x:v>21.95</x:v>
      </x:c>
    </x:row>
    <x:row r="239">
      <x:c r="A239" t="n">
        <x:v>238</x:v>
      </x:c>
      <x:c r="B239" t="n">
        <x:v>24</x:v>
      </x:c>
      <x:c r="C239" t="str">
        <x:v>Male</x:v>
      </x:c>
      <x:c r="D239" t="str">
        <x:v>Electronics</x:v>
      </x:c>
      <x:c r="E239" t="str">
        <x:v>Mobile Phone</x:v>
      </x:c>
      <x:c r="F239" s="24" t="n">
        <x:v>1117.83</x:v>
      </x:c>
      <x:c r="G239" t="str">
        <x:v>Summer</x:v>
      </x:c>
      <x:c r="H239" t="str">
        <x:v>Card</x:v>
      </x:c>
      <x:c r="I239" t="n">
        <x:v>2.9</x:v>
      </x:c>
      <x:c r="J239" t="n">
        <x:v>13</x:v>
      </x:c>
      <x:c r="K239" t="n">
        <x:v>4</x:v>
      </x:c>
      <x:c r="L239" t="str">
        <x:v>STORE-001</x:v>
      </x:c>
      <x:c r="M239" s="22" t="n">
        <x:v>46026</x:v>
      </x:c>
      <x:c r="N239" t="str">
        <x:v>SKU-016</x:v>
      </x:c>
      <x:c r="O239" t="n">
        <x:v>1</x:v>
      </x:c>
      <x:c r="P239" s="26" t="n">
        <x:f>F239/O239</x:f>
        <x:v>1117.83</x:v>
      </x:c>
    </x:row>
    <x:row r="240">
      <x:c r="A240" t="n">
        <x:v>239</x:v>
      </x:c>
      <x:c r="B240" t="n">
        <x:v>58</x:v>
      </x:c>
      <x:c r="C240" t="str">
        <x:v>Female</x:v>
      </x:c>
      <x:c r="D240" t="str">
        <x:v>Footwear</x:v>
      </x:c>
      <x:c r="E240" t="str">
        <x:v>Formal Shoes</x:v>
      </x:c>
      <x:c r="F240" s="24" t="n">
        <x:v>194.03</x:v>
      </x:c>
      <x:c r="G240" t="str">
        <x:v>Spring</x:v>
      </x:c>
      <x:c r="H240" t="str">
        <x:v>Card</x:v>
      </x:c>
      <x:c r="I240" t="n">
        <x:v>3</x:v>
      </x:c>
      <x:c r="J240" t="n">
        <x:v>21</x:v>
      </x:c>
      <x:c r="K240" t="n">
        <x:v>8</x:v>
      </x:c>
      <x:c r="L240" t="str">
        <x:v>STORE-001</x:v>
      </x:c>
      <x:c r="M240" s="22" t="n">
        <x:v>45932</x:v>
      </x:c>
      <x:c r="N240" t="str">
        <x:v>SKU-007</x:v>
      </x:c>
      <x:c r="O240" t="n">
        <x:v>1</x:v>
      </x:c>
      <x:c r="P240" s="26" t="n">
        <x:f>F240/O240</x:f>
        <x:v>194.03</x:v>
      </x:c>
    </x:row>
    <x:row r="241">
      <x:c r="A241" t="n">
        <x:v>240</x:v>
      </x:c>
      <x:c r="B241" t="n">
        <x:v>24</x:v>
      </x:c>
      <x:c r="C241" t="str">
        <x:v>Female</x:v>
      </x:c>
      <x:c r="D241" t="str">
        <x:v>Beauty</x:v>
      </x:c>
      <x:c r="E241" t="str">
        <x:v>Makeup Set</x:v>
      </x:c>
      <x:c r="F241" s="24" t="n">
        <x:v>111.59</x:v>
      </x:c>
      <x:c r="G241" t="str">
        <x:v>Summer</x:v>
      </x:c>
      <x:c r="H241" t="str">
        <x:v>Card</x:v>
      </x:c>
      <x:c r="I241" t="n">
        <x:v>3.7</x:v>
      </x:c>
      <x:c r="J241" t="n">
        <x:v>8</x:v>
      </x:c>
      <x:c r="K241" t="n">
        <x:v>4</x:v>
      </x:c>
      <x:c r="L241" t="str">
        <x:v>STORE-001</x:v>
      </x:c>
      <x:c r="M241" s="22" t="n">
        <x:v>46008</x:v>
      </x:c>
      <x:c r="N241" t="str">
        <x:v>SKU-015</x:v>
      </x:c>
      <x:c r="O241" t="n">
        <x:v>2</x:v>
      </x:c>
      <x:c r="P241" s="26" t="n">
        <x:f>F241/O241</x:f>
        <x:v>55.795</x:v>
      </x:c>
    </x:row>
    <x:row r="242">
      <x:c r="A242" t="n">
        <x:v>241</x:v>
      </x:c>
      <x:c r="B242" t="n">
        <x:v>35</x:v>
      </x:c>
      <x:c r="C242" t="str">
        <x:v>Female</x:v>
      </x:c>
      <x:c r="D242" t="str">
        <x:v>Womens Clothing</x:v>
      </x:c>
      <x:c r="E242" t="str">
        <x:v>Top</x:v>
      </x:c>
      <x:c r="F242" s="24" t="n">
        <x:v>194.65</x:v>
      </x:c>
      <x:c r="G242" t="str">
        <x:v>Autumn</x:v>
      </x:c>
      <x:c r="H242" t="str">
        <x:v>Card</x:v>
      </x:c>
      <x:c r="I242" t="n">
        <x:v>3.6</x:v>
      </x:c>
      <x:c r="J242" t="n">
        <x:v>9</x:v>
      </x:c>
      <x:c r="K242" t="n">
        <x:v>2</x:v>
      </x:c>
      <x:c r="L242" t="str">
        <x:v>STORE-001</x:v>
      </x:c>
      <x:c r="M242" s="22" t="n">
        <x:v>46084</x:v>
      </x:c>
      <x:c r="N242" t="str">
        <x:v>SKU-028</x:v>
      </x:c>
      <x:c r="O242" t="n">
        <x:v>1</x:v>
      </x:c>
      <x:c r="P242" s="26" t="n">
        <x:f>F242/O242</x:f>
        <x:v>194.65</x:v>
      </x:c>
    </x:row>
    <x:row r="243">
      <x:c r="A243" t="n">
        <x:v>242</x:v>
      </x:c>
      <x:c r="B243" t="n">
        <x:v>63</x:v>
      </x:c>
      <x:c r="C243" t="str">
        <x:v>Male</x:v>
      </x:c>
      <x:c r="D243" t="str">
        <x:v>Footwear</x:v>
      </x:c>
      <x:c r="E243" t="str">
        <x:v>Formal Shoes</x:v>
      </x:c>
      <x:c r="F243" s="24" t="n">
        <x:v>96.15</x:v>
      </x:c>
      <x:c r="G243" t="str">
        <x:v>Winter</x:v>
      </x:c>
      <x:c r="H243" t="str">
        <x:v>Card</x:v>
      </x:c>
      <x:c r="I243" t="n">
        <x:v>3.2</x:v>
      </x:c>
      <x:c r="J243" t="n">
        <x:v>9</x:v>
      </x:c>
      <x:c r="K243" t="n">
        <x:v>2</x:v>
      </x:c>
      <x:c r="L243" t="str">
        <x:v>STORE-001</x:v>
      </x:c>
      <x:c r="M243" s="22" t="n">
        <x:v>46223</x:v>
      </x:c>
      <x:c r="N243" t="str">
        <x:v>SKU-007</x:v>
      </x:c>
      <x:c r="O243" t="n">
        <x:v>1</x:v>
      </x:c>
      <x:c r="P243" s="26" t="n">
        <x:f>F243/O243</x:f>
        <x:v>96.15</x:v>
      </x:c>
    </x:row>
    <x:row r="244">
      <x:c r="A244" t="n">
        <x:v>243</x:v>
      </x:c>
      <x:c r="B244" t="n">
        <x:v>51</x:v>
      </x:c>
      <x:c r="C244" t="str">
        <x:v>Female</x:v>
      </x:c>
      <x:c r="D244" t="str">
        <x:v>Accessories</x:v>
      </x:c>
      <x:c r="E244" t="str">
        <x:v>Sunglasses</x:v>
      </x:c>
      <x:c r="F244" s="24" t="n">
        <x:v>115.63</x:v>
      </x:c>
      <x:c r="G244" t="str">
        <x:v>Winter</x:v>
      </x:c>
      <x:c r="H244" t="str">
        <x:v>Card</x:v>
      </x:c>
      <x:c r="I244" t="n">
        <x:v>2.9</x:v>
      </x:c>
      <x:c r="J244" t="n">
        <x:v>19</x:v>
      </x:c>
      <x:c r="K244" t="n">
        <x:v>7</x:v>
      </x:c>
      <x:c r="L244" t="str">
        <x:v>STORE-001</x:v>
      </x:c>
      <x:c r="M244" s="22" t="n">
        <x:v>46261</x:v>
      </x:c>
      <x:c r="N244" t="str">
        <x:v>SKU-026</x:v>
      </x:c>
      <x:c r="O244" t="n">
        <x:v>1</x:v>
      </x:c>
      <x:c r="P244" s="26" t="n">
        <x:f>F244/O244</x:f>
        <x:v>115.63</x:v>
      </x:c>
    </x:row>
    <x:row r="245">
      <x:c r="A245" t="n">
        <x:v>244</x:v>
      </x:c>
      <x:c r="B245" t="n">
        <x:v>47</x:v>
      </x:c>
      <x:c r="C245" t="str">
        <x:v>Male</x:v>
      </x:c>
      <x:c r="D245" t="str">
        <x:v>Sports</x:v>
      </x:c>
      <x:c r="E245" t="str">
        <x:v>Football</x:v>
      </x:c>
      <x:c r="F245" s="24" t="n">
        <x:v>146.95</x:v>
      </x:c>
      <x:c r="G245" t="str">
        <x:v>Spring</x:v>
      </x:c>
      <x:c r="H245" t="str">
        <x:v>Card</x:v>
      </x:c>
      <x:c r="I245" t="n">
        <x:v>5</x:v>
      </x:c>
      <x:c r="J245" t="n">
        <x:v>24</x:v>
      </x:c>
      <x:c r="K245" t="n">
        <x:v>7</x:v>
      </x:c>
      <x:c r="L245" t="str">
        <x:v>STORE-001</x:v>
      </x:c>
      <x:c r="M245" s="22" t="n">
        <x:v>46294</x:v>
      </x:c>
      <x:c r="N245" t="str">
        <x:v>SKU-006</x:v>
      </x:c>
      <x:c r="O245" t="n">
        <x:v>2</x:v>
      </x:c>
      <x:c r="P245" s="26" t="n">
        <x:f>F245/O245</x:f>
        <x:v>73.475</x:v>
      </x:c>
    </x:row>
    <x:row r="246">
      <x:c r="A246" t="n">
        <x:v>245</x:v>
      </x:c>
      <x:c r="B246" t="n">
        <x:v>69</x:v>
      </x:c>
      <x:c r="C246" t="str">
        <x:v>Male</x:v>
      </x:c>
      <x:c r="D246" t="str">
        <x:v>Electronics</x:v>
      </x:c>
      <x:c r="E246" t="str">
        <x:v>Headphones</x:v>
      </x:c>
      <x:c r="F246" s="24" t="n">
        <x:v>2517.97</x:v>
      </x:c>
      <x:c r="G246" t="str">
        <x:v>Autumn</x:v>
      </x:c>
      <x:c r="H246" t="str">
        <x:v>Card</x:v>
      </x:c>
      <x:c r="I246" t="n">
        <x:v>4.3</x:v>
      </x:c>
      <x:c r="J246" t="n">
        <x:v>28</x:v>
      </x:c>
      <x:c r="K246" t="n">
        <x:v>9</x:v>
      </x:c>
      <x:c r="L246" t="str">
        <x:v>STORE-001</x:v>
      </x:c>
      <x:c r="M246" s="22" t="n">
        <x:v>46106</x:v>
      </x:c>
      <x:c r="N246" t="str">
        <x:v>SKU-009</x:v>
      </x:c>
      <x:c r="O246" t="n">
        <x:v>1</x:v>
      </x:c>
      <x:c r="P246" s="26" t="n">
        <x:f>F246/O246</x:f>
        <x:v>2517.97</x:v>
      </x:c>
    </x:row>
    <x:row r="247">
      <x:c r="A247" t="n">
        <x:v>246</x:v>
      </x:c>
      <x:c r="B247" t="n">
        <x:v>66</x:v>
      </x:c>
      <x:c r="C247" t="str">
        <x:v>Female</x:v>
      </x:c>
      <x:c r="D247" t="str">
        <x:v>Beauty</x:v>
      </x:c>
      <x:c r="E247" t="str">
        <x:v>Makeup Set</x:v>
      </x:c>
      <x:c r="F247" s="24" t="n">
        <x:v>55.2</x:v>
      </x:c>
      <x:c r="G247" t="str">
        <x:v>Summer</x:v>
      </x:c>
      <x:c r="H247" t="str">
        <x:v>Card</x:v>
      </x:c>
      <x:c r="I247" t="n">
        <x:v>3.6</x:v>
      </x:c>
      <x:c r="J247" t="n">
        <x:v>11</x:v>
      </x:c>
      <x:c r="K247" t="n">
        <x:v>3</x:v>
      </x:c>
      <x:c r="L247" t="str">
        <x:v>STORE-001</x:v>
      </x:c>
      <x:c r="M247" s="22" t="n">
        <x:v>46028</x:v>
      </x:c>
      <x:c r="N247" t="str">
        <x:v>SKU-015</x:v>
      </x:c>
      <x:c r="O247" t="n">
        <x:v>1</x:v>
      </x:c>
      <x:c r="P247" s="26" t="n">
        <x:f>F247/O247</x:f>
        <x:v>55.2</x:v>
      </x:c>
    </x:row>
    <x:row r="248">
      <x:c r="A248" t="n">
        <x:v>247</x:v>
      </x:c>
      <x:c r="B248" t="n">
        <x:v>35</x:v>
      </x:c>
      <x:c r="C248" t="str">
        <x:v>Female</x:v>
      </x:c>
      <x:c r="D248" t="str">
        <x:v>Accessories</x:v>
      </x:c>
      <x:c r="E248" t="str">
        <x:v>Wallet</x:v>
      </x:c>
      <x:c r="F248" s="24" t="n">
        <x:v>161.59</x:v>
      </x:c>
      <x:c r="G248" t="str">
        <x:v>Spring</x:v>
      </x:c>
      <x:c r="H248" t="str">
        <x:v>Card</x:v>
      </x:c>
      <x:c r="I248" t="n">
        <x:v>3.4</x:v>
      </x:c>
      <x:c r="J248" t="n">
        <x:v>22</x:v>
      </x:c>
      <x:c r="K248" t="n">
        <x:v>6</x:v>
      </x:c>
      <x:c r="L248" t="str">
        <x:v>STORE-001</x:v>
      </x:c>
      <x:c r="M248" s="22" t="n">
        <x:v>46272</x:v>
      </x:c>
      <x:c r="N248" t="str">
        <x:v>SKU-029</x:v>
      </x:c>
      <x:c r="O248" t="n">
        <x:v>1</x:v>
      </x:c>
      <x:c r="P248" s="26" t="n">
        <x:f>F248/O248</x:f>
        <x:v>161.59</x:v>
      </x:c>
    </x:row>
    <x:row r="249">
      <x:c r="A249" t="n">
        <x:v>248</x:v>
      </x:c>
      <x:c r="B249" t="n">
        <x:v>36</x:v>
      </x:c>
      <x:c r="C249" t="str">
        <x:v>Male</x:v>
      </x:c>
      <x:c r="D249" t="str">
        <x:v>Footwear</x:v>
      </x:c>
      <x:c r="E249" t="str">
        <x:v>Sneakers</x:v>
      </x:c>
      <x:c r="F249" s="24" t="n">
        <x:v>110.06</x:v>
      </x:c>
      <x:c r="G249" t="str">
        <x:v>Spring</x:v>
      </x:c>
      <x:c r="H249" t="str">
        <x:v>Card</x:v>
      </x:c>
      <x:c r="I249" t="n">
        <x:v>3.9</x:v>
      </x:c>
      <x:c r="J249" t="n">
        <x:v>19</x:v>
      </x:c>
      <x:c r="K249" t="n">
        <x:v>7</x:v>
      </x:c>
      <x:c r="L249" t="str">
        <x:v>STORE-001</x:v>
      </x:c>
      <x:c r="M249" s="22" t="n">
        <x:v>46268</x:v>
      </x:c>
      <x:c r="N249" t="str">
        <x:v>SKU-025</x:v>
      </x:c>
      <x:c r="O249" t="n">
        <x:v>2</x:v>
      </x:c>
      <x:c r="P249" s="26" t="n">
        <x:f>F249/O249</x:f>
        <x:v>55.03</x:v>
      </x:c>
    </x:row>
    <x:row r="250">
      <x:c r="A250" t="n">
        <x:v>249</x:v>
      </x:c>
      <x:c r="B250" t="n">
        <x:v>59</x:v>
      </x:c>
      <x:c r="C250" t="str">
        <x:v>Female</x:v>
      </x:c>
      <x:c r="D250" t="str">
        <x:v>Accessories</x:v>
      </x:c>
      <x:c r="E250" t="str">
        <x:v>Handbag</x:v>
      </x:c>
      <x:c r="F250" s="24" t="n">
        <x:v>145.44</x:v>
      </x:c>
      <x:c r="G250" t="str">
        <x:v>Summer</x:v>
      </x:c>
      <x:c r="H250" t="str">
        <x:v>Card</x:v>
      </x:c>
      <x:c r="I250" t="n">
        <x:v>4.5</x:v>
      </x:c>
      <x:c r="J250" t="n">
        <x:v>22</x:v>
      </x:c>
      <x:c r="K250" t="n">
        <x:v>6</x:v>
      </x:c>
      <x:c r="L250" t="str">
        <x:v>STORE-001</x:v>
      </x:c>
      <x:c r="M250" s="22" t="n">
        <x:v>46041</x:v>
      </x:c>
      <x:c r="N250" t="str">
        <x:v>SKU-008</x:v>
      </x:c>
      <x:c r="O250" t="n">
        <x:v>2</x:v>
      </x:c>
      <x:c r="P250" s="26" t="n">
        <x:f>F250/O250</x:f>
        <x:v>72.72</x:v>
      </x:c>
    </x:row>
    <x:row r="251">
      <x:c r="A251" t="n">
        <x:v>250</x:v>
      </x:c>
      <x:c r="B251" t="n">
        <x:v>20</x:v>
      </x:c>
      <x:c r="C251" t="str">
        <x:v>Male</x:v>
      </x:c>
      <x:c r="D251" t="str">
        <x:v>Mens Clothing</x:v>
      </x:c>
      <x:c r="E251" t="str">
        <x:v>Jeans</x:v>
      </x:c>
      <x:c r="F251" s="24" t="n">
        <x:v>99.49</x:v>
      </x:c>
      <x:c r="G251" t="str">
        <x:v>Autumn</x:v>
      </x:c>
      <x:c r="H251" t="str">
        <x:v>Cash on Delivery</x:v>
      </x:c>
      <x:c r="I251" t="n">
        <x:v>3.8</x:v>
      </x:c>
      <x:c r="J251" t="n">
        <x:v>18</x:v>
      </x:c>
      <x:c r="K251" t="n">
        <x:v>9</x:v>
      </x:c>
      <x:c r="L251" t="str">
        <x:v>STORE-001</x:v>
      </x:c>
      <x:c r="M251" s="22" t="n">
        <x:v>46102</x:v>
      </x:c>
      <x:c r="N251" t="str">
        <x:v>SKU-011</x:v>
      </x:c>
      <x:c r="O251" t="n">
        <x:v>1</x:v>
      </x:c>
      <x:c r="P251" s="26" t="n">
        <x:f>F251/O251</x:f>
        <x:v>99.49</x:v>
      </x:c>
    </x:row>
    <x:row r="252">
      <x:c r="A252" t="n">
        <x:v>251</x:v>
      </x:c>
      <x:c r="B252" t="n">
        <x:v>46</x:v>
      </x:c>
      <x:c r="C252" t="str">
        <x:v>Female</x:v>
      </x:c>
      <x:c r="D252" t="str">
        <x:v>Beauty</x:v>
      </x:c>
      <x:c r="E252" t="str">
        <x:v>Skincare Kit</x:v>
      </x:c>
      <x:c r="F252" s="24" t="n">
        <x:v>116.53</x:v>
      </x:c>
      <x:c r="G252" t="str">
        <x:v>Winter</x:v>
      </x:c>
      <x:c r="H252" t="str">
        <x:v>Card</x:v>
      </x:c>
      <x:c r="I252" t="n">
        <x:v>4.2</x:v>
      </x:c>
      <x:c r="J252" t="n">
        <x:v>12</x:v>
      </x:c>
      <x:c r="K252" t="n">
        <x:v>6</x:v>
      </x:c>
      <x:c r="L252" t="str">
        <x:v>STORE-001</x:v>
      </x:c>
      <x:c r="M252" s="22" t="n">
        <x:v>46225</x:v>
      </x:c>
      <x:c r="N252" t="str">
        <x:v>SKU-021</x:v>
      </x:c>
      <x:c r="O252" t="n">
        <x:v>1</x:v>
      </x:c>
      <x:c r="P252" s="26" t="n">
        <x:f>F252/O252</x:f>
        <x:v>116.53</x:v>
      </x:c>
    </x:row>
    <x:row r="253">
      <x:c r="A253" t="n">
        <x:v>252</x:v>
      </x:c>
      <x:c r="B253" t="n">
        <x:v>68</x:v>
      </x:c>
      <x:c r="C253" t="str">
        <x:v>Male</x:v>
      </x:c>
      <x:c r="D253" t="str">
        <x:v>Mens Clothing</x:v>
      </x:c>
      <x:c r="E253" t="str">
        <x:v>Jacket</x:v>
      </x:c>
      <x:c r="F253" s="24" t="n">
        <x:v>170.91</x:v>
      </x:c>
      <x:c r="G253" t="str">
        <x:v>Winter</x:v>
      </x:c>
      <x:c r="H253" t="str">
        <x:v>Card</x:v>
      </x:c>
      <x:c r="I253" t="n">
        <x:v>3.8</x:v>
      </x:c>
      <x:c r="J253" t="n">
        <x:v>14</x:v>
      </x:c>
      <x:c r="K253" t="n">
        <x:v>7</x:v>
      </x:c>
      <x:c r="L253" t="str">
        <x:v>STORE-001</x:v>
      </x:c>
      <x:c r="M253" s="22" t="n">
        <x:v>46196</x:v>
      </x:c>
      <x:c r="N253" t="str">
        <x:v>SKU-010</x:v>
      </x:c>
      <x:c r="O253" t="n">
        <x:v>2</x:v>
      </x:c>
      <x:c r="P253" s="26" t="n">
        <x:f>F253/O253</x:f>
        <x:v>85.455</x:v>
      </x:c>
    </x:row>
    <x:row r="254">
      <x:c r="A254" t="n">
        <x:v>253</x:v>
      </x:c>
      <x:c r="B254" t="n">
        <x:v>66</x:v>
      </x:c>
      <x:c r="C254" t="str">
        <x:v>Male</x:v>
      </x:c>
      <x:c r="D254" t="str">
        <x:v>Sports</x:v>
      </x:c>
      <x:c r="E254" t="str">
        <x:v>Yoga Mat</x:v>
      </x:c>
      <x:c r="F254" s="24" t="n">
        <x:v>111.58</x:v>
      </x:c>
      <x:c r="G254" t="str">
        <x:v>Autumn</x:v>
      </x:c>
      <x:c r="H254" t="str">
        <x:v>Card</x:v>
      </x:c>
      <x:c r="I254" t="n">
        <x:v>3.4</x:v>
      </x:c>
      <x:c r="J254" t="n">
        <x:v>21</x:v>
      </x:c>
      <x:c r="K254" t="n">
        <x:v>8</x:v>
      </x:c>
      <x:c r="L254" t="str">
        <x:v>STORE-001</x:v>
      </x:c>
      <x:c r="M254" s="22" t="n">
        <x:v>46104</x:v>
      </x:c>
      <x:c r="N254" t="str">
        <x:v>SKU-030</x:v>
      </x:c>
      <x:c r="O254" t="n">
        <x:v>1</x:v>
      </x:c>
      <x:c r="P254" s="26" t="n">
        <x:f>F254/O254</x:f>
        <x:v>111.58</x:v>
      </x:c>
    </x:row>
    <x:row r="255">
      <x:c r="A255" t="n">
        <x:v>254</x:v>
      </x:c>
      <x:c r="B255" t="n">
        <x:v>70</x:v>
      </x:c>
      <x:c r="C255" t="str">
        <x:v>Female</x:v>
      </x:c>
      <x:c r="D255" t="str">
        <x:v>Home</x:v>
      </x:c>
      <x:c r="E255" t="str">
        <x:v>Kitchen Set</x:v>
      </x:c>
      <x:c r="F255" s="24" t="n">
        <x:v>96.25</x:v>
      </x:c>
      <x:c r="G255" t="str">
        <x:v>Autumn</x:v>
      </x:c>
      <x:c r="H255" t="str">
        <x:v>Cash on Delivery</x:v>
      </x:c>
      <x:c r="I255" t="n">
        <x:v>2.9</x:v>
      </x:c>
      <x:c r="J255" t="n">
        <x:v>14</x:v>
      </x:c>
      <x:c r="K255" t="n">
        <x:v>2</x:v>
      </x:c>
      <x:c r="L255" t="str">
        <x:v>STORE-001</x:v>
      </x:c>
      <x:c r="M255" s="22" t="n">
        <x:v>46137</x:v>
      </x:c>
      <x:c r="N255" t="str">
        <x:v>SKU-012</x:v>
      </x:c>
      <x:c r="O255" t="n">
        <x:v>3</x:v>
      </x:c>
      <x:c r="P255" s="26" t="n">
        <x:f>F255/O255</x:f>
        <x:v>32.083333333333336</x:v>
      </x:c>
    </x:row>
    <x:row r="256">
      <x:c r="A256" t="n">
        <x:v>255</x:v>
      </x:c>
      <x:c r="B256" t="n">
        <x:v>43</x:v>
      </x:c>
      <x:c r="C256" t="str">
        <x:v>Female</x:v>
      </x:c>
      <x:c r="D256" t="str">
        <x:v>Beauty</x:v>
      </x:c>
      <x:c r="E256" t="str">
        <x:v>Perfume</x:v>
      </x:c>
      <x:c r="F256" s="24" t="n">
        <x:v>118</x:v>
      </x:c>
      <x:c r="G256" t="str">
        <x:v>Winter</x:v>
      </x:c>
      <x:c r="H256" t="str">
        <x:v>Card</x:v>
      </x:c>
      <x:c r="I256" t="n">
        <x:v>4.1</x:v>
      </x:c>
      <x:c r="J256" t="n">
        <x:v>12</x:v>
      </x:c>
      <x:c r="K256" t="n">
        <x:v>6</x:v>
      </x:c>
      <x:c r="L256" t="str">
        <x:v>STORE-001</x:v>
      </x:c>
      <x:c r="M256" s="22" t="n">
        <x:v>46222</x:v>
      </x:c>
      <x:c r="N256" t="str">
        <x:v>SKU-017</x:v>
      </x:c>
      <x:c r="O256" t="n">
        <x:v>2</x:v>
      </x:c>
      <x:c r="P256" s="26" t="n">
        <x:f>F256/O256</x:f>
        <x:v>59</x:v>
      </x:c>
    </x:row>
    <x:row r="257">
      <x:c r="A257" t="n">
        <x:v>256</x:v>
      </x:c>
      <x:c r="B257" t="n">
        <x:v>67</x:v>
      </x:c>
      <x:c r="C257" t="str">
        <x:v>Male</x:v>
      </x:c>
      <x:c r="D257" t="str">
        <x:v>Electronics</x:v>
      </x:c>
      <x:c r="E257" t="str">
        <x:v>Laptop</x:v>
      </x:c>
      <x:c r="F257" s="24" t="n">
        <x:v>1597.74</x:v>
      </x:c>
      <x:c r="G257" t="str">
        <x:v>Summer</x:v>
      </x:c>
      <x:c r="H257" t="str">
        <x:v>Card</x:v>
      </x:c>
      <x:c r="I257" t="n">
        <x:v>5</x:v>
      </x:c>
      <x:c r="J257" t="n">
        <x:v>30</x:v>
      </x:c>
      <x:c r="K257" t="n">
        <x:v>10</x:v>
      </x:c>
      <x:c r="L257" t="str">
        <x:v>STORE-001</x:v>
      </x:c>
      <x:c r="M257" s="22" t="n">
        <x:v>46079</x:v>
      </x:c>
      <x:c r="N257" t="str">
        <x:v>SKU-014</x:v>
      </x:c>
      <x:c r="O257" t="n">
        <x:v>1</x:v>
      </x:c>
      <x:c r="P257" s="26" t="n">
        <x:f>F257/O257</x:f>
        <x:v>1597.74</x:v>
      </x:c>
    </x:row>
    <x:row r="258">
      <x:c r="A258" t="n">
        <x:v>257</x:v>
      </x:c>
      <x:c r="B258" t="n">
        <x:v>48</x:v>
      </x:c>
      <x:c r="C258" t="str">
        <x:v>Male</x:v>
      </x:c>
      <x:c r="D258" t="str">
        <x:v>Mens Clothing</x:v>
      </x:c>
      <x:c r="E258" t="str">
        <x:v>T-Shirt</x:v>
      </x:c>
      <x:c r="F258" s="24" t="n">
        <x:v>179.87</x:v>
      </x:c>
      <x:c r="G258" t="str">
        <x:v>Summer</x:v>
      </x:c>
      <x:c r="H258" t="str">
        <x:v>Card</x:v>
      </x:c>
      <x:c r="I258" t="n">
        <x:v>3.7</x:v>
      </x:c>
      <x:c r="J258" t="n">
        <x:v>17</x:v>
      </x:c>
      <x:c r="K258" t="n">
        <x:v>6</x:v>
      </x:c>
      <x:c r="L258" t="str">
        <x:v>STORE-001</x:v>
      </x:c>
      <x:c r="M258" s="22" t="n">
        <x:v>45995</x:v>
      </x:c>
      <x:c r="N258" t="str">
        <x:v>SKU-027</x:v>
      </x:c>
      <x:c r="O258" t="n">
        <x:v>1</x:v>
      </x:c>
      <x:c r="P258" s="26" t="n">
        <x:f>F258/O258</x:f>
        <x:v>179.87</x:v>
      </x:c>
    </x:row>
    <x:row r="259">
      <x:c r="A259" t="n">
        <x:v>258</x:v>
      </x:c>
      <x:c r="B259" t="n">
        <x:v>38</x:v>
      </x:c>
      <x:c r="C259" t="str">
        <x:v>Female</x:v>
      </x:c>
      <x:c r="D259" t="str">
        <x:v>Accessories</x:v>
      </x:c>
      <x:c r="E259" t="str">
        <x:v>Sunglasses</x:v>
      </x:c>
      <x:c r="F259" s="24" t="n">
        <x:v>22.14</x:v>
      </x:c>
      <x:c r="G259" t="str">
        <x:v>Autumn</x:v>
      </x:c>
      <x:c r="H259" t="str">
        <x:v>Cash on Delivery</x:v>
      </x:c>
      <x:c r="I259" t="n">
        <x:v>4.7</x:v>
      </x:c>
      <x:c r="J259" t="n">
        <x:v>9</x:v>
      </x:c>
      <x:c r="K259" t="n">
        <x:v>2</x:v>
      </x:c>
      <x:c r="L259" t="str">
        <x:v>STORE-001</x:v>
      </x:c>
      <x:c r="M259" s="22" t="n">
        <x:v>46133</x:v>
      </x:c>
      <x:c r="N259" t="str">
        <x:v>SKU-026</x:v>
      </x:c>
      <x:c r="O259" t="n">
        <x:v>1</x:v>
      </x:c>
      <x:c r="P259" s="26" t="n">
        <x:f>F259/O259</x:f>
        <x:v>22.14</x:v>
      </x:c>
    </x:row>
    <x:row r="260">
      <x:c r="A260" t="n">
        <x:v>259</x:v>
      </x:c>
      <x:c r="B260" t="n">
        <x:v>41</x:v>
      </x:c>
      <x:c r="C260" t="str">
        <x:v>Female</x:v>
      </x:c>
      <x:c r="D260" t="str">
        <x:v>Beauty</x:v>
      </x:c>
      <x:c r="E260" t="str">
        <x:v>Perfume</x:v>
      </x:c>
      <x:c r="F260" s="24" t="n">
        <x:v>28.65</x:v>
      </x:c>
      <x:c r="G260" t="str">
        <x:v>Summer</x:v>
      </x:c>
      <x:c r="H260" t="str">
        <x:v>Card</x:v>
      </x:c>
      <x:c r="I260" t="n">
        <x:v>2.3</x:v>
      </x:c>
      <x:c r="J260" t="n">
        <x:v>8</x:v>
      </x:c>
      <x:c r="K260" t="n">
        <x:v>4</x:v>
      </x:c>
      <x:c r="L260" t="str">
        <x:v>STORE-001</x:v>
      </x:c>
      <x:c r="M260" s="22" t="n">
        <x:v>46021</x:v>
      </x:c>
      <x:c r="N260" t="str">
        <x:v>SKU-017</x:v>
      </x:c>
      <x:c r="O260" t="n">
        <x:v>2</x:v>
      </x:c>
      <x:c r="P260" s="26" t="n">
        <x:f>F260/O260</x:f>
        <x:v>14.325</x:v>
      </x:c>
    </x:row>
    <x:row r="261">
      <x:c r="A261" t="n">
        <x:v>260</x:v>
      </x:c>
      <x:c r="B261" t="n">
        <x:v>33</x:v>
      </x:c>
      <x:c r="C261" t="str">
        <x:v>Female</x:v>
      </x:c>
      <x:c r="D261" t="str">
        <x:v>Accessories</x:v>
      </x:c>
      <x:c r="E261" t="str">
        <x:v>Wallet</x:v>
      </x:c>
      <x:c r="F261" s="24" t="n">
        <x:v>79.92</x:v>
      </x:c>
      <x:c r="G261" t="str">
        <x:v>Summer</x:v>
      </x:c>
      <x:c r="H261" t="str">
        <x:v>Cash on Delivery</x:v>
      </x:c>
      <x:c r="I261" t="n">
        <x:v>4.2</x:v>
      </x:c>
      <x:c r="J261" t="n">
        <x:v>14</x:v>
      </x:c>
      <x:c r="K261" t="n">
        <x:v>2</x:v>
      </x:c>
      <x:c r="L261" t="str">
        <x:v>STORE-001</x:v>
      </x:c>
      <x:c r="M261" s="22" t="n">
        <x:v>46038</x:v>
      </x:c>
      <x:c r="N261" t="str">
        <x:v>SKU-029</x:v>
      </x:c>
      <x:c r="O261" t="n">
        <x:v>2</x:v>
      </x:c>
      <x:c r="P261" s="26" t="n">
        <x:f>F261/O261</x:f>
        <x:v>39.96</x:v>
      </x:c>
    </x:row>
    <x:row r="262">
      <x:c r="A262" t="n">
        <x:v>261</x:v>
      </x:c>
      <x:c r="B262" t="n">
        <x:v>21</x:v>
      </x:c>
      <x:c r="C262" t="str">
        <x:v>Female</x:v>
      </x:c>
      <x:c r="D262" t="str">
        <x:v>Beauty</x:v>
      </x:c>
      <x:c r="E262" t="str">
        <x:v>Perfume</x:v>
      </x:c>
      <x:c r="F262" s="24" t="n">
        <x:v>124.58</x:v>
      </x:c>
      <x:c r="G262" t="str">
        <x:v>Summer</x:v>
      </x:c>
      <x:c r="H262" t="str">
        <x:v>Card</x:v>
      </x:c>
      <x:c r="I262" t="n">
        <x:v>4.3</x:v>
      </x:c>
      <x:c r="J262" t="n">
        <x:v>19</x:v>
      </x:c>
      <x:c r="K262" t="n">
        <x:v>7</x:v>
      </x:c>
      <x:c r="L262" t="str">
        <x:v>STORE-001</x:v>
      </x:c>
      <x:c r="M262" s="22" t="n">
        <x:v>46043</x:v>
      </x:c>
      <x:c r="N262" t="str">
        <x:v>SKU-017</x:v>
      </x:c>
      <x:c r="O262" t="n">
        <x:v>1</x:v>
      </x:c>
      <x:c r="P262" s="26" t="n">
        <x:f>F262/O262</x:f>
        <x:v>124.58</x:v>
      </x:c>
    </x:row>
    <x:row r="263">
      <x:c r="A263" t="n">
        <x:v>262</x:v>
      </x:c>
      <x:c r="B263" t="n">
        <x:v>26</x:v>
      </x:c>
      <x:c r="C263" t="str">
        <x:v>Female</x:v>
      </x:c>
      <x:c r="D263" t="str">
        <x:v>Home</x:v>
      </x:c>
      <x:c r="E263" t="str">
        <x:v>Lamp</x:v>
      </x:c>
      <x:c r="F263" s="24" t="n">
        <x:v>72.84</x:v>
      </x:c>
      <x:c r="G263" t="str">
        <x:v>Summer</x:v>
      </x:c>
      <x:c r="H263" t="str">
        <x:v>Card</x:v>
      </x:c>
      <x:c r="I263" t="n">
        <x:v>3.1</x:v>
      </x:c>
      <x:c r="J263" t="n">
        <x:v>14</x:v>
      </x:c>
      <x:c r="K263" t="n">
        <x:v>7</x:v>
      </x:c>
      <x:c r="L263" t="str">
        <x:v>STORE-001</x:v>
      </x:c>
      <x:c r="M263" s="22" t="n">
        <x:v>46037</x:v>
      </x:c>
      <x:c r="N263" t="str">
        <x:v>SKU-013</x:v>
      </x:c>
      <x:c r="O263" t="n">
        <x:v>1</x:v>
      </x:c>
      <x:c r="P263" s="26" t="n">
        <x:f>F263/O263</x:f>
        <x:v>72.84</x:v>
      </x:c>
    </x:row>
    <x:row r="264">
      <x:c r="A264" t="n">
        <x:v>263</x:v>
      </x:c>
      <x:c r="B264" t="n">
        <x:v>35</x:v>
      </x:c>
      <x:c r="C264" t="str">
        <x:v>Female</x:v>
      </x:c>
      <x:c r="D264" t="str">
        <x:v>Beauty</x:v>
      </x:c>
      <x:c r="E264" t="str">
        <x:v>Skincare Kit</x:v>
      </x:c>
      <x:c r="F264" s="24" t="n">
        <x:v>47.94</x:v>
      </x:c>
      <x:c r="G264" t="str">
        <x:v>Spring</x:v>
      </x:c>
      <x:c r="H264" t="str">
        <x:v>Card</x:v>
      </x:c>
      <x:c r="I264" t="n">
        <x:v>3.6</x:v>
      </x:c>
      <x:c r="J264" t="n">
        <x:v>13</x:v>
      </x:c>
      <x:c r="K264" t="n">
        <x:v>4</x:v>
      </x:c>
      <x:c r="L264" t="str">
        <x:v>STORE-001</x:v>
      </x:c>
      <x:c r="M264" s="22" t="n">
        <x:v>45935</x:v>
      </x:c>
      <x:c r="N264" t="str">
        <x:v>SKU-021</x:v>
      </x:c>
      <x:c r="O264" t="n">
        <x:v>1</x:v>
      </x:c>
      <x:c r="P264" s="26" t="n">
        <x:f>F264/O264</x:f>
        <x:v>47.94</x:v>
      </x:c>
    </x:row>
    <x:row r="265">
      <x:c r="A265" t="n">
        <x:v>264</x:v>
      </x:c>
      <x:c r="B265" t="n">
        <x:v>51</x:v>
      </x:c>
      <x:c r="C265" t="str">
        <x:v>Male</x:v>
      </x:c>
      <x:c r="D265" t="str">
        <x:v>Mens Clothing</x:v>
      </x:c>
      <x:c r="E265" t="str">
        <x:v>Shirt</x:v>
      </x:c>
      <x:c r="F265" s="24" t="n">
        <x:v>74.89</x:v>
      </x:c>
      <x:c r="G265" t="str">
        <x:v>Spring</x:v>
      </x:c>
      <x:c r="H265" t="str">
        <x:v>Cash on Delivery</x:v>
      </x:c>
      <x:c r="I265" t="n">
        <x:v>3.2</x:v>
      </x:c>
      <x:c r="J265" t="n">
        <x:v>22</x:v>
      </x:c>
      <x:c r="K265" t="n">
        <x:v>6</x:v>
      </x:c>
      <x:c r="L265" t="str">
        <x:v>STORE-001</x:v>
      </x:c>
      <x:c r="M265" s="22" t="n">
        <x:v>46267</x:v>
      </x:c>
      <x:c r="N265" t="str">
        <x:v>SKU-020</x:v>
      </x:c>
      <x:c r="O265" t="n">
        <x:v>1</x:v>
      </x:c>
      <x:c r="P265" s="26" t="n">
        <x:f>F265/O265</x:f>
        <x:v>74.89</x:v>
      </x:c>
    </x:row>
    <x:row r="266">
      <x:c r="A266" t="n">
        <x:v>265</x:v>
      </x:c>
      <x:c r="B266" t="n">
        <x:v>58</x:v>
      </x:c>
      <x:c r="C266" t="str">
        <x:v>Male</x:v>
      </x:c>
      <x:c r="D266" t="str">
        <x:v>Sports</x:v>
      </x:c>
      <x:c r="E266" t="str">
        <x:v>Dumbbells</x:v>
      </x:c>
      <x:c r="F266" s="24" t="n">
        <x:v>246.24</x:v>
      </x:c>
      <x:c r="G266" t="str">
        <x:v>Winter</x:v>
      </x:c>
      <x:c r="H266" t="str">
        <x:v>Card</x:v>
      </x:c>
      <x:c r="I266" t="n">
        <x:v>3.5</x:v>
      </x:c>
      <x:c r="J266" t="n">
        <x:v>12</x:v>
      </x:c>
      <x:c r="K266" t="n">
        <x:v>6</x:v>
      </x:c>
      <x:c r="L266" t="str">
        <x:v>STORE-001</x:v>
      </x:c>
      <x:c r="M266" s="22" t="n">
        <x:v>46191</x:v>
      </x:c>
      <x:c r="N266" t="str">
        <x:v>SKU-005</x:v>
      </x:c>
      <x:c r="O266" t="n">
        <x:v>1</x:v>
      </x:c>
      <x:c r="P266" s="26" t="n">
        <x:f>F266/O266</x:f>
        <x:v>246.24</x:v>
      </x:c>
    </x:row>
    <x:row r="267">
      <x:c r="A267" t="n">
        <x:v>266</x:v>
      </x:c>
      <x:c r="B267" t="n">
        <x:v>65</x:v>
      </x:c>
      <x:c r="C267" t="str">
        <x:v>Female</x:v>
      </x:c>
      <x:c r="D267" t="str">
        <x:v>Beauty</x:v>
      </x:c>
      <x:c r="E267" t="str">
        <x:v>Makeup Set</x:v>
      </x:c>
      <x:c r="F267" s="24" t="n">
        <x:v>135.46</x:v>
      </x:c>
      <x:c r="G267" t="str">
        <x:v>Autumn</x:v>
      </x:c>
      <x:c r="H267" t="str">
        <x:v>Card</x:v>
      </x:c>
      <x:c r="I267" t="n">
        <x:v>4.3</x:v>
      </x:c>
      <x:c r="J267" t="n">
        <x:v>24</x:v>
      </x:c>
      <x:c r="K267" t="n">
        <x:v>7</x:v>
      </x:c>
      <x:c r="L267" t="str">
        <x:v>STORE-001</x:v>
      </x:c>
      <x:c r="M267" s="22" t="n">
        <x:v>46117</x:v>
      </x:c>
      <x:c r="N267" t="str">
        <x:v>SKU-015</x:v>
      </x:c>
      <x:c r="O267" t="n">
        <x:v>1</x:v>
      </x:c>
      <x:c r="P267" s="26" t="n">
        <x:f>F267/O267</x:f>
        <x:v>135.46</x:v>
      </x:c>
    </x:row>
    <x:row r="268">
      <x:c r="A268" t="n">
        <x:v>267</x:v>
      </x:c>
      <x:c r="B268" t="n">
        <x:v>31</x:v>
      </x:c>
      <x:c r="C268" t="str">
        <x:v>Male</x:v>
      </x:c>
      <x:c r="D268" t="str">
        <x:v>Footwear</x:v>
      </x:c>
      <x:c r="E268" t="str">
        <x:v>Sneakers</x:v>
      </x:c>
      <x:c r="F268" s="24" t="n">
        <x:v>220.18</x:v>
      </x:c>
      <x:c r="G268" t="str">
        <x:v>Spring</x:v>
      </x:c>
      <x:c r="H268" t="str">
        <x:v>Card</x:v>
      </x:c>
      <x:c r="I268" t="n">
        <x:v>3.4</x:v>
      </x:c>
      <x:c r="J268" t="n">
        <x:v>6</x:v>
      </x:c>
      <x:c r="K268" t="n">
        <x:v>3</x:v>
      </x:c>
      <x:c r="L268" t="str">
        <x:v>STORE-001</x:v>
      </x:c>
      <x:c r="M268" s="22" t="n">
        <x:v>45937</x:v>
      </x:c>
      <x:c r="N268" t="str">
        <x:v>SKU-025</x:v>
      </x:c>
      <x:c r="O268" t="n">
        <x:v>2</x:v>
      </x:c>
      <x:c r="P268" s="26" t="n">
        <x:f>F268/O268</x:f>
        <x:v>110.09</x:v>
      </x:c>
    </x:row>
    <x:row r="269">
      <x:c r="A269" t="n">
        <x:v>268</x:v>
      </x:c>
      <x:c r="B269" t="n">
        <x:v>67</x:v>
      </x:c>
      <x:c r="C269" t="str">
        <x:v>Male</x:v>
      </x:c>
      <x:c r="D269" t="str">
        <x:v>Mens Clothing</x:v>
      </x:c>
      <x:c r="E269" t="str">
        <x:v>Jacket</x:v>
      </x:c>
      <x:c r="F269" s="24" t="n">
        <x:v>159.94</x:v>
      </x:c>
      <x:c r="G269" t="str">
        <x:v>Winter</x:v>
      </x:c>
      <x:c r="H269" t="str">
        <x:v>Card</x:v>
      </x:c>
      <x:c r="I269" t="n">
        <x:v>4.5</x:v>
      </x:c>
      <x:c r="J269" t="n">
        <x:v>10</x:v>
      </x:c>
      <x:c r="K269" t="n">
        <x:v>5</x:v>
      </x:c>
      <x:c r="L269" t="str">
        <x:v>STORE-001</x:v>
      </x:c>
      <x:c r="M269" s="22" t="n">
        <x:v>46254</x:v>
      </x:c>
      <x:c r="N269" t="str">
        <x:v>SKU-010</x:v>
      </x:c>
      <x:c r="O269" t="n">
        <x:v>1</x:v>
      </x:c>
      <x:c r="P269" s="26" t="n">
        <x:f>F269/O269</x:f>
        <x:v>159.94</x:v>
      </x:c>
    </x:row>
    <x:row r="270">
      <x:c r="A270" t="n">
        <x:v>269</x:v>
      </x:c>
      <x:c r="B270" t="n">
        <x:v>29</x:v>
      </x:c>
      <x:c r="C270" t="str">
        <x:v>Male</x:v>
      </x:c>
      <x:c r="D270" t="str">
        <x:v>Electronics</x:v>
      </x:c>
      <x:c r="E270" t="str">
        <x:v>Laptop</x:v>
      </x:c>
      <x:c r="F270" s="24" t="n">
        <x:v>2391.83</x:v>
      </x:c>
      <x:c r="G270" t="str">
        <x:v>Winter</x:v>
      </x:c>
      <x:c r="H270" t="str">
        <x:v>Card</x:v>
      </x:c>
      <x:c r="I270" t="n">
        <x:v>3.4</x:v>
      </x:c>
      <x:c r="J270" t="n">
        <x:v>14</x:v>
      </x:c>
      <x:c r="K270" t="n">
        <x:v>7</x:v>
      </x:c>
      <x:c r="L270" t="str">
        <x:v>STORE-001</x:v>
      </x:c>
      <x:c r="M270" s="22" t="n">
        <x:v>46226</x:v>
      </x:c>
      <x:c r="N270" t="str">
        <x:v>SKU-014</x:v>
      </x:c>
      <x:c r="O270" t="n">
        <x:v>2</x:v>
      </x:c>
      <x:c r="P270" s="26" t="n">
        <x:f>F270/O270</x:f>
        <x:v>1195.915</x:v>
      </x:c>
    </x:row>
    <x:row r="271">
      <x:c r="A271" t="n">
        <x:v>270</x:v>
      </x:c>
      <x:c r="B271" t="n">
        <x:v>31</x:v>
      </x:c>
      <x:c r="C271" t="str">
        <x:v>Female</x:v>
      </x:c>
      <x:c r="D271" t="str">
        <x:v>Beauty</x:v>
      </x:c>
      <x:c r="E271" t="str">
        <x:v>Makeup Set</x:v>
      </x:c>
      <x:c r="F271" s="24" t="n">
        <x:v>112.96</x:v>
      </x:c>
      <x:c r="G271" t="str">
        <x:v>Autumn</x:v>
      </x:c>
      <x:c r="H271" t="str">
        <x:v>Card</x:v>
      </x:c>
      <x:c r="I271" t="n">
        <x:v>5</x:v>
      </x:c>
      <x:c r="J271" t="n">
        <x:v>13</x:v>
      </x:c>
      <x:c r="K271" t="n">
        <x:v>4</x:v>
      </x:c>
      <x:c r="L271" t="str">
        <x:v>STORE-001</x:v>
      </x:c>
      <x:c r="M271" s="22" t="n">
        <x:v>46122</x:v>
      </x:c>
      <x:c r="N271" t="str">
        <x:v>SKU-015</x:v>
      </x:c>
      <x:c r="O271" t="n">
        <x:v>1</x:v>
      </x:c>
      <x:c r="P271" s="26" t="n">
        <x:f>F271/O271</x:f>
        <x:v>112.96</x:v>
      </x:c>
    </x:row>
    <x:row r="272">
      <x:c r="A272" t="n">
        <x:v>271</x:v>
      </x:c>
      <x:c r="B272" t="n">
        <x:v>42</x:v>
      </x:c>
      <x:c r="C272" t="str">
        <x:v>Male</x:v>
      </x:c>
      <x:c r="D272" t="str">
        <x:v>Groceries</x:v>
      </x:c>
      <x:c r="E272" t="str">
        <x:v>Snacks</x:v>
      </x:c>
      <x:c r="F272" s="24" t="n">
        <x:v>56.82</x:v>
      </x:c>
      <x:c r="G272" t="str">
        <x:v>Spring</x:v>
      </x:c>
      <x:c r="H272" t="str">
        <x:v>Card</x:v>
      </x:c>
      <x:c r="I272" t="n">
        <x:v>5</x:v>
      </x:c>
      <x:c r="J272" t="n">
        <x:v>17</x:v>
      </x:c>
      <x:c r="K272" t="n">
        <x:v>6</x:v>
      </x:c>
      <x:c r="L272" t="str">
        <x:v>STORE-001</x:v>
      </x:c>
      <x:c r="M272" s="22" t="n">
        <x:v>45968</x:v>
      </x:c>
      <x:c r="N272" t="str">
        <x:v>SKU-024</x:v>
      </x:c>
      <x:c r="O272" t="n">
        <x:v>1</x:v>
      </x:c>
      <x:c r="P272" s="26" t="n">
        <x:f>F272/O272</x:f>
        <x:v>56.82</x:v>
      </x:c>
    </x:row>
    <x:row r="273">
      <x:c r="A273" t="n">
        <x:v>272</x:v>
      </x:c>
      <x:c r="B273" t="n">
        <x:v>33</x:v>
      </x:c>
      <x:c r="C273" t="str">
        <x:v>Female</x:v>
      </x:c>
      <x:c r="D273" t="str">
        <x:v>Groceries</x:v>
      </x:c>
      <x:c r="E273" t="str">
        <x:v>Snacks</x:v>
      </x:c>
      <x:c r="F273" s="24" t="n">
        <x:v>17.86</x:v>
      </x:c>
      <x:c r="G273" t="str">
        <x:v>Autumn</x:v>
      </x:c>
      <x:c r="H273" t="str">
        <x:v>Cash on Delivery</x:v>
      </x:c>
      <x:c r="I273" t="n">
        <x:v>3.7</x:v>
      </x:c>
      <x:c r="J273" t="n">
        <x:v>30</x:v>
      </x:c>
      <x:c r="K273" t="n">
        <x:v>10</x:v>
      </x:c>
      <x:c r="L273" t="str">
        <x:v>STORE-001</x:v>
      </x:c>
      <x:c r="M273" s="22" t="n">
        <x:v>46100</x:v>
      </x:c>
      <x:c r="N273" t="str">
        <x:v>SKU-024</x:v>
      </x:c>
      <x:c r="O273" t="n">
        <x:v>5</x:v>
      </x:c>
      <x:c r="P273" s="26" t="n">
        <x:f>F273/O273</x:f>
        <x:v>3.572</x:v>
      </x:c>
    </x:row>
    <x:row r="274">
      <x:c r="A274" t="n">
        <x:v>273</x:v>
      </x:c>
      <x:c r="B274" t="n">
        <x:v>59</x:v>
      </x:c>
      <x:c r="C274" t="str">
        <x:v>Male</x:v>
      </x:c>
      <x:c r="D274" t="str">
        <x:v>Groceries</x:v>
      </x:c>
      <x:c r="E274" t="str">
        <x:v>Beverages</x:v>
      </x:c>
      <x:c r="F274" s="24" t="n">
        <x:v>22.31</x:v>
      </x:c>
      <x:c r="G274" t="str">
        <x:v>Spring</x:v>
      </x:c>
      <x:c r="H274" t="str">
        <x:v>Card</x:v>
      </x:c>
      <x:c r="I274" t="n">
        <x:v>3.9</x:v>
      </x:c>
      <x:c r="J274" t="n">
        <x:v>28</x:v>
      </x:c>
      <x:c r="K274" t="n">
        <x:v>9</x:v>
      </x:c>
      <x:c r="L274" t="str">
        <x:v>STORE-001</x:v>
      </x:c>
      <x:c r="M274" s="22" t="n">
        <x:v>45985</x:v>
      </x:c>
      <x:c r="N274" t="str">
        <x:v>SKU-001</x:v>
      </x:c>
      <x:c r="O274" t="n">
        <x:v>2</x:v>
      </x:c>
      <x:c r="P274" s="26" t="n">
        <x:f>F274/O274</x:f>
        <x:v>11.155</x:v>
      </x:c>
    </x:row>
    <x:row r="275">
      <x:c r="A275" t="n">
        <x:v>274</x:v>
      </x:c>
      <x:c r="B275" t="n">
        <x:v>36</x:v>
      </x:c>
      <x:c r="C275" t="str">
        <x:v>Male</x:v>
      </x:c>
      <x:c r="D275" t="str">
        <x:v>Electronics</x:v>
      </x:c>
      <x:c r="E275" t="str">
        <x:v>Smart Watch</x:v>
      </x:c>
      <x:c r="F275" s="24" t="n">
        <x:v>2851.93</x:v>
      </x:c>
      <x:c r="G275" t="str">
        <x:v>Autumn</x:v>
      </x:c>
      <x:c r="H275" t="str">
        <x:v>Card</x:v>
      </x:c>
      <x:c r="I275" t="n">
        <x:v>3.4</x:v>
      </x:c>
      <x:c r="J275" t="n">
        <x:v>8</x:v>
      </x:c>
      <x:c r="K275" t="n">
        <x:v>4</x:v>
      </x:c>
      <x:c r="L275" t="str">
        <x:v>STORE-001</x:v>
      </x:c>
      <x:c r="M275" s="22" t="n">
        <x:v>46127</x:v>
      </x:c>
      <x:c r="N275" t="str">
        <x:v>SKU-023</x:v>
      </x:c>
      <x:c r="O275" t="n">
        <x:v>1</x:v>
      </x:c>
      <x:c r="P275" s="26" t="n">
        <x:f>F275/O275</x:f>
        <x:v>2851.93</x:v>
      </x:c>
    </x:row>
    <x:row r="276">
      <x:c r="A276" t="n">
        <x:v>275</x:v>
      </x:c>
      <x:c r="B276" t="n">
        <x:v>61</x:v>
      </x:c>
      <x:c r="C276" t="str">
        <x:v>Female</x:v>
      </x:c>
      <x:c r="D276" t="str">
        <x:v>Womens Clothing</x:v>
      </x:c>
      <x:c r="E276" t="str">
        <x:v>Skirt</x:v>
      </x:c>
      <x:c r="F276" s="24" t="n">
        <x:v>164.2</x:v>
      </x:c>
      <x:c r="G276" t="str">
        <x:v>Autumn</x:v>
      </x:c>
      <x:c r="H276" t="str">
        <x:v>Card</x:v>
      </x:c>
      <x:c r="I276" t="n">
        <x:v>3.6</x:v>
      </x:c>
      <x:c r="J276" t="n">
        <x:v>11</x:v>
      </x:c>
      <x:c r="K276" t="n">
        <x:v>3</x:v>
      </x:c>
      <x:c r="L276" t="str">
        <x:v>STORE-001</x:v>
      </x:c>
      <x:c r="M276" s="22" t="n">
        <x:v>46143</x:v>
      </x:c>
      <x:c r="N276" t="str">
        <x:v>SKU-022</x:v>
      </x:c>
      <x:c r="O276" t="n">
        <x:v>1</x:v>
      </x:c>
      <x:c r="P276" s="26" t="n">
        <x:f>F276/O276</x:f>
        <x:v>164.2</x:v>
      </x:c>
    </x:row>
    <x:row r="277">
      <x:c r="A277" t="n">
        <x:v>276</x:v>
      </x:c>
      <x:c r="B277" t="n">
        <x:v>22</x:v>
      </x:c>
      <x:c r="C277" t="str">
        <x:v>Male</x:v>
      </x:c>
      <x:c r="D277" t="str">
        <x:v>Sports</x:v>
      </x:c>
      <x:c r="E277" t="str">
        <x:v>Dumbbells</x:v>
      </x:c>
      <x:c r="F277" s="24" t="n">
        <x:v>204.62</x:v>
      </x:c>
      <x:c r="G277" t="str">
        <x:v>Autumn</x:v>
      </x:c>
      <x:c r="H277" t="str">
        <x:v>Card</x:v>
      </x:c>
      <x:c r="I277" t="n">
        <x:v>3.3</x:v>
      </x:c>
      <x:c r="J277" t="n">
        <x:v>16</x:v>
      </x:c>
      <x:c r="K277" t="n">
        <x:v>3</x:v>
      </x:c>
      <x:c r="L277" t="str">
        <x:v>STORE-001</x:v>
      </x:c>
      <x:c r="M277" s="22" t="n">
        <x:v>46145</x:v>
      </x:c>
      <x:c r="N277" t="str">
        <x:v>SKU-005</x:v>
      </x:c>
      <x:c r="O277" t="n">
        <x:v>3</x:v>
      </x:c>
      <x:c r="P277" s="26" t="n">
        <x:f>F277/O277</x:f>
        <x:v>68.20666666666666</x:v>
      </x:c>
    </x:row>
    <x:row r="278">
      <x:c r="A278" t="n">
        <x:v>277</x:v>
      </x:c>
      <x:c r="B278" t="n">
        <x:v>68</x:v>
      </x:c>
      <x:c r="C278" t="str">
        <x:v>Female</x:v>
      </x:c>
      <x:c r="D278" t="str">
        <x:v>Footwear</x:v>
      </x:c>
      <x:c r="E278" t="str">
        <x:v>Sneakers</x:v>
      </x:c>
      <x:c r="F278" s="24" t="n">
        <x:v>75.72</x:v>
      </x:c>
      <x:c r="G278" t="str">
        <x:v>Spring</x:v>
      </x:c>
      <x:c r="H278" t="str">
        <x:v>Cash on Delivery</x:v>
      </x:c>
      <x:c r="I278" t="n">
        <x:v>4.3</x:v>
      </x:c>
      <x:c r="J278" t="n">
        <x:v>20</x:v>
      </x:c>
      <x:c r="K278" t="n">
        <x:v>5</x:v>
      </x:c>
      <x:c r="L278" t="str">
        <x:v>STORE-001</x:v>
      </x:c>
      <x:c r="M278" s="22" t="n">
        <x:v>45934</x:v>
      </x:c>
      <x:c r="N278" t="str">
        <x:v>SKU-025</x:v>
      </x:c>
      <x:c r="O278" t="n">
        <x:v>1</x:v>
      </x:c>
      <x:c r="P278" s="26" t="n">
        <x:f>F278/O278</x:f>
        <x:v>75.72</x:v>
      </x:c>
    </x:row>
    <x:row r="279">
      <x:c r="A279" t="n">
        <x:v>278</x:v>
      </x:c>
      <x:c r="B279" t="n">
        <x:v>24</x:v>
      </x:c>
      <x:c r="C279" t="str">
        <x:v>Female</x:v>
      </x:c>
      <x:c r="D279" t="str">
        <x:v>Footwear</x:v>
      </x:c>
      <x:c r="E279" t="str">
        <x:v>Formal Shoes</x:v>
      </x:c>
      <x:c r="F279" s="24" t="n">
        <x:v>105.45</x:v>
      </x:c>
      <x:c r="G279" t="str">
        <x:v>Summer</x:v>
      </x:c>
      <x:c r="H279" t="str">
        <x:v>Card</x:v>
      </x:c>
      <x:c r="I279" t="n">
        <x:v>2.3</x:v>
      </x:c>
      <x:c r="J279" t="n">
        <x:v>5</x:v>
      </x:c>
      <x:c r="K279" t="n">
        <x:v>0</x:v>
      </x:c>
      <x:c r="L279" t="str">
        <x:v>STORE-001</x:v>
      </x:c>
      <x:c r="M279" s="22" t="n">
        <x:v>46028</x:v>
      </x:c>
      <x:c r="N279" t="str">
        <x:v>SKU-007</x:v>
      </x:c>
      <x:c r="O279" t="n">
        <x:v>2</x:v>
      </x:c>
      <x:c r="P279" s="26" t="n">
        <x:f>F279/O279</x:f>
        <x:v>52.725</x:v>
      </x:c>
    </x:row>
    <x:row r="280">
      <x:c r="A280" t="n">
        <x:v>279</x:v>
      </x:c>
      <x:c r="B280" t="n">
        <x:v>36</x:v>
      </x:c>
      <x:c r="C280" t="str">
        <x:v>Male</x:v>
      </x:c>
      <x:c r="D280" t="str">
        <x:v>Footwear</x:v>
      </x:c>
      <x:c r="E280" t="str">
        <x:v>Formal Shoes</x:v>
      </x:c>
      <x:c r="F280" s="24" t="n">
        <x:v>212.7</x:v>
      </x:c>
      <x:c r="G280" t="str">
        <x:v>Autumn</x:v>
      </x:c>
      <x:c r="H280" t="str">
        <x:v>Card</x:v>
      </x:c>
      <x:c r="I280" t="n">
        <x:v>4</x:v>
      </x:c>
      <x:c r="J280" t="n">
        <x:v>18</x:v>
      </x:c>
      <x:c r="K280" t="n">
        <x:v>4</x:v>
      </x:c>
      <x:c r="L280" t="str">
        <x:v>STORE-001</x:v>
      </x:c>
      <x:c r="M280" s="22" t="n">
        <x:v>46095</x:v>
      </x:c>
      <x:c r="N280" t="str">
        <x:v>SKU-007</x:v>
      </x:c>
      <x:c r="O280" t="n">
        <x:v>1</x:v>
      </x:c>
      <x:c r="P280" s="26" t="n">
        <x:f>F280/O280</x:f>
        <x:v>212.7</x:v>
      </x:c>
    </x:row>
    <x:row r="281">
      <x:c r="A281" t="n">
        <x:v>280</x:v>
      </x:c>
      <x:c r="B281" t="n">
        <x:v>28</x:v>
      </x:c>
      <x:c r="C281" t="str">
        <x:v>Female</x:v>
      </x:c>
      <x:c r="D281" t="str">
        <x:v>Accessories</x:v>
      </x:c>
      <x:c r="E281" t="str">
        <x:v>Handbag</x:v>
      </x:c>
      <x:c r="F281" s="24" t="n">
        <x:v>98.3</x:v>
      </x:c>
      <x:c r="G281" t="str">
        <x:v>Autumn</x:v>
      </x:c>
      <x:c r="H281" t="str">
        <x:v>Card</x:v>
      </x:c>
      <x:c r="I281" t="n">
        <x:v>3.3</x:v>
      </x:c>
      <x:c r="J281" t="n">
        <x:v>24</x:v>
      </x:c>
      <x:c r="K281" t="n">
        <x:v>7</x:v>
      </x:c>
      <x:c r="L281" t="str">
        <x:v>STORE-001</x:v>
      </x:c>
      <x:c r="M281" s="22" t="n">
        <x:v>46162</x:v>
      </x:c>
      <x:c r="N281" t="str">
        <x:v>SKU-008</x:v>
      </x:c>
      <x:c r="O281" t="n">
        <x:v>1</x:v>
      </x:c>
      <x:c r="P281" s="26" t="n">
        <x:f>F281/O281</x:f>
        <x:v>98.3</x:v>
      </x:c>
    </x:row>
    <x:row r="282">
      <x:c r="A282" t="n">
        <x:v>281</x:v>
      </x:c>
      <x:c r="B282" t="n">
        <x:v>59</x:v>
      </x:c>
      <x:c r="C282" t="str">
        <x:v>Male</x:v>
      </x:c>
      <x:c r="D282" t="str">
        <x:v>Electronics</x:v>
      </x:c>
      <x:c r="E282" t="str">
        <x:v>Laptop</x:v>
      </x:c>
      <x:c r="F282" s="24" t="n">
        <x:v>1775.37</x:v>
      </x:c>
      <x:c r="G282" t="str">
        <x:v>Winter</x:v>
      </x:c>
      <x:c r="H282" t="str">
        <x:v>Card</x:v>
      </x:c>
      <x:c r="I282" t="n">
        <x:v>3.2</x:v>
      </x:c>
      <x:c r="J282" t="n">
        <x:v>16</x:v>
      </x:c>
      <x:c r="K282" t="n">
        <x:v>8</x:v>
      </x:c>
      <x:c r="L282" t="str">
        <x:v>STORE-001</x:v>
      </x:c>
      <x:c r="M282" s="22" t="n">
        <x:v>46215</x:v>
      </x:c>
      <x:c r="N282" t="str">
        <x:v>SKU-014</x:v>
      </x:c>
      <x:c r="O282" t="n">
        <x:v>1</x:v>
      </x:c>
      <x:c r="P282" s="26" t="n">
        <x:f>F282/O282</x:f>
        <x:v>1775.37</x:v>
      </x:c>
    </x:row>
    <x:row r="283">
      <x:c r="A283" t="n">
        <x:v>282</x:v>
      </x:c>
      <x:c r="B283" t="n">
        <x:v>53</x:v>
      </x:c>
      <x:c r="C283" t="str">
        <x:v>Female</x:v>
      </x:c>
      <x:c r="D283" t="str">
        <x:v>Beauty</x:v>
      </x:c>
      <x:c r="E283" t="str">
        <x:v>Makeup Set</x:v>
      </x:c>
      <x:c r="F283" s="24" t="n">
        <x:v>146.09</x:v>
      </x:c>
      <x:c r="G283" t="str">
        <x:v>Summer</x:v>
      </x:c>
      <x:c r="H283" t="str">
        <x:v>Card</x:v>
      </x:c>
      <x:c r="I283" t="n">
        <x:v>3.2</x:v>
      </x:c>
      <x:c r="J283" t="n">
        <x:v>10</x:v>
      </x:c>
      <x:c r="K283" t="n">
        <x:v>5</x:v>
      </x:c>
      <x:c r="L283" t="str">
        <x:v>STORE-001</x:v>
      </x:c>
      <x:c r="M283" s="22" t="n">
        <x:v>46007</x:v>
      </x:c>
      <x:c r="N283" t="str">
        <x:v>SKU-015</x:v>
      </x:c>
      <x:c r="O283" t="n">
        <x:v>1</x:v>
      </x:c>
      <x:c r="P283" s="26" t="n">
        <x:f>F283/O283</x:f>
        <x:v>146.09</x:v>
      </x:c>
    </x:row>
    <x:row r="284">
      <x:c r="A284" t="n">
        <x:v>283</x:v>
      </x:c>
      <x:c r="B284" t="n">
        <x:v>50</x:v>
      </x:c>
      <x:c r="C284" t="str">
        <x:v>Male</x:v>
      </x:c>
      <x:c r="D284" t="str">
        <x:v>Mens Clothing</x:v>
      </x:c>
      <x:c r="E284" t="str">
        <x:v>T-Shirt</x:v>
      </x:c>
      <x:c r="F284" s="24" t="n">
        <x:v>144.37</x:v>
      </x:c>
      <x:c r="G284" t="str">
        <x:v>Winter</x:v>
      </x:c>
      <x:c r="H284" t="str">
        <x:v>Card</x:v>
      </x:c>
      <x:c r="I284" t="n">
        <x:v>4.6</x:v>
      </x:c>
      <x:c r="J284" t="n">
        <x:v>8</x:v>
      </x:c>
      <x:c r="K284" t="n">
        <x:v>4</x:v>
      </x:c>
      <x:c r="L284" t="str">
        <x:v>STORE-001</x:v>
      </x:c>
      <x:c r="M284" s="22" t="n">
        <x:v>46193</x:v>
      </x:c>
      <x:c r="N284" t="str">
        <x:v>SKU-027</x:v>
      </x:c>
      <x:c r="O284" t="n">
        <x:v>2</x:v>
      </x:c>
      <x:c r="P284" s="26" t="n">
        <x:f>F284/O284</x:f>
        <x:v>72.185</x:v>
      </x:c>
    </x:row>
    <x:row r="285">
      <x:c r="A285" t="n">
        <x:v>284</x:v>
      </x:c>
      <x:c r="B285" t="n">
        <x:v>39</x:v>
      </x:c>
      <x:c r="C285" t="str">
        <x:v>Female</x:v>
      </x:c>
      <x:c r="D285" t="str">
        <x:v>Womens Clothing</x:v>
      </x:c>
      <x:c r="E285" t="str">
        <x:v>Jeans</x:v>
      </x:c>
      <x:c r="F285" s="24" t="n">
        <x:v>107.92</x:v>
      </x:c>
      <x:c r="G285" t="str">
        <x:v>Autumn</x:v>
      </x:c>
      <x:c r="H285" t="str">
        <x:v>Card</x:v>
      </x:c>
      <x:c r="I285" t="n">
        <x:v>4.9</x:v>
      </x:c>
      <x:c r="J285" t="n">
        <x:v>13</x:v>
      </x:c>
      <x:c r="K285" t="n">
        <x:v>4</x:v>
      </x:c>
      <x:c r="L285" t="str">
        <x:v>STORE-001</x:v>
      </x:c>
      <x:c r="M285" s="22" t="n">
        <x:v>46082</x:v>
      </x:c>
      <x:c r="N285" t="str">
        <x:v>SKU-011</x:v>
      </x:c>
      <x:c r="O285" t="n">
        <x:v>3</x:v>
      </x:c>
      <x:c r="P285" s="26" t="n">
        <x:f>F285/O285</x:f>
        <x:v>35.973333333333336</x:v>
      </x:c>
    </x:row>
    <x:row r="286">
      <x:c r="A286" t="n">
        <x:v>285</x:v>
      </x:c>
      <x:c r="B286" t="n">
        <x:v>27</x:v>
      </x:c>
      <x:c r="C286" t="str">
        <x:v>Male</x:v>
      </x:c>
      <x:c r="D286" t="str">
        <x:v>Footwear</x:v>
      </x:c>
      <x:c r="E286" t="str">
        <x:v>Sneakers</x:v>
      </x:c>
      <x:c r="F286" s="24" t="n">
        <x:v>138.29</x:v>
      </x:c>
      <x:c r="G286" t="str">
        <x:v>Summer</x:v>
      </x:c>
      <x:c r="H286" t="str">
        <x:v>Card</x:v>
      </x:c>
      <x:c r="I286" t="n">
        <x:v>3.6</x:v>
      </x:c>
      <x:c r="J286" t="n">
        <x:v>14</x:v>
      </x:c>
      <x:c r="K286" t="n">
        <x:v>7</x:v>
      </x:c>
      <x:c r="L286" t="str">
        <x:v>STORE-001</x:v>
      </x:c>
      <x:c r="M286" s="22" t="n">
        <x:v>46000</x:v>
      </x:c>
      <x:c r="N286" t="str">
        <x:v>SKU-025</x:v>
      </x:c>
      <x:c r="O286" t="n">
        <x:v>2</x:v>
      </x:c>
      <x:c r="P286" s="26" t="n">
        <x:f>F286/O286</x:f>
        <x:v>69.145</x:v>
      </x:c>
    </x:row>
    <x:row r="287">
      <x:c r="A287" t="n">
        <x:v>286</x:v>
      </x:c>
      <x:c r="B287" t="n">
        <x:v>40</x:v>
      </x:c>
      <x:c r="C287" t="str">
        <x:v>Female</x:v>
      </x:c>
      <x:c r="D287" t="str">
        <x:v>Accessories</x:v>
      </x:c>
      <x:c r="E287" t="str">
        <x:v>Handbag</x:v>
      </x:c>
      <x:c r="F287" s="24" t="n">
        <x:v>101.69</x:v>
      </x:c>
      <x:c r="G287" t="str">
        <x:v>Winter</x:v>
      </x:c>
      <x:c r="H287" t="str">
        <x:v>Card</x:v>
      </x:c>
      <x:c r="I287" t="n">
        <x:v>5</x:v>
      </x:c>
      <x:c r="J287" t="n">
        <x:v>10</x:v>
      </x:c>
      <x:c r="K287" t="n">
        <x:v>5</x:v>
      </x:c>
      <x:c r="L287" t="str">
        <x:v>STORE-001</x:v>
      </x:c>
      <x:c r="M287" s="22" t="n">
        <x:v>46207</x:v>
      </x:c>
      <x:c r="N287" t="str">
        <x:v>SKU-008</x:v>
      </x:c>
      <x:c r="O287" t="n">
        <x:v>1</x:v>
      </x:c>
      <x:c r="P287" s="26" t="n">
        <x:f>F287/O287</x:f>
        <x:v>101.69</x:v>
      </x:c>
    </x:row>
    <x:row r="288">
      <x:c r="A288" t="n">
        <x:v>287</x:v>
      </x:c>
      <x:c r="B288" t="n">
        <x:v>28</x:v>
      </x:c>
      <x:c r="C288" t="str">
        <x:v>Female</x:v>
      </x:c>
      <x:c r="D288" t="str">
        <x:v>Footwear</x:v>
      </x:c>
      <x:c r="E288" t="str">
        <x:v>Sandals</x:v>
      </x:c>
      <x:c r="F288" s="24" t="n">
        <x:v>198.28</x:v>
      </x:c>
      <x:c r="G288" t="str">
        <x:v>Autumn</x:v>
      </x:c>
      <x:c r="H288" t="str">
        <x:v>Card</x:v>
      </x:c>
      <x:c r="I288" t="n">
        <x:v>3.6</x:v>
      </x:c>
      <x:c r="J288" t="n">
        <x:v>20</x:v>
      </x:c>
      <x:c r="K288" t="n">
        <x:v>5</x:v>
      </x:c>
      <x:c r="L288" t="str">
        <x:v>STORE-001</x:v>
      </x:c>
      <x:c r="M288" s="22" t="n">
        <x:v>46156</x:v>
      </x:c>
      <x:c r="N288" t="str">
        <x:v>SKU-019</x:v>
      </x:c>
      <x:c r="O288" t="n">
        <x:v>1</x:v>
      </x:c>
      <x:c r="P288" s="26" t="n">
        <x:f>F288/O288</x:f>
        <x:v>198.28</x:v>
      </x:c>
    </x:row>
    <x:row r="289">
      <x:c r="A289" t="n">
        <x:v>288</x:v>
      </x:c>
      <x:c r="B289" t="n">
        <x:v>61</x:v>
      </x:c>
      <x:c r="C289" t="str">
        <x:v>Female</x:v>
      </x:c>
      <x:c r="D289" t="str">
        <x:v>Sports</x:v>
      </x:c>
      <x:c r="E289" t="str">
        <x:v>Dumbbells</x:v>
      </x:c>
      <x:c r="F289" s="24" t="n">
        <x:v>171.59</x:v>
      </x:c>
      <x:c r="G289" t="str">
        <x:v>Winter</x:v>
      </x:c>
      <x:c r="H289" t="str">
        <x:v>Card</x:v>
      </x:c>
      <x:c r="I289" t="n">
        <x:v>3</x:v>
      </x:c>
      <x:c r="J289" t="n">
        <x:v>16</x:v>
      </x:c>
      <x:c r="K289" t="n">
        <x:v>8</x:v>
      </x:c>
      <x:c r="L289" t="str">
        <x:v>STORE-001</x:v>
      </x:c>
      <x:c r="M289" s="22" t="n">
        <x:v>46209</x:v>
      </x:c>
      <x:c r="N289" t="str">
        <x:v>SKU-005</x:v>
      </x:c>
      <x:c r="O289" t="n">
        <x:v>2</x:v>
      </x:c>
      <x:c r="P289" s="26" t="n">
        <x:f>F289/O289</x:f>
        <x:v>85.795</x:v>
      </x:c>
    </x:row>
    <x:row r="290">
      <x:c r="A290" t="n">
        <x:v>289</x:v>
      </x:c>
      <x:c r="B290" t="n">
        <x:v>54</x:v>
      </x:c>
      <x:c r="C290" t="str">
        <x:v>Male</x:v>
      </x:c>
      <x:c r="D290" t="str">
        <x:v>Electronics</x:v>
      </x:c>
      <x:c r="E290" t="str">
        <x:v>Laptop</x:v>
      </x:c>
      <x:c r="F290" s="24" t="n">
        <x:v>2903.73</x:v>
      </x:c>
      <x:c r="G290" t="str">
        <x:v>Spring</x:v>
      </x:c>
      <x:c r="H290" t="str">
        <x:v>Card</x:v>
      </x:c>
      <x:c r="I290" t="n">
        <x:v>3.7</x:v>
      </x:c>
      <x:c r="J290" t="n">
        <x:v>30</x:v>
      </x:c>
      <x:c r="K290" t="n">
        <x:v>10</x:v>
      </x:c>
      <x:c r="L290" t="str">
        <x:v>STORE-001</x:v>
      </x:c>
      <x:c r="M290" s="22" t="n">
        <x:v>45965</x:v>
      </x:c>
      <x:c r="N290" t="str">
        <x:v>SKU-014</x:v>
      </x:c>
      <x:c r="O290" t="n">
        <x:v>1</x:v>
      </x:c>
      <x:c r="P290" s="26" t="n">
        <x:f>F290/O290</x:f>
        <x:v>2903.73</x:v>
      </x:c>
    </x:row>
    <x:row r="291">
      <x:c r="A291" t="n">
        <x:v>290</x:v>
      </x:c>
      <x:c r="B291" t="n">
        <x:v>51</x:v>
      </x:c>
      <x:c r="C291" t="str">
        <x:v>Male</x:v>
      </x:c>
      <x:c r="D291" t="str">
        <x:v>Footwear</x:v>
      </x:c>
      <x:c r="E291" t="str">
        <x:v>Formal Shoes</x:v>
      </x:c>
      <x:c r="F291" s="24" t="n">
        <x:v>206.84</x:v>
      </x:c>
      <x:c r="G291" t="str">
        <x:v>Summer</x:v>
      </x:c>
      <x:c r="H291" t="str">
        <x:v>Card</x:v>
      </x:c>
      <x:c r="I291" t="n">
        <x:v>2.2</x:v>
      </x:c>
      <x:c r="J291" t="n">
        <x:v>8</x:v>
      </x:c>
      <x:c r="K291" t="n">
        <x:v>4</x:v>
      </x:c>
      <x:c r="L291" t="str">
        <x:v>STORE-001</x:v>
      </x:c>
      <x:c r="M291" s="22" t="n">
        <x:v>46065</x:v>
      </x:c>
      <x:c r="N291" t="str">
        <x:v>SKU-007</x:v>
      </x:c>
      <x:c r="O291" t="n">
        <x:v>2</x:v>
      </x:c>
      <x:c r="P291" s="26" t="n">
        <x:f>F291/O291</x:f>
        <x:v>103.42</x:v>
      </x:c>
    </x:row>
    <x:row r="292">
      <x:c r="A292" t="n">
        <x:v>291</x:v>
      </x:c>
      <x:c r="B292" t="n">
        <x:v>31</x:v>
      </x:c>
      <x:c r="C292" t="str">
        <x:v>Female</x:v>
      </x:c>
      <x:c r="D292" t="str">
        <x:v>Womens Clothing</x:v>
      </x:c>
      <x:c r="E292" t="str">
        <x:v>Jeans</x:v>
      </x:c>
      <x:c r="F292" s="24" t="n">
        <x:v>63.74</x:v>
      </x:c>
      <x:c r="G292" t="str">
        <x:v>Autumn</x:v>
      </x:c>
      <x:c r="H292" t="str">
        <x:v>Cash on Delivery</x:v>
      </x:c>
      <x:c r="I292" t="n">
        <x:v>3.7</x:v>
      </x:c>
      <x:c r="J292" t="n">
        <x:v>8</x:v>
      </x:c>
      <x:c r="K292" t="n">
        <x:v>4</x:v>
      </x:c>
      <x:c r="L292" t="str">
        <x:v>STORE-001</x:v>
      </x:c>
      <x:c r="M292" s="22" t="n">
        <x:v>46092</x:v>
      </x:c>
      <x:c r="N292" t="str">
        <x:v>SKU-011</x:v>
      </x:c>
      <x:c r="O292" t="n">
        <x:v>1</x:v>
      </x:c>
      <x:c r="P292" s="26" t="n">
        <x:f>F292/O292</x:f>
        <x:v>63.74</x:v>
      </x:c>
    </x:row>
    <x:row r="293">
      <x:c r="A293" t="n">
        <x:v>292</x:v>
      </x:c>
      <x:c r="B293" t="n">
        <x:v>61</x:v>
      </x:c>
      <x:c r="C293" t="str">
        <x:v>Male</x:v>
      </x:c>
      <x:c r="D293" t="str">
        <x:v>Sports</x:v>
      </x:c>
      <x:c r="E293" t="str">
        <x:v>Yoga Mat</x:v>
      </x:c>
      <x:c r="F293" s="24" t="n">
        <x:v>64.87</x:v>
      </x:c>
      <x:c r="G293" t="str">
        <x:v>Summer</x:v>
      </x:c>
      <x:c r="H293" t="str">
        <x:v>Cash on Delivery</x:v>
      </x:c>
      <x:c r="I293" t="n">
        <x:v>1.8</x:v>
      </x:c>
      <x:c r="J293" t="n">
        <x:v>22</x:v>
      </x:c>
      <x:c r="K293" t="n">
        <x:v>6</x:v>
      </x:c>
      <x:c r="L293" t="str">
        <x:v>STORE-001</x:v>
      </x:c>
      <x:c r="M293" s="22" t="n">
        <x:v>46007</x:v>
      </x:c>
      <x:c r="N293" t="str">
        <x:v>SKU-030</x:v>
      </x:c>
      <x:c r="O293" t="n">
        <x:v>1</x:v>
      </x:c>
      <x:c r="P293" s="26" t="n">
        <x:f>F293/O293</x:f>
        <x:v>64.87</x:v>
      </x:c>
    </x:row>
    <x:row r="294">
      <x:c r="A294" t="n">
        <x:v>293</x:v>
      </x:c>
      <x:c r="B294" t="n">
        <x:v>50</x:v>
      </x:c>
      <x:c r="C294" t="str">
        <x:v>Female</x:v>
      </x:c>
      <x:c r="D294" t="str">
        <x:v>Accessories</x:v>
      </x:c>
      <x:c r="E294" t="str">
        <x:v>Sunglasses</x:v>
      </x:c>
      <x:c r="F294" s="24" t="n">
        <x:v>67.82</x:v>
      </x:c>
      <x:c r="G294" t="str">
        <x:v>Spring</x:v>
      </x:c>
      <x:c r="H294" t="str">
        <x:v>Card</x:v>
      </x:c>
      <x:c r="I294" t="n">
        <x:v>2.5</x:v>
      </x:c>
      <x:c r="J294" t="n">
        <x:v>14</x:v>
      </x:c>
      <x:c r="K294" t="n">
        <x:v>7</x:v>
      </x:c>
      <x:c r="L294" t="str">
        <x:v>STORE-001</x:v>
      </x:c>
      <x:c r="M294" s="22" t="n">
        <x:v>45959</x:v>
      </x:c>
      <x:c r="N294" t="str">
        <x:v>SKU-026</x:v>
      </x:c>
      <x:c r="O294" t="n">
        <x:v>2</x:v>
      </x:c>
      <x:c r="P294" s="26" t="n">
        <x:f>F294/O294</x:f>
        <x:v>33.91</x:v>
      </x:c>
    </x:row>
    <x:row r="295">
      <x:c r="A295" t="n">
        <x:v>294</x:v>
      </x:c>
      <x:c r="B295" t="n">
        <x:v>65</x:v>
      </x:c>
      <x:c r="C295" t="str">
        <x:v>Female</x:v>
      </x:c>
      <x:c r="D295" t="str">
        <x:v>Beauty</x:v>
      </x:c>
      <x:c r="E295" t="str">
        <x:v>Skincare Kit</x:v>
      </x:c>
      <x:c r="F295" s="24" t="n">
        <x:v>95.87</x:v>
      </x:c>
      <x:c r="G295" t="str">
        <x:v>Autumn</x:v>
      </x:c>
      <x:c r="H295" t="str">
        <x:v>Card</x:v>
      </x:c>
      <x:c r="I295" t="n">
        <x:v>4</x:v>
      </x:c>
      <x:c r="J295" t="n">
        <x:v>14</x:v>
      </x:c>
      <x:c r="K295" t="n">
        <x:v>2</x:v>
      </x:c>
      <x:c r="L295" t="str">
        <x:v>STORE-001</x:v>
      </x:c>
      <x:c r="M295" s="22" t="n">
        <x:v>46146</x:v>
      </x:c>
      <x:c r="N295" t="str">
        <x:v>SKU-021</x:v>
      </x:c>
      <x:c r="O295" t="n">
        <x:v>1</x:v>
      </x:c>
      <x:c r="P295" s="26" t="n">
        <x:f>F295/O295</x:f>
        <x:v>95.87</x:v>
      </x:c>
    </x:row>
    <x:row r="296">
      <x:c r="A296" t="n">
        <x:v>295</x:v>
      </x:c>
      <x:c r="B296" t="n">
        <x:v>46</x:v>
      </x:c>
      <x:c r="C296" t="str">
        <x:v>Female</x:v>
      </x:c>
      <x:c r="D296" t="str">
        <x:v>Sports</x:v>
      </x:c>
      <x:c r="E296" t="str">
        <x:v>Yoga Mat</x:v>
      </x:c>
      <x:c r="F296" s="24" t="n">
        <x:v>142.71</x:v>
      </x:c>
      <x:c r="G296" t="str">
        <x:v>Spring</x:v>
      </x:c>
      <x:c r="H296" t="str">
        <x:v>Card</x:v>
      </x:c>
      <x:c r="I296" t="n">
        <x:v>3.2</x:v>
      </x:c>
      <x:c r="J296" t="n">
        <x:v>10</x:v>
      </x:c>
      <x:c r="K296" t="n">
        <x:v>5</x:v>
      </x:c>
      <x:c r="L296" t="str">
        <x:v>STORE-001</x:v>
      </x:c>
      <x:c r="M296" s="22" t="n">
        <x:v>45956</x:v>
      </x:c>
      <x:c r="N296" t="str">
        <x:v>SKU-030</x:v>
      </x:c>
      <x:c r="O296" t="n">
        <x:v>1</x:v>
      </x:c>
      <x:c r="P296" s="26" t="n">
        <x:f>F296/O296</x:f>
        <x:v>142.71</x:v>
      </x:c>
    </x:row>
    <x:row r="297">
      <x:c r="A297" t="n">
        <x:v>296</x:v>
      </x:c>
      <x:c r="B297" t="n">
        <x:v>48</x:v>
      </x:c>
      <x:c r="C297" t="str">
        <x:v>Male</x:v>
      </x:c>
      <x:c r="D297" t="str">
        <x:v>Home</x:v>
      </x:c>
      <x:c r="E297" t="str">
        <x:v>Lamp</x:v>
      </x:c>
      <x:c r="F297" s="24" t="n">
        <x:v>218.92</x:v>
      </x:c>
      <x:c r="G297" t="str">
        <x:v>Winter</x:v>
      </x:c>
      <x:c r="H297" t="str">
        <x:v>Card</x:v>
      </x:c>
      <x:c r="I297" t="n">
        <x:v>3.7</x:v>
      </x:c>
      <x:c r="J297" t="n">
        <x:v>21</x:v>
      </x:c>
      <x:c r="K297" t="n">
        <x:v>8</x:v>
      </x:c>
      <x:c r="L297" t="str">
        <x:v>STORE-001</x:v>
      </x:c>
      <x:c r="M297" s="22" t="n">
        <x:v>46209</x:v>
      </x:c>
      <x:c r="N297" t="str">
        <x:v>SKU-013</x:v>
      </x:c>
      <x:c r="O297" t="n">
        <x:v>1</x:v>
      </x:c>
      <x:c r="P297" s="26" t="n">
        <x:f>F297/O297</x:f>
        <x:v>218.92</x:v>
      </x:c>
    </x:row>
    <x:row r="298">
      <x:c r="A298" t="n">
        <x:v>297</x:v>
      </x:c>
      <x:c r="B298" t="n">
        <x:v>58</x:v>
      </x:c>
      <x:c r="C298" t="str">
        <x:v>Male</x:v>
      </x:c>
      <x:c r="D298" t="str">
        <x:v>Sports</x:v>
      </x:c>
      <x:c r="E298" t="str">
        <x:v>Dumbbells</x:v>
      </x:c>
      <x:c r="F298" s="24" t="n">
        <x:v>57.47</x:v>
      </x:c>
      <x:c r="G298" t="str">
        <x:v>Winter</x:v>
      </x:c>
      <x:c r="H298" t="str">
        <x:v>Card</x:v>
      </x:c>
      <x:c r="I298" t="n">
        <x:v>2.5</x:v>
      </x:c>
      <x:c r="J298" t="n">
        <x:v>2</x:v>
      </x:c>
      <x:c r="K298" t="n">
        <x:v>1</x:v>
      </x:c>
      <x:c r="L298" t="str">
        <x:v>STORE-001</x:v>
      </x:c>
      <x:c r="M298" s="22" t="n">
        <x:v>46183</x:v>
      </x:c>
      <x:c r="N298" t="str">
        <x:v>SKU-005</x:v>
      </x:c>
      <x:c r="O298" t="n">
        <x:v>1</x:v>
      </x:c>
      <x:c r="P298" s="26" t="n">
        <x:f>F298/O298</x:f>
        <x:v>57.47</x:v>
      </x:c>
    </x:row>
    <x:row r="299">
      <x:c r="A299" t="n">
        <x:v>298</x:v>
      </x:c>
      <x:c r="B299" t="n">
        <x:v>20</x:v>
      </x:c>
      <x:c r="C299" t="str">
        <x:v>Male</x:v>
      </x:c>
      <x:c r="D299" t="str">
        <x:v>Mens Clothing</x:v>
      </x:c>
      <x:c r="E299" t="str">
        <x:v>Jeans</x:v>
      </x:c>
      <x:c r="F299" s="24" t="n">
        <x:v>170</x:v>
      </x:c>
      <x:c r="G299" t="str">
        <x:v>Spring</x:v>
      </x:c>
      <x:c r="H299" t="str">
        <x:v>Card</x:v>
      </x:c>
      <x:c r="I299" t="n">
        <x:v>3.6</x:v>
      </x:c>
      <x:c r="J299" t="n">
        <x:v>12</x:v>
      </x:c>
      <x:c r="K299" t="n">
        <x:v>6</x:v>
      </x:c>
      <x:c r="L299" t="str">
        <x:v>STORE-001</x:v>
      </x:c>
      <x:c r="M299" s="22" t="n">
        <x:v>46290</x:v>
      </x:c>
      <x:c r="N299" t="str">
        <x:v>SKU-011</x:v>
      </x:c>
      <x:c r="O299" t="n">
        <x:v>3</x:v>
      </x:c>
      <x:c r="P299" s="26" t="n">
        <x:f>F299/O299</x:f>
        <x:v>56.666666666666664</x:v>
      </x:c>
    </x:row>
    <x:row r="300">
      <x:c r="A300" t="n">
        <x:v>299</x:v>
      </x:c>
      <x:c r="B300" t="n">
        <x:v>36</x:v>
      </x:c>
      <x:c r="C300" t="str">
        <x:v>Female</x:v>
      </x:c>
      <x:c r="D300" t="str">
        <x:v>Womens Clothing</x:v>
      </x:c>
      <x:c r="E300" t="str">
        <x:v>Skirt</x:v>
      </x:c>
      <x:c r="F300" s="24" t="n">
        <x:v>67.61</x:v>
      </x:c>
      <x:c r="G300" t="str">
        <x:v>Spring</x:v>
      </x:c>
      <x:c r="H300" t="str">
        <x:v>Cash on Delivery</x:v>
      </x:c>
      <x:c r="I300" t="n">
        <x:v>3.8</x:v>
      </x:c>
      <x:c r="J300" t="n">
        <x:v>19</x:v>
      </x:c>
      <x:c r="K300" t="n">
        <x:v>7</x:v>
      </x:c>
      <x:c r="L300" t="str">
        <x:v>STORE-001</x:v>
      </x:c>
      <x:c r="M300" s="22" t="n">
        <x:v>45963</x:v>
      </x:c>
      <x:c r="N300" t="str">
        <x:v>SKU-022</x:v>
      </x:c>
      <x:c r="O300" t="n">
        <x:v>1</x:v>
      </x:c>
      <x:c r="P300" s="26" t="n">
        <x:f>F300/O300</x:f>
        <x:v>67.61</x:v>
      </x:c>
    </x:row>
    <x:row r="301">
      <x:c r="A301" t="n">
        <x:v>300</x:v>
      </x:c>
      <x:c r="B301" t="n">
        <x:v>66</x:v>
      </x:c>
      <x:c r="C301" t="str">
        <x:v>Male</x:v>
      </x:c>
      <x:c r="D301" t="str">
        <x:v>Mens Clothing</x:v>
      </x:c>
      <x:c r="E301" t="str">
        <x:v>Jeans</x:v>
      </x:c>
      <x:c r="F301" s="24" t="n">
        <x:v>141.21</x:v>
      </x:c>
      <x:c r="G301" t="str">
        <x:v>Summer</x:v>
      </x:c>
      <x:c r="H301" t="str">
        <x:v>Card</x:v>
      </x:c>
      <x:c r="I301" t="n">
        <x:v>3.4</x:v>
      </x:c>
      <x:c r="J301" t="n">
        <x:v>22</x:v>
      </x:c>
      <x:c r="K301" t="n">
        <x:v>6</x:v>
      </x:c>
      <x:c r="L301" t="str">
        <x:v>STORE-001</x:v>
      </x:c>
      <x:c r="M301" s="22" t="n">
        <x:v>46007</x:v>
      </x:c>
      <x:c r="N301" t="str">
        <x:v>SKU-011</x:v>
      </x:c>
      <x:c r="O301" t="n">
        <x:v>1</x:v>
      </x:c>
      <x:c r="P301" s="26" t="n">
        <x:f>F301/O301</x:f>
        <x:v>141.21</x:v>
      </x:c>
    </x:row>
    <x:row r="302">
      <x:c r="A302" t="n">
        <x:v>301</x:v>
      </x:c>
      <x:c r="B302" t="n">
        <x:v>66</x:v>
      </x:c>
      <x:c r="C302" t="str">
        <x:v>Female</x:v>
      </x:c>
      <x:c r="D302" t="str">
        <x:v>Accessories</x:v>
      </x:c>
      <x:c r="E302" t="str">
        <x:v>Sunglasses</x:v>
      </x:c>
      <x:c r="F302" s="24" t="n">
        <x:v>57.04</x:v>
      </x:c>
      <x:c r="G302" t="str">
        <x:v>Autumn</x:v>
      </x:c>
      <x:c r="H302" t="str">
        <x:v>Cash on Delivery</x:v>
      </x:c>
      <x:c r="I302" t="n">
        <x:v>3.5</x:v>
      </x:c>
      <x:c r="J302" t="n">
        <x:v>18</x:v>
      </x:c>
      <x:c r="K302" t="n">
        <x:v>4</x:v>
      </x:c>
      <x:c r="L302" t="str">
        <x:v>STORE-001</x:v>
      </x:c>
      <x:c r="M302" s="22" t="n">
        <x:v>46170</x:v>
      </x:c>
      <x:c r="N302" t="str">
        <x:v>SKU-026</x:v>
      </x:c>
      <x:c r="O302" t="n">
        <x:v>2</x:v>
      </x:c>
      <x:c r="P302" s="26" t="n">
        <x:f>F302/O302</x:f>
        <x:v>28.52</x:v>
      </x:c>
    </x:row>
    <x:row r="303">
      <x:c r="A303" t="n">
        <x:v>302</x:v>
      </x:c>
      <x:c r="B303" t="n">
        <x:v>32</x:v>
      </x:c>
      <x:c r="C303" t="str">
        <x:v>Female</x:v>
      </x:c>
      <x:c r="D303" t="str">
        <x:v>Womens Clothing</x:v>
      </x:c>
      <x:c r="E303" t="str">
        <x:v>Dress</x:v>
      </x:c>
      <x:c r="F303" s="24" t="n">
        <x:v>41.92</x:v>
      </x:c>
      <x:c r="G303" t="str">
        <x:v>Autumn</x:v>
      </x:c>
      <x:c r="H303" t="str">
        <x:v>Cash on Delivery</x:v>
      </x:c>
      <x:c r="I303" t="n">
        <x:v>3.5</x:v>
      </x:c>
      <x:c r="J303" t="n">
        <x:v>8</x:v>
      </x:c>
      <x:c r="K303" t="n">
        <x:v>4</x:v>
      </x:c>
      <x:c r="L303" t="str">
        <x:v>STORE-001</x:v>
      </x:c>
      <x:c r="M303" s="22" t="n">
        <x:v>46088</x:v>
      </x:c>
      <x:c r="N303" t="str">
        <x:v>SKU-004</x:v>
      </x:c>
      <x:c r="O303" t="n">
        <x:v>1</x:v>
      </x:c>
      <x:c r="P303" s="26" t="n">
        <x:f>F303/O303</x:f>
        <x:v>41.92</x:v>
      </x:c>
    </x:row>
    <x:row r="304">
      <x:c r="A304" t="n">
        <x:v>303</x:v>
      </x:c>
      <x:c r="B304" t="n">
        <x:v>51</x:v>
      </x:c>
      <x:c r="C304" t="str">
        <x:v>Male</x:v>
      </x:c>
      <x:c r="D304" t="str">
        <x:v>Footwear</x:v>
      </x:c>
      <x:c r="E304" t="str">
        <x:v>Formal Shoes</x:v>
      </x:c>
      <x:c r="F304" s="24" t="n">
        <x:v>106.72</x:v>
      </x:c>
      <x:c r="G304" t="str">
        <x:v>Autumn</x:v>
      </x:c>
      <x:c r="H304" t="str">
        <x:v>Card</x:v>
      </x:c>
      <x:c r="I304" t="n">
        <x:v>2.8</x:v>
      </x:c>
      <x:c r="J304" t="n">
        <x:v>18</x:v>
      </x:c>
      <x:c r="K304" t="n">
        <x:v>4</x:v>
      </x:c>
      <x:c r="L304" t="str">
        <x:v>STORE-001</x:v>
      </x:c>
      <x:c r="M304" s="22" t="n">
        <x:v>46082</x:v>
      </x:c>
      <x:c r="N304" t="str">
        <x:v>SKU-007</x:v>
      </x:c>
      <x:c r="O304" t="n">
        <x:v>2</x:v>
      </x:c>
      <x:c r="P304" s="26" t="n">
        <x:f>F304/O304</x:f>
        <x:v>53.36</x:v>
      </x:c>
    </x:row>
    <x:row r="305">
      <x:c r="A305" t="n">
        <x:v>304</x:v>
      </x:c>
      <x:c r="B305" t="n">
        <x:v>54</x:v>
      </x:c>
      <x:c r="C305" t="str">
        <x:v>Female</x:v>
      </x:c>
      <x:c r="D305" t="str">
        <x:v>Womens Clothing</x:v>
      </x:c>
      <x:c r="E305" t="str">
        <x:v>Top</x:v>
      </x:c>
      <x:c r="F305" s="24" t="n">
        <x:v>145.16</x:v>
      </x:c>
      <x:c r="G305" t="str">
        <x:v>Summer</x:v>
      </x:c>
      <x:c r="H305" t="str">
        <x:v>Card</x:v>
      </x:c>
      <x:c r="I305" t="n">
        <x:v>3.1</x:v>
      </x:c>
      <x:c r="J305" t="n">
        <x:v>14</x:v>
      </x:c>
      <x:c r="K305" t="n">
        <x:v>7</x:v>
      </x:c>
      <x:c r="L305" t="str">
        <x:v>STORE-001</x:v>
      </x:c>
      <x:c r="M305" s="22" t="n">
        <x:v>46064</x:v>
      </x:c>
      <x:c r="N305" t="str">
        <x:v>SKU-028</x:v>
      </x:c>
      <x:c r="O305" t="n">
        <x:v>1</x:v>
      </x:c>
      <x:c r="P305" s="26" t="n">
        <x:f>F305/O305</x:f>
        <x:v>145.16</x:v>
      </x:c>
    </x:row>
    <x:row r="306">
      <x:c r="A306" t="n">
        <x:v>305</x:v>
      </x:c>
      <x:c r="B306" t="n">
        <x:v>25</x:v>
      </x:c>
      <x:c r="C306" t="str">
        <x:v>Female</x:v>
      </x:c>
      <x:c r="D306" t="str">
        <x:v>Accessories</x:v>
      </x:c>
      <x:c r="E306" t="str">
        <x:v>Wallet</x:v>
      </x:c>
      <x:c r="F306" s="24" t="n">
        <x:v>102.26</x:v>
      </x:c>
      <x:c r="G306" t="str">
        <x:v>Autumn</x:v>
      </x:c>
      <x:c r="H306" t="str">
        <x:v>Card</x:v>
      </x:c>
      <x:c r="I306" t="n">
        <x:v>4.2</x:v>
      </x:c>
      <x:c r="J306" t="n">
        <x:v>16</x:v>
      </x:c>
      <x:c r="K306" t="n">
        <x:v>3</x:v>
      </x:c>
      <x:c r="L306" t="str">
        <x:v>STORE-001</x:v>
      </x:c>
      <x:c r="M306" s="22" t="n">
        <x:v>46164</x:v>
      </x:c>
      <x:c r="N306" t="str">
        <x:v>SKU-029</x:v>
      </x:c>
      <x:c r="O306" t="n">
        <x:v>1</x:v>
      </x:c>
      <x:c r="P306" s="26" t="n">
        <x:f>F306/O306</x:f>
        <x:v>102.26</x:v>
      </x:c>
    </x:row>
    <x:row r="307">
      <x:c r="A307" t="n">
        <x:v>306</x:v>
      </x:c>
      <x:c r="B307" t="n">
        <x:v>23</x:v>
      </x:c>
      <x:c r="C307" t="str">
        <x:v>Male</x:v>
      </x:c>
      <x:c r="D307" t="str">
        <x:v>Electronics</x:v>
      </x:c>
      <x:c r="E307" t="str">
        <x:v>Headphones</x:v>
      </x:c>
      <x:c r="F307" s="24" t="n">
        <x:v>1364.52</x:v>
      </x:c>
      <x:c r="G307" t="str">
        <x:v>Spring</x:v>
      </x:c>
      <x:c r="H307" t="str">
        <x:v>Card</x:v>
      </x:c>
      <x:c r="I307" t="n">
        <x:v>4.6</x:v>
      </x:c>
      <x:c r="J307" t="n">
        <x:v>24</x:v>
      </x:c>
      <x:c r="K307" t="n">
        <x:v>7</x:v>
      </x:c>
      <x:c r="L307" t="str">
        <x:v>STORE-001</x:v>
      </x:c>
      <x:c r="M307" s="22" t="n">
        <x:v>45991</x:v>
      </x:c>
      <x:c r="N307" t="str">
        <x:v>SKU-009</x:v>
      </x:c>
      <x:c r="O307" t="n">
        <x:v>2</x:v>
      </x:c>
      <x:c r="P307" s="26" t="n">
        <x:f>F307/O307</x:f>
        <x:v>682.26</x:v>
      </x:c>
    </x:row>
    <x:row r="308">
      <x:c r="A308" t="n">
        <x:v>307</x:v>
      </x:c>
      <x:c r="B308" t="n">
        <x:v>52</x:v>
      </x:c>
      <x:c r="C308" t="str">
        <x:v>Female</x:v>
      </x:c>
      <x:c r="D308" t="str">
        <x:v>Groceries</x:v>
      </x:c>
      <x:c r="E308" t="str">
        <x:v>Rice Pack</x:v>
      </x:c>
      <x:c r="F308" s="24" t="n">
        <x:v>18.59</x:v>
      </x:c>
      <x:c r="G308" t="str">
        <x:v>Spring</x:v>
      </x:c>
      <x:c r="H308" t="str">
        <x:v>Cash on Delivery</x:v>
      </x:c>
      <x:c r="I308" t="n">
        <x:v>2.5</x:v>
      </x:c>
      <x:c r="J308" t="n">
        <x:v>10</x:v>
      </x:c>
      <x:c r="K308" t="n">
        <x:v>5</x:v>
      </x:c>
      <x:c r="L308" t="str">
        <x:v>STORE-001</x:v>
      </x:c>
      <x:c r="M308" s="22" t="n">
        <x:v>45948</x:v>
      </x:c>
      <x:c r="N308" t="str">
        <x:v>SKU-018</x:v>
      </x:c>
      <x:c r="O308" t="n">
        <x:v>4</x:v>
      </x:c>
      <x:c r="P308" s="26" t="n">
        <x:f>F308/O308</x:f>
        <x:v>4.6475</x:v>
      </x:c>
    </x:row>
    <x:row r="309">
      <x:c r="A309" t="n">
        <x:v>308</x:v>
      </x:c>
      <x:c r="B309" t="n">
        <x:v>61</x:v>
      </x:c>
      <x:c r="C309" t="str">
        <x:v>Male</x:v>
      </x:c>
      <x:c r="D309" t="str">
        <x:v>Mens Clothing</x:v>
      </x:c>
      <x:c r="E309" t="str">
        <x:v>Jacket</x:v>
      </x:c>
      <x:c r="F309" s="24" t="n">
        <x:v>166.84</x:v>
      </x:c>
      <x:c r="G309" t="str">
        <x:v>Summer</x:v>
      </x:c>
      <x:c r="H309" t="str">
        <x:v>Card</x:v>
      </x:c>
      <x:c r="I309" t="n">
        <x:v>5</x:v>
      </x:c>
      <x:c r="J309" t="n">
        <x:v>9</x:v>
      </x:c>
      <x:c r="K309" t="n">
        <x:v>2</x:v>
      </x:c>
      <x:c r="L309" t="str">
        <x:v>STORE-001</x:v>
      </x:c>
      <x:c r="M309" s="22" t="n">
        <x:v>46001</x:v>
      </x:c>
      <x:c r="N309" t="str">
        <x:v>SKU-010</x:v>
      </x:c>
      <x:c r="O309" t="n">
        <x:v>1</x:v>
      </x:c>
      <x:c r="P309" s="26" t="n">
        <x:f>F309/O309</x:f>
        <x:v>166.84</x:v>
      </x:c>
    </x:row>
    <x:row r="310">
      <x:c r="A310" t="n">
        <x:v>309</x:v>
      </x:c>
      <x:c r="B310" t="n">
        <x:v>30</x:v>
      </x:c>
      <x:c r="C310" t="str">
        <x:v>Male</x:v>
      </x:c>
      <x:c r="D310" t="str">
        <x:v>Mens Clothing</x:v>
      </x:c>
      <x:c r="E310" t="str">
        <x:v>Shirt</x:v>
      </x:c>
      <x:c r="F310" s="24" t="n">
        <x:v>81.78</x:v>
      </x:c>
      <x:c r="G310" t="str">
        <x:v>Summer</x:v>
      </x:c>
      <x:c r="H310" t="str">
        <x:v>Card</x:v>
      </x:c>
      <x:c r="I310" t="n">
        <x:v>2.4</x:v>
      </x:c>
      <x:c r="J310" t="n">
        <x:v>11</x:v>
      </x:c>
      <x:c r="K310" t="n">
        <x:v>3</x:v>
      </x:c>
      <x:c r="L310" t="str">
        <x:v>STORE-001</x:v>
      </x:c>
      <x:c r="M310" s="22" t="n">
        <x:v>46017</x:v>
      </x:c>
      <x:c r="N310" t="str">
        <x:v>SKU-020</x:v>
      </x:c>
      <x:c r="O310" t="n">
        <x:v>1</x:v>
      </x:c>
      <x:c r="P310" s="26" t="n">
        <x:f>F310/O310</x:f>
        <x:v>81.78</x:v>
      </x:c>
    </x:row>
    <x:row r="311">
      <x:c r="A311" t="n">
        <x:v>310</x:v>
      </x:c>
      <x:c r="B311" t="n">
        <x:v>45</x:v>
      </x:c>
      <x:c r="C311" t="str">
        <x:v>Female</x:v>
      </x:c>
      <x:c r="D311" t="str">
        <x:v>Sports</x:v>
      </x:c>
      <x:c r="E311" t="str">
        <x:v>Dumbbells</x:v>
      </x:c>
      <x:c r="F311" s="24" t="n">
        <x:v>80.77</x:v>
      </x:c>
      <x:c r="G311" t="str">
        <x:v>Summer</x:v>
      </x:c>
      <x:c r="H311" t="str">
        <x:v>Card</x:v>
      </x:c>
      <x:c r="I311" t="n">
        <x:v>4.6</x:v>
      </x:c>
      <x:c r="J311" t="n">
        <x:v>11</x:v>
      </x:c>
      <x:c r="K311" t="n">
        <x:v>3</x:v>
      </x:c>
      <x:c r="L311" t="str">
        <x:v>STORE-001</x:v>
      </x:c>
      <x:c r="M311" s="22" t="n">
        <x:v>45993</x:v>
      </x:c>
      <x:c r="N311" t="str">
        <x:v>SKU-005</x:v>
      </x:c>
      <x:c r="O311" t="n">
        <x:v>1</x:v>
      </x:c>
      <x:c r="P311" s="26" t="n">
        <x:f>F311/O311</x:f>
        <x:v>80.77</x:v>
      </x:c>
    </x:row>
    <x:row r="312">
      <x:c r="A312" t="n">
        <x:v>311</x:v>
      </x:c>
      <x:c r="B312" t="n">
        <x:v>46</x:v>
      </x:c>
      <x:c r="C312" t="str">
        <x:v>Male</x:v>
      </x:c>
      <x:c r="D312" t="str">
        <x:v>Footwear</x:v>
      </x:c>
      <x:c r="E312" t="str">
        <x:v>Sandals</x:v>
      </x:c>
      <x:c r="F312" s="24" t="n">
        <x:v>118.69</x:v>
      </x:c>
      <x:c r="G312" t="str">
        <x:v>Summer</x:v>
      </x:c>
      <x:c r="H312" t="str">
        <x:v>Card</x:v>
      </x:c>
      <x:c r="I312" t="n">
        <x:v>2.7</x:v>
      </x:c>
      <x:c r="J312" t="n">
        <x:v>10</x:v>
      </x:c>
      <x:c r="K312" t="n">
        <x:v>5</x:v>
      </x:c>
      <x:c r="L312" t="str">
        <x:v>STORE-001</x:v>
      </x:c>
      <x:c r="M312" s="22" t="n">
        <x:v>46006</x:v>
      </x:c>
      <x:c r="N312" t="str">
        <x:v>SKU-019</x:v>
      </x:c>
      <x:c r="O312" t="n">
        <x:v>1</x:v>
      </x:c>
      <x:c r="P312" s="26" t="n">
        <x:f>F312/O312</x:f>
        <x:v>118.69</x:v>
      </x:c>
    </x:row>
    <x:row r="313">
      <x:c r="A313" t="n">
        <x:v>312</x:v>
      </x:c>
      <x:c r="B313" t="n">
        <x:v>35</x:v>
      </x:c>
      <x:c r="C313" t="str">
        <x:v>Female</x:v>
      </x:c>
      <x:c r="D313" t="str">
        <x:v>Beauty</x:v>
      </x:c>
      <x:c r="E313" t="str">
        <x:v>Skincare Kit</x:v>
      </x:c>
      <x:c r="F313" s="24" t="n">
        <x:v>77.47</x:v>
      </x:c>
      <x:c r="G313" t="str">
        <x:v>Summer</x:v>
      </x:c>
      <x:c r="H313" t="str">
        <x:v>Card</x:v>
      </x:c>
      <x:c r="I313" t="n">
        <x:v>4.3</x:v>
      </x:c>
      <x:c r="J313" t="n">
        <x:v>8</x:v>
      </x:c>
      <x:c r="K313" t="n">
        <x:v>4</x:v>
      </x:c>
      <x:c r="L313" t="str">
        <x:v>STORE-001</x:v>
      </x:c>
      <x:c r="M313" s="22" t="n">
        <x:v>46065</x:v>
      </x:c>
      <x:c r="N313" t="str">
        <x:v>SKU-021</x:v>
      </x:c>
      <x:c r="O313" t="n">
        <x:v>3</x:v>
      </x:c>
      <x:c r="P313" s="26" t="n">
        <x:f>F313/O313</x:f>
        <x:v>25.823333333333334</x:v>
      </x:c>
    </x:row>
    <x:row r="314">
      <x:c r="A314" t="n">
        <x:v>313</x:v>
      </x:c>
      <x:c r="B314" t="n">
        <x:v>48</x:v>
      </x:c>
      <x:c r="C314" t="str">
        <x:v>Female</x:v>
      </x:c>
      <x:c r="D314" t="str">
        <x:v>Accessories</x:v>
      </x:c>
      <x:c r="E314" t="str">
        <x:v>Wallet</x:v>
      </x:c>
      <x:c r="F314" s="24" t="n">
        <x:v>85.35</x:v>
      </x:c>
      <x:c r="G314" t="str">
        <x:v>Spring</x:v>
      </x:c>
      <x:c r="H314" t="str">
        <x:v>Card</x:v>
      </x:c>
      <x:c r="I314" t="n">
        <x:v>4.3</x:v>
      </x:c>
      <x:c r="J314" t="n">
        <x:v>4</x:v>
      </x:c>
      <x:c r="K314" t="n">
        <x:v>2</x:v>
      </x:c>
      <x:c r="L314" t="str">
        <x:v>STORE-001</x:v>
      </x:c>
      <x:c r="M314" s="22" t="n">
        <x:v>46269</x:v>
      </x:c>
      <x:c r="N314" t="str">
        <x:v>SKU-029</x:v>
      </x:c>
      <x:c r="O314" t="n">
        <x:v>1</x:v>
      </x:c>
      <x:c r="P314" s="26" t="n">
        <x:f>F314/O314</x:f>
        <x:v>85.35</x:v>
      </x:c>
    </x:row>
    <x:row r="315">
      <x:c r="A315" t="n">
        <x:v>314</x:v>
      </x:c>
      <x:c r="B315" t="n">
        <x:v>48</x:v>
      </x:c>
      <x:c r="C315" t="str">
        <x:v>Female</x:v>
      </x:c>
      <x:c r="D315" t="str">
        <x:v>Footwear</x:v>
      </x:c>
      <x:c r="E315" t="str">
        <x:v>Sandals</x:v>
      </x:c>
      <x:c r="F315" s="24" t="n">
        <x:v>102.43</x:v>
      </x:c>
      <x:c r="G315" t="str">
        <x:v>Spring</x:v>
      </x:c>
      <x:c r="H315" t="str">
        <x:v>Card</x:v>
      </x:c>
      <x:c r="I315" t="n">
        <x:v>3.6</x:v>
      </x:c>
      <x:c r="J315" t="n">
        <x:v>24</x:v>
      </x:c>
      <x:c r="K315" t="n">
        <x:v>7</x:v>
      </x:c>
      <x:c r="L315" t="str">
        <x:v>STORE-001</x:v>
      </x:c>
      <x:c r="M315" s="22" t="n">
        <x:v>45985</x:v>
      </x:c>
      <x:c r="N315" t="str">
        <x:v>SKU-019</x:v>
      </x:c>
      <x:c r="O315" t="n">
        <x:v>1</x:v>
      </x:c>
      <x:c r="P315" s="26" t="n">
        <x:f>F315/O315</x:f>
        <x:v>102.43</x:v>
      </x:c>
    </x:row>
    <x:row r="316">
      <x:c r="A316" t="n">
        <x:v>315</x:v>
      </x:c>
      <x:c r="B316" t="n">
        <x:v>30</x:v>
      </x:c>
      <x:c r="C316" t="str">
        <x:v>Male</x:v>
      </x:c>
      <x:c r="D316" t="str">
        <x:v>Groceries</x:v>
      </x:c>
      <x:c r="E316" t="str">
        <x:v>Beverages</x:v>
      </x:c>
      <x:c r="F316" s="24" t="n">
        <x:v>11.09</x:v>
      </x:c>
      <x:c r="G316" t="str">
        <x:v>Autumn</x:v>
      </x:c>
      <x:c r="H316" t="str">
        <x:v>Cash on Delivery</x:v>
      </x:c>
      <x:c r="I316" t="n">
        <x:v>2.8</x:v>
      </x:c>
      <x:c r="J316" t="n">
        <x:v>23</x:v>
      </x:c>
      <x:c r="K316" t="n">
        <x:v>9</x:v>
      </x:c>
      <x:c r="L316" t="str">
        <x:v>STORE-001</x:v>
      </x:c>
      <x:c r="M316" s="22" t="n">
        <x:v>46087</x:v>
      </x:c>
      <x:c r="N316" t="str">
        <x:v>SKU-001</x:v>
      </x:c>
      <x:c r="O316" t="n">
        <x:v>3</x:v>
      </x:c>
      <x:c r="P316" s="26" t="n">
        <x:f>F316/O316</x:f>
        <x:v>3.6966666666666668</x:v>
      </x:c>
    </x:row>
    <x:row r="317">
      <x:c r="A317" t="n">
        <x:v>316</x:v>
      </x:c>
      <x:c r="B317" t="n">
        <x:v>43</x:v>
      </x:c>
      <x:c r="C317" t="str">
        <x:v>Male</x:v>
      </x:c>
      <x:c r="D317" t="str">
        <x:v>Sports</x:v>
      </x:c>
      <x:c r="E317" t="str">
        <x:v>Yoga Mat</x:v>
      </x:c>
      <x:c r="F317" s="24" t="n">
        <x:v>30.29</x:v>
      </x:c>
      <x:c r="G317" t="str">
        <x:v>Summer</x:v>
      </x:c>
      <x:c r="H317" t="str">
        <x:v>Cash on Delivery</x:v>
      </x:c>
      <x:c r="I317" t="n">
        <x:v>2.4</x:v>
      </x:c>
      <x:c r="J317" t="n">
        <x:v>16</x:v>
      </x:c>
      <x:c r="K317" t="n">
        <x:v>3</x:v>
      </x:c>
      <x:c r="L317" t="str">
        <x:v>STORE-001</x:v>
      </x:c>
      <x:c r="M317" s="22" t="n">
        <x:v>45997</x:v>
      </x:c>
      <x:c r="N317" t="str">
        <x:v>SKU-030</x:v>
      </x:c>
      <x:c r="O317" t="n">
        <x:v>1</x:v>
      </x:c>
      <x:c r="P317" s="26" t="n">
        <x:f>F317/O317</x:f>
        <x:v>30.29</x:v>
      </x:c>
    </x:row>
    <x:row r="318">
      <x:c r="A318" t="n">
        <x:v>317</x:v>
      </x:c>
      <x:c r="B318" t="n">
        <x:v>69</x:v>
      </x:c>
      <x:c r="C318" t="str">
        <x:v>Female</x:v>
      </x:c>
      <x:c r="D318" t="str">
        <x:v>Groceries</x:v>
      </x:c>
      <x:c r="E318" t="str">
        <x:v>Snacks</x:v>
      </x:c>
      <x:c r="F318" s="24" t="n">
        <x:v>79.4</x:v>
      </x:c>
      <x:c r="G318" t="str">
        <x:v>Winter</x:v>
      </x:c>
      <x:c r="H318" t="str">
        <x:v>Card</x:v>
      </x:c>
      <x:c r="I318" t="n">
        <x:v>3.4</x:v>
      </x:c>
      <x:c r="J318" t="n">
        <x:v>15</x:v>
      </x:c>
      <x:c r="K318" t="n">
        <x:v>5</x:v>
      </x:c>
      <x:c r="L318" t="str">
        <x:v>STORE-001</x:v>
      </x:c>
      <x:c r="M318" s="22" t="n">
        <x:v>46230</x:v>
      </x:c>
      <x:c r="N318" t="str">
        <x:v>SKU-024</x:v>
      </x:c>
      <x:c r="O318" t="n">
        <x:v>1</x:v>
      </x:c>
      <x:c r="P318" s="26" t="n">
        <x:f>F318/O318</x:f>
        <x:v>79.4</x:v>
      </x:c>
    </x:row>
    <x:row r="319">
      <x:c r="A319" t="n">
        <x:v>318</x:v>
      </x:c>
      <x:c r="B319" t="n">
        <x:v>22</x:v>
      </x:c>
      <x:c r="C319" t="str">
        <x:v>Female</x:v>
      </x:c>
      <x:c r="D319" t="str">
        <x:v>Sports</x:v>
      </x:c>
      <x:c r="E319" t="str">
        <x:v>Football</x:v>
      </x:c>
      <x:c r="F319" s="24" t="n">
        <x:v>237.38</x:v>
      </x:c>
      <x:c r="G319" t="str">
        <x:v>Spring</x:v>
      </x:c>
      <x:c r="H319" t="str">
        <x:v>Card</x:v>
      </x:c>
      <x:c r="I319" t="n">
        <x:v>3.4</x:v>
      </x:c>
      <x:c r="J319" t="n">
        <x:v>7</x:v>
      </x:c>
      <x:c r="K319" t="n">
        <x:v>1</x:v>
      </x:c>
      <x:c r="L319" t="str">
        <x:v>STORE-001</x:v>
      </x:c>
      <x:c r="M319" s="22" t="n">
        <x:v>45948</x:v>
      </x:c>
      <x:c r="N319" t="str">
        <x:v>SKU-006</x:v>
      </x:c>
      <x:c r="O319" t="n">
        <x:v>1</x:v>
      </x:c>
      <x:c r="P319" s="26" t="n">
        <x:f>F319/O319</x:f>
        <x:v>237.38</x:v>
      </x:c>
    </x:row>
    <x:row r="320">
      <x:c r="A320" t="n">
        <x:v>319</x:v>
      </x:c>
      <x:c r="B320" t="n">
        <x:v>39</x:v>
      </x:c>
      <x:c r="C320" t="str">
        <x:v>Female</x:v>
      </x:c>
      <x:c r="D320" t="str">
        <x:v>Groceries</x:v>
      </x:c>
      <x:c r="E320" t="str">
        <x:v>Cooking Oil</x:v>
      </x:c>
      <x:c r="F320" s="24" t="n">
        <x:v>56.93</x:v>
      </x:c>
      <x:c r="G320" t="str">
        <x:v>Summer</x:v>
      </x:c>
      <x:c r="H320" t="str">
        <x:v>Card</x:v>
      </x:c>
      <x:c r="I320" t="n">
        <x:v>4.4</x:v>
      </x:c>
      <x:c r="J320" t="n">
        <x:v>8</x:v>
      </x:c>
      <x:c r="K320" t="n">
        <x:v>4</x:v>
      </x:c>
      <x:c r="L320" t="str">
        <x:v>STORE-001</x:v>
      </x:c>
      <x:c r="M320" s="22" t="n">
        <x:v>46006</x:v>
      </x:c>
      <x:c r="N320" t="str">
        <x:v>SKU-002</x:v>
      </x:c>
      <x:c r="O320" t="n">
        <x:v>4</x:v>
      </x:c>
      <x:c r="P320" s="26" t="n">
        <x:f>F320/O320</x:f>
        <x:v>14.2325</x:v>
      </x:c>
    </x:row>
    <x:row r="321">
      <x:c r="A321" t="n">
        <x:v>320</x:v>
      </x:c>
      <x:c r="B321" t="n">
        <x:v>60</x:v>
      </x:c>
      <x:c r="C321" t="str">
        <x:v>Female</x:v>
      </x:c>
      <x:c r="D321" t="str">
        <x:v>Womens Clothing</x:v>
      </x:c>
      <x:c r="E321" t="str">
        <x:v>Dress</x:v>
      </x:c>
      <x:c r="F321" s="24" t="n">
        <x:v>187.91</x:v>
      </x:c>
      <x:c r="G321" t="str">
        <x:v>Spring</x:v>
      </x:c>
      <x:c r="H321" t="str">
        <x:v>Card</x:v>
      </x:c>
      <x:c r="I321" t="n">
        <x:v>3.8</x:v>
      </x:c>
      <x:c r="J321" t="n">
        <x:v>4</x:v>
      </x:c>
      <x:c r="K321" t="n">
        <x:v>2</x:v>
      </x:c>
      <x:c r="L321" t="str">
        <x:v>STORE-001</x:v>
      </x:c>
      <x:c r="M321" s="22" t="n">
        <x:v>45953</x:v>
      </x:c>
      <x:c r="N321" t="str">
        <x:v>SKU-004</x:v>
      </x:c>
      <x:c r="O321" t="n">
        <x:v>1</x:v>
      </x:c>
      <x:c r="P321" s="26" t="n">
        <x:f>F321/O321</x:f>
        <x:v>187.91</x:v>
      </x:c>
    </x:row>
    <x:row r="322">
      <x:c r="A322" t="n">
        <x:v>321</x:v>
      </x:c>
      <x:c r="B322" t="n">
        <x:v>67</x:v>
      </x:c>
      <x:c r="C322" t="str">
        <x:v>Female</x:v>
      </x:c>
      <x:c r="D322" t="str">
        <x:v>Womens Clothing</x:v>
      </x:c>
      <x:c r="E322" t="str">
        <x:v>Dress</x:v>
      </x:c>
      <x:c r="F322" s="24" t="n">
        <x:v>144.38</x:v>
      </x:c>
      <x:c r="G322" t="str">
        <x:v>Spring</x:v>
      </x:c>
      <x:c r="H322" t="str">
        <x:v>Card</x:v>
      </x:c>
      <x:c r="I322" t="n">
        <x:v>3.4</x:v>
      </x:c>
      <x:c r="J322" t="n">
        <x:v>24</x:v>
      </x:c>
      <x:c r="K322" t="n">
        <x:v>7</x:v>
      </x:c>
      <x:c r="L322" t="str">
        <x:v>STORE-001</x:v>
      </x:c>
      <x:c r="M322" s="22" t="n">
        <x:v>46269</x:v>
      </x:c>
      <x:c r="N322" t="str">
        <x:v>SKU-004</x:v>
      </x:c>
      <x:c r="O322" t="n">
        <x:v>2</x:v>
      </x:c>
      <x:c r="P322" s="26" t="n">
        <x:f>F322/O322</x:f>
        <x:v>72.19</x:v>
      </x:c>
    </x:row>
    <x:row r="323">
      <x:c r="A323" t="n">
        <x:v>322</x:v>
      </x:c>
      <x:c r="B323" t="n">
        <x:v>56</x:v>
      </x:c>
      <x:c r="C323" t="str">
        <x:v>Female</x:v>
      </x:c>
      <x:c r="D323" t="str">
        <x:v>Home</x:v>
      </x:c>
      <x:c r="E323" t="str">
        <x:v>Curtains</x:v>
      </x:c>
      <x:c r="F323" s="24" t="n">
        <x:v>139.78</x:v>
      </x:c>
      <x:c r="G323" t="str">
        <x:v>Spring</x:v>
      </x:c>
      <x:c r="H323" t="str">
        <x:v>Card</x:v>
      </x:c>
      <x:c r="I323" t="n">
        <x:v>3.9</x:v>
      </x:c>
      <x:c r="J323" t="n">
        <x:v>19</x:v>
      </x:c>
      <x:c r="K323" t="n">
        <x:v>7</x:v>
      </x:c>
      <x:c r="L323" t="str">
        <x:v>STORE-001</x:v>
      </x:c>
      <x:c r="M323" s="22" t="n">
        <x:v>46284</x:v>
      </x:c>
      <x:c r="N323" t="str">
        <x:v>SKU-003</x:v>
      </x:c>
      <x:c r="O323" t="n">
        <x:v>4</x:v>
      </x:c>
      <x:c r="P323" s="26" t="n">
        <x:f>F323/O323</x:f>
        <x:v>34.945</x:v>
      </x:c>
    </x:row>
    <x:row r="324">
      <x:c r="A324" t="n">
        <x:v>323</x:v>
      </x:c>
      <x:c r="B324" t="n">
        <x:v>22</x:v>
      </x:c>
      <x:c r="C324" t="str">
        <x:v>Male</x:v>
      </x:c>
      <x:c r="D324" t="str">
        <x:v>Sports</x:v>
      </x:c>
      <x:c r="E324" t="str">
        <x:v>Dumbbells</x:v>
      </x:c>
      <x:c r="F324" s="24" t="n">
        <x:v>232.96</x:v>
      </x:c>
      <x:c r="G324" t="str">
        <x:v>Summer</x:v>
      </x:c>
      <x:c r="H324" t="str">
        <x:v>Card</x:v>
      </x:c>
      <x:c r="I324" t="n">
        <x:v>4.1</x:v>
      </x:c>
      <x:c r="J324" t="n">
        <x:v>6</x:v>
      </x:c>
      <x:c r="K324" t="n">
        <x:v>3</x:v>
      </x:c>
      <x:c r="L324" t="str">
        <x:v>STORE-001</x:v>
      </x:c>
      <x:c r="M324" s="22" t="n">
        <x:v>46013</x:v>
      </x:c>
      <x:c r="N324" t="str">
        <x:v>SKU-005</x:v>
      </x:c>
      <x:c r="O324" t="n">
        <x:v>1</x:v>
      </x:c>
      <x:c r="P324" s="26" t="n">
        <x:f>F324/O324</x:f>
        <x:v>232.96</x:v>
      </x:c>
    </x:row>
    <x:row r="325">
      <x:c r="A325" t="n">
        <x:v>324</x:v>
      </x:c>
      <x:c r="B325" t="n">
        <x:v>65</x:v>
      </x:c>
      <x:c r="C325" t="str">
        <x:v>Female</x:v>
      </x:c>
      <x:c r="D325" t="str">
        <x:v>Beauty</x:v>
      </x:c>
      <x:c r="E325" t="str">
        <x:v>Skincare Kit</x:v>
      </x:c>
      <x:c r="F325" s="24" t="n">
        <x:v>79.89</x:v>
      </x:c>
      <x:c r="G325" t="str">
        <x:v>Autumn</x:v>
      </x:c>
      <x:c r="H325" t="str">
        <x:v>Card</x:v>
      </x:c>
      <x:c r="I325" t="n">
        <x:v>5</x:v>
      </x:c>
      <x:c r="J325" t="n">
        <x:v>24</x:v>
      </x:c>
      <x:c r="K325" t="n">
        <x:v>7</x:v>
      </x:c>
      <x:c r="L325" t="str">
        <x:v>STORE-001</x:v>
      </x:c>
      <x:c r="M325" s="22" t="n">
        <x:v>46150</x:v>
      </x:c>
      <x:c r="N325" t="str">
        <x:v>SKU-021</x:v>
      </x:c>
      <x:c r="O325" t="n">
        <x:v>1</x:v>
      </x:c>
      <x:c r="P325" s="26" t="n">
        <x:f>F325/O325</x:f>
        <x:v>79.89</x:v>
      </x:c>
    </x:row>
    <x:row r="326">
      <x:c r="A326" t="n">
        <x:v>325</x:v>
      </x:c>
      <x:c r="B326" t="n">
        <x:v>38</x:v>
      </x:c>
      <x:c r="C326" t="str">
        <x:v>Female</x:v>
      </x:c>
      <x:c r="D326" t="str">
        <x:v>Sports</x:v>
      </x:c>
      <x:c r="E326" t="str">
        <x:v>Football</x:v>
      </x:c>
      <x:c r="F326" s="24" t="n">
        <x:v>240.47</x:v>
      </x:c>
      <x:c r="G326" t="str">
        <x:v>Autumn</x:v>
      </x:c>
      <x:c r="H326" t="str">
        <x:v>Card</x:v>
      </x:c>
      <x:c r="I326" t="n">
        <x:v>3.4</x:v>
      </x:c>
      <x:c r="J326" t="n">
        <x:v>8</x:v>
      </x:c>
      <x:c r="K326" t="n">
        <x:v>4</x:v>
      </x:c>
      <x:c r="L326" t="str">
        <x:v>STORE-001</x:v>
      </x:c>
      <x:c r="M326" s="22" t="n">
        <x:v>46135</x:v>
      </x:c>
      <x:c r="N326" t="str">
        <x:v>SKU-006</x:v>
      </x:c>
      <x:c r="O326" t="n">
        <x:v>1</x:v>
      </x:c>
      <x:c r="P326" s="26" t="n">
        <x:f>F326/O326</x:f>
        <x:v>240.47</x:v>
      </x:c>
    </x:row>
    <x:row r="327">
      <x:c r="A327" t="n">
        <x:v>326</x:v>
      </x:c>
      <x:c r="B327" t="n">
        <x:v>42</x:v>
      </x:c>
      <x:c r="C327" t="str">
        <x:v>Female</x:v>
      </x:c>
      <x:c r="D327" t="str">
        <x:v>Sports</x:v>
      </x:c>
      <x:c r="E327" t="str">
        <x:v>Yoga Mat</x:v>
      </x:c>
      <x:c r="F327" s="24" t="n">
        <x:v>124.92</x:v>
      </x:c>
      <x:c r="G327" t="str">
        <x:v>Autumn</x:v>
      </x:c>
      <x:c r="H327" t="str">
        <x:v>Card</x:v>
      </x:c>
      <x:c r="I327" t="n">
        <x:v>2.2</x:v>
      </x:c>
      <x:c r="J327" t="n">
        <x:v>21</x:v>
      </x:c>
      <x:c r="K327" t="n">
        <x:v>8</x:v>
      </x:c>
      <x:c r="L327" t="str">
        <x:v>STORE-001</x:v>
      </x:c>
      <x:c r="M327" s="22" t="n">
        <x:v>46148</x:v>
      </x:c>
      <x:c r="N327" t="str">
        <x:v>SKU-030</x:v>
      </x:c>
      <x:c r="O327" t="n">
        <x:v>2</x:v>
      </x:c>
      <x:c r="P327" s="26" t="n">
        <x:f>F327/O327</x:f>
        <x:v>62.46</x:v>
      </x:c>
    </x:row>
    <x:row r="328">
      <x:c r="A328" t="n">
        <x:v>327</x:v>
      </x:c>
      <x:c r="B328" t="n">
        <x:v>48</x:v>
      </x:c>
      <x:c r="C328" t="str">
        <x:v>Female</x:v>
      </x:c>
      <x:c r="D328" t="str">
        <x:v>Sports</x:v>
      </x:c>
      <x:c r="E328" t="str">
        <x:v>Dumbbells</x:v>
      </x:c>
      <x:c r="F328" s="24" t="n">
        <x:v>174.99</x:v>
      </x:c>
      <x:c r="G328" t="str">
        <x:v>Winter</x:v>
      </x:c>
      <x:c r="H328" t="str">
        <x:v>Card</x:v>
      </x:c>
      <x:c r="I328" t="n">
        <x:v>4.4</x:v>
      </x:c>
      <x:c r="J328" t="n">
        <x:v>18</x:v>
      </x:c>
      <x:c r="K328" t="n">
        <x:v>4</x:v>
      </x:c>
      <x:c r="L328" t="str">
        <x:v>STORE-001</x:v>
      </x:c>
      <x:c r="M328" s="22" t="n">
        <x:v>46196</x:v>
      </x:c>
      <x:c r="N328" t="str">
        <x:v>SKU-005</x:v>
      </x:c>
      <x:c r="O328" t="n">
        <x:v>1</x:v>
      </x:c>
      <x:c r="P328" s="26" t="n">
        <x:f>F328/O328</x:f>
        <x:v>174.99</x:v>
      </x:c>
    </x:row>
    <x:row r="329">
      <x:c r="A329" t="n">
        <x:v>328</x:v>
      </x:c>
      <x:c r="B329" t="n">
        <x:v>32</x:v>
      </x:c>
      <x:c r="C329" t="str">
        <x:v>Female</x:v>
      </x:c>
      <x:c r="D329" t="str">
        <x:v>Footwear</x:v>
      </x:c>
      <x:c r="E329" t="str">
        <x:v>Sandals</x:v>
      </x:c>
      <x:c r="F329" s="24" t="n">
        <x:v>169.59</x:v>
      </x:c>
      <x:c r="G329" t="str">
        <x:v>Summer</x:v>
      </x:c>
      <x:c r="H329" t="str">
        <x:v>Card</x:v>
      </x:c>
      <x:c r="I329" t="n">
        <x:v>4.8</x:v>
      </x:c>
      <x:c r="J329" t="n">
        <x:v>13</x:v>
      </x:c>
      <x:c r="K329" t="n">
        <x:v>4</x:v>
      </x:c>
      <x:c r="L329" t="str">
        <x:v>STORE-001</x:v>
      </x:c>
      <x:c r="M329" s="22" t="n">
        <x:v>46074</x:v>
      </x:c>
      <x:c r="N329" t="str">
        <x:v>SKU-019</x:v>
      </x:c>
      <x:c r="O329" t="n">
        <x:v>1</x:v>
      </x:c>
      <x:c r="P329" s="26" t="n">
        <x:f>F329/O329</x:f>
        <x:v>169.59</x:v>
      </x:c>
    </x:row>
    <x:row r="330">
      <x:c r="A330" t="n">
        <x:v>329</x:v>
      </x:c>
      <x:c r="B330" t="n">
        <x:v>62</x:v>
      </x:c>
      <x:c r="C330" t="str">
        <x:v>Male</x:v>
      </x:c>
      <x:c r="D330" t="str">
        <x:v>Sports</x:v>
      </x:c>
      <x:c r="E330" t="str">
        <x:v>Dumbbells</x:v>
      </x:c>
      <x:c r="F330" s="24" t="n">
        <x:v>212.29</x:v>
      </x:c>
      <x:c r="G330" t="str">
        <x:v>Spring</x:v>
      </x:c>
      <x:c r="H330" t="str">
        <x:v>Card</x:v>
      </x:c>
      <x:c r="I330" t="n">
        <x:v>5</x:v>
      </x:c>
      <x:c r="J330" t="n">
        <x:v>11</x:v>
      </x:c>
      <x:c r="K330" t="n">
        <x:v>3</x:v>
      </x:c>
      <x:c r="L330" t="str">
        <x:v>STORE-001</x:v>
      </x:c>
      <x:c r="M330" s="22" t="n">
        <x:v>46292</x:v>
      </x:c>
      <x:c r="N330" t="str">
        <x:v>SKU-005</x:v>
      </x:c>
      <x:c r="O330" t="n">
        <x:v>2</x:v>
      </x:c>
      <x:c r="P330" s="26" t="n">
        <x:f>F330/O330</x:f>
        <x:v>106.145</x:v>
      </x:c>
    </x:row>
    <x:row r="331">
      <x:c r="A331" t="n">
        <x:v>330</x:v>
      </x:c>
      <x:c r="B331" t="n">
        <x:v>57</x:v>
      </x:c>
      <x:c r="C331" t="str">
        <x:v>Male</x:v>
      </x:c>
      <x:c r="D331" t="str">
        <x:v>Electronics</x:v>
      </x:c>
      <x:c r="E331" t="str">
        <x:v>Headphones</x:v>
      </x:c>
      <x:c r="F331" s="24" t="n">
        <x:v>2524.81</x:v>
      </x:c>
      <x:c r="G331" t="str">
        <x:v>Autumn</x:v>
      </x:c>
      <x:c r="H331" t="str">
        <x:v>Card</x:v>
      </x:c>
      <x:c r="I331" t="n">
        <x:v>3.8</x:v>
      </x:c>
      <x:c r="J331" t="n">
        <x:v>17</x:v>
      </x:c>
      <x:c r="K331" t="n">
        <x:v>6</x:v>
      </x:c>
      <x:c r="L331" t="str">
        <x:v>STORE-001</x:v>
      </x:c>
      <x:c r="M331" s="22" t="n">
        <x:v>46129</x:v>
      </x:c>
      <x:c r="N331" t="str">
        <x:v>SKU-009</x:v>
      </x:c>
      <x:c r="O331" t="n">
        <x:v>1</x:v>
      </x:c>
      <x:c r="P331" s="26" t="n">
        <x:f>F331/O331</x:f>
        <x:v>2524.81</x:v>
      </x:c>
    </x:row>
    <x:row r="332">
      <x:c r="A332" t="n">
        <x:v>331</x:v>
      </x:c>
      <x:c r="B332" t="n">
        <x:v>62</x:v>
      </x:c>
      <x:c r="C332" t="str">
        <x:v>Male</x:v>
      </x:c>
      <x:c r="D332" t="str">
        <x:v>Mens Clothing</x:v>
      </x:c>
      <x:c r="E332" t="str">
        <x:v>Shirt</x:v>
      </x:c>
      <x:c r="F332" s="24" t="n">
        <x:v>83.68</x:v>
      </x:c>
      <x:c r="G332" t="str">
        <x:v>Spring</x:v>
      </x:c>
      <x:c r="H332" t="str">
        <x:v>Cash on Delivery</x:v>
      </x:c>
      <x:c r="I332" t="n">
        <x:v>2.9</x:v>
      </x:c>
      <x:c r="J332" t="n">
        <x:v>10</x:v>
      </x:c>
      <x:c r="K332" t="n">
        <x:v>5</x:v>
      </x:c>
      <x:c r="L332" t="str">
        <x:v>STORE-001</x:v>
      </x:c>
      <x:c r="M332" s="22" t="n">
        <x:v>46270</x:v>
      </x:c>
      <x:c r="N332" t="str">
        <x:v>SKU-020</x:v>
      </x:c>
      <x:c r="O332" t="n">
        <x:v>1</x:v>
      </x:c>
      <x:c r="P332" s="26" t="n">
        <x:f>F332/O332</x:f>
        <x:v>83.68</x:v>
      </x:c>
    </x:row>
    <x:row r="333">
      <x:c r="A333" t="n">
        <x:v>332</x:v>
      </x:c>
      <x:c r="B333" t="n">
        <x:v>60</x:v>
      </x:c>
      <x:c r="C333" t="str">
        <x:v>Male</x:v>
      </x:c>
      <x:c r="D333" t="str">
        <x:v>Mens Clothing</x:v>
      </x:c>
      <x:c r="E333" t="str">
        <x:v>T-Shirt</x:v>
      </x:c>
      <x:c r="F333" s="24" t="n">
        <x:v>128.55</x:v>
      </x:c>
      <x:c r="G333" t="str">
        <x:v>Spring</x:v>
      </x:c>
      <x:c r="H333" t="str">
        <x:v>Card</x:v>
      </x:c>
      <x:c r="I333" t="n">
        <x:v>4.6</x:v>
      </x:c>
      <x:c r="J333" t="n">
        <x:v>18</x:v>
      </x:c>
      <x:c r="K333" t="n">
        <x:v>4</x:v>
      </x:c>
      <x:c r="L333" t="str">
        <x:v>STORE-001</x:v>
      </x:c>
      <x:c r="M333" s="22" t="n">
        <x:v>46281</x:v>
      </x:c>
      <x:c r="N333" t="str">
        <x:v>SKU-027</x:v>
      </x:c>
      <x:c r="O333" t="n">
        <x:v>2</x:v>
      </x:c>
      <x:c r="P333" s="26" t="n">
        <x:f>F333/O333</x:f>
        <x:v>64.275</x:v>
      </x:c>
    </x:row>
    <x:row r="334">
      <x:c r="A334" t="n">
        <x:v>333</x:v>
      </x:c>
      <x:c r="B334" t="n">
        <x:v>47</x:v>
      </x:c>
      <x:c r="C334" t="str">
        <x:v>Male</x:v>
      </x:c>
      <x:c r="D334" t="str">
        <x:v>Home</x:v>
      </x:c>
      <x:c r="E334" t="str">
        <x:v>Curtains</x:v>
      </x:c>
      <x:c r="F334" s="24" t="n">
        <x:v>284.08</x:v>
      </x:c>
      <x:c r="G334" t="str">
        <x:v>Autumn</x:v>
      </x:c>
      <x:c r="H334" t="str">
        <x:v>Card</x:v>
      </x:c>
      <x:c r="I334" t="n">
        <x:v>3.3</x:v>
      </x:c>
      <x:c r="J334" t="n">
        <x:v>16</x:v>
      </x:c>
      <x:c r="K334" t="n">
        <x:v>3</x:v>
      </x:c>
      <x:c r="L334" t="str">
        <x:v>STORE-001</x:v>
      </x:c>
      <x:c r="M334" s="22" t="n">
        <x:v>46155</x:v>
      </x:c>
      <x:c r="N334" t="str">
        <x:v>SKU-003</x:v>
      </x:c>
      <x:c r="O334" t="n">
        <x:v>2</x:v>
      </x:c>
      <x:c r="P334" s="26" t="n">
        <x:f>F334/O334</x:f>
        <x:v>142.04</x:v>
      </x:c>
    </x:row>
    <x:row r="335">
      <x:c r="A335" t="n">
        <x:v>334</x:v>
      </x:c>
      <x:c r="B335" t="n">
        <x:v>57</x:v>
      </x:c>
      <x:c r="C335" t="str">
        <x:v>Female</x:v>
      </x:c>
      <x:c r="D335" t="str">
        <x:v>Womens Clothing</x:v>
      </x:c>
      <x:c r="E335" t="str">
        <x:v>Skirt</x:v>
      </x:c>
      <x:c r="F335" s="24" t="n">
        <x:v>140.29</x:v>
      </x:c>
      <x:c r="G335" t="str">
        <x:v>Autumn</x:v>
      </x:c>
      <x:c r="H335" t="str">
        <x:v>Card</x:v>
      </x:c>
      <x:c r="I335" t="n">
        <x:v>5</x:v>
      </x:c>
      <x:c r="J335" t="n">
        <x:v>12</x:v>
      </x:c>
      <x:c r="K335" t="n">
        <x:v>6</x:v>
      </x:c>
      <x:c r="L335" t="str">
        <x:v>STORE-001</x:v>
      </x:c>
      <x:c r="M335" s="22" t="n">
        <x:v>46106</x:v>
      </x:c>
      <x:c r="N335" t="str">
        <x:v>SKU-022</x:v>
      </x:c>
      <x:c r="O335" t="n">
        <x:v>2</x:v>
      </x:c>
      <x:c r="P335" s="26" t="n">
        <x:f>F335/O335</x:f>
        <x:v>70.145</x:v>
      </x:c>
    </x:row>
    <x:row r="336">
      <x:c r="A336" t="n">
        <x:v>335</x:v>
      </x:c>
      <x:c r="B336" t="n">
        <x:v>53</x:v>
      </x:c>
      <x:c r="C336" t="str">
        <x:v>Female</x:v>
      </x:c>
      <x:c r="D336" t="str">
        <x:v>Accessories</x:v>
      </x:c>
      <x:c r="E336" t="str">
        <x:v>Wallet</x:v>
      </x:c>
      <x:c r="F336" s="24" t="n">
        <x:v>29.37</x:v>
      </x:c>
      <x:c r="G336" t="str">
        <x:v>Autumn</x:v>
      </x:c>
      <x:c r="H336" t="str">
        <x:v>Cash on Delivery</x:v>
      </x:c>
      <x:c r="I336" t="n">
        <x:v>3.2</x:v>
      </x:c>
      <x:c r="J336" t="n">
        <x:v>24</x:v>
      </x:c>
      <x:c r="K336" t="n">
        <x:v>7</x:v>
      </x:c>
      <x:c r="L336" t="str">
        <x:v>STORE-001</x:v>
      </x:c>
      <x:c r="M336" s="22" t="n">
        <x:v>46159</x:v>
      </x:c>
      <x:c r="N336" t="str">
        <x:v>SKU-029</x:v>
      </x:c>
      <x:c r="O336" t="n">
        <x:v>1</x:v>
      </x:c>
      <x:c r="P336" s="26" t="n">
        <x:f>F336/O336</x:f>
        <x:v>29.37</x:v>
      </x:c>
    </x:row>
    <x:row r="337">
      <x:c r="A337" t="n">
        <x:v>336</x:v>
      </x:c>
      <x:c r="B337" t="n">
        <x:v>48</x:v>
      </x:c>
      <x:c r="C337" t="str">
        <x:v>Female</x:v>
      </x:c>
      <x:c r="D337" t="str">
        <x:v>Accessories</x:v>
      </x:c>
      <x:c r="E337" t="str">
        <x:v>Sunglasses</x:v>
      </x:c>
      <x:c r="F337" s="24" t="n">
        <x:v>79.45</x:v>
      </x:c>
      <x:c r="G337" t="str">
        <x:v>Spring</x:v>
      </x:c>
      <x:c r="H337" t="str">
        <x:v>Card</x:v>
      </x:c>
      <x:c r="I337" t="n">
        <x:v>4</x:v>
      </x:c>
      <x:c r="J337" t="n">
        <x:v>15</x:v>
      </x:c>
      <x:c r="K337" t="n">
        <x:v>5</x:v>
      </x:c>
      <x:c r="L337" t="str">
        <x:v>STORE-001</x:v>
      </x:c>
      <x:c r="M337" s="22" t="n">
        <x:v>46267</x:v>
      </x:c>
      <x:c r="N337" t="str">
        <x:v>SKU-026</x:v>
      </x:c>
      <x:c r="O337" t="n">
        <x:v>1</x:v>
      </x:c>
      <x:c r="P337" s="26" t="n">
        <x:f>F337/O337</x:f>
        <x:v>79.45</x:v>
      </x:c>
    </x:row>
    <x:row r="338">
      <x:c r="A338" t="n">
        <x:v>337</x:v>
      </x:c>
      <x:c r="B338" t="n">
        <x:v>63</x:v>
      </x:c>
      <x:c r="C338" t="str">
        <x:v>Female</x:v>
      </x:c>
      <x:c r="D338" t="str">
        <x:v>Womens Clothing</x:v>
      </x:c>
      <x:c r="E338" t="str">
        <x:v>Top</x:v>
      </x:c>
      <x:c r="F338" s="24" t="n">
        <x:v>77.1</x:v>
      </x:c>
      <x:c r="G338" t="str">
        <x:v>Winter</x:v>
      </x:c>
      <x:c r="H338" t="str">
        <x:v>Cash on Delivery</x:v>
      </x:c>
      <x:c r="I338" t="n">
        <x:v>2.1</x:v>
      </x:c>
      <x:c r="J338" t="n">
        <x:v>17</x:v>
      </x:c>
      <x:c r="K338" t="n">
        <x:v>6</x:v>
      </x:c>
      <x:c r="L338" t="str">
        <x:v>STORE-001</x:v>
      </x:c>
      <x:c r="M338" s="22" t="n">
        <x:v>46196</x:v>
      </x:c>
      <x:c r="N338" t="str">
        <x:v>SKU-028</x:v>
      </x:c>
      <x:c r="O338" t="n">
        <x:v>2</x:v>
      </x:c>
      <x:c r="P338" s="26" t="n">
        <x:f>F338/O338</x:f>
        <x:v>38.55</x:v>
      </x:c>
    </x:row>
    <x:row r="339">
      <x:c r="A339" t="n">
        <x:v>338</x:v>
      </x:c>
      <x:c r="B339" t="n">
        <x:v>49</x:v>
      </x:c>
      <x:c r="C339" t="str">
        <x:v>Male</x:v>
      </x:c>
      <x:c r="D339" t="str">
        <x:v>Mens Clothing</x:v>
      </x:c>
      <x:c r="E339" t="str">
        <x:v>Shirt</x:v>
      </x:c>
      <x:c r="F339" s="24" t="n">
        <x:v>163.61</x:v>
      </x:c>
      <x:c r="G339" t="str">
        <x:v>Winter</x:v>
      </x:c>
      <x:c r="H339" t="str">
        <x:v>Card</x:v>
      </x:c>
      <x:c r="I339" t="n">
        <x:v>2.9</x:v>
      </x:c>
      <x:c r="J339" t="n">
        <x:v>6</x:v>
      </x:c>
      <x:c r="K339" t="n">
        <x:v>3</x:v>
      </x:c>
      <x:c r="L339" t="str">
        <x:v>STORE-001</x:v>
      </x:c>
      <x:c r="M339" s="22" t="n">
        <x:v>46182</x:v>
      </x:c>
      <x:c r="N339" t="str">
        <x:v>SKU-020</x:v>
      </x:c>
      <x:c r="O339" t="n">
        <x:v>1</x:v>
      </x:c>
      <x:c r="P339" s="26" t="n">
        <x:f>F339/O339</x:f>
        <x:v>163.61</x:v>
      </x:c>
    </x:row>
    <x:row r="340">
      <x:c r="A340" t="n">
        <x:v>339</x:v>
      </x:c>
      <x:c r="B340" t="n">
        <x:v>62</x:v>
      </x:c>
      <x:c r="C340" t="str">
        <x:v>Female</x:v>
      </x:c>
      <x:c r="D340" t="str">
        <x:v>Womens Clothing</x:v>
      </x:c>
      <x:c r="E340" t="str">
        <x:v>Jeans</x:v>
      </x:c>
      <x:c r="F340" s="24" t="n">
        <x:v>34.1</x:v>
      </x:c>
      <x:c r="G340" t="str">
        <x:v>Autumn</x:v>
      </x:c>
      <x:c r="H340" t="str">
        <x:v>Card</x:v>
      </x:c>
      <x:c r="I340" t="n">
        <x:v>2.8</x:v>
      </x:c>
      <x:c r="J340" t="n">
        <x:v>9</x:v>
      </x:c>
      <x:c r="K340" t="n">
        <x:v>2</x:v>
      </x:c>
      <x:c r="L340" t="str">
        <x:v>STORE-001</x:v>
      </x:c>
      <x:c r="M340" s="22" t="n">
        <x:v>46097</x:v>
      </x:c>
      <x:c r="N340" t="str">
        <x:v>SKU-011</x:v>
      </x:c>
      <x:c r="O340" t="n">
        <x:v>2</x:v>
      </x:c>
      <x:c r="P340" s="26" t="n">
        <x:f>F340/O340</x:f>
        <x:v>17.05</x:v>
      </x:c>
    </x:row>
    <x:row r="341">
      <x:c r="A341" t="n">
        <x:v>340</x:v>
      </x:c>
      <x:c r="B341" t="n">
        <x:v>50</x:v>
      </x:c>
      <x:c r="C341" t="str">
        <x:v>Female</x:v>
      </x:c>
      <x:c r="D341" t="str">
        <x:v>Accessories</x:v>
      </x:c>
      <x:c r="E341" t="str">
        <x:v>Wallet</x:v>
      </x:c>
      <x:c r="F341" s="24" t="n">
        <x:v>62.32</x:v>
      </x:c>
      <x:c r="G341" t="str">
        <x:v>Winter</x:v>
      </x:c>
      <x:c r="H341" t="str">
        <x:v>Card</x:v>
      </x:c>
      <x:c r="I341" t="n">
        <x:v>3.5</x:v>
      </x:c>
      <x:c r="J341" t="n">
        <x:v>18</x:v>
      </x:c>
      <x:c r="K341" t="n">
        <x:v>4</x:v>
      </x:c>
      <x:c r="L341" t="str">
        <x:v>STORE-001</x:v>
      </x:c>
      <x:c r="M341" s="22" t="n">
        <x:v>46246</x:v>
      </x:c>
      <x:c r="N341" t="str">
        <x:v>SKU-029</x:v>
      </x:c>
      <x:c r="O341" t="n">
        <x:v>1</x:v>
      </x:c>
      <x:c r="P341" s="26" t="n">
        <x:f>F341/O341</x:f>
        <x:v>62.32</x:v>
      </x:c>
    </x:row>
    <x:row r="342">
      <x:c r="A342" t="n">
        <x:v>341</x:v>
      </x:c>
      <x:c r="B342" t="n">
        <x:v>35</x:v>
      </x:c>
      <x:c r="C342" t="str">
        <x:v>Male</x:v>
      </x:c>
      <x:c r="D342" t="str">
        <x:v>Sports</x:v>
      </x:c>
      <x:c r="E342" t="str">
        <x:v>Dumbbells</x:v>
      </x:c>
      <x:c r="F342" s="24" t="n">
        <x:v>165.77</x:v>
      </x:c>
      <x:c r="G342" t="str">
        <x:v>Summer</x:v>
      </x:c>
      <x:c r="H342" t="str">
        <x:v>Card</x:v>
      </x:c>
      <x:c r="I342" t="n">
        <x:v>3.3</x:v>
      </x:c>
      <x:c r="J342" t="n">
        <x:v>14</x:v>
      </x:c>
      <x:c r="K342" t="n">
        <x:v>2</x:v>
      </x:c>
      <x:c r="L342" t="str">
        <x:v>STORE-001</x:v>
      </x:c>
      <x:c r="M342" s="22" t="n">
        <x:v>46029</x:v>
      </x:c>
      <x:c r="N342" t="str">
        <x:v>SKU-005</x:v>
      </x:c>
      <x:c r="O342" t="n">
        <x:v>1</x:v>
      </x:c>
      <x:c r="P342" s="26" t="n">
        <x:f>F342/O342</x:f>
        <x:v>165.77</x:v>
      </x:c>
    </x:row>
    <x:row r="343">
      <x:c r="A343" t="n">
        <x:v>342</x:v>
      </x:c>
      <x:c r="B343" t="n">
        <x:v>29</x:v>
      </x:c>
      <x:c r="C343" t="str">
        <x:v>Male</x:v>
      </x:c>
      <x:c r="D343" t="str">
        <x:v>Footwear</x:v>
      </x:c>
      <x:c r="E343" t="str">
        <x:v>Sandals</x:v>
      </x:c>
      <x:c r="F343" s="24" t="n">
        <x:v>132.79</x:v>
      </x:c>
      <x:c r="G343" t="str">
        <x:v>Summer</x:v>
      </x:c>
      <x:c r="H343" t="str">
        <x:v>Card</x:v>
      </x:c>
      <x:c r="I343" t="n">
        <x:v>4.4</x:v>
      </x:c>
      <x:c r="J343" t="n">
        <x:v>14</x:v>
      </x:c>
      <x:c r="K343" t="n">
        <x:v>2</x:v>
      </x:c>
      <x:c r="L343" t="str">
        <x:v>STORE-001</x:v>
      </x:c>
      <x:c r="M343" s="22" t="n">
        <x:v>46010</x:v>
      </x:c>
      <x:c r="N343" t="str">
        <x:v>SKU-019</x:v>
      </x:c>
      <x:c r="O343" t="n">
        <x:v>2</x:v>
      </x:c>
      <x:c r="P343" s="26" t="n">
        <x:f>F343/O343</x:f>
        <x:v>66.395</x:v>
      </x:c>
    </x:row>
    <x:row r="344">
      <x:c r="A344" t="n">
        <x:v>343</x:v>
      </x:c>
      <x:c r="B344" t="n">
        <x:v>25</x:v>
      </x:c>
      <x:c r="C344" t="str">
        <x:v>Female</x:v>
      </x:c>
      <x:c r="D344" t="str">
        <x:v>Beauty</x:v>
      </x:c>
      <x:c r="E344" t="str">
        <x:v>Skincare Kit</x:v>
      </x:c>
      <x:c r="F344" s="24" t="n">
        <x:v>82.83</x:v>
      </x:c>
      <x:c r="G344" t="str">
        <x:v>Autumn</x:v>
      </x:c>
      <x:c r="H344" t="str">
        <x:v>Card</x:v>
      </x:c>
      <x:c r="I344" t="n">
        <x:v>4.4</x:v>
      </x:c>
      <x:c r="J344" t="n">
        <x:v>8</x:v>
      </x:c>
      <x:c r="K344" t="n">
        <x:v>4</x:v>
      </x:c>
      <x:c r="L344" t="str">
        <x:v>STORE-001</x:v>
      </x:c>
      <x:c r="M344" s="22" t="n">
        <x:v>46133</x:v>
      </x:c>
      <x:c r="N344" t="str">
        <x:v>SKU-021</x:v>
      </x:c>
      <x:c r="O344" t="n">
        <x:v>1</x:v>
      </x:c>
      <x:c r="P344" s="26" t="n">
        <x:f>F344/O344</x:f>
        <x:v>82.83</x:v>
      </x:c>
    </x:row>
    <x:row r="345">
      <x:c r="A345" t="n">
        <x:v>344</x:v>
      </x:c>
      <x:c r="B345" t="n">
        <x:v>28</x:v>
      </x:c>
      <x:c r="C345" t="str">
        <x:v>Female</x:v>
      </x:c>
      <x:c r="D345" t="str">
        <x:v>Beauty</x:v>
      </x:c>
      <x:c r="E345" t="str">
        <x:v>Skincare Kit</x:v>
      </x:c>
      <x:c r="F345" s="24" t="n">
        <x:v>139.28</x:v>
      </x:c>
      <x:c r="G345" t="str">
        <x:v>Autumn</x:v>
      </x:c>
      <x:c r="H345" t="str">
        <x:v>Card</x:v>
      </x:c>
      <x:c r="I345" t="n">
        <x:v>5</x:v>
      </x:c>
      <x:c r="J345" t="n">
        <x:v>21</x:v>
      </x:c>
      <x:c r="K345" t="n">
        <x:v>8</x:v>
      </x:c>
      <x:c r="L345" t="str">
        <x:v>STORE-001</x:v>
      </x:c>
      <x:c r="M345" s="22" t="n">
        <x:v>46139</x:v>
      </x:c>
      <x:c r="N345" t="str">
        <x:v>SKU-021</x:v>
      </x:c>
      <x:c r="O345" t="n">
        <x:v>1</x:v>
      </x:c>
      <x:c r="P345" s="26" t="n">
        <x:f>F345/O345</x:f>
        <x:v>139.28</x:v>
      </x:c>
    </x:row>
    <x:row r="346">
      <x:c r="A346" t="n">
        <x:v>345</x:v>
      </x:c>
      <x:c r="B346" t="n">
        <x:v>44</x:v>
      </x:c>
      <x:c r="C346" t="str">
        <x:v>Male</x:v>
      </x:c>
      <x:c r="D346" t="str">
        <x:v>Mens Clothing</x:v>
      </x:c>
      <x:c r="E346" t="str">
        <x:v>T-Shirt</x:v>
      </x:c>
      <x:c r="F346" s="24" t="n">
        <x:v>145.69</x:v>
      </x:c>
      <x:c r="G346" t="str">
        <x:v>Spring</x:v>
      </x:c>
      <x:c r="H346" t="str">
        <x:v>Card</x:v>
      </x:c>
      <x:c r="I346" t="n">
        <x:v>3.4</x:v>
      </x:c>
      <x:c r="J346" t="n">
        <x:v>6</x:v>
      </x:c>
      <x:c r="K346" t="n">
        <x:v>3</x:v>
      </x:c>
      <x:c r="L346" t="str">
        <x:v>STORE-001</x:v>
      </x:c>
      <x:c r="M346" s="22" t="n">
        <x:v>46269</x:v>
      </x:c>
      <x:c r="N346" t="str">
        <x:v>SKU-027</x:v>
      </x:c>
      <x:c r="O346" t="n">
        <x:v>2</x:v>
      </x:c>
      <x:c r="P346" s="26" t="n">
        <x:f>F346/O346</x:f>
        <x:v>72.845</x:v>
      </x:c>
    </x:row>
    <x:row r="347">
      <x:c r="A347" t="n">
        <x:v>346</x:v>
      </x:c>
      <x:c r="B347" t="n">
        <x:v>47</x:v>
      </x:c>
      <x:c r="C347" t="str">
        <x:v>Female</x:v>
      </x:c>
      <x:c r="D347" t="str">
        <x:v>Accessories</x:v>
      </x:c>
      <x:c r="E347" t="str">
        <x:v>Handbag</x:v>
      </x:c>
      <x:c r="F347" s="24" t="n">
        <x:v>28.87</x:v>
      </x:c>
      <x:c r="G347" t="str">
        <x:v>Autumn</x:v>
      </x:c>
      <x:c r="H347" t="str">
        <x:v>Cash on Delivery</x:v>
      </x:c>
      <x:c r="I347" t="n">
        <x:v>3</x:v>
      </x:c>
      <x:c r="J347" t="n">
        <x:v>10</x:v>
      </x:c>
      <x:c r="K347" t="n">
        <x:v>5</x:v>
      </x:c>
      <x:c r="L347" t="str">
        <x:v>STORE-001</x:v>
      </x:c>
      <x:c r="M347" s="22" t="n">
        <x:v>46087</x:v>
      </x:c>
      <x:c r="N347" t="str">
        <x:v>SKU-008</x:v>
      </x:c>
      <x:c r="O347" t="n">
        <x:v>2</x:v>
      </x:c>
      <x:c r="P347" s="26" t="n">
        <x:f>F347/O347</x:f>
        <x:v>14.435</x:v>
      </x:c>
    </x:row>
    <x:row r="348">
      <x:c r="A348" t="n">
        <x:v>347</x:v>
      </x:c>
      <x:c r="B348" t="n">
        <x:v>22</x:v>
      </x:c>
      <x:c r="C348" t="str">
        <x:v>Female</x:v>
      </x:c>
      <x:c r="D348" t="str">
        <x:v>Footwear</x:v>
      </x:c>
      <x:c r="E348" t="str">
        <x:v>Sandals</x:v>
      </x:c>
      <x:c r="F348" s="24" t="n">
        <x:v>122.56</x:v>
      </x:c>
      <x:c r="G348" t="str">
        <x:v>Winter</x:v>
      </x:c>
      <x:c r="H348" t="str">
        <x:v>Card</x:v>
      </x:c>
      <x:c r="I348" t="n">
        <x:v>4.1</x:v>
      </x:c>
      <x:c r="J348" t="n">
        <x:v>14</x:v>
      </x:c>
      <x:c r="K348" t="n">
        <x:v>2</x:v>
      </x:c>
      <x:c r="L348" t="str">
        <x:v>STORE-001</x:v>
      </x:c>
      <x:c r="M348" s="22" t="n">
        <x:v>46259</x:v>
      </x:c>
      <x:c r="N348" t="str">
        <x:v>SKU-019</x:v>
      </x:c>
      <x:c r="O348" t="n">
        <x:v>2</x:v>
      </x:c>
      <x:c r="P348" s="26" t="n">
        <x:f>F348/O348</x:f>
        <x:v>61.28</x:v>
      </x:c>
    </x:row>
    <x:row r="349">
      <x:c r="A349" t="n">
        <x:v>348</x:v>
      </x:c>
      <x:c r="B349" t="n">
        <x:v>69</x:v>
      </x:c>
      <x:c r="C349" t="str">
        <x:v>Male</x:v>
      </x:c>
      <x:c r="D349" t="str">
        <x:v>Footwear</x:v>
      </x:c>
      <x:c r="E349" t="str">
        <x:v>Sneakers</x:v>
      </x:c>
      <x:c r="F349" s="24" t="n">
        <x:v>98.93</x:v>
      </x:c>
      <x:c r="G349" t="str">
        <x:v>Summer</x:v>
      </x:c>
      <x:c r="H349" t="str">
        <x:v>Card</x:v>
      </x:c>
      <x:c r="I349" t="n">
        <x:v>3</x:v>
      </x:c>
      <x:c r="J349" t="n">
        <x:v>24</x:v>
      </x:c>
      <x:c r="K349" t="n">
        <x:v>7</x:v>
      </x:c>
      <x:c r="L349" t="str">
        <x:v>STORE-001</x:v>
      </x:c>
      <x:c r="M349" s="22" t="n">
        <x:v>45996</x:v>
      </x:c>
      <x:c r="N349" t="str">
        <x:v>SKU-025</x:v>
      </x:c>
      <x:c r="O349" t="n">
        <x:v>1</x:v>
      </x:c>
      <x:c r="P349" s="26" t="n">
        <x:f>F349/O349</x:f>
        <x:v>98.93</x:v>
      </x:c>
    </x:row>
    <x:row r="350">
      <x:c r="A350" t="n">
        <x:v>349</x:v>
      </x:c>
      <x:c r="B350" t="n">
        <x:v>41</x:v>
      </x:c>
      <x:c r="C350" t="str">
        <x:v>Male</x:v>
      </x:c>
      <x:c r="D350" t="str">
        <x:v>Sports</x:v>
      </x:c>
      <x:c r="E350" t="str">
        <x:v>Yoga Mat</x:v>
      </x:c>
      <x:c r="F350" s="24" t="n">
        <x:v>207.36</x:v>
      </x:c>
      <x:c r="G350" t="str">
        <x:v>Spring</x:v>
      </x:c>
      <x:c r="H350" t="str">
        <x:v>Card</x:v>
      </x:c>
      <x:c r="I350" t="n">
        <x:v>3.9</x:v>
      </x:c>
      <x:c r="J350" t="n">
        <x:v>13</x:v>
      </x:c>
      <x:c r="K350" t="n">
        <x:v>4</x:v>
      </x:c>
      <x:c r="L350" t="str">
        <x:v>STORE-001</x:v>
      </x:c>
      <x:c r="M350" s="22" t="n">
        <x:v>45975</x:v>
      </x:c>
      <x:c r="N350" t="str">
        <x:v>SKU-030</x:v>
      </x:c>
      <x:c r="O350" t="n">
        <x:v>1</x:v>
      </x:c>
      <x:c r="P350" s="26" t="n">
        <x:f>F350/O350</x:f>
        <x:v>207.36</x:v>
      </x:c>
    </x:row>
    <x:row r="351">
      <x:c r="A351" t="n">
        <x:v>350</x:v>
      </x:c>
      <x:c r="B351" t="n">
        <x:v>54</x:v>
      </x:c>
      <x:c r="C351" t="str">
        <x:v>Female</x:v>
      </x:c>
      <x:c r="D351" t="str">
        <x:v>Beauty</x:v>
      </x:c>
      <x:c r="E351" t="str">
        <x:v>Makeup Set</x:v>
      </x:c>
      <x:c r="F351" s="24" t="n">
        <x:v>87.55</x:v>
      </x:c>
      <x:c r="G351" t="str">
        <x:v>Spring</x:v>
      </x:c>
      <x:c r="H351" t="str">
        <x:v>Card</x:v>
      </x:c>
      <x:c r="I351" t="n">
        <x:v>3.6</x:v>
      </x:c>
      <x:c r="J351" t="n">
        <x:v>18</x:v>
      </x:c>
      <x:c r="K351" t="n">
        <x:v>4</x:v>
      </x:c>
      <x:c r="L351" t="str">
        <x:v>STORE-001</x:v>
      </x:c>
      <x:c r="M351" s="22" t="n">
        <x:v>45937</x:v>
      </x:c>
      <x:c r="N351" t="str">
        <x:v>SKU-015</x:v>
      </x:c>
      <x:c r="O351" t="n">
        <x:v>1</x:v>
      </x:c>
      <x:c r="P351" s="26" t="n">
        <x:f>F351/O351</x:f>
        <x:v>87.55</x:v>
      </x:c>
    </x:row>
    <x:row r="352">
      <x:c r="A352" t="n">
        <x:v>351</x:v>
      </x:c>
      <x:c r="B352" t="n">
        <x:v>40</x:v>
      </x:c>
      <x:c r="C352" t="str">
        <x:v>Female</x:v>
      </x:c>
      <x:c r="D352" t="str">
        <x:v>Beauty</x:v>
      </x:c>
      <x:c r="E352" t="str">
        <x:v>Skincare Kit</x:v>
      </x:c>
      <x:c r="F352" s="24" t="n">
        <x:v>47.08</x:v>
      </x:c>
      <x:c r="G352" t="str">
        <x:v>Winter</x:v>
      </x:c>
      <x:c r="H352" t="str">
        <x:v>Card</x:v>
      </x:c>
      <x:c r="I352" t="n">
        <x:v>3</x:v>
      </x:c>
      <x:c r="J352" t="n">
        <x:v>12</x:v>
      </x:c>
      <x:c r="K352" t="n">
        <x:v>6</x:v>
      </x:c>
      <x:c r="L352" t="str">
        <x:v>STORE-001</x:v>
      </x:c>
      <x:c r="M352" s="22" t="n">
        <x:v>46265</x:v>
      </x:c>
      <x:c r="N352" t="str">
        <x:v>SKU-021</x:v>
      </x:c>
      <x:c r="O352" t="n">
        <x:v>1</x:v>
      </x:c>
      <x:c r="P352" s="26" t="n">
        <x:f>F352/O352</x:f>
        <x:v>47.08</x:v>
      </x:c>
    </x:row>
    <x:row r="353">
      <x:c r="A353" t="n">
        <x:v>352</x:v>
      </x:c>
      <x:c r="B353" t="n">
        <x:v>63</x:v>
      </x:c>
      <x:c r="C353" t="str">
        <x:v>Female</x:v>
      </x:c>
      <x:c r="D353" t="str">
        <x:v>Sports</x:v>
      </x:c>
      <x:c r="E353" t="str">
        <x:v>Dumbbells</x:v>
      </x:c>
      <x:c r="F353" s="24" t="n">
        <x:v>104.84</x:v>
      </x:c>
      <x:c r="G353" t="str">
        <x:v>Spring</x:v>
      </x:c>
      <x:c r="H353" t="str">
        <x:v>Card</x:v>
      </x:c>
      <x:c r="I353" t="n">
        <x:v>4.3</x:v>
      </x:c>
      <x:c r="J353" t="n">
        <x:v>18</x:v>
      </x:c>
      <x:c r="K353" t="n">
        <x:v>9</x:v>
      </x:c>
      <x:c r="L353" t="str">
        <x:v>STORE-001</x:v>
      </x:c>
      <x:c r="M353" s="22" t="n">
        <x:v>45981</x:v>
      </x:c>
      <x:c r="N353" t="str">
        <x:v>SKU-005</x:v>
      </x:c>
      <x:c r="O353" t="n">
        <x:v>3</x:v>
      </x:c>
      <x:c r="P353" s="26" t="n">
        <x:f>F353/O353</x:f>
        <x:v>34.946666666666665</x:v>
      </x:c>
    </x:row>
    <x:row r="354">
      <x:c r="A354" t="n">
        <x:v>353</x:v>
      </x:c>
      <x:c r="B354" t="n">
        <x:v>47</x:v>
      </x:c>
      <x:c r="C354" t="str">
        <x:v>Male</x:v>
      </x:c>
      <x:c r="D354" t="str">
        <x:v>Mens Clothing</x:v>
      </x:c>
      <x:c r="E354" t="str">
        <x:v>Shirt</x:v>
      </x:c>
      <x:c r="F354" s="24" t="n">
        <x:v>84.24</x:v>
      </x:c>
      <x:c r="G354" t="str">
        <x:v>Autumn</x:v>
      </x:c>
      <x:c r="H354" t="str">
        <x:v>Cash on Delivery</x:v>
      </x:c>
      <x:c r="I354" t="n">
        <x:v>3.1</x:v>
      </x:c>
      <x:c r="J354" t="n">
        <x:v>13</x:v>
      </x:c>
      <x:c r="K354" t="n">
        <x:v>4</x:v>
      </x:c>
      <x:c r="L354" t="str">
        <x:v>STORE-001</x:v>
      </x:c>
      <x:c r="M354" s="22" t="n">
        <x:v>46145</x:v>
      </x:c>
      <x:c r="N354" t="str">
        <x:v>SKU-020</x:v>
      </x:c>
      <x:c r="O354" t="n">
        <x:v>1</x:v>
      </x:c>
      <x:c r="P354" s="26" t="n">
        <x:f>F354/O354</x:f>
        <x:v>84.24</x:v>
      </x:c>
    </x:row>
    <x:row r="355">
      <x:c r="A355" t="n">
        <x:v>354</x:v>
      </x:c>
      <x:c r="B355" t="n">
        <x:v>68</x:v>
      </x:c>
      <x:c r="C355" t="str">
        <x:v>Female</x:v>
      </x:c>
      <x:c r="D355" t="str">
        <x:v>Beauty</x:v>
      </x:c>
      <x:c r="E355" t="str">
        <x:v>Perfume</x:v>
      </x:c>
      <x:c r="F355" s="24" t="n">
        <x:v>136.55</x:v>
      </x:c>
      <x:c r="G355" t="str">
        <x:v>Summer</x:v>
      </x:c>
      <x:c r="H355" t="str">
        <x:v>Card</x:v>
      </x:c>
      <x:c r="I355" t="n">
        <x:v>3.6</x:v>
      </x:c>
      <x:c r="J355" t="n">
        <x:v>7</x:v>
      </x:c>
      <x:c r="K355" t="n">
        <x:v>1</x:v>
      </x:c>
      <x:c r="L355" t="str">
        <x:v>STORE-001</x:v>
      </x:c>
      <x:c r="M355" s="22" t="n">
        <x:v>46073</x:v>
      </x:c>
      <x:c r="N355" t="str">
        <x:v>SKU-017</x:v>
      </x:c>
      <x:c r="O355" t="n">
        <x:v>1</x:v>
      </x:c>
      <x:c r="P355" s="26" t="n">
        <x:f>F355/O355</x:f>
        <x:v>136.55</x:v>
      </x:c>
    </x:row>
    <x:row r="356">
      <x:c r="A356" t="n">
        <x:v>355</x:v>
      </x:c>
      <x:c r="B356" t="n">
        <x:v>53</x:v>
      </x:c>
      <x:c r="C356" t="str">
        <x:v>Male</x:v>
      </x:c>
      <x:c r="D356" t="str">
        <x:v>Electronics</x:v>
      </x:c>
      <x:c r="E356" t="str">
        <x:v>Headphones</x:v>
      </x:c>
      <x:c r="F356" s="24" t="n">
        <x:v>2520.99</x:v>
      </x:c>
      <x:c r="G356" t="str">
        <x:v>Winter</x:v>
      </x:c>
      <x:c r="H356" t="str">
        <x:v>Card</x:v>
      </x:c>
      <x:c r="I356" t="n">
        <x:v>3.1</x:v>
      </x:c>
      <x:c r="J356" t="n">
        <x:v>18</x:v>
      </x:c>
      <x:c r="K356" t="n">
        <x:v>4</x:v>
      </x:c>
      <x:c r="L356" t="str">
        <x:v>STORE-001</x:v>
      </x:c>
      <x:c r="M356" s="22" t="n">
        <x:v>46255</x:v>
      </x:c>
      <x:c r="N356" t="str">
        <x:v>SKU-009</x:v>
      </x:c>
      <x:c r="O356" t="n">
        <x:v>1</x:v>
      </x:c>
      <x:c r="P356" s="26" t="n">
        <x:f>F356/O356</x:f>
        <x:v>2520.99</x:v>
      </x:c>
    </x:row>
    <x:row r="357">
      <x:c r="A357" t="n">
        <x:v>356</x:v>
      </x:c>
      <x:c r="B357" t="n">
        <x:v>25</x:v>
      </x:c>
      <x:c r="C357" t="str">
        <x:v>Male</x:v>
      </x:c>
      <x:c r="D357" t="str">
        <x:v>Sports</x:v>
      </x:c>
      <x:c r="E357" t="str">
        <x:v>Football</x:v>
      </x:c>
      <x:c r="F357" s="24" t="n">
        <x:v>43.35</x:v>
      </x:c>
      <x:c r="G357" t="str">
        <x:v>Summer</x:v>
      </x:c>
      <x:c r="H357" t="str">
        <x:v>Card</x:v>
      </x:c>
      <x:c r="I357" t="n">
        <x:v>2.2</x:v>
      </x:c>
      <x:c r="J357" t="n">
        <x:v>6</x:v>
      </x:c>
      <x:c r="K357" t="n">
        <x:v>3</x:v>
      </x:c>
      <x:c r="L357" t="str">
        <x:v>STORE-001</x:v>
      </x:c>
      <x:c r="M357" s="22" t="n">
        <x:v>46031</x:v>
      </x:c>
      <x:c r="N357" t="str">
        <x:v>SKU-006</x:v>
      </x:c>
      <x:c r="O357" t="n">
        <x:v>2</x:v>
      </x:c>
      <x:c r="P357" s="26" t="n">
        <x:f>F357/O357</x:f>
        <x:v>21.675</x:v>
      </x:c>
    </x:row>
    <x:row r="358">
      <x:c r="A358" t="n">
        <x:v>357</x:v>
      </x:c>
      <x:c r="B358" t="n">
        <x:v>34</x:v>
      </x:c>
      <x:c r="C358" t="str">
        <x:v>Female</x:v>
      </x:c>
      <x:c r="D358" t="str">
        <x:v>Beauty</x:v>
      </x:c>
      <x:c r="E358" t="str">
        <x:v>Skincare Kit</x:v>
      </x:c>
      <x:c r="F358" s="24" t="n">
        <x:v>123.83</x:v>
      </x:c>
      <x:c r="G358" t="str">
        <x:v>Spring</x:v>
      </x:c>
      <x:c r="H358" t="str">
        <x:v>Card</x:v>
      </x:c>
      <x:c r="I358" t="n">
        <x:v>5</x:v>
      </x:c>
      <x:c r="J358" t="n">
        <x:v>4</x:v>
      </x:c>
      <x:c r="K358" t="n">
        <x:v>2</x:v>
      </x:c>
      <x:c r="L358" t="str">
        <x:v>STORE-001</x:v>
      </x:c>
      <x:c r="M358" s="22" t="n">
        <x:v>45980</x:v>
      </x:c>
      <x:c r="N358" t="str">
        <x:v>SKU-021</x:v>
      </x:c>
      <x:c r="O358" t="n">
        <x:v>1</x:v>
      </x:c>
      <x:c r="P358" s="26" t="n">
        <x:f>F358/O358</x:f>
        <x:v>123.83</x:v>
      </x:c>
    </x:row>
    <x:row r="359">
      <x:c r="A359" t="n">
        <x:v>358</x:v>
      </x:c>
      <x:c r="B359" t="n">
        <x:v>66</x:v>
      </x:c>
      <x:c r="C359" t="str">
        <x:v>Female</x:v>
      </x:c>
      <x:c r="D359" t="str">
        <x:v>Footwear</x:v>
      </x:c>
      <x:c r="E359" t="str">
        <x:v>Formal Shoes</x:v>
      </x:c>
      <x:c r="F359" s="24" t="n">
        <x:v>194.54</x:v>
      </x:c>
      <x:c r="G359" t="str">
        <x:v>Spring</x:v>
      </x:c>
      <x:c r="H359" t="str">
        <x:v>Card</x:v>
      </x:c>
      <x:c r="I359" t="n">
        <x:v>2.6</x:v>
      </x:c>
      <x:c r="J359" t="n">
        <x:v>6</x:v>
      </x:c>
      <x:c r="K359" t="n">
        <x:v>3</x:v>
      </x:c>
      <x:c r="L359" t="str">
        <x:v>STORE-001</x:v>
      </x:c>
      <x:c r="M359" s="22" t="n">
        <x:v>46293</x:v>
      </x:c>
      <x:c r="N359" t="str">
        <x:v>SKU-007</x:v>
      </x:c>
      <x:c r="O359" t="n">
        <x:v>1</x:v>
      </x:c>
      <x:c r="P359" s="26" t="n">
        <x:f>F359/O359</x:f>
        <x:v>194.54</x:v>
      </x:c>
    </x:row>
    <x:row r="360">
      <x:c r="A360" t="n">
        <x:v>359</x:v>
      </x:c>
      <x:c r="B360" t="n">
        <x:v>30</x:v>
      </x:c>
      <x:c r="C360" t="str">
        <x:v>Male</x:v>
      </x:c>
      <x:c r="D360" t="str">
        <x:v>Mens Clothing</x:v>
      </x:c>
      <x:c r="E360" t="str">
        <x:v>Shirt</x:v>
      </x:c>
      <x:c r="F360" s="24" t="n">
        <x:v>65.61</x:v>
      </x:c>
      <x:c r="G360" t="str">
        <x:v>Summer</x:v>
      </x:c>
      <x:c r="H360" t="str">
        <x:v>Card</x:v>
      </x:c>
      <x:c r="I360" t="n">
        <x:v>3.3</x:v>
      </x:c>
      <x:c r="J360" t="n">
        <x:v>16</x:v>
      </x:c>
      <x:c r="K360" t="n">
        <x:v>3</x:v>
      </x:c>
      <x:c r="L360" t="str">
        <x:v>STORE-001</x:v>
      </x:c>
      <x:c r="M360" s="22" t="n">
        <x:v>46015</x:v>
      </x:c>
      <x:c r="N360" t="str">
        <x:v>SKU-020</x:v>
      </x:c>
      <x:c r="O360" t="n">
        <x:v>1</x:v>
      </x:c>
      <x:c r="P360" s="26" t="n">
        <x:f>F360/O360</x:f>
        <x:v>65.61</x:v>
      </x:c>
    </x:row>
    <x:row r="361">
      <x:c r="A361" t="n">
        <x:v>360</x:v>
      </x:c>
      <x:c r="B361" t="n">
        <x:v>59</x:v>
      </x:c>
      <x:c r="C361" t="str">
        <x:v>Female</x:v>
      </x:c>
      <x:c r="D361" t="str">
        <x:v>Accessories</x:v>
      </x:c>
      <x:c r="E361" t="str">
        <x:v>Handbag</x:v>
      </x:c>
      <x:c r="F361" s="24" t="n">
        <x:v>68.54</x:v>
      </x:c>
      <x:c r="G361" t="str">
        <x:v>Spring</x:v>
      </x:c>
      <x:c r="H361" t="str">
        <x:v>Card</x:v>
      </x:c>
      <x:c r="I361" t="n">
        <x:v>2.7</x:v>
      </x:c>
      <x:c r="J361" t="n">
        <x:v>21</x:v>
      </x:c>
      <x:c r="K361" t="n">
        <x:v>8</x:v>
      </x:c>
      <x:c r="L361" t="str">
        <x:v>STORE-001</x:v>
      </x:c>
      <x:c r="M361" s="22" t="n">
        <x:v>45957</x:v>
      </x:c>
      <x:c r="N361" t="str">
        <x:v>SKU-008</x:v>
      </x:c>
      <x:c r="O361" t="n">
        <x:v>1</x:v>
      </x:c>
      <x:c r="P361" s="26" t="n">
        <x:f>F361/O361</x:f>
        <x:v>68.54</x:v>
      </x:c>
    </x:row>
    <x:row r="362">
      <x:c r="A362" t="n">
        <x:v>361</x:v>
      </x:c>
      <x:c r="B362" t="n">
        <x:v>22</x:v>
      </x:c>
      <x:c r="C362" t="str">
        <x:v>Female</x:v>
      </x:c>
      <x:c r="D362" t="str">
        <x:v>Sports</x:v>
      </x:c>
      <x:c r="E362" t="str">
        <x:v>Yoga Mat</x:v>
      </x:c>
      <x:c r="F362" s="24" t="n">
        <x:v>95.48</x:v>
      </x:c>
      <x:c r="G362" t="str">
        <x:v>Winter</x:v>
      </x:c>
      <x:c r="H362" t="str">
        <x:v>Cash on Delivery</x:v>
      </x:c>
      <x:c r="I362" t="n">
        <x:v>4.1</x:v>
      </x:c>
      <x:c r="J362" t="n">
        <x:v>9</x:v>
      </x:c>
      <x:c r="K362" t="n">
        <x:v>2</x:v>
      </x:c>
      <x:c r="L362" t="str">
        <x:v>STORE-001</x:v>
      </x:c>
      <x:c r="M362" s="22" t="n">
        <x:v>46212</x:v>
      </x:c>
      <x:c r="N362" t="str">
        <x:v>SKU-030</x:v>
      </x:c>
      <x:c r="O362" t="n">
        <x:v>2</x:v>
      </x:c>
      <x:c r="P362" s="26" t="n">
        <x:f>F362/O362</x:f>
        <x:v>47.74</x:v>
      </x:c>
    </x:row>
    <x:row r="363">
      <x:c r="A363" t="n">
        <x:v>362</x:v>
      </x:c>
      <x:c r="B363" t="n">
        <x:v>23</x:v>
      </x:c>
      <x:c r="C363" t="str">
        <x:v>Male</x:v>
      </x:c>
      <x:c r="D363" t="str">
        <x:v>Footwear</x:v>
      </x:c>
      <x:c r="E363" t="str">
        <x:v>Sandals</x:v>
      </x:c>
      <x:c r="F363" s="24" t="n">
        <x:v>217.69</x:v>
      </x:c>
      <x:c r="G363" t="str">
        <x:v>Spring</x:v>
      </x:c>
      <x:c r="H363" t="str">
        <x:v>Card</x:v>
      </x:c>
      <x:c r="I363" t="n">
        <x:v>3.4</x:v>
      </x:c>
      <x:c r="J363" t="n">
        <x:v>18</x:v>
      </x:c>
      <x:c r="K363" t="n">
        <x:v>4</x:v>
      </x:c>
      <x:c r="L363" t="str">
        <x:v>STORE-001</x:v>
      </x:c>
      <x:c r="M363" s="22" t="n">
        <x:v>45941</x:v>
      </x:c>
      <x:c r="N363" t="str">
        <x:v>SKU-019</x:v>
      </x:c>
      <x:c r="O363" t="n">
        <x:v>3</x:v>
      </x:c>
      <x:c r="P363" s="26" t="n">
        <x:f>F363/O363</x:f>
        <x:v>72.56333333333333</x:v>
      </x:c>
    </x:row>
    <x:row r="364">
      <x:c r="A364" t="n">
        <x:v>363</x:v>
      </x:c>
      <x:c r="B364" t="n">
        <x:v>59</x:v>
      </x:c>
      <x:c r="C364" t="str">
        <x:v>Male</x:v>
      </x:c>
      <x:c r="D364" t="str">
        <x:v>Sports</x:v>
      </x:c>
      <x:c r="E364" t="str">
        <x:v>Dumbbells</x:v>
      </x:c>
      <x:c r="F364" s="24" t="n">
        <x:v>221.98</x:v>
      </x:c>
      <x:c r="G364" t="str">
        <x:v>Summer</x:v>
      </x:c>
      <x:c r="H364" t="str">
        <x:v>Card</x:v>
      </x:c>
      <x:c r="I364" t="n">
        <x:v>3</x:v>
      </x:c>
      <x:c r="J364" t="n">
        <x:v>16</x:v>
      </x:c>
      <x:c r="K364" t="n">
        <x:v>8</x:v>
      </x:c>
      <x:c r="L364" t="str">
        <x:v>STORE-001</x:v>
      </x:c>
      <x:c r="M364" s="22" t="n">
        <x:v>46019</x:v>
      </x:c>
      <x:c r="N364" t="str">
        <x:v>SKU-005</x:v>
      </x:c>
      <x:c r="O364" t="n">
        <x:v>1</x:v>
      </x:c>
      <x:c r="P364" s="26" t="n">
        <x:f>F364/O364</x:f>
        <x:v>221.98</x:v>
      </x:c>
    </x:row>
    <x:row r="365">
      <x:c r="A365" t="n">
        <x:v>364</x:v>
      </x:c>
      <x:c r="B365" t="n">
        <x:v>70</x:v>
      </x:c>
      <x:c r="C365" t="str">
        <x:v>Female</x:v>
      </x:c>
      <x:c r="D365" t="str">
        <x:v>Accessories</x:v>
      </x:c>
      <x:c r="E365" t="str">
        <x:v>Sunglasses</x:v>
      </x:c>
      <x:c r="F365" s="24" t="n">
        <x:v>157.83</x:v>
      </x:c>
      <x:c r="G365" t="str">
        <x:v>Summer</x:v>
      </x:c>
      <x:c r="H365" t="str">
        <x:v>Card</x:v>
      </x:c>
      <x:c r="I365" t="n">
        <x:v>4.5</x:v>
      </x:c>
      <x:c r="J365" t="n">
        <x:v>24</x:v>
      </x:c>
      <x:c r="K365" t="n">
        <x:v>7</x:v>
      </x:c>
      <x:c r="L365" t="str">
        <x:v>STORE-001</x:v>
      </x:c>
      <x:c r="M365" s="22" t="n">
        <x:v>46034</x:v>
      </x:c>
      <x:c r="N365" t="str">
        <x:v>SKU-026</x:v>
      </x:c>
      <x:c r="O365" t="n">
        <x:v>1</x:v>
      </x:c>
      <x:c r="P365" s="26" t="n">
        <x:f>F365/O365</x:f>
        <x:v>157.83</x:v>
      </x:c>
    </x:row>
    <x:row r="366">
      <x:c r="A366" t="n">
        <x:v>365</x:v>
      </x:c>
      <x:c r="B366" t="n">
        <x:v>28</x:v>
      </x:c>
      <x:c r="C366" t="str">
        <x:v>Male</x:v>
      </x:c>
      <x:c r="D366" t="str">
        <x:v>Footwear</x:v>
      </x:c>
      <x:c r="E366" t="str">
        <x:v>Formal Shoes</x:v>
      </x:c>
      <x:c r="F366" s="24" t="n">
        <x:v>92.99</x:v>
      </x:c>
      <x:c r="G366" t="str">
        <x:v>Winter</x:v>
      </x:c>
      <x:c r="H366" t="str">
        <x:v>Card</x:v>
      </x:c>
      <x:c r="I366" t="n">
        <x:v>3.8</x:v>
      </x:c>
      <x:c r="J366" t="n">
        <x:v>16</x:v>
      </x:c>
      <x:c r="K366" t="n">
        <x:v>3</x:v>
      </x:c>
      <x:c r="L366" t="str">
        <x:v>STORE-001</x:v>
      </x:c>
      <x:c r="M366" s="22" t="n">
        <x:v>46259</x:v>
      </x:c>
      <x:c r="N366" t="str">
        <x:v>SKU-007</x:v>
      </x:c>
      <x:c r="O366" t="n">
        <x:v>1</x:v>
      </x:c>
      <x:c r="P366" s="26" t="n">
        <x:f>F366/O366</x:f>
        <x:v>92.99</x:v>
      </x:c>
    </x:row>
    <x:row r="367">
      <x:c r="A367" t="n">
        <x:v>366</x:v>
      </x:c>
      <x:c r="B367" t="n">
        <x:v>30</x:v>
      </x:c>
      <x:c r="C367" t="str">
        <x:v>Female</x:v>
      </x:c>
      <x:c r="D367" t="str">
        <x:v>Womens Clothing</x:v>
      </x:c>
      <x:c r="E367" t="str">
        <x:v>Skirt</x:v>
      </x:c>
      <x:c r="F367" s="24" t="n">
        <x:v>152.47</x:v>
      </x:c>
      <x:c r="G367" t="str">
        <x:v>Autumn</x:v>
      </x:c>
      <x:c r="H367" t="str">
        <x:v>Card</x:v>
      </x:c>
      <x:c r="I367" t="n">
        <x:v>4</x:v>
      </x:c>
      <x:c r="J367" t="n">
        <x:v>24</x:v>
      </x:c>
      <x:c r="K367" t="n">
        <x:v>7</x:v>
      </x:c>
      <x:c r="L367" t="str">
        <x:v>STORE-001</x:v>
      </x:c>
      <x:c r="M367" s="22" t="n">
        <x:v>46094</x:v>
      </x:c>
      <x:c r="N367" t="str">
        <x:v>SKU-022</x:v>
      </x:c>
      <x:c r="O367" t="n">
        <x:v>1</x:v>
      </x:c>
      <x:c r="P367" s="26" t="n">
        <x:f>F367/O367</x:f>
        <x:v>152.47</x:v>
      </x:c>
    </x:row>
    <x:row r="368">
      <x:c r="A368" t="n">
        <x:v>367</x:v>
      </x:c>
      <x:c r="B368" t="n">
        <x:v>50</x:v>
      </x:c>
      <x:c r="C368" t="str">
        <x:v>Male</x:v>
      </x:c>
      <x:c r="D368" t="str">
        <x:v>Sports</x:v>
      </x:c>
      <x:c r="E368" t="str">
        <x:v>Dumbbells</x:v>
      </x:c>
      <x:c r="F368" s="24" t="n">
        <x:v>162.7</x:v>
      </x:c>
      <x:c r="G368" t="str">
        <x:v>Summer</x:v>
      </x:c>
      <x:c r="H368" t="str">
        <x:v>Card</x:v>
      </x:c>
      <x:c r="I368" t="n">
        <x:v>2.8</x:v>
      </x:c>
      <x:c r="J368" t="n">
        <x:v>11</x:v>
      </x:c>
      <x:c r="K368" t="n">
        <x:v>3</x:v>
      </x:c>
      <x:c r="L368" t="str">
        <x:v>STORE-001</x:v>
      </x:c>
      <x:c r="M368" s="22" t="n">
        <x:v>46018</x:v>
      </x:c>
      <x:c r="N368" t="str">
        <x:v>SKU-005</x:v>
      </x:c>
      <x:c r="O368" t="n">
        <x:v>2</x:v>
      </x:c>
      <x:c r="P368" s="26" t="n">
        <x:f>F368/O368</x:f>
        <x:v>81.35</x:v>
      </x:c>
    </x:row>
    <x:row r="369">
      <x:c r="A369" t="n">
        <x:v>368</x:v>
      </x:c>
      <x:c r="B369" t="n">
        <x:v>66</x:v>
      </x:c>
      <x:c r="C369" t="str">
        <x:v>Male</x:v>
      </x:c>
      <x:c r="D369" t="str">
        <x:v>Sports</x:v>
      </x:c>
      <x:c r="E369" t="str">
        <x:v>Football</x:v>
      </x:c>
      <x:c r="F369" s="24" t="n">
        <x:v>56.33</x:v>
      </x:c>
      <x:c r="G369" t="str">
        <x:v>Spring</x:v>
      </x:c>
      <x:c r="H369" t="str">
        <x:v>Cash on Delivery</x:v>
      </x:c>
      <x:c r="I369" t="n">
        <x:v>4.1</x:v>
      </x:c>
      <x:c r="J369" t="n">
        <x:v>2</x:v>
      </x:c>
      <x:c r="K369" t="n">
        <x:v>1</x:v>
      </x:c>
      <x:c r="L369" t="str">
        <x:v>STORE-001</x:v>
      </x:c>
      <x:c r="M369" s="22" t="n">
        <x:v>45988</x:v>
      </x:c>
      <x:c r="N369" t="str">
        <x:v>SKU-006</x:v>
      </x:c>
      <x:c r="O369" t="n">
        <x:v>1</x:v>
      </x:c>
      <x:c r="P369" s="26" t="n">
        <x:f>F369/O369</x:f>
        <x:v>56.33</x:v>
      </x:c>
    </x:row>
    <x:row r="370">
      <x:c r="A370" t="n">
        <x:v>369</x:v>
      </x:c>
      <x:c r="B370" t="n">
        <x:v>34</x:v>
      </x:c>
      <x:c r="C370" t="str">
        <x:v>Female</x:v>
      </x:c>
      <x:c r="D370" t="str">
        <x:v>Beauty</x:v>
      </x:c>
      <x:c r="E370" t="str">
        <x:v>Makeup Set</x:v>
      </x:c>
      <x:c r="F370" s="24" t="n">
        <x:v>41.77</x:v>
      </x:c>
      <x:c r="G370" t="str">
        <x:v>Winter</x:v>
      </x:c>
      <x:c r="H370" t="str">
        <x:v>Cash on Delivery</x:v>
      </x:c>
      <x:c r="I370" t="n">
        <x:v>3.5</x:v>
      </x:c>
      <x:c r="J370" t="n">
        <x:v>4</x:v>
      </x:c>
      <x:c r="K370" t="n">
        <x:v>2</x:v>
      </x:c>
      <x:c r="L370" t="str">
        <x:v>STORE-001</x:v>
      </x:c>
      <x:c r="M370" s="22" t="n">
        <x:v>46234</x:v>
      </x:c>
      <x:c r="N370" t="str">
        <x:v>SKU-015</x:v>
      </x:c>
      <x:c r="O370" t="n">
        <x:v>2</x:v>
      </x:c>
      <x:c r="P370" s="26" t="n">
        <x:f>F370/O370</x:f>
        <x:v>20.885</x:v>
      </x:c>
    </x:row>
    <x:row r="371">
      <x:c r="A371" t="n">
        <x:v>370</x:v>
      </x:c>
      <x:c r="B371" t="n">
        <x:v>49</x:v>
      </x:c>
      <x:c r="C371" t="str">
        <x:v>Male</x:v>
      </x:c>
      <x:c r="D371" t="str">
        <x:v>Electronics</x:v>
      </x:c>
      <x:c r="E371" t="str">
        <x:v>Laptop</x:v>
      </x:c>
      <x:c r="F371" s="24" t="n">
        <x:v>2544.06</x:v>
      </x:c>
      <x:c r="G371" t="str">
        <x:v>Summer</x:v>
      </x:c>
      <x:c r="H371" t="str">
        <x:v>Card</x:v>
      </x:c>
      <x:c r="I371" t="n">
        <x:v>3.6</x:v>
      </x:c>
      <x:c r="J371" t="n">
        <x:v>10</x:v>
      </x:c>
      <x:c r="K371" t="n">
        <x:v>5</x:v>
      </x:c>
      <x:c r="L371" t="str">
        <x:v>STORE-001</x:v>
      </x:c>
      <x:c r="M371" s="22" t="n">
        <x:v>46010</x:v>
      </x:c>
      <x:c r="N371" t="str">
        <x:v>SKU-014</x:v>
      </x:c>
      <x:c r="O371" t="n">
        <x:v>1</x:v>
      </x:c>
      <x:c r="P371" s="26" t="n">
        <x:f>F371/O371</x:f>
        <x:v>2544.06</x:v>
      </x:c>
    </x:row>
    <x:row r="372">
      <x:c r="A372" t="n">
        <x:v>371</x:v>
      </x:c>
      <x:c r="B372" t="n">
        <x:v>53</x:v>
      </x:c>
      <x:c r="C372" t="str">
        <x:v>Female</x:v>
      </x:c>
      <x:c r="D372" t="str">
        <x:v>Accessories</x:v>
      </x:c>
      <x:c r="E372" t="str">
        <x:v>Handbag</x:v>
      </x:c>
      <x:c r="F372" s="24" t="n">
        <x:v>89.64</x:v>
      </x:c>
      <x:c r="G372" t="str">
        <x:v>Spring</x:v>
      </x:c>
      <x:c r="H372" t="str">
        <x:v>Cash on Delivery</x:v>
      </x:c>
      <x:c r="I372" t="n">
        <x:v>4.1</x:v>
      </x:c>
      <x:c r="J372" t="n">
        <x:v>6</x:v>
      </x:c>
      <x:c r="K372" t="n">
        <x:v>3</x:v>
      </x:c>
      <x:c r="L372" t="str">
        <x:v>STORE-001</x:v>
      </x:c>
      <x:c r="M372" s="22" t="n">
        <x:v>45961</x:v>
      </x:c>
      <x:c r="N372" t="str">
        <x:v>SKU-008</x:v>
      </x:c>
      <x:c r="O372" t="n">
        <x:v>4</x:v>
      </x:c>
      <x:c r="P372" s="26" t="n">
        <x:f>F372/O372</x:f>
        <x:v>22.41</x:v>
      </x:c>
    </x:row>
    <x:row r="373">
      <x:c r="A373" t="n">
        <x:v>372</x:v>
      </x:c>
      <x:c r="B373" t="n">
        <x:v>53</x:v>
      </x:c>
      <x:c r="C373" t="str">
        <x:v>Male</x:v>
      </x:c>
      <x:c r="D373" t="str">
        <x:v>Footwear</x:v>
      </x:c>
      <x:c r="E373" t="str">
        <x:v>Formal Shoes</x:v>
      </x:c>
      <x:c r="F373" s="24" t="n">
        <x:v>224</x:v>
      </x:c>
      <x:c r="G373" t="str">
        <x:v>Autumn</x:v>
      </x:c>
      <x:c r="H373" t="str">
        <x:v>Card</x:v>
      </x:c>
      <x:c r="I373" t="n">
        <x:v>5</x:v>
      </x:c>
      <x:c r="J373" t="n">
        <x:v>20</x:v>
      </x:c>
      <x:c r="K373" t="n">
        <x:v>5</x:v>
      </x:c>
      <x:c r="L373" t="str">
        <x:v>STORE-001</x:v>
      </x:c>
      <x:c r="M373" s="22" t="n">
        <x:v>46119</x:v>
      </x:c>
      <x:c r="N373" t="str">
        <x:v>SKU-007</x:v>
      </x:c>
      <x:c r="O373" t="n">
        <x:v>1</x:v>
      </x:c>
      <x:c r="P373" s="26" t="n">
        <x:f>F373/O373</x:f>
        <x:v>224</x:v>
      </x:c>
    </x:row>
    <x:row r="374">
      <x:c r="A374" t="n">
        <x:v>373</x:v>
      </x:c>
      <x:c r="B374" t="n">
        <x:v>52</x:v>
      </x:c>
      <x:c r="C374" t="str">
        <x:v>Female</x:v>
      </x:c>
      <x:c r="D374" t="str">
        <x:v>Accessories</x:v>
      </x:c>
      <x:c r="E374" t="str">
        <x:v>Wallet</x:v>
      </x:c>
      <x:c r="F374" s="24" t="n">
        <x:v>37.28</x:v>
      </x:c>
      <x:c r="G374" t="str">
        <x:v>Winter</x:v>
      </x:c>
      <x:c r="H374" t="str">
        <x:v>Card</x:v>
      </x:c>
      <x:c r="I374" t="n">
        <x:v>3.3</x:v>
      </x:c>
      <x:c r="J374" t="n">
        <x:v>13</x:v>
      </x:c>
      <x:c r="K374" t="n">
        <x:v>4</x:v>
      </x:c>
      <x:c r="L374" t="str">
        <x:v>STORE-001</x:v>
      </x:c>
      <x:c r="M374" s="22" t="n">
        <x:v>46175</x:v>
      </x:c>
      <x:c r="N374" t="str">
        <x:v>SKU-029</x:v>
      </x:c>
      <x:c r="O374" t="n">
        <x:v>1</x:v>
      </x:c>
      <x:c r="P374" s="26" t="n">
        <x:f>F374/O374</x:f>
        <x:v>37.28</x:v>
      </x:c>
    </x:row>
    <x:row r="375">
      <x:c r="A375" t="n">
        <x:v>374</x:v>
      </x:c>
      <x:c r="B375" t="n">
        <x:v>61</x:v>
      </x:c>
      <x:c r="C375" t="str">
        <x:v>Male</x:v>
      </x:c>
      <x:c r="D375" t="str">
        <x:v>Footwear</x:v>
      </x:c>
      <x:c r="E375" t="str">
        <x:v>Formal Shoes</x:v>
      </x:c>
      <x:c r="F375" s="24" t="n">
        <x:v>42.08</x:v>
      </x:c>
      <x:c r="G375" t="str">
        <x:v>Spring</x:v>
      </x:c>
      <x:c r="H375" t="str">
        <x:v>Cash on Delivery</x:v>
      </x:c>
      <x:c r="I375" t="n">
        <x:v>2.5</x:v>
      </x:c>
      <x:c r="J375" t="n">
        <x:v>20</x:v>
      </x:c>
      <x:c r="K375" t="n">
        <x:v>10</x:v>
      </x:c>
      <x:c r="L375" t="str">
        <x:v>STORE-001</x:v>
      </x:c>
      <x:c r="M375" s="22" t="n">
        <x:v>46267</x:v>
      </x:c>
      <x:c r="N375" t="str">
        <x:v>SKU-007</x:v>
      </x:c>
      <x:c r="O375" t="n">
        <x:v>1</x:v>
      </x:c>
      <x:c r="P375" s="26" t="n">
        <x:f>F375/O375</x:f>
        <x:v>42.08</x:v>
      </x:c>
    </x:row>
    <x:row r="376">
      <x:c r="A376" t="n">
        <x:v>375</x:v>
      </x:c>
      <x:c r="B376" t="n">
        <x:v>28</x:v>
      </x:c>
      <x:c r="C376" t="str">
        <x:v>Male</x:v>
      </x:c>
      <x:c r="D376" t="str">
        <x:v>Mens Clothing</x:v>
      </x:c>
      <x:c r="E376" t="str">
        <x:v>Jacket</x:v>
      </x:c>
      <x:c r="F376" s="24" t="n">
        <x:v>50.72</x:v>
      </x:c>
      <x:c r="G376" t="str">
        <x:v>Summer</x:v>
      </x:c>
      <x:c r="H376" t="str">
        <x:v>Cash on Delivery</x:v>
      </x:c>
      <x:c r="I376" t="n">
        <x:v>2.6</x:v>
      </x:c>
      <x:c r="J376" t="n">
        <x:v>4</x:v>
      </x:c>
      <x:c r="K376" t="n">
        <x:v>2</x:v>
      </x:c>
      <x:c r="L376" t="str">
        <x:v>STORE-001</x:v>
      </x:c>
      <x:c r="M376" s="22" t="n">
        <x:v>46068</x:v>
      </x:c>
      <x:c r="N376" t="str">
        <x:v>SKU-010</x:v>
      </x:c>
      <x:c r="O376" t="n">
        <x:v>1</x:v>
      </x:c>
      <x:c r="P376" s="26" t="n">
        <x:f>F376/O376</x:f>
        <x:v>50.72</x:v>
      </x:c>
    </x:row>
    <x:row r="377">
      <x:c r="A377" t="n">
        <x:v>376</x:v>
      </x:c>
      <x:c r="B377" t="n">
        <x:v>54</x:v>
      </x:c>
      <x:c r="C377" t="str">
        <x:v>Female</x:v>
      </x:c>
      <x:c r="D377" t="str">
        <x:v>Womens Clothing</x:v>
      </x:c>
      <x:c r="E377" t="str">
        <x:v>Skirt</x:v>
      </x:c>
      <x:c r="F377" s="24" t="n">
        <x:v>183.9</x:v>
      </x:c>
      <x:c r="G377" t="str">
        <x:v>Spring</x:v>
      </x:c>
      <x:c r="H377" t="str">
        <x:v>Card</x:v>
      </x:c>
      <x:c r="I377" t="n">
        <x:v>4</x:v>
      </x:c>
      <x:c r="J377" t="n">
        <x:v>18</x:v>
      </x:c>
      <x:c r="K377" t="n">
        <x:v>4</x:v>
      </x:c>
      <x:c r="L377" t="str">
        <x:v>STORE-001</x:v>
      </x:c>
      <x:c r="M377" s="22" t="n">
        <x:v>45940</x:v>
      </x:c>
      <x:c r="N377" t="str">
        <x:v>SKU-022</x:v>
      </x:c>
      <x:c r="O377" t="n">
        <x:v>1</x:v>
      </x:c>
      <x:c r="P377" s="26" t="n">
        <x:f>F377/O377</x:f>
        <x:v>183.9</x:v>
      </x:c>
    </x:row>
    <x:row r="378">
      <x:c r="A378" t="n">
        <x:v>377</x:v>
      </x:c>
      <x:c r="B378" t="n">
        <x:v>36</x:v>
      </x:c>
      <x:c r="C378" t="str">
        <x:v>Female</x:v>
      </x:c>
      <x:c r="D378" t="str">
        <x:v>Beauty</x:v>
      </x:c>
      <x:c r="E378" t="str">
        <x:v>Perfume</x:v>
      </x:c>
      <x:c r="F378" s="24" t="n">
        <x:v>121.81</x:v>
      </x:c>
      <x:c r="G378" t="str">
        <x:v>Winter</x:v>
      </x:c>
      <x:c r="H378" t="str">
        <x:v>Card</x:v>
      </x:c>
      <x:c r="I378" t="n">
        <x:v>3.8</x:v>
      </x:c>
      <x:c r="J378" t="n">
        <x:v>16</x:v>
      </x:c>
      <x:c r="K378" t="n">
        <x:v>3</x:v>
      </x:c>
      <x:c r="L378" t="str">
        <x:v>STORE-001</x:v>
      </x:c>
      <x:c r="M378" s="22" t="n">
        <x:v>46255</x:v>
      </x:c>
      <x:c r="N378" t="str">
        <x:v>SKU-017</x:v>
      </x:c>
      <x:c r="O378" t="n">
        <x:v>1</x:v>
      </x:c>
      <x:c r="P378" s="26" t="n">
        <x:f>F378/O378</x:f>
        <x:v>121.81</x:v>
      </x:c>
    </x:row>
    <x:row r="379">
      <x:c r="A379" t="n">
        <x:v>378</x:v>
      </x:c>
      <x:c r="B379" t="n">
        <x:v>35</x:v>
      </x:c>
      <x:c r="C379" t="str">
        <x:v>Female</x:v>
      </x:c>
      <x:c r="D379" t="str">
        <x:v>Womens Clothing</x:v>
      </x:c>
      <x:c r="E379" t="str">
        <x:v>Jeans</x:v>
      </x:c>
      <x:c r="F379" s="24" t="n">
        <x:v>66.09</x:v>
      </x:c>
      <x:c r="G379" t="str">
        <x:v>Summer</x:v>
      </x:c>
      <x:c r="H379" t="str">
        <x:v>Card</x:v>
      </x:c>
      <x:c r="I379" t="n">
        <x:v>2.9</x:v>
      </x:c>
      <x:c r="J379" t="n">
        <x:v>16</x:v>
      </x:c>
      <x:c r="K379" t="n">
        <x:v>3</x:v>
      </x:c>
      <x:c r="L379" t="str">
        <x:v>STORE-001</x:v>
      </x:c>
      <x:c r="M379" s="22" t="n">
        <x:v>46007</x:v>
      </x:c>
      <x:c r="N379" t="str">
        <x:v>SKU-011</x:v>
      </x:c>
      <x:c r="O379" t="n">
        <x:v>1</x:v>
      </x:c>
      <x:c r="P379" s="26" t="n">
        <x:f>F379/O379</x:f>
        <x:v>66.09</x:v>
      </x:c>
    </x:row>
    <x:row r="380">
      <x:c r="A380" t="n">
        <x:v>379</x:v>
      </x:c>
      <x:c r="B380" t="n">
        <x:v>63</x:v>
      </x:c>
      <x:c r="C380" t="str">
        <x:v>Male</x:v>
      </x:c>
      <x:c r="D380" t="str">
        <x:v>Footwear</x:v>
      </x:c>
      <x:c r="E380" t="str">
        <x:v>Formal Shoes</x:v>
      </x:c>
      <x:c r="F380" s="24" t="n">
        <x:v>119.18</x:v>
      </x:c>
      <x:c r="G380" t="str">
        <x:v>Spring</x:v>
      </x:c>
      <x:c r="H380" t="str">
        <x:v>Card</x:v>
      </x:c>
      <x:c r="I380" t="n">
        <x:v>4.5</x:v>
      </x:c>
      <x:c r="J380" t="n">
        <x:v>8</x:v>
      </x:c>
      <x:c r="K380" t="n">
        <x:v>4</x:v>
      </x:c>
      <x:c r="L380" t="str">
        <x:v>STORE-001</x:v>
      </x:c>
      <x:c r="M380" s="22" t="n">
        <x:v>46295</x:v>
      </x:c>
      <x:c r="N380" t="str">
        <x:v>SKU-007</x:v>
      </x:c>
      <x:c r="O380" t="n">
        <x:v>1</x:v>
      </x:c>
      <x:c r="P380" s="26" t="n">
        <x:f>F380/O380</x:f>
        <x:v>119.18</x:v>
      </x:c>
    </x:row>
    <x:row r="381">
      <x:c r="A381" t="n">
        <x:v>380</x:v>
      </x:c>
      <x:c r="B381" t="n">
        <x:v>51</x:v>
      </x:c>
      <x:c r="C381" t="str">
        <x:v>Male</x:v>
      </x:c>
      <x:c r="D381" t="str">
        <x:v>Mens Clothing</x:v>
      </x:c>
      <x:c r="E381" t="str">
        <x:v>Jacket</x:v>
      </x:c>
      <x:c r="F381" s="24" t="n">
        <x:v>123</x:v>
      </x:c>
      <x:c r="G381" t="str">
        <x:v>Winter</x:v>
      </x:c>
      <x:c r="H381" t="str">
        <x:v>Card</x:v>
      </x:c>
      <x:c r="I381" t="n">
        <x:v>3.6</x:v>
      </x:c>
      <x:c r="J381" t="n">
        <x:v>11</x:v>
      </x:c>
      <x:c r="K381" t="n">
        <x:v>3</x:v>
      </x:c>
      <x:c r="L381" t="str">
        <x:v>STORE-001</x:v>
      </x:c>
      <x:c r="M381" s="22" t="n">
        <x:v>46199</x:v>
      </x:c>
      <x:c r="N381" t="str">
        <x:v>SKU-010</x:v>
      </x:c>
      <x:c r="O381" t="n">
        <x:v>1</x:v>
      </x:c>
      <x:c r="P381" s="26" t="n">
        <x:f>F381/O381</x:f>
        <x:v>123</x:v>
      </x:c>
    </x:row>
    <x:row r="382">
      <x:c r="A382" t="n">
        <x:v>381</x:v>
      </x:c>
      <x:c r="B382" t="n">
        <x:v>26</x:v>
      </x:c>
      <x:c r="C382" t="str">
        <x:v>Male</x:v>
      </x:c>
      <x:c r="D382" t="str">
        <x:v>Mens Clothing</x:v>
      </x:c>
      <x:c r="E382" t="str">
        <x:v>Shirt</x:v>
      </x:c>
      <x:c r="F382" s="24" t="n">
        <x:v>37.33</x:v>
      </x:c>
      <x:c r="G382" t="str">
        <x:v>Spring</x:v>
      </x:c>
      <x:c r="H382" t="str">
        <x:v>Card</x:v>
      </x:c>
      <x:c r="I382" t="n">
        <x:v>3.6</x:v>
      </x:c>
      <x:c r="J382" t="n">
        <x:v>20</x:v>
      </x:c>
      <x:c r="K382" t="n">
        <x:v>5</x:v>
      </x:c>
      <x:c r="L382" t="str">
        <x:v>STORE-001</x:v>
      </x:c>
      <x:c r="M382" s="22" t="n">
        <x:v>45955</x:v>
      </x:c>
      <x:c r="N382" t="str">
        <x:v>SKU-020</x:v>
      </x:c>
      <x:c r="O382" t="n">
        <x:v>1</x:v>
      </x:c>
      <x:c r="P382" s="26" t="n">
        <x:f>F382/O382</x:f>
        <x:v>37.33</x:v>
      </x:c>
    </x:row>
    <x:row r="383">
      <x:c r="A383" t="n">
        <x:v>382</x:v>
      </x:c>
      <x:c r="B383" t="n">
        <x:v>54</x:v>
      </x:c>
      <x:c r="C383" t="str">
        <x:v>Male</x:v>
      </x:c>
      <x:c r="D383" t="str">
        <x:v>Electronics</x:v>
      </x:c>
      <x:c r="E383" t="str">
        <x:v>Mobile Phone</x:v>
      </x:c>
      <x:c r="F383" s="24" t="n">
        <x:v>1625.71</x:v>
      </x:c>
      <x:c r="G383" t="str">
        <x:v>Spring</x:v>
      </x:c>
      <x:c r="H383" t="str">
        <x:v>Card</x:v>
      </x:c>
      <x:c r="I383" t="n">
        <x:v>5</x:v>
      </x:c>
      <x:c r="J383" t="n">
        <x:v>26</x:v>
      </x:c>
      <x:c r="K383" t="n">
        <x:v>13</x:v>
      </x:c>
      <x:c r="L383" t="str">
        <x:v>STORE-001</x:v>
      </x:c>
      <x:c r="M383" s="22" t="n">
        <x:v>45936</x:v>
      </x:c>
      <x:c r="N383" t="str">
        <x:v>SKU-016</x:v>
      </x:c>
      <x:c r="O383" t="n">
        <x:v>1</x:v>
      </x:c>
      <x:c r="P383" s="26" t="n">
        <x:f>F383/O383</x:f>
        <x:v>1625.71</x:v>
      </x:c>
    </x:row>
    <x:row r="384">
      <x:c r="A384" t="n">
        <x:v>383</x:v>
      </x:c>
      <x:c r="B384" t="n">
        <x:v>70</x:v>
      </x:c>
      <x:c r="C384" t="str">
        <x:v>Male</x:v>
      </x:c>
      <x:c r="D384" t="str">
        <x:v>Footwear</x:v>
      </x:c>
      <x:c r="E384" t="str">
        <x:v>Sneakers</x:v>
      </x:c>
      <x:c r="F384" s="24" t="n">
        <x:v>150.48</x:v>
      </x:c>
      <x:c r="G384" t="str">
        <x:v>Spring</x:v>
      </x:c>
      <x:c r="H384" t="str">
        <x:v>Card</x:v>
      </x:c>
      <x:c r="I384" t="n">
        <x:v>4.6</x:v>
      </x:c>
      <x:c r="J384" t="n">
        <x:v>12</x:v>
      </x:c>
      <x:c r="K384" t="n">
        <x:v>6</x:v>
      </x:c>
      <x:c r="L384" t="str">
        <x:v>STORE-001</x:v>
      </x:c>
      <x:c r="M384" s="22" t="n">
        <x:v>45943</x:v>
      </x:c>
      <x:c r="N384" t="str">
        <x:v>SKU-025</x:v>
      </x:c>
      <x:c r="O384" t="n">
        <x:v>2</x:v>
      </x:c>
      <x:c r="P384" s="26" t="n">
        <x:f>F384/O384</x:f>
        <x:v>75.24</x:v>
      </x:c>
    </x:row>
    <x:row r="385">
      <x:c r="A385" t="n">
        <x:v>384</x:v>
      </x:c>
      <x:c r="B385" t="n">
        <x:v>45</x:v>
      </x:c>
      <x:c r="C385" t="str">
        <x:v>Male</x:v>
      </x:c>
      <x:c r="D385" t="str">
        <x:v>Electronics</x:v>
      </x:c>
      <x:c r="E385" t="str">
        <x:v>Laptop</x:v>
      </x:c>
      <x:c r="F385" s="24" t="n">
        <x:v>1400.99</x:v>
      </x:c>
      <x:c r="G385" t="str">
        <x:v>Winter</x:v>
      </x:c>
      <x:c r="H385" t="str">
        <x:v>Card</x:v>
      </x:c>
      <x:c r="I385" t="n">
        <x:v>2.8</x:v>
      </x:c>
      <x:c r="J385" t="n">
        <x:v>6</x:v>
      </x:c>
      <x:c r="K385" t="n">
        <x:v>3</x:v>
      </x:c>
      <x:c r="L385" t="str">
        <x:v>STORE-001</x:v>
      </x:c>
      <x:c r="M385" s="22" t="n">
        <x:v>46223</x:v>
      </x:c>
      <x:c r="N385" t="str">
        <x:v>SKU-014</x:v>
      </x:c>
      <x:c r="O385" t="n">
        <x:v>1</x:v>
      </x:c>
      <x:c r="P385" s="26" t="n">
        <x:f>F385/O385</x:f>
        <x:v>1400.99</x:v>
      </x:c>
    </x:row>
    <x:row r="386">
      <x:c r="A386" t="n">
        <x:v>385</x:v>
      </x:c>
      <x:c r="B386" t="n">
        <x:v>43</x:v>
      </x:c>
      <x:c r="C386" t="str">
        <x:v>Male</x:v>
      </x:c>
      <x:c r="D386" t="str">
        <x:v>Sports</x:v>
      </x:c>
      <x:c r="E386" t="str">
        <x:v>Football</x:v>
      </x:c>
      <x:c r="F386" s="24" t="n">
        <x:v>80.25</x:v>
      </x:c>
      <x:c r="G386" t="str">
        <x:v>Winter</x:v>
      </x:c>
      <x:c r="H386" t="str">
        <x:v>Card</x:v>
      </x:c>
      <x:c r="I386" t="n">
        <x:v>3.9</x:v>
      </x:c>
      <x:c r="J386" t="n">
        <x:v>17</x:v>
      </x:c>
      <x:c r="K386" t="n">
        <x:v>6</x:v>
      </x:c>
      <x:c r="L386" t="str">
        <x:v>STORE-001</x:v>
      </x:c>
      <x:c r="M386" s="22" t="n">
        <x:v>46175</x:v>
      </x:c>
      <x:c r="N386" t="str">
        <x:v>SKU-006</x:v>
      </x:c>
      <x:c r="O386" t="n">
        <x:v>1</x:v>
      </x:c>
      <x:c r="P386" s="26" t="n">
        <x:f>F386/O386</x:f>
        <x:v>80.25</x:v>
      </x:c>
    </x:row>
    <x:row r="387">
      <x:c r="A387" t="n">
        <x:v>386</x:v>
      </x:c>
      <x:c r="B387" t="n">
        <x:v>37</x:v>
      </x:c>
      <x:c r="C387" t="str">
        <x:v>Female</x:v>
      </x:c>
      <x:c r="D387" t="str">
        <x:v>Groceries</x:v>
      </x:c>
      <x:c r="E387" t="str">
        <x:v>Rice Pack</x:v>
      </x:c>
      <x:c r="F387" s="24" t="n">
        <x:v>29.59</x:v>
      </x:c>
      <x:c r="G387" t="str">
        <x:v>Summer</x:v>
      </x:c>
      <x:c r="H387" t="str">
        <x:v>Card</x:v>
      </x:c>
      <x:c r="I387" t="n">
        <x:v>4.7</x:v>
      </x:c>
      <x:c r="J387" t="n">
        <x:v>24</x:v>
      </x:c>
      <x:c r="K387" t="n">
        <x:v>7</x:v>
      </x:c>
      <x:c r="L387" t="str">
        <x:v>STORE-001</x:v>
      </x:c>
      <x:c r="M387" s="22" t="n">
        <x:v>45998</x:v>
      </x:c>
      <x:c r="N387" t="str">
        <x:v>SKU-018</x:v>
      </x:c>
      <x:c r="O387" t="n">
        <x:v>2</x:v>
      </x:c>
      <x:c r="P387" s="26" t="n">
        <x:f>F387/O387</x:f>
        <x:v>14.795</x:v>
      </x:c>
    </x:row>
    <x:row r="388">
      <x:c r="A388" t="n">
        <x:v>387</x:v>
      </x:c>
      <x:c r="B388" t="n">
        <x:v>47</x:v>
      </x:c>
      <x:c r="C388" t="str">
        <x:v>Male</x:v>
      </x:c>
      <x:c r="D388" t="str">
        <x:v>Mens Clothing</x:v>
      </x:c>
      <x:c r="E388" t="str">
        <x:v>T-Shirt</x:v>
      </x:c>
      <x:c r="F388" s="24" t="n">
        <x:v>112.86</x:v>
      </x:c>
      <x:c r="G388" t="str">
        <x:v>Winter</x:v>
      </x:c>
      <x:c r="H388" t="str">
        <x:v>Card</x:v>
      </x:c>
      <x:c r="I388" t="n">
        <x:v>4.6</x:v>
      </x:c>
      <x:c r="J388" t="n">
        <x:v>14</x:v>
      </x:c>
      <x:c r="K388" t="n">
        <x:v>7</x:v>
      </x:c>
      <x:c r="L388" t="str">
        <x:v>STORE-001</x:v>
      </x:c>
      <x:c r="M388" s="22" t="n">
        <x:v>46220</x:v>
      </x:c>
      <x:c r="N388" t="str">
        <x:v>SKU-027</x:v>
      </x:c>
      <x:c r="O388" t="n">
        <x:v>1</x:v>
      </x:c>
      <x:c r="P388" s="26" t="n">
        <x:f>F388/O388</x:f>
        <x:v>112.86</x:v>
      </x:c>
    </x:row>
    <x:row r="389">
      <x:c r="A389" t="n">
        <x:v>388</x:v>
      </x:c>
      <x:c r="B389" t="n">
        <x:v>45</x:v>
      </x:c>
      <x:c r="C389" t="str">
        <x:v>Male</x:v>
      </x:c>
      <x:c r="D389" t="str">
        <x:v>Sports</x:v>
      </x:c>
      <x:c r="E389" t="str">
        <x:v>Football</x:v>
      </x:c>
      <x:c r="F389" s="24" t="n">
        <x:v>160.31</x:v>
      </x:c>
      <x:c r="G389" t="str">
        <x:v>Winter</x:v>
      </x:c>
      <x:c r="H389" t="str">
        <x:v>Card</x:v>
      </x:c>
      <x:c r="I389" t="n">
        <x:v>3</x:v>
      </x:c>
      <x:c r="J389" t="n">
        <x:v>6</x:v>
      </x:c>
      <x:c r="K389" t="n">
        <x:v>3</x:v>
      </x:c>
      <x:c r="L389" t="str">
        <x:v>STORE-001</x:v>
      </x:c>
      <x:c r="M389" s="22" t="n">
        <x:v>46244</x:v>
      </x:c>
      <x:c r="N389" t="str">
        <x:v>SKU-006</x:v>
      </x:c>
      <x:c r="O389" t="n">
        <x:v>1</x:v>
      </x:c>
      <x:c r="P389" s="26" t="n">
        <x:f>F389/O389</x:f>
        <x:v>160.31</x:v>
      </x:c>
    </x:row>
    <x:row r="390">
      <x:c r="A390" t="n">
        <x:v>389</x:v>
      </x:c>
      <x:c r="B390" t="n">
        <x:v>44</x:v>
      </x:c>
      <x:c r="C390" t="str">
        <x:v>Female</x:v>
      </x:c>
      <x:c r="D390" t="str">
        <x:v>Home</x:v>
      </x:c>
      <x:c r="E390" t="str">
        <x:v>Lamp</x:v>
      </x:c>
      <x:c r="F390" s="24" t="n">
        <x:v>155.34</x:v>
      </x:c>
      <x:c r="G390" t="str">
        <x:v>Winter</x:v>
      </x:c>
      <x:c r="H390" t="str">
        <x:v>Card</x:v>
      </x:c>
      <x:c r="I390" t="n">
        <x:v>4.5</x:v>
      </x:c>
      <x:c r="J390" t="n">
        <x:v>13</x:v>
      </x:c>
      <x:c r="K390" t="n">
        <x:v>4</x:v>
      </x:c>
      <x:c r="L390" t="str">
        <x:v>STORE-001</x:v>
      </x:c>
      <x:c r="M390" s="22" t="n">
        <x:v>46242</x:v>
      </x:c>
      <x:c r="N390" t="str">
        <x:v>SKU-013</x:v>
      </x:c>
      <x:c r="O390" t="n">
        <x:v>2</x:v>
      </x:c>
      <x:c r="P390" s="26" t="n">
        <x:f>F390/O390</x:f>
        <x:v>77.67</x:v>
      </x:c>
    </x:row>
    <x:row r="391">
      <x:c r="A391" t="n">
        <x:v>390</x:v>
      </x:c>
      <x:c r="B391" t="n">
        <x:v>39</x:v>
      </x:c>
      <x:c r="C391" t="str">
        <x:v>Male</x:v>
      </x:c>
      <x:c r="D391" t="str">
        <x:v>Groceries</x:v>
      </x:c>
      <x:c r="E391" t="str">
        <x:v>Cooking Oil</x:v>
      </x:c>
      <x:c r="F391" s="24" t="n">
        <x:v>76.79</x:v>
      </x:c>
      <x:c r="G391" t="str">
        <x:v>Winter</x:v>
      </x:c>
      <x:c r="H391" t="str">
        <x:v>Cash on Delivery</x:v>
      </x:c>
      <x:c r="I391" t="n">
        <x:v>3.3</x:v>
      </x:c>
      <x:c r="J391" t="n">
        <x:v>19</x:v>
      </x:c>
      <x:c r="K391" t="n">
        <x:v>7</x:v>
      </x:c>
      <x:c r="L391" t="str">
        <x:v>STORE-001</x:v>
      </x:c>
      <x:c r="M391" s="22" t="n">
        <x:v>46237</x:v>
      </x:c>
      <x:c r="N391" t="str">
        <x:v>SKU-002</x:v>
      </x:c>
      <x:c r="O391" t="n">
        <x:v>2</x:v>
      </x:c>
      <x:c r="P391" s="26" t="n">
        <x:f>F391/O391</x:f>
        <x:v>38.395</x:v>
      </x:c>
    </x:row>
    <x:row r="392">
      <x:c r="A392" t="n">
        <x:v>391</x:v>
      </x:c>
      <x:c r="B392" t="n">
        <x:v>42</x:v>
      </x:c>
      <x:c r="C392" t="str">
        <x:v>Male</x:v>
      </x:c>
      <x:c r="D392" t="str">
        <x:v>Electronics</x:v>
      </x:c>
      <x:c r="E392" t="str">
        <x:v>Mobile Phone</x:v>
      </x:c>
      <x:c r="F392" s="24" t="n">
        <x:v>845.92</x:v>
      </x:c>
      <x:c r="G392" t="str">
        <x:v>Autumn</x:v>
      </x:c>
      <x:c r="H392" t="str">
        <x:v>Card</x:v>
      </x:c>
      <x:c r="I392" t="n">
        <x:v>2.9</x:v>
      </x:c>
      <x:c r="J392" t="n">
        <x:v>25</x:v>
      </x:c>
      <x:c r="K392" t="n">
        <x:v>10</x:v>
      </x:c>
      <x:c r="L392" t="str">
        <x:v>STORE-001</x:v>
      </x:c>
      <x:c r="M392" s="22" t="n">
        <x:v>46092</x:v>
      </x:c>
      <x:c r="N392" t="str">
        <x:v>SKU-016</x:v>
      </x:c>
      <x:c r="O392" t="n">
        <x:v>1</x:v>
      </x:c>
      <x:c r="P392" s="26" t="n">
        <x:f>F392/O392</x:f>
        <x:v>845.92</x:v>
      </x:c>
    </x:row>
    <x:row r="393">
      <x:c r="A393" t="n">
        <x:v>392</x:v>
      </x:c>
      <x:c r="B393" t="n">
        <x:v>26</x:v>
      </x:c>
      <x:c r="C393" t="str">
        <x:v>Female</x:v>
      </x:c>
      <x:c r="D393" t="str">
        <x:v>Womens Clothing</x:v>
      </x:c>
      <x:c r="E393" t="str">
        <x:v>Jeans</x:v>
      </x:c>
      <x:c r="F393" s="24" t="n">
        <x:v>177.84</x:v>
      </x:c>
      <x:c r="G393" t="str">
        <x:v>Winter</x:v>
      </x:c>
      <x:c r="H393" t="str">
        <x:v>Card</x:v>
      </x:c>
      <x:c r="I393" t="n">
        <x:v>4.5</x:v>
      </x:c>
      <x:c r="J393" t="n">
        <x:v>13</x:v>
      </x:c>
      <x:c r="K393" t="n">
        <x:v>4</x:v>
      </x:c>
      <x:c r="L393" t="str">
        <x:v>STORE-001</x:v>
      </x:c>
      <x:c r="M393" s="22" t="n">
        <x:v>46255</x:v>
      </x:c>
      <x:c r="N393" t="str">
        <x:v>SKU-011</x:v>
      </x:c>
      <x:c r="O393" t="n">
        <x:v>1</x:v>
      </x:c>
      <x:c r="P393" s="26" t="n">
        <x:f>F393/O393</x:f>
        <x:v>177.84</x:v>
      </x:c>
    </x:row>
    <x:row r="394">
      <x:c r="A394" t="n">
        <x:v>393</x:v>
      </x:c>
      <x:c r="B394" t="n">
        <x:v>42</x:v>
      </x:c>
      <x:c r="C394" t="str">
        <x:v>Male</x:v>
      </x:c>
      <x:c r="D394" t="str">
        <x:v>Footwear</x:v>
      </x:c>
      <x:c r="E394" t="str">
        <x:v>Sandals</x:v>
      </x:c>
      <x:c r="F394" s="24" t="n">
        <x:v>81.26</x:v>
      </x:c>
      <x:c r="G394" t="str">
        <x:v>Summer</x:v>
      </x:c>
      <x:c r="H394" t="str">
        <x:v>Card</x:v>
      </x:c>
      <x:c r="I394" t="n">
        <x:v>4.1</x:v>
      </x:c>
      <x:c r="J394" t="n">
        <x:v>14</x:v>
      </x:c>
      <x:c r="K394" t="n">
        <x:v>2</x:v>
      </x:c>
      <x:c r="L394" t="str">
        <x:v>STORE-001</x:v>
      </x:c>
      <x:c r="M394" s="22" t="n">
        <x:v>46057</x:v>
      </x:c>
      <x:c r="N394" t="str">
        <x:v>SKU-019</x:v>
      </x:c>
      <x:c r="O394" t="n">
        <x:v>3</x:v>
      </x:c>
      <x:c r="P394" s="26" t="n">
        <x:f>F394/O394</x:f>
        <x:v>27.08666666666667</x:v>
      </x:c>
    </x:row>
    <x:row r="395">
      <x:c r="A395" t="n">
        <x:v>394</x:v>
      </x:c>
      <x:c r="B395" t="n">
        <x:v>33</x:v>
      </x:c>
      <x:c r="C395" t="str">
        <x:v>Male</x:v>
      </x:c>
      <x:c r="D395" t="str">
        <x:v>Sports</x:v>
      </x:c>
      <x:c r="E395" t="str">
        <x:v>Yoga Mat</x:v>
      </x:c>
      <x:c r="F395" s="24" t="n">
        <x:v>143.71</x:v>
      </x:c>
      <x:c r="G395" t="str">
        <x:v>Summer</x:v>
      </x:c>
      <x:c r="H395" t="str">
        <x:v>Card</x:v>
      </x:c>
      <x:c r="I395" t="n">
        <x:v>3.9</x:v>
      </x:c>
      <x:c r="J395" t="n">
        <x:v>11</x:v>
      </x:c>
      <x:c r="K395" t="n">
        <x:v>3</x:v>
      </x:c>
      <x:c r="L395" t="str">
        <x:v>STORE-001</x:v>
      </x:c>
      <x:c r="M395" s="22" t="n">
        <x:v>46044</x:v>
      </x:c>
      <x:c r="N395" t="str">
        <x:v>SKU-030</x:v>
      </x:c>
      <x:c r="O395" t="n">
        <x:v>2</x:v>
      </x:c>
      <x:c r="P395" s="26" t="n">
        <x:f>F395/O395</x:f>
        <x:v>71.855</x:v>
      </x:c>
    </x:row>
    <x:row r="396">
      <x:c r="A396" t="n">
        <x:v>395</x:v>
      </x:c>
      <x:c r="B396" t="n">
        <x:v>70</x:v>
      </x:c>
      <x:c r="C396" t="str">
        <x:v>Male</x:v>
      </x:c>
      <x:c r="D396" t="str">
        <x:v>Sports</x:v>
      </x:c>
      <x:c r="E396" t="str">
        <x:v>Yoga Mat</x:v>
      </x:c>
      <x:c r="F396" s="24" t="n">
        <x:v>62.41</x:v>
      </x:c>
      <x:c r="G396" t="str">
        <x:v>Summer</x:v>
      </x:c>
      <x:c r="H396" t="str">
        <x:v>Cash on Delivery</x:v>
      </x:c>
      <x:c r="I396" t="n">
        <x:v>3.7</x:v>
      </x:c>
      <x:c r="J396" t="n">
        <x:v>28</x:v>
      </x:c>
      <x:c r="K396" t="n">
        <x:v>9</x:v>
      </x:c>
      <x:c r="L396" t="str">
        <x:v>STORE-001</x:v>
      </x:c>
      <x:c r="M396" s="22" t="n">
        <x:v>46001</x:v>
      </x:c>
      <x:c r="N396" t="str">
        <x:v>SKU-030</x:v>
      </x:c>
      <x:c r="O396" t="n">
        <x:v>2</x:v>
      </x:c>
      <x:c r="P396" s="26" t="n">
        <x:f>F396/O396</x:f>
        <x:v>31.205</x:v>
      </x:c>
    </x:row>
    <x:row r="397">
      <x:c r="A397" t="n">
        <x:v>396</x:v>
      </x:c>
      <x:c r="B397" t="n">
        <x:v>55</x:v>
      </x:c>
      <x:c r="C397" t="str">
        <x:v>Female</x:v>
      </x:c>
      <x:c r="D397" t="str">
        <x:v>Footwear</x:v>
      </x:c>
      <x:c r="E397" t="str">
        <x:v>Sneakers</x:v>
      </x:c>
      <x:c r="F397" s="24" t="n">
        <x:v>120.97</x:v>
      </x:c>
      <x:c r="G397" t="str">
        <x:v>Summer</x:v>
      </x:c>
      <x:c r="H397" t="str">
        <x:v>Card</x:v>
      </x:c>
      <x:c r="I397" t="n">
        <x:v>2.9</x:v>
      </x:c>
      <x:c r="J397" t="n">
        <x:v>20</x:v>
      </x:c>
      <x:c r="K397" t="n">
        <x:v>5</x:v>
      </x:c>
      <x:c r="L397" t="str">
        <x:v>STORE-001</x:v>
      </x:c>
      <x:c r="M397" s="22" t="n">
        <x:v>46046</x:v>
      </x:c>
      <x:c r="N397" t="str">
        <x:v>SKU-025</x:v>
      </x:c>
      <x:c r="O397" t="n">
        <x:v>2</x:v>
      </x:c>
      <x:c r="P397" s="26" t="n">
        <x:f>F397/O397</x:f>
        <x:v>60.485</x:v>
      </x:c>
    </x:row>
    <x:row r="398">
      <x:c r="A398" t="n">
        <x:v>397</x:v>
      </x:c>
      <x:c r="B398" t="n">
        <x:v>28</x:v>
      </x:c>
      <x:c r="C398" t="str">
        <x:v>Male</x:v>
      </x:c>
      <x:c r="D398" t="str">
        <x:v>Mens Clothing</x:v>
      </x:c>
      <x:c r="E398" t="str">
        <x:v>Jeans</x:v>
      </x:c>
      <x:c r="F398" s="24" t="n">
        <x:v>176.62</x:v>
      </x:c>
      <x:c r="G398" t="str">
        <x:v>Spring</x:v>
      </x:c>
      <x:c r="H398" t="str">
        <x:v>Card</x:v>
      </x:c>
      <x:c r="I398" t="n">
        <x:v>3.7</x:v>
      </x:c>
      <x:c r="J398" t="n">
        <x:v>16</x:v>
      </x:c>
      <x:c r="K398" t="n">
        <x:v>3</x:v>
      </x:c>
      <x:c r="L398" t="str">
        <x:v>STORE-001</x:v>
      </x:c>
      <x:c r="M398" s="22" t="n">
        <x:v>46288</x:v>
      </x:c>
      <x:c r="N398" t="str">
        <x:v>SKU-011</x:v>
      </x:c>
      <x:c r="O398" t="n">
        <x:v>2</x:v>
      </x:c>
      <x:c r="P398" s="26" t="n">
        <x:f>F398/O398</x:f>
        <x:v>88.31</x:v>
      </x:c>
    </x:row>
    <x:row r="399">
      <x:c r="A399" t="n">
        <x:v>398</x:v>
      </x:c>
      <x:c r="B399" t="n">
        <x:v>27</x:v>
      </x:c>
      <x:c r="C399" t="str">
        <x:v>Male</x:v>
      </x:c>
      <x:c r="D399" t="str">
        <x:v>Electronics</x:v>
      </x:c>
      <x:c r="E399" t="str">
        <x:v>Laptop</x:v>
      </x:c>
      <x:c r="F399" s="24" t="n">
        <x:v>1091.52</x:v>
      </x:c>
      <x:c r="G399" t="str">
        <x:v>Summer</x:v>
      </x:c>
      <x:c r="H399" t="str">
        <x:v>Card</x:v>
      </x:c>
      <x:c r="I399" t="n">
        <x:v>4.9</x:v>
      </x:c>
      <x:c r="J399" t="n">
        <x:v>11</x:v>
      </x:c>
      <x:c r="K399" t="n">
        <x:v>3</x:v>
      </x:c>
      <x:c r="L399" t="str">
        <x:v>STORE-001</x:v>
      </x:c>
      <x:c r="M399" s="22" t="n">
        <x:v>46045</x:v>
      </x:c>
      <x:c r="N399" t="str">
        <x:v>SKU-014</x:v>
      </x:c>
      <x:c r="O399" t="n">
        <x:v>1</x:v>
      </x:c>
      <x:c r="P399" s="26" t="n">
        <x:f>F399/O399</x:f>
        <x:v>1091.52</x:v>
      </x:c>
    </x:row>
    <x:row r="400">
      <x:c r="A400" t="n">
        <x:v>399</x:v>
      </x:c>
      <x:c r="B400" t="n">
        <x:v>29</x:v>
      </x:c>
      <x:c r="C400" t="str">
        <x:v>Female</x:v>
      </x:c>
      <x:c r="D400" t="str">
        <x:v>Womens Clothing</x:v>
      </x:c>
      <x:c r="E400" t="str">
        <x:v>Jeans</x:v>
      </x:c>
      <x:c r="F400" s="24" t="n">
        <x:v>196.8</x:v>
      </x:c>
      <x:c r="G400" t="str">
        <x:v>Summer</x:v>
      </x:c>
      <x:c r="H400" t="str">
        <x:v>Card</x:v>
      </x:c>
      <x:c r="I400" t="n">
        <x:v>3.7</x:v>
      </x:c>
      <x:c r="J400" t="n">
        <x:v>26</x:v>
      </x:c>
      <x:c r="K400" t="n">
        <x:v>8</x:v>
      </x:c>
      <x:c r="L400" t="str">
        <x:v>STORE-001</x:v>
      </x:c>
      <x:c r="M400" s="22" t="n">
        <x:v>46013</x:v>
      </x:c>
      <x:c r="N400" t="str">
        <x:v>SKU-011</x:v>
      </x:c>
      <x:c r="O400" t="n">
        <x:v>1</x:v>
      </x:c>
      <x:c r="P400" s="26" t="n">
        <x:f>F400/O400</x:f>
        <x:v>196.8</x:v>
      </x:c>
    </x:row>
    <x:row r="401">
      <x:c r="A401" t="n">
        <x:v>400</x:v>
      </x:c>
      <x:c r="B401" t="n">
        <x:v>70</x:v>
      </x:c>
      <x:c r="C401" t="str">
        <x:v>Female</x:v>
      </x:c>
      <x:c r="D401" t="str">
        <x:v>Womens Clothing</x:v>
      </x:c>
      <x:c r="E401" t="str">
        <x:v>Top</x:v>
      </x:c>
      <x:c r="F401" s="24" t="n">
        <x:v>89.53</x:v>
      </x:c>
      <x:c r="G401" t="str">
        <x:v>Spring</x:v>
      </x:c>
      <x:c r="H401" t="str">
        <x:v>Cash on Delivery</x:v>
      </x:c>
      <x:c r="I401" t="n">
        <x:v>3.8</x:v>
      </x:c>
      <x:c r="J401" t="n">
        <x:v>16</x:v>
      </x:c>
      <x:c r="K401" t="n">
        <x:v>8</x:v>
      </x:c>
      <x:c r="L401" t="str">
        <x:v>STORE-001</x:v>
      </x:c>
      <x:c r="M401" s="22" t="n">
        <x:v>45988</x:v>
      </x:c>
      <x:c r="N401" t="str">
        <x:v>SKU-028</x:v>
      </x:c>
      <x:c r="O401" t="n">
        <x:v>1</x:v>
      </x:c>
      <x:c r="P401" s="26" t="n">
        <x:f>F401/O401</x:f>
        <x:v>89.53</x:v>
      </x:c>
    </x:row>
    <x:row r="402">
      <x:c r="A402" t="n">
        <x:v>401</x:v>
      </x:c>
      <x:c r="B402" t="n">
        <x:v>38</x:v>
      </x:c>
      <x:c r="C402" t="str">
        <x:v>Female</x:v>
      </x:c>
      <x:c r="D402" t="str">
        <x:v>Accessories</x:v>
      </x:c>
      <x:c r="E402" t="str">
        <x:v>Wallet</x:v>
      </x:c>
      <x:c r="F402" s="24" t="n">
        <x:v>141.24</x:v>
      </x:c>
      <x:c r="G402" t="str">
        <x:v>Spring</x:v>
      </x:c>
      <x:c r="H402" t="str">
        <x:v>Card</x:v>
      </x:c>
      <x:c r="I402" t="n">
        <x:v>3.9</x:v>
      </x:c>
      <x:c r="J402" t="n">
        <x:v>11</x:v>
      </x:c>
      <x:c r="K402" t="n">
        <x:v>3</x:v>
      </x:c>
      <x:c r="L402" t="str">
        <x:v>STORE-001</x:v>
      </x:c>
      <x:c r="M402" s="22" t="n">
        <x:v>45987</x:v>
      </x:c>
      <x:c r="N402" t="str">
        <x:v>SKU-029</x:v>
      </x:c>
      <x:c r="O402" t="n">
        <x:v>1</x:v>
      </x:c>
      <x:c r="P402" s="26" t="n">
        <x:f>F402/O402</x:f>
        <x:v>141.24</x:v>
      </x:c>
    </x:row>
    <x:row r="403">
      <x:c r="A403" t="n">
        <x:v>402</x:v>
      </x:c>
      <x:c r="B403" t="n">
        <x:v>32</x:v>
      </x:c>
      <x:c r="C403" t="str">
        <x:v>Male</x:v>
      </x:c>
      <x:c r="D403" t="str">
        <x:v>Mens Clothing</x:v>
      </x:c>
      <x:c r="E403" t="str">
        <x:v>T-Shirt</x:v>
      </x:c>
      <x:c r="F403" s="24" t="n">
        <x:v>125.07</x:v>
      </x:c>
      <x:c r="G403" t="str">
        <x:v>Winter</x:v>
      </x:c>
      <x:c r="H403" t="str">
        <x:v>Card</x:v>
      </x:c>
      <x:c r="I403" t="n">
        <x:v>4.2</x:v>
      </x:c>
      <x:c r="J403" t="n">
        <x:v>9</x:v>
      </x:c>
      <x:c r="K403" t="n">
        <x:v>2</x:v>
      </x:c>
      <x:c r="L403" t="str">
        <x:v>STORE-001</x:v>
      </x:c>
      <x:c r="M403" s="22" t="n">
        <x:v>46195</x:v>
      </x:c>
      <x:c r="N403" t="str">
        <x:v>SKU-027</x:v>
      </x:c>
      <x:c r="O403" t="n">
        <x:v>2</x:v>
      </x:c>
      <x:c r="P403" s="26" t="n">
        <x:f>F403/O403</x:f>
        <x:v>62.535</x:v>
      </x:c>
    </x:row>
    <x:row r="404">
      <x:c r="A404" t="n">
        <x:v>403</x:v>
      </x:c>
      <x:c r="B404" t="n">
        <x:v>56</x:v>
      </x:c>
      <x:c r="C404" t="str">
        <x:v>Female</x:v>
      </x:c>
      <x:c r="D404" t="str">
        <x:v>Accessories</x:v>
      </x:c>
      <x:c r="E404" t="str">
        <x:v>Handbag</x:v>
      </x:c>
      <x:c r="F404" s="24" t="n">
        <x:v>83.05</x:v>
      </x:c>
      <x:c r="G404" t="str">
        <x:v>Autumn</x:v>
      </x:c>
      <x:c r="H404" t="str">
        <x:v>Cash on Delivery</x:v>
      </x:c>
      <x:c r="I404" t="n">
        <x:v>4.1</x:v>
      </x:c>
      <x:c r="J404" t="n">
        <x:v>18</x:v>
      </x:c>
      <x:c r="K404" t="n">
        <x:v>4</x:v>
      </x:c>
      <x:c r="L404" t="str">
        <x:v>STORE-001</x:v>
      </x:c>
      <x:c r="M404" s="22" t="n">
        <x:v>46113</x:v>
      </x:c>
      <x:c r="N404" t="str">
        <x:v>SKU-008</x:v>
      </x:c>
      <x:c r="O404" t="n">
        <x:v>1</x:v>
      </x:c>
      <x:c r="P404" s="26" t="n">
        <x:f>F404/O404</x:f>
        <x:v>83.05</x:v>
      </x:c>
    </x:row>
    <x:row r="405">
      <x:c r="A405" t="n">
        <x:v>404</x:v>
      </x:c>
      <x:c r="B405" t="n">
        <x:v>32</x:v>
      </x:c>
      <x:c r="C405" t="str">
        <x:v>Male</x:v>
      </x:c>
      <x:c r="D405" t="str">
        <x:v>Home</x:v>
      </x:c>
      <x:c r="E405" t="str">
        <x:v>Kitchen Set</x:v>
      </x:c>
      <x:c r="F405" s="24" t="n">
        <x:v>84.48</x:v>
      </x:c>
      <x:c r="G405" t="str">
        <x:v>Winter</x:v>
      </x:c>
      <x:c r="H405" t="str">
        <x:v>Card</x:v>
      </x:c>
      <x:c r="I405" t="n">
        <x:v>4.5</x:v>
      </x:c>
      <x:c r="J405" t="n">
        <x:v>19</x:v>
      </x:c>
      <x:c r="K405" t="n">
        <x:v>7</x:v>
      </x:c>
      <x:c r="L405" t="str">
        <x:v>STORE-001</x:v>
      </x:c>
      <x:c r="M405" s="22" t="n">
        <x:v>46247</x:v>
      </x:c>
      <x:c r="N405" t="str">
        <x:v>SKU-012</x:v>
      </x:c>
      <x:c r="O405" t="n">
        <x:v>1</x:v>
      </x:c>
      <x:c r="P405" s="26" t="n">
        <x:f>F405/O405</x:f>
        <x:v>84.48</x:v>
      </x:c>
    </x:row>
    <x:row r="406">
      <x:c r="A406" t="n">
        <x:v>405</x:v>
      </x:c>
      <x:c r="B406" t="n">
        <x:v>42</x:v>
      </x:c>
      <x:c r="C406" t="str">
        <x:v>Male</x:v>
      </x:c>
      <x:c r="D406" t="str">
        <x:v>Electronics</x:v>
      </x:c>
      <x:c r="E406" t="str">
        <x:v>Laptop</x:v>
      </x:c>
      <x:c r="F406" s="24" t="n">
        <x:v>1607.07</x:v>
      </x:c>
      <x:c r="G406" t="str">
        <x:v>Autumn</x:v>
      </x:c>
      <x:c r="H406" t="str">
        <x:v>Card</x:v>
      </x:c>
      <x:c r="I406" t="n">
        <x:v>4</x:v>
      </x:c>
      <x:c r="J406" t="n">
        <x:v>21</x:v>
      </x:c>
      <x:c r="K406" t="n">
        <x:v>8</x:v>
      </x:c>
      <x:c r="L406" t="str">
        <x:v>STORE-001</x:v>
      </x:c>
      <x:c r="M406" s="22" t="n">
        <x:v>46131</x:v>
      </x:c>
      <x:c r="N406" t="str">
        <x:v>SKU-014</x:v>
      </x:c>
      <x:c r="O406" t="n">
        <x:v>1</x:v>
      </x:c>
      <x:c r="P406" s="26" t="n">
        <x:f>F406/O406</x:f>
        <x:v>1607.07</x:v>
      </x:c>
    </x:row>
    <x:row r="407">
      <x:c r="A407" t="n">
        <x:v>406</x:v>
      </x:c>
      <x:c r="B407" t="n">
        <x:v>28</x:v>
      </x:c>
      <x:c r="C407" t="str">
        <x:v>Female</x:v>
      </x:c>
      <x:c r="D407" t="str">
        <x:v>Footwear</x:v>
      </x:c>
      <x:c r="E407" t="str">
        <x:v>Formal Shoes</x:v>
      </x:c>
      <x:c r="F407" s="24" t="n">
        <x:v>170.45</x:v>
      </x:c>
      <x:c r="G407" t="str">
        <x:v>Spring</x:v>
      </x:c>
      <x:c r="H407" t="str">
        <x:v>Card</x:v>
      </x:c>
      <x:c r="I407" t="n">
        <x:v>3.8</x:v>
      </x:c>
      <x:c r="J407" t="n">
        <x:v>13</x:v>
      </x:c>
      <x:c r="K407" t="n">
        <x:v>4</x:v>
      </x:c>
      <x:c r="L407" t="str">
        <x:v>STORE-001</x:v>
      </x:c>
      <x:c r="M407" s="22" t="n">
        <x:v>45936</x:v>
      </x:c>
      <x:c r="N407" t="str">
        <x:v>SKU-007</x:v>
      </x:c>
      <x:c r="O407" t="n">
        <x:v>1</x:v>
      </x:c>
      <x:c r="P407" s="26" t="n">
        <x:f>F407/O407</x:f>
        <x:v>170.45</x:v>
      </x:c>
    </x:row>
    <x:row r="408">
      <x:c r="A408" t="n">
        <x:v>407</x:v>
      </x:c>
      <x:c r="B408" t="n">
        <x:v>30</x:v>
      </x:c>
      <x:c r="C408" t="str">
        <x:v>Female</x:v>
      </x:c>
      <x:c r="D408" t="str">
        <x:v>Beauty</x:v>
      </x:c>
      <x:c r="E408" t="str">
        <x:v>Skincare Kit</x:v>
      </x:c>
      <x:c r="F408" s="24" t="n">
        <x:v>47.97</x:v>
      </x:c>
      <x:c r="G408" t="str">
        <x:v>Spring</x:v>
      </x:c>
      <x:c r="H408" t="str">
        <x:v>Card</x:v>
      </x:c>
      <x:c r="I408" t="n">
        <x:v>3.7</x:v>
      </x:c>
      <x:c r="J408" t="n">
        <x:v>18</x:v>
      </x:c>
      <x:c r="K408" t="n">
        <x:v>4</x:v>
      </x:c>
      <x:c r="L408" t="str">
        <x:v>STORE-001</x:v>
      </x:c>
      <x:c r="M408" s="22" t="n">
        <x:v>46274</x:v>
      </x:c>
      <x:c r="N408" t="str">
        <x:v>SKU-021</x:v>
      </x:c>
      <x:c r="O408" t="n">
        <x:v>2</x:v>
      </x:c>
      <x:c r="P408" s="26" t="n">
        <x:f>F408/O408</x:f>
        <x:v>23.985</x:v>
      </x:c>
    </x:row>
    <x:row r="409">
      <x:c r="A409" t="n">
        <x:v>408</x:v>
      </x:c>
      <x:c r="B409" t="n">
        <x:v>31</x:v>
      </x:c>
      <x:c r="C409" t="str">
        <x:v>Female</x:v>
      </x:c>
      <x:c r="D409" t="str">
        <x:v>Womens Clothing</x:v>
      </x:c>
      <x:c r="E409" t="str">
        <x:v>Jeans</x:v>
      </x:c>
      <x:c r="F409" s="24" t="n">
        <x:v>152</x:v>
      </x:c>
      <x:c r="G409" t="str">
        <x:v>Spring</x:v>
      </x:c>
      <x:c r="H409" t="str">
        <x:v>Card</x:v>
      </x:c>
      <x:c r="I409" t="n">
        <x:v>3.5</x:v>
      </x:c>
      <x:c r="J409" t="n">
        <x:v>24</x:v>
      </x:c>
      <x:c r="K409" t="n">
        <x:v>7</x:v>
      </x:c>
      <x:c r="L409" t="str">
        <x:v>STORE-001</x:v>
      </x:c>
      <x:c r="M409" s="22" t="n">
        <x:v>46267</x:v>
      </x:c>
      <x:c r="N409" t="str">
        <x:v>SKU-011</x:v>
      </x:c>
      <x:c r="O409" t="n">
        <x:v>1</x:v>
      </x:c>
      <x:c r="P409" s="26" t="n">
        <x:f>F409/O409</x:f>
        <x:v>152</x:v>
      </x:c>
    </x:row>
    <x:row r="410">
      <x:c r="A410" t="n">
        <x:v>409</x:v>
      </x:c>
      <x:c r="B410" t="n">
        <x:v>60</x:v>
      </x:c>
      <x:c r="C410" t="str">
        <x:v>Female</x:v>
      </x:c>
      <x:c r="D410" t="str">
        <x:v>Beauty</x:v>
      </x:c>
      <x:c r="E410" t="str">
        <x:v>Perfume</x:v>
      </x:c>
      <x:c r="F410" s="24" t="n">
        <x:v>77.79</x:v>
      </x:c>
      <x:c r="G410" t="str">
        <x:v>Autumn</x:v>
      </x:c>
      <x:c r="H410" t="str">
        <x:v>Card</x:v>
      </x:c>
      <x:c r="I410" t="n">
        <x:v>4.7</x:v>
      </x:c>
      <x:c r="J410" t="n">
        <x:v>11</x:v>
      </x:c>
      <x:c r="K410" t="n">
        <x:v>3</x:v>
      </x:c>
      <x:c r="L410" t="str">
        <x:v>STORE-001</x:v>
      </x:c>
      <x:c r="M410" s="22" t="n">
        <x:v>46094</x:v>
      </x:c>
      <x:c r="N410" t="str">
        <x:v>SKU-017</x:v>
      </x:c>
      <x:c r="O410" t="n">
        <x:v>1</x:v>
      </x:c>
      <x:c r="P410" s="26" t="n">
        <x:f>F410/O410</x:f>
        <x:v>77.79</x:v>
      </x:c>
    </x:row>
    <x:row r="411">
      <x:c r="A411" t="n">
        <x:v>410</x:v>
      </x:c>
      <x:c r="B411" t="n">
        <x:v>46</x:v>
      </x:c>
      <x:c r="C411" t="str">
        <x:v>Female</x:v>
      </x:c>
      <x:c r="D411" t="str">
        <x:v>Womens Clothing</x:v>
      </x:c>
      <x:c r="E411" t="str">
        <x:v>Top</x:v>
      </x:c>
      <x:c r="F411" s="24" t="n">
        <x:v>55.8</x:v>
      </x:c>
      <x:c r="G411" t="str">
        <x:v>Summer</x:v>
      </x:c>
      <x:c r="H411" t="str">
        <x:v>Cash on Delivery</x:v>
      </x:c>
      <x:c r="I411" t="n">
        <x:v>3.1</x:v>
      </x:c>
      <x:c r="J411" t="n">
        <x:v>22</x:v>
      </x:c>
      <x:c r="K411" t="n">
        <x:v>6</x:v>
      </x:c>
      <x:c r="L411" t="str">
        <x:v>STORE-001</x:v>
      </x:c>
      <x:c r="M411" s="22" t="n">
        <x:v>46074</x:v>
      </x:c>
      <x:c r="N411" t="str">
        <x:v>SKU-028</x:v>
      </x:c>
      <x:c r="O411" t="n">
        <x:v>2</x:v>
      </x:c>
      <x:c r="P411" s="26" t="n">
        <x:f>F411/O411</x:f>
        <x:v>27.9</x:v>
      </x:c>
    </x:row>
    <x:row r="412">
      <x:c r="A412" t="n">
        <x:v>411</x:v>
      </x:c>
      <x:c r="B412" t="n">
        <x:v>66</x:v>
      </x:c>
      <x:c r="C412" t="str">
        <x:v>Male</x:v>
      </x:c>
      <x:c r="D412" t="str">
        <x:v>Sports</x:v>
      </x:c>
      <x:c r="E412" t="str">
        <x:v>Dumbbells</x:v>
      </x:c>
      <x:c r="F412" s="24" t="n">
        <x:v>140.76</x:v>
      </x:c>
      <x:c r="G412" t="str">
        <x:v>Winter</x:v>
      </x:c>
      <x:c r="H412" t="str">
        <x:v>Card</x:v>
      </x:c>
      <x:c r="I412" t="n">
        <x:v>3.7</x:v>
      </x:c>
      <x:c r="J412" t="n">
        <x:v>26</x:v>
      </x:c>
      <x:c r="K412" t="n">
        <x:v>8</x:v>
      </x:c>
      <x:c r="L412" t="str">
        <x:v>STORE-001</x:v>
      </x:c>
      <x:c r="M412" s="22" t="n">
        <x:v>46232</x:v>
      </x:c>
      <x:c r="N412" t="str">
        <x:v>SKU-005</x:v>
      </x:c>
      <x:c r="O412" t="n">
        <x:v>2</x:v>
      </x:c>
      <x:c r="P412" s="26" t="n">
        <x:f>F412/O412</x:f>
        <x:v>70.38</x:v>
      </x:c>
    </x:row>
    <x:row r="413">
      <x:c r="A413" t="n">
        <x:v>412</x:v>
      </x:c>
      <x:c r="B413" t="n">
        <x:v>69</x:v>
      </x:c>
      <x:c r="C413" t="str">
        <x:v>Male</x:v>
      </x:c>
      <x:c r="D413" t="str">
        <x:v>Sports</x:v>
      </x:c>
      <x:c r="E413" t="str">
        <x:v>Dumbbells</x:v>
      </x:c>
      <x:c r="F413" s="24" t="n">
        <x:v>31.84</x:v>
      </x:c>
      <x:c r="G413" t="str">
        <x:v>Autumn</x:v>
      </x:c>
      <x:c r="H413" t="str">
        <x:v>Cash on Delivery</x:v>
      </x:c>
      <x:c r="I413" t="n">
        <x:v>4</x:v>
      </x:c>
      <x:c r="J413" t="n">
        <x:v>18</x:v>
      </x:c>
      <x:c r="K413" t="n">
        <x:v>4</x:v>
      </x:c>
      <x:c r="L413" t="str">
        <x:v>STORE-001</x:v>
      </x:c>
      <x:c r="M413" s="22" t="n">
        <x:v>46085</x:v>
      </x:c>
      <x:c r="N413" t="str">
        <x:v>SKU-005</x:v>
      </x:c>
      <x:c r="O413" t="n">
        <x:v>2</x:v>
      </x:c>
      <x:c r="P413" s="26" t="n">
        <x:f>F413/O413</x:f>
        <x:v>15.92</x:v>
      </x:c>
    </x:row>
    <x:row r="414">
      <x:c r="A414" t="n">
        <x:v>413</x:v>
      </x:c>
      <x:c r="B414" t="n">
        <x:v>56</x:v>
      </x:c>
      <x:c r="C414" t="str">
        <x:v>Male</x:v>
      </x:c>
      <x:c r="D414" t="str">
        <x:v>Mens Clothing</x:v>
      </x:c>
      <x:c r="E414" t="str">
        <x:v>Shirt</x:v>
      </x:c>
      <x:c r="F414" s="24" t="n">
        <x:v>175.84</x:v>
      </x:c>
      <x:c r="G414" t="str">
        <x:v>Autumn</x:v>
      </x:c>
      <x:c r="H414" t="str">
        <x:v>Card</x:v>
      </x:c>
      <x:c r="I414" t="n">
        <x:v>2.7</x:v>
      </x:c>
      <x:c r="J414" t="n">
        <x:v>16</x:v>
      </x:c>
      <x:c r="K414" t="n">
        <x:v>3</x:v>
      </x:c>
      <x:c r="L414" t="str">
        <x:v>STORE-001</x:v>
      </x:c>
      <x:c r="M414" s="22" t="n">
        <x:v>46116</x:v>
      </x:c>
      <x:c r="N414" t="str">
        <x:v>SKU-020</x:v>
      </x:c>
      <x:c r="O414" t="n">
        <x:v>2</x:v>
      </x:c>
      <x:c r="P414" s="26" t="n">
        <x:f>F414/O414</x:f>
        <x:v>87.92</x:v>
      </x:c>
    </x:row>
    <x:row r="415">
      <x:c r="A415" t="n">
        <x:v>414</x:v>
      </x:c>
      <x:c r="B415" t="n">
        <x:v>23</x:v>
      </x:c>
      <x:c r="C415" t="str">
        <x:v>Male</x:v>
      </x:c>
      <x:c r="D415" t="str">
        <x:v>Electronics</x:v>
      </x:c>
      <x:c r="E415" t="str">
        <x:v>Headphones</x:v>
      </x:c>
      <x:c r="F415" s="24" t="n">
        <x:v>2970.31</x:v>
      </x:c>
      <x:c r="G415" t="str">
        <x:v>Autumn</x:v>
      </x:c>
      <x:c r="H415" t="str">
        <x:v>Card</x:v>
      </x:c>
      <x:c r="I415" t="n">
        <x:v>3.6</x:v>
      </x:c>
      <x:c r="J415" t="n">
        <x:v>12</x:v>
      </x:c>
      <x:c r="K415" t="n">
        <x:v>6</x:v>
      </x:c>
      <x:c r="L415" t="str">
        <x:v>STORE-001</x:v>
      </x:c>
      <x:c r="M415" s="22" t="n">
        <x:v>46143</x:v>
      </x:c>
      <x:c r="N415" t="str">
        <x:v>SKU-009</x:v>
      </x:c>
      <x:c r="O415" t="n">
        <x:v>1</x:v>
      </x:c>
      <x:c r="P415" s="26" t="n">
        <x:f>F415/O415</x:f>
        <x:v>2970.31</x:v>
      </x:c>
    </x:row>
    <x:row r="416">
      <x:c r="A416" t="n">
        <x:v>415</x:v>
      </x:c>
      <x:c r="B416" t="n">
        <x:v>68</x:v>
      </x:c>
      <x:c r="C416" t="str">
        <x:v>Male</x:v>
      </x:c>
      <x:c r="D416" t="str">
        <x:v>Mens Clothing</x:v>
      </x:c>
      <x:c r="E416" t="str">
        <x:v>Shirt</x:v>
      </x:c>
      <x:c r="F416" s="24" t="n">
        <x:v>43.47</x:v>
      </x:c>
      <x:c r="G416" t="str">
        <x:v>Summer</x:v>
      </x:c>
      <x:c r="H416" t="str">
        <x:v>Cash on Delivery</x:v>
      </x:c>
      <x:c r="I416" t="n">
        <x:v>5</x:v>
      </x:c>
      <x:c r="J416" t="n">
        <x:v>7</x:v>
      </x:c>
      <x:c r="K416" t="n">
        <x:v>1</x:v>
      </x:c>
      <x:c r="L416" t="str">
        <x:v>STORE-001</x:v>
      </x:c>
      <x:c r="M416" s="22" t="n">
        <x:v>46041</x:v>
      </x:c>
      <x:c r="N416" t="str">
        <x:v>SKU-020</x:v>
      </x:c>
      <x:c r="O416" t="n">
        <x:v>1</x:v>
      </x:c>
      <x:c r="P416" s="26" t="n">
        <x:f>F416/O416</x:f>
        <x:v>43.47</x:v>
      </x:c>
    </x:row>
    <x:row r="417">
      <x:c r="A417" t="n">
        <x:v>416</x:v>
      </x:c>
      <x:c r="B417" t="n">
        <x:v>38</x:v>
      </x:c>
      <x:c r="C417" t="str">
        <x:v>Female</x:v>
      </x:c>
      <x:c r="D417" t="str">
        <x:v>Beauty</x:v>
      </x:c>
      <x:c r="E417" t="str">
        <x:v>Makeup Set</x:v>
      </x:c>
      <x:c r="F417" s="24" t="n">
        <x:v>99.24</x:v>
      </x:c>
      <x:c r="G417" t="str">
        <x:v>Autumn</x:v>
      </x:c>
      <x:c r="H417" t="str">
        <x:v>Card</x:v>
      </x:c>
      <x:c r="I417" t="n">
        <x:v>3.5</x:v>
      </x:c>
      <x:c r="J417" t="n">
        <x:v>23</x:v>
      </x:c>
      <x:c r="K417" t="n">
        <x:v>9</x:v>
      </x:c>
      <x:c r="L417" t="str">
        <x:v>STORE-001</x:v>
      </x:c>
      <x:c r="M417" s="22" t="n">
        <x:v>46122</x:v>
      </x:c>
      <x:c r="N417" t="str">
        <x:v>SKU-015</x:v>
      </x:c>
      <x:c r="O417" t="n">
        <x:v>1</x:v>
      </x:c>
      <x:c r="P417" s="26" t="n">
        <x:f>F417/O417</x:f>
        <x:v>99.24</x:v>
      </x:c>
    </x:row>
    <x:row r="418">
      <x:c r="A418" t="n">
        <x:v>417</x:v>
      </x:c>
      <x:c r="B418" t="n">
        <x:v>39</x:v>
      </x:c>
      <x:c r="C418" t="str">
        <x:v>Female</x:v>
      </x:c>
      <x:c r="D418" t="str">
        <x:v>Footwear</x:v>
      </x:c>
      <x:c r="E418" t="str">
        <x:v>Sneakers</x:v>
      </x:c>
      <x:c r="F418" s="24" t="n">
        <x:v>69.99</x:v>
      </x:c>
      <x:c r="G418" t="str">
        <x:v>Summer</x:v>
      </x:c>
      <x:c r="H418" t="str">
        <x:v>Card</x:v>
      </x:c>
      <x:c r="I418" t="n">
        <x:v>3</x:v>
      </x:c>
      <x:c r="J418" t="n">
        <x:v>10</x:v>
      </x:c>
      <x:c r="K418" t="n">
        <x:v>5</x:v>
      </x:c>
      <x:c r="L418" t="str">
        <x:v>STORE-001</x:v>
      </x:c>
      <x:c r="M418" s="22" t="n">
        <x:v>46035</x:v>
      </x:c>
      <x:c r="N418" t="str">
        <x:v>SKU-025</x:v>
      </x:c>
      <x:c r="O418" t="n">
        <x:v>1</x:v>
      </x:c>
      <x:c r="P418" s="26" t="n">
        <x:f>F418/O418</x:f>
        <x:v>69.99</x:v>
      </x:c>
    </x:row>
    <x:row r="419">
      <x:c r="A419" t="n">
        <x:v>418</x:v>
      </x:c>
      <x:c r="B419" t="n">
        <x:v>64</x:v>
      </x:c>
      <x:c r="C419" t="str">
        <x:v>Female</x:v>
      </x:c>
      <x:c r="D419" t="str">
        <x:v>Groceries</x:v>
      </x:c>
      <x:c r="E419" t="str">
        <x:v>Cooking Oil</x:v>
      </x:c>
      <x:c r="F419" s="24" t="n">
        <x:v>27.74</x:v>
      </x:c>
      <x:c r="G419" t="str">
        <x:v>Summer</x:v>
      </x:c>
      <x:c r="H419" t="str">
        <x:v>Card</x:v>
      </x:c>
      <x:c r="I419" t="n">
        <x:v>2.3</x:v>
      </x:c>
      <x:c r="J419" t="n">
        <x:v>15</x:v>
      </x:c>
      <x:c r="K419" t="n">
        <x:v>5</x:v>
      </x:c>
      <x:c r="L419" t="str">
        <x:v>STORE-001</x:v>
      </x:c>
      <x:c r="M419" s="22" t="n">
        <x:v>46005</x:v>
      </x:c>
      <x:c r="N419" t="str">
        <x:v>SKU-002</x:v>
      </x:c>
      <x:c r="O419" t="n">
        <x:v>2</x:v>
      </x:c>
      <x:c r="P419" s="26" t="n">
        <x:f>F419/O419</x:f>
        <x:v>13.87</x:v>
      </x:c>
    </x:row>
    <x:row r="420">
      <x:c r="A420" t="n">
        <x:v>419</x:v>
      </x:c>
      <x:c r="B420" t="n">
        <x:v>26</x:v>
      </x:c>
      <x:c r="C420" t="str">
        <x:v>Female</x:v>
      </x:c>
      <x:c r="D420" t="str">
        <x:v>Home</x:v>
      </x:c>
      <x:c r="E420" t="str">
        <x:v>Kitchen Set</x:v>
      </x:c>
      <x:c r="F420" s="24" t="n">
        <x:v>175.14</x:v>
      </x:c>
      <x:c r="G420" t="str">
        <x:v>Winter</x:v>
      </x:c>
      <x:c r="H420" t="str">
        <x:v>Card</x:v>
      </x:c>
      <x:c r="I420" t="n">
        <x:v>4.5</x:v>
      </x:c>
      <x:c r="J420" t="n">
        <x:v>12</x:v>
      </x:c>
      <x:c r="K420" t="n">
        <x:v>1</x:v>
      </x:c>
      <x:c r="L420" t="str">
        <x:v>STORE-001</x:v>
      </x:c>
      <x:c r="M420" s="22" t="n">
        <x:v>46261</x:v>
      </x:c>
      <x:c r="N420" t="str">
        <x:v>SKU-012</x:v>
      </x:c>
      <x:c r="O420" t="n">
        <x:v>2</x:v>
      </x:c>
      <x:c r="P420" s="26" t="n">
        <x:f>F420/O420</x:f>
        <x:v>87.57</x:v>
      </x:c>
    </x:row>
    <x:row r="421">
      <x:c r="A421" t="n">
        <x:v>420</x:v>
      </x:c>
      <x:c r="B421" t="n">
        <x:v>58</x:v>
      </x:c>
      <x:c r="C421" t="str">
        <x:v>Female</x:v>
      </x:c>
      <x:c r="D421" t="str">
        <x:v>Accessories</x:v>
      </x:c>
      <x:c r="E421" t="str">
        <x:v>Sunglasses</x:v>
      </x:c>
      <x:c r="F421" s="24" t="n">
        <x:v>105.33</x:v>
      </x:c>
      <x:c r="G421" t="str">
        <x:v>Autumn</x:v>
      </x:c>
      <x:c r="H421" t="str">
        <x:v>Card</x:v>
      </x:c>
      <x:c r="I421" t="n">
        <x:v>4.5</x:v>
      </x:c>
      <x:c r="J421" t="n">
        <x:v>22</x:v>
      </x:c>
      <x:c r="K421" t="n">
        <x:v>6</x:v>
      </x:c>
      <x:c r="L421" t="str">
        <x:v>STORE-001</x:v>
      </x:c>
      <x:c r="M421" s="22" t="n">
        <x:v>46125</x:v>
      </x:c>
      <x:c r="N421" t="str">
        <x:v>SKU-026</x:v>
      </x:c>
      <x:c r="O421" t="n">
        <x:v>2</x:v>
      </x:c>
      <x:c r="P421" s="26" t="n">
        <x:f>F421/O421</x:f>
        <x:v>52.665</x:v>
      </x:c>
    </x:row>
    <x:row r="422">
      <x:c r="A422" t="n">
        <x:v>421</x:v>
      </x:c>
      <x:c r="B422" t="n">
        <x:v>33</x:v>
      </x:c>
      <x:c r="C422" t="str">
        <x:v>Male</x:v>
      </x:c>
      <x:c r="D422" t="str">
        <x:v>Electronics</x:v>
      </x:c>
      <x:c r="E422" t="str">
        <x:v>Headphones</x:v>
      </x:c>
      <x:c r="F422" s="24" t="n">
        <x:v>2028.35</x:v>
      </x:c>
      <x:c r="G422" t="str">
        <x:v>Winter</x:v>
      </x:c>
      <x:c r="H422" t="str">
        <x:v>Card</x:v>
      </x:c>
      <x:c r="I422" t="n">
        <x:v>3.6</x:v>
      </x:c>
      <x:c r="J422" t="n">
        <x:v>8</x:v>
      </x:c>
      <x:c r="K422" t="n">
        <x:v>4</x:v>
      </x:c>
      <x:c r="L422" t="str">
        <x:v>STORE-001</x:v>
      </x:c>
      <x:c r="M422" s="22" t="n">
        <x:v>46175</x:v>
      </x:c>
      <x:c r="N422" t="str">
        <x:v>SKU-009</x:v>
      </x:c>
      <x:c r="O422" t="n">
        <x:v>1</x:v>
      </x:c>
      <x:c r="P422" s="26" t="n">
        <x:f>F422/O422</x:f>
        <x:v>2028.35</x:v>
      </x:c>
    </x:row>
    <x:row r="423">
      <x:c r="A423" t="n">
        <x:v>422</x:v>
      </x:c>
      <x:c r="B423" t="n">
        <x:v>54</x:v>
      </x:c>
      <x:c r="C423" t="str">
        <x:v>Female</x:v>
      </x:c>
      <x:c r="D423" t="str">
        <x:v>Beauty</x:v>
      </x:c>
      <x:c r="E423" t="str">
        <x:v>Skincare Kit</x:v>
      </x:c>
      <x:c r="F423" s="24" t="n">
        <x:v>44.38</x:v>
      </x:c>
      <x:c r="G423" t="str">
        <x:v>Spring</x:v>
      </x:c>
      <x:c r="H423" t="str">
        <x:v>Cash on Delivery</x:v>
      </x:c>
      <x:c r="I423" t="n">
        <x:v>4.9</x:v>
      </x:c>
      <x:c r="J423" t="n">
        <x:v>16</x:v>
      </x:c>
      <x:c r="K423" t="n">
        <x:v>3</x:v>
      </x:c>
      <x:c r="L423" t="str">
        <x:v>STORE-001</x:v>
      </x:c>
      <x:c r="M423" s="22" t="n">
        <x:v>46294</x:v>
      </x:c>
      <x:c r="N423" t="str">
        <x:v>SKU-021</x:v>
      </x:c>
      <x:c r="O423" t="n">
        <x:v>1</x:v>
      </x:c>
      <x:c r="P423" s="26" t="n">
        <x:f>F423/O423</x:f>
        <x:v>44.38</x:v>
      </x:c>
    </x:row>
    <x:row r="424">
      <x:c r="A424" t="n">
        <x:v>423</x:v>
      </x:c>
      <x:c r="B424" t="n">
        <x:v>37</x:v>
      </x:c>
      <x:c r="C424" t="str">
        <x:v>Female</x:v>
      </x:c>
      <x:c r="D424" t="str">
        <x:v>Accessories</x:v>
      </x:c>
      <x:c r="E424" t="str">
        <x:v>Wallet</x:v>
      </x:c>
      <x:c r="F424" s="24" t="n">
        <x:v>124.7</x:v>
      </x:c>
      <x:c r="G424" t="str">
        <x:v>Spring</x:v>
      </x:c>
      <x:c r="H424" t="str">
        <x:v>Card</x:v>
      </x:c>
      <x:c r="I424" t="n">
        <x:v>4.6</x:v>
      </x:c>
      <x:c r="J424" t="n">
        <x:v>22</x:v>
      </x:c>
      <x:c r="K424" t="n">
        <x:v>6</x:v>
      </x:c>
      <x:c r="L424" t="str">
        <x:v>STORE-001</x:v>
      </x:c>
      <x:c r="M424" s="22" t="n">
        <x:v>46267</x:v>
      </x:c>
      <x:c r="N424" t="str">
        <x:v>SKU-029</x:v>
      </x:c>
      <x:c r="O424" t="n">
        <x:v>1</x:v>
      </x:c>
      <x:c r="P424" s="26" t="n">
        <x:f>F424/O424</x:f>
        <x:v>124.7</x:v>
      </x:c>
    </x:row>
    <x:row r="425">
      <x:c r="A425" t="n">
        <x:v>424</x:v>
      </x:c>
      <x:c r="B425" t="n">
        <x:v>27</x:v>
      </x:c>
      <x:c r="C425" t="str">
        <x:v>Male</x:v>
      </x:c>
      <x:c r="D425" t="str">
        <x:v>Mens Clothing</x:v>
      </x:c>
      <x:c r="E425" t="str">
        <x:v>Shirt</x:v>
      </x:c>
      <x:c r="F425" s="24" t="n">
        <x:v>117.37</x:v>
      </x:c>
      <x:c r="G425" t="str">
        <x:v>Summer</x:v>
      </x:c>
      <x:c r="H425" t="str">
        <x:v>Card</x:v>
      </x:c>
      <x:c r="I425" t="n">
        <x:v>3.7</x:v>
      </x:c>
      <x:c r="J425" t="n">
        <x:v>20</x:v>
      </x:c>
      <x:c r="K425" t="n">
        <x:v>5</x:v>
      </x:c>
      <x:c r="L425" t="str">
        <x:v>STORE-001</x:v>
      </x:c>
      <x:c r="M425" s="22" t="n">
        <x:v>46039</x:v>
      </x:c>
      <x:c r="N425" t="str">
        <x:v>SKU-020</x:v>
      </x:c>
      <x:c r="O425" t="n">
        <x:v>1</x:v>
      </x:c>
      <x:c r="P425" s="26" t="n">
        <x:f>F425/O425</x:f>
        <x:v>117.37</x:v>
      </x:c>
    </x:row>
    <x:row r="426">
      <x:c r="A426" t="n">
        <x:v>425</x:v>
      </x:c>
      <x:c r="B426" t="n">
        <x:v>67</x:v>
      </x:c>
      <x:c r="C426" t="str">
        <x:v>Female</x:v>
      </x:c>
      <x:c r="D426" t="str">
        <x:v>Accessories</x:v>
      </x:c>
      <x:c r="E426" t="str">
        <x:v>Sunglasses</x:v>
      </x:c>
      <x:c r="F426" s="24" t="n">
        <x:v>81.81</x:v>
      </x:c>
      <x:c r="G426" t="str">
        <x:v>Spring</x:v>
      </x:c>
      <x:c r="H426" t="str">
        <x:v>Cash on Delivery</x:v>
      </x:c>
      <x:c r="I426" t="n">
        <x:v>3.8</x:v>
      </x:c>
      <x:c r="J426" t="n">
        <x:v>13</x:v>
      </x:c>
      <x:c r="K426" t="n">
        <x:v>4</x:v>
      </x:c>
      <x:c r="L426" t="str">
        <x:v>STORE-001</x:v>
      </x:c>
      <x:c r="M426" s="22" t="n">
        <x:v>46289</x:v>
      </x:c>
      <x:c r="N426" t="str">
        <x:v>SKU-026</x:v>
      </x:c>
      <x:c r="O426" t="n">
        <x:v>2</x:v>
      </x:c>
      <x:c r="P426" s="26" t="n">
        <x:f>F426/O426</x:f>
        <x:v>40.905</x:v>
      </x:c>
    </x:row>
    <x:row r="427">
      <x:c r="A427" t="n">
        <x:v>426</x:v>
      </x:c>
      <x:c r="B427" t="n">
        <x:v>34</x:v>
      </x:c>
      <x:c r="C427" t="str">
        <x:v>Female</x:v>
      </x:c>
      <x:c r="D427" t="str">
        <x:v>Beauty</x:v>
      </x:c>
      <x:c r="E427" t="str">
        <x:v>Perfume</x:v>
      </x:c>
      <x:c r="F427" s="24" t="n">
        <x:v>108.57</x:v>
      </x:c>
      <x:c r="G427" t="str">
        <x:v>Winter</x:v>
      </x:c>
      <x:c r="H427" t="str">
        <x:v>Card</x:v>
      </x:c>
      <x:c r="I427" t="n">
        <x:v>4.9</x:v>
      </x:c>
      <x:c r="J427" t="n">
        <x:v>13</x:v>
      </x:c>
      <x:c r="K427" t="n">
        <x:v>4</x:v>
      </x:c>
      <x:c r="L427" t="str">
        <x:v>STORE-001</x:v>
      </x:c>
      <x:c r="M427" s="22" t="n">
        <x:v>46201</x:v>
      </x:c>
      <x:c r="N427" t="str">
        <x:v>SKU-017</x:v>
      </x:c>
      <x:c r="O427" t="n">
        <x:v>1</x:v>
      </x:c>
      <x:c r="P427" s="26" t="n">
        <x:f>F427/O427</x:f>
        <x:v>108.57</x:v>
      </x:c>
    </x:row>
    <x:row r="428">
      <x:c r="A428" t="n">
        <x:v>427</x:v>
      </x:c>
      <x:c r="B428" t="n">
        <x:v>70</x:v>
      </x:c>
      <x:c r="C428" t="str">
        <x:v>Female</x:v>
      </x:c>
      <x:c r="D428" t="str">
        <x:v>Accessories</x:v>
      </x:c>
      <x:c r="E428" t="str">
        <x:v>Wallet</x:v>
      </x:c>
      <x:c r="F428" s="24" t="n">
        <x:v>150.37</x:v>
      </x:c>
      <x:c r="G428" t="str">
        <x:v>Autumn</x:v>
      </x:c>
      <x:c r="H428" t="str">
        <x:v>Card</x:v>
      </x:c>
      <x:c r="I428" t="n">
        <x:v>4.5</x:v>
      </x:c>
      <x:c r="J428" t="n">
        <x:v>10</x:v>
      </x:c>
      <x:c r="K428" t="n">
        <x:v>5</x:v>
      </x:c>
      <x:c r="L428" t="str">
        <x:v>STORE-001</x:v>
      </x:c>
      <x:c r="M428" s="22" t="n">
        <x:v>46124</x:v>
      </x:c>
      <x:c r="N428" t="str">
        <x:v>SKU-029</x:v>
      </x:c>
      <x:c r="O428" t="n">
        <x:v>1</x:v>
      </x:c>
      <x:c r="P428" s="26" t="n">
        <x:f>F428/O428</x:f>
        <x:v>150.37</x:v>
      </x:c>
    </x:row>
    <x:row r="429">
      <x:c r="A429" t="n">
        <x:v>428</x:v>
      </x:c>
      <x:c r="B429" t="n">
        <x:v>21</x:v>
      </x:c>
      <x:c r="C429" t="str">
        <x:v>Female</x:v>
      </x:c>
      <x:c r="D429" t="str">
        <x:v>Groceries</x:v>
      </x:c>
      <x:c r="E429" t="str">
        <x:v>Beverages</x:v>
      </x:c>
      <x:c r="F429" s="24" t="n">
        <x:v>21.02</x:v>
      </x:c>
      <x:c r="G429" t="str">
        <x:v>Autumn</x:v>
      </x:c>
      <x:c r="H429" t="str">
        <x:v>Card</x:v>
      </x:c>
      <x:c r="I429" t="n">
        <x:v>2.7</x:v>
      </x:c>
      <x:c r="J429" t="n">
        <x:v>14</x:v>
      </x:c>
      <x:c r="K429" t="n">
        <x:v>7</x:v>
      </x:c>
      <x:c r="L429" t="str">
        <x:v>STORE-001</x:v>
      </x:c>
      <x:c r="M429" s="22" t="n">
        <x:v>46134</x:v>
      </x:c>
      <x:c r="N429" t="str">
        <x:v>SKU-001</x:v>
      </x:c>
      <x:c r="O429" t="n">
        <x:v>5</x:v>
      </x:c>
      <x:c r="P429" s="26" t="n">
        <x:f>F429/O429</x:f>
        <x:v>4.204</x:v>
      </x:c>
    </x:row>
    <x:row r="430">
      <x:c r="A430" t="n">
        <x:v>429</x:v>
      </x:c>
      <x:c r="B430" t="n">
        <x:v>67</x:v>
      </x:c>
      <x:c r="C430" t="str">
        <x:v>Female</x:v>
      </x:c>
      <x:c r="D430" t="str">
        <x:v>Footwear</x:v>
      </x:c>
      <x:c r="E430" t="str">
        <x:v>Sneakers</x:v>
      </x:c>
      <x:c r="F430" s="24" t="n">
        <x:v>203.32</x:v>
      </x:c>
      <x:c r="G430" t="str">
        <x:v>Summer</x:v>
      </x:c>
      <x:c r="H430" t="str">
        <x:v>Card</x:v>
      </x:c>
      <x:c r="I430" t="n">
        <x:v>3.3</x:v>
      </x:c>
      <x:c r="J430" t="n">
        <x:v>10</x:v>
      </x:c>
      <x:c r="K430" t="n">
        <x:v>5</x:v>
      </x:c>
      <x:c r="L430" t="str">
        <x:v>STORE-001</x:v>
      </x:c>
      <x:c r="M430" s="22" t="n">
        <x:v>46065</x:v>
      </x:c>
      <x:c r="N430" t="str">
        <x:v>SKU-025</x:v>
      </x:c>
      <x:c r="O430" t="n">
        <x:v>2</x:v>
      </x:c>
      <x:c r="P430" s="26" t="n">
        <x:f>F430/O430</x:f>
        <x:v>101.66</x:v>
      </x:c>
    </x:row>
    <x:row r="431">
      <x:c r="A431" t="n">
        <x:v>430</x:v>
      </x:c>
      <x:c r="B431" t="n">
        <x:v>45</x:v>
      </x:c>
      <x:c r="C431" t="str">
        <x:v>Female</x:v>
      </x:c>
      <x:c r="D431" t="str">
        <x:v>Accessories</x:v>
      </x:c>
      <x:c r="E431" t="str">
        <x:v>Sunglasses</x:v>
      </x:c>
      <x:c r="F431" s="24" t="n">
        <x:v>67.03</x:v>
      </x:c>
      <x:c r="G431" t="str">
        <x:v>Autumn</x:v>
      </x:c>
      <x:c r="H431" t="str">
        <x:v>Cash on Delivery</x:v>
      </x:c>
      <x:c r="I431" t="n">
        <x:v>3.6</x:v>
      </x:c>
      <x:c r="J431" t="n">
        <x:v>21</x:v>
      </x:c>
      <x:c r="K431" t="n">
        <x:v>8</x:v>
      </x:c>
      <x:c r="L431" t="str">
        <x:v>STORE-001</x:v>
      </x:c>
      <x:c r="M431" s="22" t="n">
        <x:v>46159</x:v>
      </x:c>
      <x:c r="N431" t="str">
        <x:v>SKU-026</x:v>
      </x:c>
      <x:c r="O431" t="n">
        <x:v>1</x:v>
      </x:c>
      <x:c r="P431" s="26" t="n">
        <x:f>F431/O431</x:f>
        <x:v>67.03</x:v>
      </x:c>
    </x:row>
    <x:row r="432">
      <x:c r="A432" t="n">
        <x:v>431</x:v>
      </x:c>
      <x:c r="B432" t="n">
        <x:v>64</x:v>
      </x:c>
      <x:c r="C432" t="str">
        <x:v>Male</x:v>
      </x:c>
      <x:c r="D432" t="str">
        <x:v>Electronics</x:v>
      </x:c>
      <x:c r="E432" t="str">
        <x:v>Mobile Phone</x:v>
      </x:c>
      <x:c r="F432" s="24" t="n">
        <x:v>1948.28</x:v>
      </x:c>
      <x:c r="G432" t="str">
        <x:v>Summer</x:v>
      </x:c>
      <x:c r="H432" t="str">
        <x:v>Card</x:v>
      </x:c>
      <x:c r="I432" t="n">
        <x:v>4.2</x:v>
      </x:c>
      <x:c r="J432" t="n">
        <x:v>20</x:v>
      </x:c>
      <x:c r="K432" t="n">
        <x:v>5</x:v>
      </x:c>
      <x:c r="L432" t="str">
        <x:v>STORE-001</x:v>
      </x:c>
      <x:c r="M432" s="22" t="n">
        <x:v>46011</x:v>
      </x:c>
      <x:c r="N432" t="str">
        <x:v>SKU-016</x:v>
      </x:c>
      <x:c r="O432" t="n">
        <x:v>2</x:v>
      </x:c>
      <x:c r="P432" s="26" t="n">
        <x:f>F432/O432</x:f>
        <x:v>974.14</x:v>
      </x:c>
    </x:row>
    <x:row r="433">
      <x:c r="A433" t="n">
        <x:v>432</x:v>
      </x:c>
      <x:c r="B433" t="n">
        <x:v>51</x:v>
      </x:c>
      <x:c r="C433" t="str">
        <x:v>Female</x:v>
      </x:c>
      <x:c r="D433" t="str">
        <x:v>Womens Clothing</x:v>
      </x:c>
      <x:c r="E433" t="str">
        <x:v>Jeans</x:v>
      </x:c>
      <x:c r="F433" s="24" t="n">
        <x:v>108.88</x:v>
      </x:c>
      <x:c r="G433" t="str">
        <x:v>Autumn</x:v>
      </x:c>
      <x:c r="H433" t="str">
        <x:v>Card</x:v>
      </x:c>
      <x:c r="I433" t="n">
        <x:v>3.7</x:v>
      </x:c>
      <x:c r="J433" t="n">
        <x:v>15</x:v>
      </x:c>
      <x:c r="K433" t="n">
        <x:v>5</x:v>
      </x:c>
      <x:c r="L433" t="str">
        <x:v>STORE-001</x:v>
      </x:c>
      <x:c r="M433" s="22" t="n">
        <x:v>46155</x:v>
      </x:c>
      <x:c r="N433" t="str">
        <x:v>SKU-011</x:v>
      </x:c>
      <x:c r="O433" t="n">
        <x:v>1</x:v>
      </x:c>
      <x:c r="P433" s="26" t="n">
        <x:f>F433/O433</x:f>
        <x:v>108.88</x:v>
      </x:c>
    </x:row>
    <x:row r="434">
      <x:c r="A434" t="n">
        <x:v>433</x:v>
      </x:c>
      <x:c r="B434" t="n">
        <x:v>41</x:v>
      </x:c>
      <x:c r="C434" t="str">
        <x:v>Female</x:v>
      </x:c>
      <x:c r="D434" t="str">
        <x:v>Groceries</x:v>
      </x:c>
      <x:c r="E434" t="str">
        <x:v>Rice Pack</x:v>
      </x:c>
      <x:c r="F434" s="24" t="n">
        <x:v>42.47</x:v>
      </x:c>
      <x:c r="G434" t="str">
        <x:v>Summer</x:v>
      </x:c>
      <x:c r="H434" t="str">
        <x:v>Cash on Delivery</x:v>
      </x:c>
      <x:c r="I434" t="n">
        <x:v>2.5</x:v>
      </x:c>
      <x:c r="J434" t="n">
        <x:v>10</x:v>
      </x:c>
      <x:c r="K434" t="n">
        <x:v>5</x:v>
      </x:c>
      <x:c r="L434" t="str">
        <x:v>STORE-001</x:v>
      </x:c>
      <x:c r="M434" s="22" t="n">
        <x:v>46023</x:v>
      </x:c>
      <x:c r="N434" t="str">
        <x:v>SKU-018</x:v>
      </x:c>
      <x:c r="O434" t="n">
        <x:v>2</x:v>
      </x:c>
      <x:c r="P434" s="26" t="n">
        <x:f>F434/O434</x:f>
        <x:v>21.235</x:v>
      </x:c>
    </x:row>
    <x:row r="435">
      <x:c r="A435" t="n">
        <x:v>434</x:v>
      </x:c>
      <x:c r="B435" t="n">
        <x:v>61</x:v>
      </x:c>
      <x:c r="C435" t="str">
        <x:v>Male</x:v>
      </x:c>
      <x:c r="D435" t="str">
        <x:v>Mens Clothing</x:v>
      </x:c>
      <x:c r="E435" t="str">
        <x:v>Jacket</x:v>
      </x:c>
      <x:c r="F435" s="24" t="n">
        <x:v>57.77</x:v>
      </x:c>
      <x:c r="G435" t="str">
        <x:v>Summer</x:v>
      </x:c>
      <x:c r="H435" t="str">
        <x:v>Card</x:v>
      </x:c>
      <x:c r="I435" t="n">
        <x:v>3.5</x:v>
      </x:c>
      <x:c r="J435" t="n">
        <x:v>18</x:v>
      </x:c>
      <x:c r="K435" t="n">
        <x:v>4</x:v>
      </x:c>
      <x:c r="L435" t="str">
        <x:v>STORE-001</x:v>
      </x:c>
      <x:c r="M435" s="22" t="n">
        <x:v>46009</x:v>
      </x:c>
      <x:c r="N435" t="str">
        <x:v>SKU-010</x:v>
      </x:c>
      <x:c r="O435" t="n">
        <x:v>1</x:v>
      </x:c>
      <x:c r="P435" s="26" t="n">
        <x:f>F435/O435</x:f>
        <x:v>57.77</x:v>
      </x:c>
    </x:row>
    <x:row r="436">
      <x:c r="A436" t="n">
        <x:v>435</x:v>
      </x:c>
      <x:c r="B436" t="n">
        <x:v>47</x:v>
      </x:c>
      <x:c r="C436" t="str">
        <x:v>Male</x:v>
      </x:c>
      <x:c r="D436" t="str">
        <x:v>Groceries</x:v>
      </x:c>
      <x:c r="E436" t="str">
        <x:v>Snacks</x:v>
      </x:c>
      <x:c r="F436" s="24" t="n">
        <x:v>28.68</x:v>
      </x:c>
      <x:c r="G436" t="str">
        <x:v>Summer</x:v>
      </x:c>
      <x:c r="H436" t="str">
        <x:v>Cash on Delivery</x:v>
      </x:c>
      <x:c r="I436" t="n">
        <x:v>3.8</x:v>
      </x:c>
      <x:c r="J436" t="n">
        <x:v>15</x:v>
      </x:c>
      <x:c r="K436" t="n">
        <x:v>5</x:v>
      </x:c>
      <x:c r="L436" t="str">
        <x:v>STORE-001</x:v>
      </x:c>
      <x:c r="M436" s="22" t="n">
        <x:v>46021</x:v>
      </x:c>
      <x:c r="N436" t="str">
        <x:v>SKU-024</x:v>
      </x:c>
      <x:c r="O436" t="n">
        <x:v>3</x:v>
      </x:c>
      <x:c r="P436" s="26" t="n">
        <x:f>F436/O436</x:f>
        <x:v>9.56</x:v>
      </x:c>
    </x:row>
    <x:row r="437">
      <x:c r="A437" t="n">
        <x:v>436</x:v>
      </x:c>
      <x:c r="B437" t="n">
        <x:v>38</x:v>
      </x:c>
      <x:c r="C437" t="str">
        <x:v>Male</x:v>
      </x:c>
      <x:c r="D437" t="str">
        <x:v>Mens Clothing</x:v>
      </x:c>
      <x:c r="E437" t="str">
        <x:v>Shirt</x:v>
      </x:c>
      <x:c r="F437" s="24" t="n">
        <x:v>59</x:v>
      </x:c>
      <x:c r="G437" t="str">
        <x:v>Summer</x:v>
      </x:c>
      <x:c r="H437" t="str">
        <x:v>Card</x:v>
      </x:c>
      <x:c r="I437" t="n">
        <x:v>4.1</x:v>
      </x:c>
      <x:c r="J437" t="n">
        <x:v>12</x:v>
      </x:c>
      <x:c r="K437" t="n">
        <x:v>6</x:v>
      </x:c>
      <x:c r="L437" t="str">
        <x:v>STORE-001</x:v>
      </x:c>
      <x:c r="M437" s="22" t="n">
        <x:v>46056</x:v>
      </x:c>
      <x:c r="N437" t="str">
        <x:v>SKU-020</x:v>
      </x:c>
      <x:c r="O437" t="n">
        <x:v>1</x:v>
      </x:c>
      <x:c r="P437" s="26" t="n">
        <x:f>F437/O437</x:f>
        <x:v>59</x:v>
      </x:c>
    </x:row>
    <x:row r="438">
      <x:c r="A438" t="n">
        <x:v>437</x:v>
      </x:c>
      <x:c r="B438" t="n">
        <x:v>50</x:v>
      </x:c>
      <x:c r="C438" t="str">
        <x:v>Female</x:v>
      </x:c>
      <x:c r="D438" t="str">
        <x:v>Accessories</x:v>
      </x:c>
      <x:c r="E438" t="str">
        <x:v>Sunglasses</x:v>
      </x:c>
      <x:c r="F438" s="24" t="n">
        <x:v>128.95</x:v>
      </x:c>
      <x:c r="G438" t="str">
        <x:v>Autumn</x:v>
      </x:c>
      <x:c r="H438" t="str">
        <x:v>Card</x:v>
      </x:c>
      <x:c r="I438" t="n">
        <x:v>4.3</x:v>
      </x:c>
      <x:c r="J438" t="n">
        <x:v>19</x:v>
      </x:c>
      <x:c r="K438" t="n">
        <x:v>7</x:v>
      </x:c>
      <x:c r="L438" t="str">
        <x:v>STORE-001</x:v>
      </x:c>
      <x:c r="M438" s="22" t="n">
        <x:v>46151</x:v>
      </x:c>
      <x:c r="N438" t="str">
        <x:v>SKU-026</x:v>
      </x:c>
      <x:c r="O438" t="n">
        <x:v>1</x:v>
      </x:c>
      <x:c r="P438" s="26" t="n">
        <x:f>F438/O438</x:f>
        <x:v>128.95</x:v>
      </x:c>
    </x:row>
    <x:row r="439">
      <x:c r="A439" t="n">
        <x:v>438</x:v>
      </x:c>
      <x:c r="B439" t="n">
        <x:v>29</x:v>
      </x:c>
      <x:c r="C439" t="str">
        <x:v>Male</x:v>
      </x:c>
      <x:c r="D439" t="str">
        <x:v>Mens Clothing</x:v>
      </x:c>
      <x:c r="E439" t="str">
        <x:v>T-Shirt</x:v>
      </x:c>
      <x:c r="F439" s="24" t="n">
        <x:v>163.33</x:v>
      </x:c>
      <x:c r="G439" t="str">
        <x:v>Autumn</x:v>
      </x:c>
      <x:c r="H439" t="str">
        <x:v>Card</x:v>
      </x:c>
      <x:c r="I439" t="n">
        <x:v>4.7</x:v>
      </x:c>
      <x:c r="J439" t="n">
        <x:v>27</x:v>
      </x:c>
      <x:c r="K439" t="n">
        <x:v>11</x:v>
      </x:c>
      <x:c r="L439" t="str">
        <x:v>STORE-001</x:v>
      </x:c>
      <x:c r="M439" s="22" t="n">
        <x:v>46122</x:v>
      </x:c>
      <x:c r="N439" t="str">
        <x:v>SKU-027</x:v>
      </x:c>
      <x:c r="O439" t="n">
        <x:v>3</x:v>
      </x:c>
      <x:c r="P439" s="26" t="n">
        <x:f>F439/O439</x:f>
        <x:v>54.443333333333335</x:v>
      </x:c>
    </x:row>
    <x:row r="440">
      <x:c r="A440" t="n">
        <x:v>439</x:v>
      </x:c>
      <x:c r="B440" t="n">
        <x:v>24</x:v>
      </x:c>
      <x:c r="C440" t="str">
        <x:v>Female</x:v>
      </x:c>
      <x:c r="D440" t="str">
        <x:v>Footwear</x:v>
      </x:c>
      <x:c r="E440" t="str">
        <x:v>Sneakers</x:v>
      </x:c>
      <x:c r="F440" s="24" t="n">
        <x:v>42.5</x:v>
      </x:c>
      <x:c r="G440" t="str">
        <x:v>Summer</x:v>
      </x:c>
      <x:c r="H440" t="str">
        <x:v>Card</x:v>
      </x:c>
      <x:c r="I440" t="n">
        <x:v>3.6</x:v>
      </x:c>
      <x:c r="J440" t="n">
        <x:v>18</x:v>
      </x:c>
      <x:c r="K440" t="n">
        <x:v>9</x:v>
      </x:c>
      <x:c r="L440" t="str">
        <x:v>STORE-001</x:v>
      </x:c>
      <x:c r="M440" s="22" t="n">
        <x:v>46057</x:v>
      </x:c>
      <x:c r="N440" t="str">
        <x:v>SKU-025</x:v>
      </x:c>
      <x:c r="O440" t="n">
        <x:v>2</x:v>
      </x:c>
      <x:c r="P440" s="26" t="n">
        <x:f>F440/O440</x:f>
        <x:v>21.25</x:v>
      </x:c>
    </x:row>
    <x:row r="441">
      <x:c r="A441" t="n">
        <x:v>440</x:v>
      </x:c>
      <x:c r="B441" t="n">
        <x:v>57</x:v>
      </x:c>
      <x:c r="C441" t="str">
        <x:v>Male</x:v>
      </x:c>
      <x:c r="D441" t="str">
        <x:v>Mens Clothing</x:v>
      </x:c>
      <x:c r="E441" t="str">
        <x:v>Jacket</x:v>
      </x:c>
      <x:c r="F441" s="24" t="n">
        <x:v>34.25</x:v>
      </x:c>
      <x:c r="G441" t="str">
        <x:v>Summer</x:v>
      </x:c>
      <x:c r="H441" t="str">
        <x:v>Cash on Delivery</x:v>
      </x:c>
      <x:c r="I441" t="n">
        <x:v>4.3</x:v>
      </x:c>
      <x:c r="J441" t="n">
        <x:v>20</x:v>
      </x:c>
      <x:c r="K441" t="n">
        <x:v>10</x:v>
      </x:c>
      <x:c r="L441" t="str">
        <x:v>STORE-001</x:v>
      </x:c>
      <x:c r="M441" s="22" t="n">
        <x:v>46020</x:v>
      </x:c>
      <x:c r="N441" t="str">
        <x:v>SKU-010</x:v>
      </x:c>
      <x:c r="O441" t="n">
        <x:v>1</x:v>
      </x:c>
      <x:c r="P441" s="26" t="n">
        <x:f>F441/O441</x:f>
        <x:v>34.25</x:v>
      </x:c>
    </x:row>
    <x:row r="442">
      <x:c r="A442" t="n">
        <x:v>441</x:v>
      </x:c>
      <x:c r="B442" t="n">
        <x:v>42</x:v>
      </x:c>
      <x:c r="C442" t="str">
        <x:v>Male</x:v>
      </x:c>
      <x:c r="D442" t="str">
        <x:v>Sports</x:v>
      </x:c>
      <x:c r="E442" t="str">
        <x:v>Yoga Mat</x:v>
      </x:c>
      <x:c r="F442" s="24" t="n">
        <x:v>36.03</x:v>
      </x:c>
      <x:c r="G442" t="str">
        <x:v>Summer</x:v>
      </x:c>
      <x:c r="H442" t="str">
        <x:v>Cash on Delivery</x:v>
      </x:c>
      <x:c r="I442" t="n">
        <x:v>4.4</x:v>
      </x:c>
      <x:c r="J442" t="n">
        <x:v>22</x:v>
      </x:c>
      <x:c r="K442" t="n">
        <x:v>6</x:v>
      </x:c>
      <x:c r="L442" t="str">
        <x:v>STORE-001</x:v>
      </x:c>
      <x:c r="M442" s="22" t="n">
        <x:v>46044</x:v>
      </x:c>
      <x:c r="N442" t="str">
        <x:v>SKU-030</x:v>
      </x:c>
      <x:c r="O442" t="n">
        <x:v>2</x:v>
      </x:c>
      <x:c r="P442" s="26" t="n">
        <x:f>F442/O442</x:f>
        <x:v>18.015</x:v>
      </x:c>
    </x:row>
    <x:row r="443">
      <x:c r="A443" t="n">
        <x:v>442</x:v>
      </x:c>
      <x:c r="B443" t="n">
        <x:v>48</x:v>
      </x:c>
      <x:c r="C443" t="str">
        <x:v>Male</x:v>
      </x:c>
      <x:c r="D443" t="str">
        <x:v>Mens Clothing</x:v>
      </x:c>
      <x:c r="E443" t="str">
        <x:v>T-Shirt</x:v>
      </x:c>
      <x:c r="F443" s="24" t="n">
        <x:v>78.25</x:v>
      </x:c>
      <x:c r="G443" t="str">
        <x:v>Winter</x:v>
      </x:c>
      <x:c r="H443" t="str">
        <x:v>Cash on Delivery</x:v>
      </x:c>
      <x:c r="I443" t="n">
        <x:v>3.3</x:v>
      </x:c>
      <x:c r="J443" t="n">
        <x:v>10</x:v>
      </x:c>
      <x:c r="K443" t="n">
        <x:v>5</x:v>
      </x:c>
      <x:c r="L443" t="str">
        <x:v>STORE-001</x:v>
      </x:c>
      <x:c r="M443" s="22" t="n">
        <x:v>46256</x:v>
      </x:c>
      <x:c r="N443" t="str">
        <x:v>SKU-027</x:v>
      </x:c>
      <x:c r="O443" t="n">
        <x:v>2</x:v>
      </x:c>
      <x:c r="P443" s="26" t="n">
        <x:f>F443/O443</x:f>
        <x:v>39.125</x:v>
      </x:c>
    </x:row>
    <x:row r="444">
      <x:c r="A444" t="n">
        <x:v>443</x:v>
      </x:c>
      <x:c r="B444" t="n">
        <x:v>22</x:v>
      </x:c>
      <x:c r="C444" t="str">
        <x:v>Female</x:v>
      </x:c>
      <x:c r="D444" t="str">
        <x:v>Womens Clothing</x:v>
      </x:c>
      <x:c r="E444" t="str">
        <x:v>Dress</x:v>
      </x:c>
      <x:c r="F444" s="24" t="n">
        <x:v>162.85</x:v>
      </x:c>
      <x:c r="G444" t="str">
        <x:v>Winter</x:v>
      </x:c>
      <x:c r="H444" t="str">
        <x:v>Card</x:v>
      </x:c>
      <x:c r="I444" t="n">
        <x:v>3.7</x:v>
      </x:c>
      <x:c r="J444" t="n">
        <x:v>10</x:v>
      </x:c>
      <x:c r="K444" t="n">
        <x:v>5</x:v>
      </x:c>
      <x:c r="L444" t="str">
        <x:v>STORE-001</x:v>
      </x:c>
      <x:c r="M444" s="22" t="n">
        <x:v>46254</x:v>
      </x:c>
      <x:c r="N444" t="str">
        <x:v>SKU-004</x:v>
      </x:c>
      <x:c r="O444" t="n">
        <x:v>1</x:v>
      </x:c>
      <x:c r="P444" s="26" t="n">
        <x:f>F444/O444</x:f>
        <x:v>162.85</x:v>
      </x:c>
    </x:row>
    <x:row r="445">
      <x:c r="A445" t="n">
        <x:v>444</x:v>
      </x:c>
      <x:c r="B445" t="n">
        <x:v>64</x:v>
      </x:c>
      <x:c r="C445" t="str">
        <x:v>Female</x:v>
      </x:c>
      <x:c r="D445" t="str">
        <x:v>Accessories</x:v>
      </x:c>
      <x:c r="E445" t="str">
        <x:v>Wallet</x:v>
      </x:c>
      <x:c r="F445" s="24" t="n">
        <x:v>143.93</x:v>
      </x:c>
      <x:c r="G445" t="str">
        <x:v>Winter</x:v>
      </x:c>
      <x:c r="H445" t="str">
        <x:v>Card</x:v>
      </x:c>
      <x:c r="I445" t="n">
        <x:v>3.3</x:v>
      </x:c>
      <x:c r="J445" t="n">
        <x:v>4</x:v>
      </x:c>
      <x:c r="K445" t="n">
        <x:v>2</x:v>
      </x:c>
      <x:c r="L445" t="str">
        <x:v>STORE-001</x:v>
      </x:c>
      <x:c r="M445" s="22" t="n">
        <x:v>46195</x:v>
      </x:c>
      <x:c r="N445" t="str">
        <x:v>SKU-029</x:v>
      </x:c>
      <x:c r="O445" t="n">
        <x:v>2</x:v>
      </x:c>
      <x:c r="P445" s="26" t="n">
        <x:f>F445/O445</x:f>
        <x:v>71.965</x:v>
      </x:c>
    </x:row>
    <x:row r="446">
      <x:c r="A446" t="n">
        <x:v>445</x:v>
      </x:c>
      <x:c r="B446" t="n">
        <x:v>43</x:v>
      </x:c>
      <x:c r="C446" t="str">
        <x:v>Male</x:v>
      </x:c>
      <x:c r="D446" t="str">
        <x:v>Sports</x:v>
      </x:c>
      <x:c r="E446" t="str">
        <x:v>Dumbbells</x:v>
      </x:c>
      <x:c r="F446" s="24" t="n">
        <x:v>170.33</x:v>
      </x:c>
      <x:c r="G446" t="str">
        <x:v>Autumn</x:v>
      </x:c>
      <x:c r="H446" t="str">
        <x:v>Card</x:v>
      </x:c>
      <x:c r="I446" t="n">
        <x:v>3.8</x:v>
      </x:c>
      <x:c r="J446" t="n">
        <x:v>20</x:v>
      </x:c>
      <x:c r="K446" t="n">
        <x:v>5</x:v>
      </x:c>
      <x:c r="L446" t="str">
        <x:v>STORE-001</x:v>
      </x:c>
      <x:c r="M446" s="22" t="n">
        <x:v>46092</x:v>
      </x:c>
      <x:c r="N446" t="str">
        <x:v>SKU-005</x:v>
      </x:c>
      <x:c r="O446" t="n">
        <x:v>1</x:v>
      </x:c>
      <x:c r="P446" s="26" t="n">
        <x:f>F446/O446</x:f>
        <x:v>170.33</x:v>
      </x:c>
    </x:row>
    <x:row r="447">
      <x:c r="A447" t="n">
        <x:v>446</x:v>
      </x:c>
      <x:c r="B447" t="n">
        <x:v>26</x:v>
      </x:c>
      <x:c r="C447" t="str">
        <x:v>Male</x:v>
      </x:c>
      <x:c r="D447" t="str">
        <x:v>Electronics</x:v>
      </x:c>
      <x:c r="E447" t="str">
        <x:v>Smart Watch</x:v>
      </x:c>
      <x:c r="F447" s="24" t="n">
        <x:v>2141.41</x:v>
      </x:c>
      <x:c r="G447" t="str">
        <x:v>Spring</x:v>
      </x:c>
      <x:c r="H447" t="str">
        <x:v>Card</x:v>
      </x:c>
      <x:c r="I447" t="n">
        <x:v>4.8</x:v>
      </x:c>
      <x:c r="J447" t="n">
        <x:v>19</x:v>
      </x:c>
      <x:c r="K447" t="n">
        <x:v>7</x:v>
      </x:c>
      <x:c r="L447" t="str">
        <x:v>STORE-001</x:v>
      </x:c>
      <x:c r="M447" s="22" t="n">
        <x:v>45961</x:v>
      </x:c>
      <x:c r="N447" t="str">
        <x:v>SKU-023</x:v>
      </x:c>
      <x:c r="O447" t="n">
        <x:v>1</x:v>
      </x:c>
      <x:c r="P447" s="26" t="n">
        <x:f>F447/O447</x:f>
        <x:v>2141.41</x:v>
      </x:c>
    </x:row>
    <x:row r="448">
      <x:c r="A448" t="n">
        <x:v>447</x:v>
      </x:c>
      <x:c r="B448" t="n">
        <x:v>55</x:v>
      </x:c>
      <x:c r="C448" t="str">
        <x:v>Male</x:v>
      </x:c>
      <x:c r="D448" t="str">
        <x:v>Sports</x:v>
      </x:c>
      <x:c r="E448" t="str">
        <x:v>Yoga Mat</x:v>
      </x:c>
      <x:c r="F448" s="24" t="n">
        <x:v>140.48</x:v>
      </x:c>
      <x:c r="G448" t="str">
        <x:v>Autumn</x:v>
      </x:c>
      <x:c r="H448" t="str">
        <x:v>Card</x:v>
      </x:c>
      <x:c r="I448" t="n">
        <x:v>2.8</x:v>
      </x:c>
      <x:c r="J448" t="n">
        <x:v>12</x:v>
      </x:c>
      <x:c r="K448" t="n">
        <x:v>6</x:v>
      </x:c>
      <x:c r="L448" t="str">
        <x:v>STORE-001</x:v>
      </x:c>
      <x:c r="M448" s="22" t="n">
        <x:v>46110</x:v>
      </x:c>
      <x:c r="N448" t="str">
        <x:v>SKU-030</x:v>
      </x:c>
      <x:c r="O448" t="n">
        <x:v>1</x:v>
      </x:c>
      <x:c r="P448" s="26" t="n">
        <x:f>F448/O448</x:f>
        <x:v>140.48</x:v>
      </x:c>
    </x:row>
    <x:row r="449">
      <x:c r="A449" t="n">
        <x:v>448</x:v>
      </x:c>
      <x:c r="B449" t="n">
        <x:v>63</x:v>
      </x:c>
      <x:c r="C449" t="str">
        <x:v>Male</x:v>
      </x:c>
      <x:c r="D449" t="str">
        <x:v>Groceries</x:v>
      </x:c>
      <x:c r="E449" t="str">
        <x:v>Cooking Oil</x:v>
      </x:c>
      <x:c r="F449" s="24" t="n">
        <x:v>17.91</x:v>
      </x:c>
      <x:c r="G449" t="str">
        <x:v>Autumn</x:v>
      </x:c>
      <x:c r="H449" t="str">
        <x:v>Cash on Delivery</x:v>
      </x:c>
      <x:c r="I449" t="n">
        <x:v>3.3</x:v>
      </x:c>
      <x:c r="J449" t="n">
        <x:v>13</x:v>
      </x:c>
      <x:c r="K449" t="n">
        <x:v>4</x:v>
      </x:c>
      <x:c r="L449" t="str">
        <x:v>STORE-001</x:v>
      </x:c>
      <x:c r="M449" s="22" t="n">
        <x:v>46165</x:v>
      </x:c>
      <x:c r="N449" t="str">
        <x:v>SKU-002</x:v>
      </x:c>
      <x:c r="O449" t="n">
        <x:v>2</x:v>
      </x:c>
      <x:c r="P449" s="26" t="n">
        <x:f>F449/O449</x:f>
        <x:v>8.955</x:v>
      </x:c>
    </x:row>
    <x:row r="450">
      <x:c r="A450" t="n">
        <x:v>449</x:v>
      </x:c>
      <x:c r="B450" t="n">
        <x:v>65</x:v>
      </x:c>
      <x:c r="C450" t="str">
        <x:v>Female</x:v>
      </x:c>
      <x:c r="D450" t="str">
        <x:v>Accessories</x:v>
      </x:c>
      <x:c r="E450" t="str">
        <x:v>Wallet</x:v>
      </x:c>
      <x:c r="F450" s="24" t="n">
        <x:v>129.87</x:v>
      </x:c>
      <x:c r="G450" t="str">
        <x:v>Summer</x:v>
      </x:c>
      <x:c r="H450" t="str">
        <x:v>Card</x:v>
      </x:c>
      <x:c r="I450" t="n">
        <x:v>2.5</x:v>
      </x:c>
      <x:c r="J450" t="n">
        <x:v>10</x:v>
      </x:c>
      <x:c r="K450" t="n">
        <x:v>5</x:v>
      </x:c>
      <x:c r="L450" t="str">
        <x:v>STORE-001</x:v>
      </x:c>
      <x:c r="M450" s="22" t="n">
        <x:v>46023</x:v>
      </x:c>
      <x:c r="N450" t="str">
        <x:v>SKU-029</x:v>
      </x:c>
      <x:c r="O450" t="n">
        <x:v>4</x:v>
      </x:c>
      <x:c r="P450" s="26" t="n">
        <x:f>F450/O450</x:f>
        <x:v>32.4675</x:v>
      </x:c>
    </x:row>
    <x:row r="451">
      <x:c r="A451" t="n">
        <x:v>450</x:v>
      </x:c>
      <x:c r="B451" t="n">
        <x:v>24</x:v>
      </x:c>
      <x:c r="C451" t="str">
        <x:v>Male</x:v>
      </x:c>
      <x:c r="D451" t="str">
        <x:v>Home</x:v>
      </x:c>
      <x:c r="E451" t="str">
        <x:v>Kitchen Set</x:v>
      </x:c>
      <x:c r="F451" s="24" t="n">
        <x:v>77.19</x:v>
      </x:c>
      <x:c r="G451" t="str">
        <x:v>Winter</x:v>
      </x:c>
      <x:c r="H451" t="str">
        <x:v>Card</x:v>
      </x:c>
      <x:c r="I451" t="n">
        <x:v>2.3</x:v>
      </x:c>
      <x:c r="J451" t="n">
        <x:v>8</x:v>
      </x:c>
      <x:c r="K451" t="n">
        <x:v>4</x:v>
      </x:c>
      <x:c r="L451" t="str">
        <x:v>STORE-001</x:v>
      </x:c>
      <x:c r="M451" s="22" t="n">
        <x:v>46184</x:v>
      </x:c>
      <x:c r="N451" t="str">
        <x:v>SKU-012</x:v>
      </x:c>
      <x:c r="O451" t="n">
        <x:v>2</x:v>
      </x:c>
      <x:c r="P451" s="26" t="n">
        <x:f>F451/O451</x:f>
        <x:v>38.595</x:v>
      </x:c>
    </x:row>
    <x:row r="452">
      <x:c r="A452" t="n">
        <x:v>451</x:v>
      </x:c>
      <x:c r="B452" t="n">
        <x:v>69</x:v>
      </x:c>
      <x:c r="C452" t="str">
        <x:v>Female</x:v>
      </x:c>
      <x:c r="D452" t="str">
        <x:v>Womens Clothing</x:v>
      </x:c>
      <x:c r="E452" t="str">
        <x:v>Jeans</x:v>
      </x:c>
      <x:c r="F452" s="24" t="n">
        <x:v>164.53</x:v>
      </x:c>
      <x:c r="G452" t="str">
        <x:v>Spring</x:v>
      </x:c>
      <x:c r="H452" t="str">
        <x:v>Card</x:v>
      </x:c>
      <x:c r="I452" t="n">
        <x:v>3.7</x:v>
      </x:c>
      <x:c r="J452" t="n">
        <x:v>19</x:v>
      </x:c>
      <x:c r="K452" t="n">
        <x:v>7</x:v>
      </x:c>
      <x:c r="L452" t="str">
        <x:v>STORE-001</x:v>
      </x:c>
      <x:c r="M452" s="22" t="n">
        <x:v>46284</x:v>
      </x:c>
      <x:c r="N452" t="str">
        <x:v>SKU-011</x:v>
      </x:c>
      <x:c r="O452" t="n">
        <x:v>1</x:v>
      </x:c>
      <x:c r="P452" s="26" t="n">
        <x:f>F452/O452</x:f>
        <x:v>164.53</x:v>
      </x:c>
    </x:row>
    <x:row r="453">
      <x:c r="A453" t="n">
        <x:v>452</x:v>
      </x:c>
      <x:c r="B453" t="n">
        <x:v>67</x:v>
      </x:c>
      <x:c r="C453" t="str">
        <x:v>Male</x:v>
      </x:c>
      <x:c r="D453" t="str">
        <x:v>Electronics</x:v>
      </x:c>
      <x:c r="E453" t="str">
        <x:v>Smart Watch</x:v>
      </x:c>
      <x:c r="F453" s="24" t="n">
        <x:v>1534.27</x:v>
      </x:c>
      <x:c r="G453" t="str">
        <x:v>Summer</x:v>
      </x:c>
      <x:c r="H453" t="str">
        <x:v>Card</x:v>
      </x:c>
      <x:c r="I453" t="n">
        <x:v>4</x:v>
      </x:c>
      <x:c r="J453" t="n">
        <x:v>8</x:v>
      </x:c>
      <x:c r="K453" t="n">
        <x:v>4</x:v>
      </x:c>
      <x:c r="L453" t="str">
        <x:v>STORE-001</x:v>
      </x:c>
      <x:c r="M453" s="22" t="n">
        <x:v>46032</x:v>
      </x:c>
      <x:c r="N453" t="str">
        <x:v>SKU-023</x:v>
      </x:c>
      <x:c r="O453" t="n">
        <x:v>1</x:v>
      </x:c>
      <x:c r="P453" s="26" t="n">
        <x:f>F453/O453</x:f>
        <x:v>1534.27</x:v>
      </x:c>
    </x:row>
    <x:row r="454">
      <x:c r="A454" t="n">
        <x:v>453</x:v>
      </x:c>
      <x:c r="B454" t="n">
        <x:v>64</x:v>
      </x:c>
      <x:c r="C454" t="str">
        <x:v>Male</x:v>
      </x:c>
      <x:c r="D454" t="str">
        <x:v>Groceries</x:v>
      </x:c>
      <x:c r="E454" t="str">
        <x:v>Cooking Oil</x:v>
      </x:c>
      <x:c r="F454" s="24" t="n">
        <x:v>44.13</x:v>
      </x:c>
      <x:c r="G454" t="str">
        <x:v>Summer</x:v>
      </x:c>
      <x:c r="H454" t="str">
        <x:v>Card</x:v>
      </x:c>
      <x:c r="I454" t="n">
        <x:v>3.8</x:v>
      </x:c>
      <x:c r="J454" t="n">
        <x:v>13</x:v>
      </x:c>
      <x:c r="K454" t="n">
        <x:v>4</x:v>
      </x:c>
      <x:c r="L454" t="str">
        <x:v>STORE-001</x:v>
      </x:c>
      <x:c r="M454" s="22" t="n">
        <x:v>46007</x:v>
      </x:c>
      <x:c r="N454" t="str">
        <x:v>SKU-002</x:v>
      </x:c>
      <x:c r="O454" t="n">
        <x:v>2</x:v>
      </x:c>
      <x:c r="P454" s="26" t="n">
        <x:f>F454/O454</x:f>
        <x:v>22.065</x:v>
      </x:c>
    </x:row>
    <x:row r="455">
      <x:c r="A455" t="n">
        <x:v>454</x:v>
      </x:c>
      <x:c r="B455" t="n">
        <x:v>32</x:v>
      </x:c>
      <x:c r="C455" t="str">
        <x:v>Male</x:v>
      </x:c>
      <x:c r="D455" t="str">
        <x:v>Footwear</x:v>
      </x:c>
      <x:c r="E455" t="str">
        <x:v>Sandals</x:v>
      </x:c>
      <x:c r="F455" s="24" t="n">
        <x:v>99.11</x:v>
      </x:c>
      <x:c r="G455" t="str">
        <x:v>Summer</x:v>
      </x:c>
      <x:c r="H455" t="str">
        <x:v>Cash on Delivery</x:v>
      </x:c>
      <x:c r="I455" t="n">
        <x:v>3.8</x:v>
      </x:c>
      <x:c r="J455" t="n">
        <x:v>12</x:v>
      </x:c>
      <x:c r="K455" t="n">
        <x:v>1</x:v>
      </x:c>
      <x:c r="L455" t="str">
        <x:v>STORE-001</x:v>
      </x:c>
      <x:c r="M455" s="22" t="n">
        <x:v>46029</x:v>
      </x:c>
      <x:c r="N455" t="str">
        <x:v>SKU-019</x:v>
      </x:c>
      <x:c r="O455" t="n">
        <x:v>1</x:v>
      </x:c>
      <x:c r="P455" s="26" t="n">
        <x:f>F455/O455</x:f>
        <x:v>99.11</x:v>
      </x:c>
    </x:row>
    <x:row r="456">
      <x:c r="A456" t="n">
        <x:v>455</x:v>
      </x:c>
      <x:c r="B456" t="n">
        <x:v>21</x:v>
      </x:c>
      <x:c r="C456" t="str">
        <x:v>Female</x:v>
      </x:c>
      <x:c r="D456" t="str">
        <x:v>Womens Clothing</x:v>
      </x:c>
      <x:c r="E456" t="str">
        <x:v>Dress</x:v>
      </x:c>
      <x:c r="F456" s="24" t="n">
        <x:v>105.8</x:v>
      </x:c>
      <x:c r="G456" t="str">
        <x:v>Summer</x:v>
      </x:c>
      <x:c r="H456" t="str">
        <x:v>Card</x:v>
      </x:c>
      <x:c r="I456" t="n">
        <x:v>2.6</x:v>
      </x:c>
      <x:c r="J456" t="n">
        <x:v>15</x:v>
      </x:c>
      <x:c r="K456" t="n">
        <x:v>5</x:v>
      </x:c>
      <x:c r="L456" t="str">
        <x:v>STORE-001</x:v>
      </x:c>
      <x:c r="M456" s="22" t="n">
        <x:v>46022</x:v>
      </x:c>
      <x:c r="N456" t="str">
        <x:v>SKU-004</x:v>
      </x:c>
      <x:c r="O456" t="n">
        <x:v>1</x:v>
      </x:c>
      <x:c r="P456" s="26" t="n">
        <x:f>F456/O456</x:f>
        <x:v>105.8</x:v>
      </x:c>
    </x:row>
    <x:row r="457">
      <x:c r="A457" t="n">
        <x:v>456</x:v>
      </x:c>
      <x:c r="B457" t="n">
        <x:v>45</x:v>
      </x:c>
      <x:c r="C457" t="str">
        <x:v>Male</x:v>
      </x:c>
      <x:c r="D457" t="str">
        <x:v>Electronics</x:v>
      </x:c>
      <x:c r="E457" t="str">
        <x:v>Mobile Phone</x:v>
      </x:c>
      <x:c r="F457" s="24" t="n">
        <x:v>2490.98</x:v>
      </x:c>
      <x:c r="G457" t="str">
        <x:v>Autumn</x:v>
      </x:c>
      <x:c r="H457" t="str">
        <x:v>Card</x:v>
      </x:c>
      <x:c r="I457" t="n">
        <x:v>4.3</x:v>
      </x:c>
      <x:c r="J457" t="n">
        <x:v>17</x:v>
      </x:c>
      <x:c r="K457" t="n">
        <x:v>6</x:v>
      </x:c>
      <x:c r="L457" t="str">
        <x:v>STORE-001</x:v>
      </x:c>
      <x:c r="M457" s="22" t="n">
        <x:v>46091</x:v>
      </x:c>
      <x:c r="N457" t="str">
        <x:v>SKU-016</x:v>
      </x:c>
      <x:c r="O457" t="n">
        <x:v>1</x:v>
      </x:c>
      <x:c r="P457" s="26" t="n">
        <x:f>F457/O457</x:f>
        <x:v>2490.98</x:v>
      </x:c>
    </x:row>
    <x:row r="458">
      <x:c r="A458" t="n">
        <x:v>457</x:v>
      </x:c>
      <x:c r="B458" t="n">
        <x:v>41</x:v>
      </x:c>
      <x:c r="C458" t="str">
        <x:v>Male</x:v>
      </x:c>
      <x:c r="D458" t="str">
        <x:v>Mens Clothing</x:v>
      </x:c>
      <x:c r="E458" t="str">
        <x:v>Jacket</x:v>
      </x:c>
      <x:c r="F458" s="24" t="n">
        <x:v>155.13</x:v>
      </x:c>
      <x:c r="G458" t="str">
        <x:v>Autumn</x:v>
      </x:c>
      <x:c r="H458" t="str">
        <x:v>Card</x:v>
      </x:c>
      <x:c r="I458" t="n">
        <x:v>3.2</x:v>
      </x:c>
      <x:c r="J458" t="n">
        <x:v>24</x:v>
      </x:c>
      <x:c r="K458" t="n">
        <x:v>7</x:v>
      </x:c>
      <x:c r="L458" t="str">
        <x:v>STORE-001</x:v>
      </x:c>
      <x:c r="M458" s="22" t="n">
        <x:v>46151</x:v>
      </x:c>
      <x:c r="N458" t="str">
        <x:v>SKU-010</x:v>
      </x:c>
      <x:c r="O458" t="n">
        <x:v>1</x:v>
      </x:c>
      <x:c r="P458" s="26" t="n">
        <x:f>F458/O458</x:f>
        <x:v>155.13</x:v>
      </x:c>
    </x:row>
    <x:row r="459">
      <x:c r="A459" t="n">
        <x:v>458</x:v>
      </x:c>
      <x:c r="B459" t="n">
        <x:v>69</x:v>
      </x:c>
      <x:c r="C459" t="str">
        <x:v>Female</x:v>
      </x:c>
      <x:c r="D459" t="str">
        <x:v>Footwear</x:v>
      </x:c>
      <x:c r="E459" t="str">
        <x:v>Sneakers</x:v>
      </x:c>
      <x:c r="F459" s="24" t="n">
        <x:v>70.56</x:v>
      </x:c>
      <x:c r="G459" t="str">
        <x:v>Winter</x:v>
      </x:c>
      <x:c r="H459" t="str">
        <x:v>Cash on Delivery</x:v>
      </x:c>
      <x:c r="I459" t="n">
        <x:v>5</x:v>
      </x:c>
      <x:c r="J459" t="n">
        <x:v>15</x:v>
      </x:c>
      <x:c r="K459" t="n">
        <x:v>5</x:v>
      </x:c>
      <x:c r="L459" t="str">
        <x:v>STORE-001</x:v>
      </x:c>
      <x:c r="M459" s="22" t="n">
        <x:v>46251</x:v>
      </x:c>
      <x:c r="N459" t="str">
        <x:v>SKU-025</x:v>
      </x:c>
      <x:c r="O459" t="n">
        <x:v>3</x:v>
      </x:c>
      <x:c r="P459" s="26" t="n">
        <x:f>F459/O459</x:f>
        <x:v>23.52</x:v>
      </x:c>
    </x:row>
    <x:row r="460">
      <x:c r="A460" t="n">
        <x:v>459</x:v>
      </x:c>
      <x:c r="B460" t="n">
        <x:v>24</x:v>
      </x:c>
      <x:c r="C460" t="str">
        <x:v>Male</x:v>
      </x:c>
      <x:c r="D460" t="str">
        <x:v>Mens Clothing</x:v>
      </x:c>
      <x:c r="E460" t="str">
        <x:v>Jacket</x:v>
      </x:c>
      <x:c r="F460" s="24" t="n">
        <x:v>177.39</x:v>
      </x:c>
      <x:c r="G460" t="str">
        <x:v>Winter</x:v>
      </x:c>
      <x:c r="H460" t="str">
        <x:v>Card</x:v>
      </x:c>
      <x:c r="I460" t="n">
        <x:v>1.9</x:v>
      </x:c>
      <x:c r="J460" t="n">
        <x:v>20</x:v>
      </x:c>
      <x:c r="K460" t="n">
        <x:v>5</x:v>
      </x:c>
      <x:c r="L460" t="str">
        <x:v>STORE-001</x:v>
      </x:c>
      <x:c r="M460" s="22" t="n">
        <x:v>46176</x:v>
      </x:c>
      <x:c r="N460" t="str">
        <x:v>SKU-010</x:v>
      </x:c>
      <x:c r="O460" t="n">
        <x:v>1</x:v>
      </x:c>
      <x:c r="P460" s="26" t="n">
        <x:f>F460/O460</x:f>
        <x:v>177.39</x:v>
      </x:c>
    </x:row>
    <x:row r="461">
      <x:c r="A461" t="n">
        <x:v>460</x:v>
      </x:c>
      <x:c r="B461" t="n">
        <x:v>57</x:v>
      </x:c>
      <x:c r="C461" t="str">
        <x:v>Female</x:v>
      </x:c>
      <x:c r="D461" t="str">
        <x:v>Womens Clothing</x:v>
      </x:c>
      <x:c r="E461" t="str">
        <x:v>Top</x:v>
      </x:c>
      <x:c r="F461" s="24" t="n">
        <x:v>106.69</x:v>
      </x:c>
      <x:c r="G461" t="str">
        <x:v>Spring</x:v>
      </x:c>
      <x:c r="H461" t="str">
        <x:v>Card</x:v>
      </x:c>
      <x:c r="I461" t="n">
        <x:v>4.1</x:v>
      </x:c>
      <x:c r="J461" t="n">
        <x:v>15</x:v>
      </x:c>
      <x:c r="K461" t="n">
        <x:v>5</x:v>
      </x:c>
      <x:c r="L461" t="str">
        <x:v>STORE-001</x:v>
      </x:c>
      <x:c r="M461" s="22" t="n">
        <x:v>45956</x:v>
      </x:c>
      <x:c r="N461" t="str">
        <x:v>SKU-028</x:v>
      </x:c>
      <x:c r="O461" t="n">
        <x:v>1</x:v>
      </x:c>
      <x:c r="P461" s="26" t="n">
        <x:f>F461/O461</x:f>
        <x:v>106.69</x:v>
      </x:c>
    </x:row>
    <x:row r="462">
      <x:c r="A462" t="n">
        <x:v>461</x:v>
      </x:c>
      <x:c r="B462" t="n">
        <x:v>41</x:v>
      </x:c>
      <x:c r="C462" t="str">
        <x:v>Female</x:v>
      </x:c>
      <x:c r="D462" t="str">
        <x:v>Accessories</x:v>
      </x:c>
      <x:c r="E462" t="str">
        <x:v>Sunglasses</x:v>
      </x:c>
      <x:c r="F462" s="24" t="n">
        <x:v>121.93</x:v>
      </x:c>
      <x:c r="G462" t="str">
        <x:v>Spring</x:v>
      </x:c>
      <x:c r="H462" t="str">
        <x:v>Card</x:v>
      </x:c>
      <x:c r="I462" t="n">
        <x:v>3.5</x:v>
      </x:c>
      <x:c r="J462" t="n">
        <x:v>20</x:v>
      </x:c>
      <x:c r="K462" t="n">
        <x:v>5</x:v>
      </x:c>
      <x:c r="L462" t="str">
        <x:v>STORE-001</x:v>
      </x:c>
      <x:c r="M462" s="22" t="n">
        <x:v>45954</x:v>
      </x:c>
      <x:c r="N462" t="str">
        <x:v>SKU-026</x:v>
      </x:c>
      <x:c r="O462" t="n">
        <x:v>1</x:v>
      </x:c>
      <x:c r="P462" s="26" t="n">
        <x:f>F462/O462</x:f>
        <x:v>121.93</x:v>
      </x:c>
    </x:row>
    <x:row r="463">
      <x:c r="A463" t="n">
        <x:v>462</x:v>
      </x:c>
      <x:c r="B463" t="n">
        <x:v>44</x:v>
      </x:c>
      <x:c r="C463" t="str">
        <x:v>Male</x:v>
      </x:c>
      <x:c r="D463" t="str">
        <x:v>Mens Clothing</x:v>
      </x:c>
      <x:c r="E463" t="str">
        <x:v>Jeans</x:v>
      </x:c>
      <x:c r="F463" s="24" t="n">
        <x:v>51.29</x:v>
      </x:c>
      <x:c r="G463" t="str">
        <x:v>Summer</x:v>
      </x:c>
      <x:c r="H463" t="str">
        <x:v>Card</x:v>
      </x:c>
      <x:c r="I463" t="n">
        <x:v>3.3</x:v>
      </x:c>
      <x:c r="J463" t="n">
        <x:v>6</x:v>
      </x:c>
      <x:c r="K463" t="n">
        <x:v>3</x:v>
      </x:c>
      <x:c r="L463" t="str">
        <x:v>STORE-001</x:v>
      </x:c>
      <x:c r="M463" s="22" t="n">
        <x:v>46021</x:v>
      </x:c>
      <x:c r="N463" t="str">
        <x:v>SKU-011</x:v>
      </x:c>
      <x:c r="O463" t="n">
        <x:v>2</x:v>
      </x:c>
      <x:c r="P463" s="26" t="n">
        <x:f>F463/O463</x:f>
        <x:v>25.645</x:v>
      </x:c>
    </x:row>
    <x:row r="464">
      <x:c r="A464" t="n">
        <x:v>463</x:v>
      </x:c>
      <x:c r="B464" t="n">
        <x:v>37</x:v>
      </x:c>
      <x:c r="C464" t="str">
        <x:v>Male</x:v>
      </x:c>
      <x:c r="D464" t="str">
        <x:v>Sports</x:v>
      </x:c>
      <x:c r="E464" t="str">
        <x:v>Football</x:v>
      </x:c>
      <x:c r="F464" s="24" t="n">
        <x:v>242.01</x:v>
      </x:c>
      <x:c r="G464" t="str">
        <x:v>Autumn</x:v>
      </x:c>
      <x:c r="H464" t="str">
        <x:v>Card</x:v>
      </x:c>
      <x:c r="I464" t="n">
        <x:v>2.8</x:v>
      </x:c>
      <x:c r="J464" t="n">
        <x:v>6</x:v>
      </x:c>
      <x:c r="K464" t="n">
        <x:v>3</x:v>
      </x:c>
      <x:c r="L464" t="str">
        <x:v>STORE-001</x:v>
      </x:c>
      <x:c r="M464" s="22" t="n">
        <x:v>46115</x:v>
      </x:c>
      <x:c r="N464" t="str">
        <x:v>SKU-006</x:v>
      </x:c>
      <x:c r="O464" t="n">
        <x:v>3</x:v>
      </x:c>
      <x:c r="P464" s="26" t="n">
        <x:f>F464/O464</x:f>
        <x:v>80.67</x:v>
      </x:c>
    </x:row>
    <x:row r="465">
      <x:c r="A465" t="n">
        <x:v>464</x:v>
      </x:c>
      <x:c r="B465" t="n">
        <x:v>43</x:v>
      </x:c>
      <x:c r="C465" t="str">
        <x:v>Male</x:v>
      </x:c>
      <x:c r="D465" t="str">
        <x:v>Footwear</x:v>
      </x:c>
      <x:c r="E465" t="str">
        <x:v>Sandals</x:v>
      </x:c>
      <x:c r="F465" s="24" t="n">
        <x:v>208.11</x:v>
      </x:c>
      <x:c r="G465" t="str">
        <x:v>Summer</x:v>
      </x:c>
      <x:c r="H465" t="str">
        <x:v>Card</x:v>
      </x:c>
      <x:c r="I465" t="n">
        <x:v>3.1</x:v>
      </x:c>
      <x:c r="J465" t="n">
        <x:v>6</x:v>
      </x:c>
      <x:c r="K465" t="n">
        <x:v>3</x:v>
      </x:c>
      <x:c r="L465" t="str">
        <x:v>STORE-001</x:v>
      </x:c>
      <x:c r="M465" s="22" t="n">
        <x:v>46073</x:v>
      </x:c>
      <x:c r="N465" t="str">
        <x:v>SKU-019</x:v>
      </x:c>
      <x:c r="O465" t="n">
        <x:v>1</x:v>
      </x:c>
      <x:c r="P465" s="26" t="n">
        <x:f>F465/O465</x:f>
        <x:v>208.11</x:v>
      </x:c>
    </x:row>
    <x:row r="466">
      <x:c r="A466" t="n">
        <x:v>465</x:v>
      </x:c>
      <x:c r="B466" t="n">
        <x:v>35</x:v>
      </x:c>
      <x:c r="C466" t="str">
        <x:v>Female</x:v>
      </x:c>
      <x:c r="D466" t="str">
        <x:v>Sports</x:v>
      </x:c>
      <x:c r="E466" t="str">
        <x:v>Yoga Mat</x:v>
      </x:c>
      <x:c r="F466" s="24" t="n">
        <x:v>85.49</x:v>
      </x:c>
      <x:c r="G466" t="str">
        <x:v>Spring</x:v>
      </x:c>
      <x:c r="H466" t="str">
        <x:v>Card</x:v>
      </x:c>
      <x:c r="I466" t="n">
        <x:v>2.7</x:v>
      </x:c>
      <x:c r="J466" t="n">
        <x:v>12</x:v>
      </x:c>
      <x:c r="K466" t="n">
        <x:v>6</x:v>
      </x:c>
      <x:c r="L466" t="str">
        <x:v>STORE-001</x:v>
      </x:c>
      <x:c r="M466" s="22" t="n">
        <x:v>45981</x:v>
      </x:c>
      <x:c r="N466" t="str">
        <x:v>SKU-030</x:v>
      </x:c>
      <x:c r="O466" t="n">
        <x:v>1</x:v>
      </x:c>
      <x:c r="P466" s="26" t="n">
        <x:f>F466/O466</x:f>
        <x:v>85.49</x:v>
      </x:c>
    </x:row>
    <x:row r="467">
      <x:c r="A467" t="n">
        <x:v>466</x:v>
      </x:c>
      <x:c r="B467" t="n">
        <x:v>42</x:v>
      </x:c>
      <x:c r="C467" t="str">
        <x:v>Male</x:v>
      </x:c>
      <x:c r="D467" t="str">
        <x:v>Electronics</x:v>
      </x:c>
      <x:c r="E467" t="str">
        <x:v>Headphones</x:v>
      </x:c>
      <x:c r="F467" s="24" t="n">
        <x:v>2867.88</x:v>
      </x:c>
      <x:c r="G467" t="str">
        <x:v>Spring</x:v>
      </x:c>
      <x:c r="H467" t="str">
        <x:v>Card</x:v>
      </x:c>
      <x:c r="I467" t="n">
        <x:v>4.6</x:v>
      </x:c>
      <x:c r="J467" t="n">
        <x:v>21</x:v>
      </x:c>
      <x:c r="K467" t="n">
        <x:v>8</x:v>
      </x:c>
      <x:c r="L467" t="str">
        <x:v>STORE-001</x:v>
      </x:c>
      <x:c r="M467" s="22" t="n">
        <x:v>46281</x:v>
      </x:c>
      <x:c r="N467" t="str">
        <x:v>SKU-009</x:v>
      </x:c>
      <x:c r="O467" t="n">
        <x:v>2</x:v>
      </x:c>
      <x:c r="P467" s="26" t="n">
        <x:f>F467/O467</x:f>
        <x:v>1433.94</x:v>
      </x:c>
    </x:row>
    <x:row r="468">
      <x:c r="A468" t="n">
        <x:v>467</x:v>
      </x:c>
      <x:c r="B468" t="n">
        <x:v>42</x:v>
      </x:c>
      <x:c r="C468" t="str">
        <x:v>Female</x:v>
      </x:c>
      <x:c r="D468" t="str">
        <x:v>Groceries</x:v>
      </x:c>
      <x:c r="E468" t="str">
        <x:v>Snacks</x:v>
      </x:c>
      <x:c r="F468" s="24" t="n">
        <x:v>18.72</x:v>
      </x:c>
      <x:c r="G468" t="str">
        <x:v>Spring</x:v>
      </x:c>
      <x:c r="H468" t="str">
        <x:v>Card</x:v>
      </x:c>
      <x:c r="I468" t="n">
        <x:v>3.8</x:v>
      </x:c>
      <x:c r="J468" t="n">
        <x:v>14</x:v>
      </x:c>
      <x:c r="K468" t="n">
        <x:v>7</x:v>
      </x:c>
      <x:c r="L468" t="str">
        <x:v>STORE-001</x:v>
      </x:c>
      <x:c r="M468" s="22" t="n">
        <x:v>46270</x:v>
      </x:c>
      <x:c r="N468" t="str">
        <x:v>SKU-024</x:v>
      </x:c>
      <x:c r="O468" t="n">
        <x:v>2</x:v>
      </x:c>
      <x:c r="P468" s="26" t="n">
        <x:f>F468/O468</x:f>
        <x:v>9.36</x:v>
      </x:c>
    </x:row>
    <x:row r="469">
      <x:c r="A469" t="n">
        <x:v>468</x:v>
      </x:c>
      <x:c r="B469" t="n">
        <x:v>58</x:v>
      </x:c>
      <x:c r="C469" t="str">
        <x:v>Male</x:v>
      </x:c>
      <x:c r="D469" t="str">
        <x:v>Electronics</x:v>
      </x:c>
      <x:c r="E469" t="str">
        <x:v>Smart Watch</x:v>
      </x:c>
      <x:c r="F469" s="24" t="n">
        <x:v>1855.04</x:v>
      </x:c>
      <x:c r="G469" t="str">
        <x:v>Spring</x:v>
      </x:c>
      <x:c r="H469" t="str">
        <x:v>Card</x:v>
      </x:c>
      <x:c r="I469" t="n">
        <x:v>3.6</x:v>
      </x:c>
      <x:c r="J469" t="n">
        <x:v>13</x:v>
      </x:c>
      <x:c r="K469" t="n">
        <x:v>4</x:v>
      </x:c>
      <x:c r="L469" t="str">
        <x:v>STORE-001</x:v>
      </x:c>
      <x:c r="M469" s="22" t="n">
        <x:v>46271</x:v>
      </x:c>
      <x:c r="N469" t="str">
        <x:v>SKU-023</x:v>
      </x:c>
      <x:c r="O469" t="n">
        <x:v>1</x:v>
      </x:c>
      <x:c r="P469" s="26" t="n">
        <x:f>F469/O469</x:f>
        <x:v>1855.04</x:v>
      </x:c>
    </x:row>
    <x:row r="470">
      <x:c r="A470" t="n">
        <x:v>469</x:v>
      </x:c>
      <x:c r="B470" t="n">
        <x:v>60</x:v>
      </x:c>
      <x:c r="C470" t="str">
        <x:v>Male</x:v>
      </x:c>
      <x:c r="D470" t="str">
        <x:v>Electronics</x:v>
      </x:c>
      <x:c r="E470" t="str">
        <x:v>Headphones</x:v>
      </x:c>
      <x:c r="F470" s="24" t="n">
        <x:v>2649.85</x:v>
      </x:c>
      <x:c r="G470" t="str">
        <x:v>Summer</x:v>
      </x:c>
      <x:c r="H470" t="str">
        <x:v>Card</x:v>
      </x:c>
      <x:c r="I470" t="n">
        <x:v>2.8</x:v>
      </x:c>
      <x:c r="J470" t="n">
        <x:v>13</x:v>
      </x:c>
      <x:c r="K470" t="n">
        <x:v>4</x:v>
      </x:c>
      <x:c r="L470" t="str">
        <x:v>STORE-001</x:v>
      </x:c>
      <x:c r="M470" s="22" t="n">
        <x:v>46067</x:v>
      </x:c>
      <x:c r="N470" t="str">
        <x:v>SKU-009</x:v>
      </x:c>
      <x:c r="O470" t="n">
        <x:v>1</x:v>
      </x:c>
      <x:c r="P470" s="26" t="n">
        <x:f>F470/O470</x:f>
        <x:v>2649.85</x:v>
      </x:c>
    </x:row>
    <x:row r="471">
      <x:c r="A471" t="n">
        <x:v>470</x:v>
      </x:c>
      <x:c r="B471" t="n">
        <x:v>22</x:v>
      </x:c>
      <x:c r="C471" t="str">
        <x:v>Female</x:v>
      </x:c>
      <x:c r="D471" t="str">
        <x:v>Accessories</x:v>
      </x:c>
      <x:c r="E471" t="str">
        <x:v>Handbag</x:v>
      </x:c>
      <x:c r="F471" s="24" t="n">
        <x:v>92.79</x:v>
      </x:c>
      <x:c r="G471" t="str">
        <x:v>Spring</x:v>
      </x:c>
      <x:c r="H471" t="str">
        <x:v>Card</x:v>
      </x:c>
      <x:c r="I471" t="n">
        <x:v>4.2</x:v>
      </x:c>
      <x:c r="J471" t="n">
        <x:v>8</x:v>
      </x:c>
      <x:c r="K471" t="n">
        <x:v>4</x:v>
      </x:c>
      <x:c r="L471" t="str">
        <x:v>STORE-001</x:v>
      </x:c>
      <x:c r="M471" s="22" t="n">
        <x:v>45956</x:v>
      </x:c>
      <x:c r="N471" t="str">
        <x:v>SKU-008</x:v>
      </x:c>
      <x:c r="O471" t="n">
        <x:v>1</x:v>
      </x:c>
      <x:c r="P471" s="26" t="n">
        <x:f>F471/O471</x:f>
        <x:v>92.79</x:v>
      </x:c>
    </x:row>
    <x:row r="472">
      <x:c r="A472" t="n">
        <x:v>471</x:v>
      </x:c>
      <x:c r="B472" t="n">
        <x:v>58</x:v>
      </x:c>
      <x:c r="C472" t="str">
        <x:v>Male</x:v>
      </x:c>
      <x:c r="D472" t="str">
        <x:v>Home</x:v>
      </x:c>
      <x:c r="E472" t="str">
        <x:v>Kitchen Set</x:v>
      </x:c>
      <x:c r="F472" s="24" t="n">
        <x:v>150.83</x:v>
      </x:c>
      <x:c r="G472" t="str">
        <x:v>Spring</x:v>
      </x:c>
      <x:c r="H472" t="str">
        <x:v>Card</x:v>
      </x:c>
      <x:c r="I472" t="n">
        <x:v>2.6</x:v>
      </x:c>
      <x:c r="J472" t="n">
        <x:v>7</x:v>
      </x:c>
      <x:c r="K472" t="n">
        <x:v>1</x:v>
      </x:c>
      <x:c r="L472" t="str">
        <x:v>STORE-001</x:v>
      </x:c>
      <x:c r="M472" s="22" t="n">
        <x:v>46266</x:v>
      </x:c>
      <x:c r="N472" t="str">
        <x:v>SKU-012</x:v>
      </x:c>
      <x:c r="O472" t="n">
        <x:v>1</x:v>
      </x:c>
      <x:c r="P472" s="26" t="n">
        <x:f>F472/O472</x:f>
        <x:v>150.83</x:v>
      </x:c>
    </x:row>
    <x:row r="473">
      <x:c r="A473" t="n">
        <x:v>472</x:v>
      </x:c>
      <x:c r="B473" t="n">
        <x:v>34</x:v>
      </x:c>
      <x:c r="C473" t="str">
        <x:v>Female</x:v>
      </x:c>
      <x:c r="D473" t="str">
        <x:v>Groceries</x:v>
      </x:c>
      <x:c r="E473" t="str">
        <x:v>Cooking Oil</x:v>
      </x:c>
      <x:c r="F473" s="24" t="n">
        <x:v>29</x:v>
      </x:c>
      <x:c r="G473" t="str">
        <x:v>Summer</x:v>
      </x:c>
      <x:c r="H473" t="str">
        <x:v>Cash on Delivery</x:v>
      </x:c>
      <x:c r="I473" t="n">
        <x:v>4.8</x:v>
      </x:c>
      <x:c r="J473" t="n">
        <x:v>18</x:v>
      </x:c>
      <x:c r="K473" t="n">
        <x:v>4</x:v>
      </x:c>
      <x:c r="L473" t="str">
        <x:v>STORE-001</x:v>
      </x:c>
      <x:c r="M473" s="22" t="n">
        <x:v>45999</x:v>
      </x:c>
      <x:c r="N473" t="str">
        <x:v>SKU-002</x:v>
      </x:c>
      <x:c r="O473" t="n">
        <x:v>5</x:v>
      </x:c>
      <x:c r="P473" s="26" t="n">
        <x:f>F473/O473</x:f>
        <x:v>5.8</x:v>
      </x:c>
    </x:row>
    <x:row r="474">
      <x:c r="A474" t="n">
        <x:v>473</x:v>
      </x:c>
      <x:c r="B474" t="n">
        <x:v>45</x:v>
      </x:c>
      <x:c r="C474" t="str">
        <x:v>Female</x:v>
      </x:c>
      <x:c r="D474" t="str">
        <x:v>Beauty</x:v>
      </x:c>
      <x:c r="E474" t="str">
        <x:v>Makeup Set</x:v>
      </x:c>
      <x:c r="F474" s="24" t="n">
        <x:v>95.57</x:v>
      </x:c>
      <x:c r="G474" t="str">
        <x:v>Winter</x:v>
      </x:c>
      <x:c r="H474" t="str">
        <x:v>Card</x:v>
      </x:c>
      <x:c r="I474" t="n">
        <x:v>2.1</x:v>
      </x:c>
      <x:c r="J474" t="n">
        <x:v>11</x:v>
      </x:c>
      <x:c r="K474" t="n">
        <x:v>3</x:v>
      </x:c>
      <x:c r="L474" t="str">
        <x:v>STORE-001</x:v>
      </x:c>
      <x:c r="M474" s="22" t="n">
        <x:v>46238</x:v>
      </x:c>
      <x:c r="N474" t="str">
        <x:v>SKU-015</x:v>
      </x:c>
      <x:c r="O474" t="n">
        <x:v>1</x:v>
      </x:c>
      <x:c r="P474" s="26" t="n">
        <x:f>F474/O474</x:f>
        <x:v>95.57</x:v>
      </x:c>
    </x:row>
    <x:row r="475">
      <x:c r="A475" t="n">
        <x:v>474</x:v>
      </x:c>
      <x:c r="B475" t="n">
        <x:v>58</x:v>
      </x:c>
      <x:c r="C475" t="str">
        <x:v>Female</x:v>
      </x:c>
      <x:c r="D475" t="str">
        <x:v>Accessories</x:v>
      </x:c>
      <x:c r="E475" t="str">
        <x:v>Wallet</x:v>
      </x:c>
      <x:c r="F475" s="24" t="n">
        <x:v>155.49</x:v>
      </x:c>
      <x:c r="G475" t="str">
        <x:v>Spring</x:v>
      </x:c>
      <x:c r="H475" t="str">
        <x:v>Card</x:v>
      </x:c>
      <x:c r="I475" t="n">
        <x:v>4.3</x:v>
      </x:c>
      <x:c r="J475" t="n">
        <x:v>12</x:v>
      </x:c>
      <x:c r="K475" t="n">
        <x:v>6</x:v>
      </x:c>
      <x:c r="L475" t="str">
        <x:v>STORE-001</x:v>
      </x:c>
      <x:c r="M475" s="22" t="n">
        <x:v>46293</x:v>
      </x:c>
      <x:c r="N475" t="str">
        <x:v>SKU-029</x:v>
      </x:c>
      <x:c r="O475" t="n">
        <x:v>1</x:v>
      </x:c>
      <x:c r="P475" s="26" t="n">
        <x:f>F475/O475</x:f>
        <x:v>155.49</x:v>
      </x:c>
    </x:row>
    <x:row r="476">
      <x:c r="A476" t="n">
        <x:v>475</x:v>
      </x:c>
      <x:c r="B476" t="n">
        <x:v>39</x:v>
      </x:c>
      <x:c r="C476" t="str">
        <x:v>Male</x:v>
      </x:c>
      <x:c r="D476" t="str">
        <x:v>Home</x:v>
      </x:c>
      <x:c r="E476" t="str">
        <x:v>Lamp</x:v>
      </x:c>
      <x:c r="F476" s="24" t="n">
        <x:v>58.69</x:v>
      </x:c>
      <x:c r="G476" t="str">
        <x:v>Summer</x:v>
      </x:c>
      <x:c r="H476" t="str">
        <x:v>Cash on Delivery</x:v>
      </x:c>
      <x:c r="I476" t="n">
        <x:v>3.3</x:v>
      </x:c>
      <x:c r="J476" t="n">
        <x:v>17</x:v>
      </x:c>
      <x:c r="K476" t="n">
        <x:v>6</x:v>
      </x:c>
      <x:c r="L476" t="str">
        <x:v>STORE-001</x:v>
      </x:c>
      <x:c r="M476" s="22" t="n">
        <x:v>46050</x:v>
      </x:c>
      <x:c r="N476" t="str">
        <x:v>SKU-013</x:v>
      </x:c>
      <x:c r="O476" t="n">
        <x:v>1</x:v>
      </x:c>
      <x:c r="P476" s="26" t="n">
        <x:f>F476/O476</x:f>
        <x:v>58.69</x:v>
      </x:c>
    </x:row>
    <x:row r="477">
      <x:c r="A477" t="n">
        <x:v>476</x:v>
      </x:c>
      <x:c r="B477" t="n">
        <x:v>55</x:v>
      </x:c>
      <x:c r="C477" t="str">
        <x:v>Female</x:v>
      </x:c>
      <x:c r="D477" t="str">
        <x:v>Beauty</x:v>
      </x:c>
      <x:c r="E477" t="str">
        <x:v>Makeup Set</x:v>
      </x:c>
      <x:c r="F477" s="24" t="n">
        <x:v>79.51</x:v>
      </x:c>
      <x:c r="G477" t="str">
        <x:v>Spring</x:v>
      </x:c>
      <x:c r="H477" t="str">
        <x:v>Cash on Delivery</x:v>
      </x:c>
      <x:c r="I477" t="n">
        <x:v>2.4</x:v>
      </x:c>
      <x:c r="J477" t="n">
        <x:v>16</x:v>
      </x:c>
      <x:c r="K477" t="n">
        <x:v>3</x:v>
      </x:c>
      <x:c r="L477" t="str">
        <x:v>STORE-001</x:v>
      </x:c>
      <x:c r="M477" s="22" t="n">
        <x:v>46290</x:v>
      </x:c>
      <x:c r="N477" t="str">
        <x:v>SKU-015</x:v>
      </x:c>
      <x:c r="O477" t="n">
        <x:v>1</x:v>
      </x:c>
      <x:c r="P477" s="26" t="n">
        <x:f>F477/O477</x:f>
        <x:v>79.51</x:v>
      </x:c>
    </x:row>
    <x:row r="478">
      <x:c r="A478" t="n">
        <x:v>477</x:v>
      </x:c>
      <x:c r="B478" t="n">
        <x:v>58</x:v>
      </x:c>
      <x:c r="C478" t="str">
        <x:v>Male</x:v>
      </x:c>
      <x:c r="D478" t="str">
        <x:v>Electronics</x:v>
      </x:c>
      <x:c r="E478" t="str">
        <x:v>Mobile Phone</x:v>
      </x:c>
      <x:c r="F478" s="24" t="n">
        <x:v>2792.69</x:v>
      </x:c>
      <x:c r="G478" t="str">
        <x:v>Autumn</x:v>
      </x:c>
      <x:c r="H478" t="str">
        <x:v>Card</x:v>
      </x:c>
      <x:c r="I478" t="n">
        <x:v>3.7</x:v>
      </x:c>
      <x:c r="J478" t="n">
        <x:v>14</x:v>
      </x:c>
      <x:c r="K478" t="n">
        <x:v>7</x:v>
      </x:c>
      <x:c r="L478" t="str">
        <x:v>STORE-001</x:v>
      </x:c>
      <x:c r="M478" s="22" t="n">
        <x:v>46131</x:v>
      </x:c>
      <x:c r="N478" t="str">
        <x:v>SKU-016</x:v>
      </x:c>
      <x:c r="O478" t="n">
        <x:v>1</x:v>
      </x:c>
      <x:c r="P478" s="26" t="n">
        <x:f>F478/O478</x:f>
        <x:v>2792.69</x:v>
      </x:c>
    </x:row>
    <x:row r="479">
      <x:c r="A479" t="n">
        <x:v>478</x:v>
      </x:c>
      <x:c r="B479" t="n">
        <x:v>55</x:v>
      </x:c>
      <x:c r="C479" t="str">
        <x:v>Female</x:v>
      </x:c>
      <x:c r="D479" t="str">
        <x:v>Groceries</x:v>
      </x:c>
      <x:c r="E479" t="str">
        <x:v>Snacks</x:v>
      </x:c>
      <x:c r="F479" s="24" t="n">
        <x:v>78.24</x:v>
      </x:c>
      <x:c r="G479" t="str">
        <x:v>Summer</x:v>
      </x:c>
      <x:c r="H479" t="str">
        <x:v>Cash on Delivery</x:v>
      </x:c>
      <x:c r="I479" t="n">
        <x:v>3.8</x:v>
      </x:c>
      <x:c r="J479" t="n">
        <x:v>19</x:v>
      </x:c>
      <x:c r="K479" t="n">
        <x:v>7</x:v>
      </x:c>
      <x:c r="L479" t="str">
        <x:v>STORE-001</x:v>
      </x:c>
      <x:c r="M479" s="22" t="n">
        <x:v>46045</x:v>
      </x:c>
      <x:c r="N479" t="str">
        <x:v>SKU-024</x:v>
      </x:c>
      <x:c r="O479" t="n">
        <x:v>2</x:v>
      </x:c>
      <x:c r="P479" s="26" t="n">
        <x:f>F479/O479</x:f>
        <x:v>39.12</x:v>
      </x:c>
    </x:row>
    <x:row r="480">
      <x:c r="A480" t="n">
        <x:v>479</x:v>
      </x:c>
      <x:c r="B480" t="n">
        <x:v>49</x:v>
      </x:c>
      <x:c r="C480" t="str">
        <x:v>Male</x:v>
      </x:c>
      <x:c r="D480" t="str">
        <x:v>Sports</x:v>
      </x:c>
      <x:c r="E480" t="str">
        <x:v>Dumbbells</x:v>
      </x:c>
      <x:c r="F480" s="24" t="n">
        <x:v>213.36</x:v>
      </x:c>
      <x:c r="G480" t="str">
        <x:v>Spring</x:v>
      </x:c>
      <x:c r="H480" t="str">
        <x:v>Card</x:v>
      </x:c>
      <x:c r="I480" t="n">
        <x:v>3.2</x:v>
      </x:c>
      <x:c r="J480" t="n">
        <x:v>12</x:v>
      </x:c>
      <x:c r="K480" t="n">
        <x:v>6</x:v>
      </x:c>
      <x:c r="L480" t="str">
        <x:v>STORE-001</x:v>
      </x:c>
      <x:c r="M480" s="22" t="n">
        <x:v>46268</x:v>
      </x:c>
      <x:c r="N480" t="str">
        <x:v>SKU-005</x:v>
      </x:c>
      <x:c r="O480" t="n">
        <x:v>1</x:v>
      </x:c>
      <x:c r="P480" s="26" t="n">
        <x:f>F480/O480</x:f>
        <x:v>213.36</x:v>
      </x:c>
    </x:row>
    <x:row r="481">
      <x:c r="A481" t="n">
        <x:v>480</x:v>
      </x:c>
      <x:c r="B481" t="n">
        <x:v>39</x:v>
      </x:c>
      <x:c r="C481" t="str">
        <x:v>Male</x:v>
      </x:c>
      <x:c r="D481" t="str">
        <x:v>Mens Clothing</x:v>
      </x:c>
      <x:c r="E481" t="str">
        <x:v>Jeans</x:v>
      </x:c>
      <x:c r="F481" s="24" t="n">
        <x:v>49.04</x:v>
      </x:c>
      <x:c r="G481" t="str">
        <x:v>Spring</x:v>
      </x:c>
      <x:c r="H481" t="str">
        <x:v>Cash on Delivery</x:v>
      </x:c>
      <x:c r="I481" t="n">
        <x:v>3.9</x:v>
      </x:c>
      <x:c r="J481" t="n">
        <x:v>19</x:v>
      </x:c>
      <x:c r="K481" t="n">
        <x:v>7</x:v>
      </x:c>
      <x:c r="L481" t="str">
        <x:v>STORE-001</x:v>
      </x:c>
      <x:c r="M481" s="22" t="n">
        <x:v>45967</x:v>
      </x:c>
      <x:c r="N481" t="str">
        <x:v>SKU-011</x:v>
      </x:c>
      <x:c r="O481" t="n">
        <x:v>3</x:v>
      </x:c>
      <x:c r="P481" s="26" t="n">
        <x:f>F481/O481</x:f>
        <x:v>16.346666666666668</x:v>
      </x:c>
    </x:row>
    <x:row r="482">
      <x:c r="A482" t="n">
        <x:v>481</x:v>
      </x:c>
      <x:c r="B482" t="n">
        <x:v>54</x:v>
      </x:c>
      <x:c r="C482" t="str">
        <x:v>Male</x:v>
      </x:c>
      <x:c r="D482" t="str">
        <x:v>Footwear</x:v>
      </x:c>
      <x:c r="E482" t="str">
        <x:v>Sandals</x:v>
      </x:c>
      <x:c r="F482" s="24" t="n">
        <x:v>50.57</x:v>
      </x:c>
      <x:c r="G482" t="str">
        <x:v>Autumn</x:v>
      </x:c>
      <x:c r="H482" t="str">
        <x:v>Cash on Delivery</x:v>
      </x:c>
      <x:c r="I482" t="n">
        <x:v>3.5</x:v>
      </x:c>
      <x:c r="J482" t="n">
        <x:v>4</x:v>
      </x:c>
      <x:c r="K482" t="n">
        <x:v>2</x:v>
      </x:c>
      <x:c r="L482" t="str">
        <x:v>STORE-001</x:v>
      </x:c>
      <x:c r="M482" s="22" t="n">
        <x:v>46128</x:v>
      </x:c>
      <x:c r="N482" t="str">
        <x:v>SKU-019</x:v>
      </x:c>
      <x:c r="O482" t="n">
        <x:v>1</x:v>
      </x:c>
      <x:c r="P482" s="26" t="n">
        <x:f>F482/O482</x:f>
        <x:v>50.57</x:v>
      </x:c>
    </x:row>
    <x:row r="483">
      <x:c r="A483" t="n">
        <x:v>482</x:v>
      </x:c>
      <x:c r="B483" t="n">
        <x:v>51</x:v>
      </x:c>
      <x:c r="C483" t="str">
        <x:v>Female</x:v>
      </x:c>
      <x:c r="D483" t="str">
        <x:v>Beauty</x:v>
      </x:c>
      <x:c r="E483" t="str">
        <x:v>Makeup Set</x:v>
      </x:c>
      <x:c r="F483" s="24" t="n">
        <x:v>78.51</x:v>
      </x:c>
      <x:c r="G483" t="str">
        <x:v>Summer</x:v>
      </x:c>
      <x:c r="H483" t="str">
        <x:v>Card</x:v>
      </x:c>
      <x:c r="I483" t="n">
        <x:v>5</x:v>
      </x:c>
      <x:c r="J483" t="n">
        <x:v>10</x:v>
      </x:c>
      <x:c r="K483" t="n">
        <x:v>5</x:v>
      </x:c>
      <x:c r="L483" t="str">
        <x:v>STORE-001</x:v>
      </x:c>
      <x:c r="M483" s="22" t="n">
        <x:v>46081</x:v>
      </x:c>
      <x:c r="N483" t="str">
        <x:v>SKU-015</x:v>
      </x:c>
      <x:c r="O483" t="n">
        <x:v>1</x:v>
      </x:c>
      <x:c r="P483" s="26" t="n">
        <x:f>F483/O483</x:f>
        <x:v>78.51</x:v>
      </x:c>
    </x:row>
    <x:row r="484">
      <x:c r="A484" t="n">
        <x:v>483</x:v>
      </x:c>
      <x:c r="B484" t="n">
        <x:v>53</x:v>
      </x:c>
      <x:c r="C484" t="str">
        <x:v>Female</x:v>
      </x:c>
      <x:c r="D484" t="str">
        <x:v>Accessories</x:v>
      </x:c>
      <x:c r="E484" t="str">
        <x:v>Handbag</x:v>
      </x:c>
      <x:c r="F484" s="24" t="n">
        <x:v>73.07</x:v>
      </x:c>
      <x:c r="G484" t="str">
        <x:v>Spring</x:v>
      </x:c>
      <x:c r="H484" t="str">
        <x:v>Card</x:v>
      </x:c>
      <x:c r="I484" t="n">
        <x:v>3.3</x:v>
      </x:c>
      <x:c r="J484" t="n">
        <x:v>15</x:v>
      </x:c>
      <x:c r="K484" t="n">
        <x:v>5</x:v>
      </x:c>
      <x:c r="L484" t="str">
        <x:v>STORE-001</x:v>
      </x:c>
      <x:c r="M484" s="22" t="n">
        <x:v>46292</x:v>
      </x:c>
      <x:c r="N484" t="str">
        <x:v>SKU-008</x:v>
      </x:c>
      <x:c r="O484" t="n">
        <x:v>1</x:v>
      </x:c>
      <x:c r="P484" s="26" t="n">
        <x:f>F484/O484</x:f>
        <x:v>73.07</x:v>
      </x:c>
    </x:row>
    <x:row r="485">
      <x:c r="A485" t="n">
        <x:v>484</x:v>
      </x:c>
      <x:c r="B485" t="n">
        <x:v>43</x:v>
      </x:c>
      <x:c r="C485" t="str">
        <x:v>Male</x:v>
      </x:c>
      <x:c r="D485" t="str">
        <x:v>Home</x:v>
      </x:c>
      <x:c r="E485" t="str">
        <x:v>Curtains</x:v>
      </x:c>
      <x:c r="F485" s="24" t="n">
        <x:v>299.96</x:v>
      </x:c>
      <x:c r="G485" t="str">
        <x:v>Spring</x:v>
      </x:c>
      <x:c r="H485" t="str">
        <x:v>Card</x:v>
      </x:c>
      <x:c r="I485" t="n">
        <x:v>3.4</x:v>
      </x:c>
      <x:c r="J485" t="n">
        <x:v>5</x:v>
      </x:c>
      <x:c r="K485" t="n">
        <x:v>0</x:v>
      </x:c>
      <x:c r="L485" t="str">
        <x:v>STORE-001</x:v>
      </x:c>
      <x:c r="M485" s="22" t="n">
        <x:v>45991</x:v>
      </x:c>
      <x:c r="N485" t="str">
        <x:v>SKU-003</x:v>
      </x:c>
      <x:c r="O485" t="n">
        <x:v>1</x:v>
      </x:c>
      <x:c r="P485" s="26" t="n">
        <x:f>F485/O485</x:f>
        <x:v>299.96</x:v>
      </x:c>
    </x:row>
    <x:row r="486">
      <x:c r="A486" t="n">
        <x:v>485</x:v>
      </x:c>
      <x:c r="B486" t="n">
        <x:v>43</x:v>
      </x:c>
      <x:c r="C486" t="str">
        <x:v>Male</x:v>
      </x:c>
      <x:c r="D486" t="str">
        <x:v>Sports</x:v>
      </x:c>
      <x:c r="E486" t="str">
        <x:v>Football</x:v>
      </x:c>
      <x:c r="F486" s="24" t="n">
        <x:v>239.89</x:v>
      </x:c>
      <x:c r="G486" t="str">
        <x:v>Summer</x:v>
      </x:c>
      <x:c r="H486" t="str">
        <x:v>Card</x:v>
      </x:c>
      <x:c r="I486" t="n">
        <x:v>3.7</x:v>
      </x:c>
      <x:c r="J486" t="n">
        <x:v>2</x:v>
      </x:c>
      <x:c r="K486" t="n">
        <x:v>1</x:v>
      </x:c>
      <x:c r="L486" t="str">
        <x:v>STORE-001</x:v>
      </x:c>
      <x:c r="M486" s="22" t="n">
        <x:v>46023</x:v>
      </x:c>
      <x:c r="N486" t="str">
        <x:v>SKU-006</x:v>
      </x:c>
      <x:c r="O486" t="n">
        <x:v>1</x:v>
      </x:c>
      <x:c r="P486" s="26" t="n">
        <x:f>F486/O486</x:f>
        <x:v>239.89</x:v>
      </x:c>
    </x:row>
    <x:row r="487">
      <x:c r="A487" t="n">
        <x:v>486</x:v>
      </x:c>
      <x:c r="B487" t="n">
        <x:v>48</x:v>
      </x:c>
      <x:c r="C487" t="str">
        <x:v>Female</x:v>
      </x:c>
      <x:c r="D487" t="str">
        <x:v>Womens Clothing</x:v>
      </x:c>
      <x:c r="E487" t="str">
        <x:v>Top</x:v>
      </x:c>
      <x:c r="F487" s="24" t="n">
        <x:v>98.38</x:v>
      </x:c>
      <x:c r="G487" t="str">
        <x:v>Winter</x:v>
      </x:c>
      <x:c r="H487" t="str">
        <x:v>Cash on Delivery</x:v>
      </x:c>
      <x:c r="I487" t="n">
        <x:v>4.2</x:v>
      </x:c>
      <x:c r="J487" t="n">
        <x:v>14</x:v>
      </x:c>
      <x:c r="K487" t="n">
        <x:v>2</x:v>
      </x:c>
      <x:c r="L487" t="str">
        <x:v>STORE-001</x:v>
      </x:c>
      <x:c r="M487" s="22" t="n">
        <x:v>46197</x:v>
      </x:c>
      <x:c r="N487" t="str">
        <x:v>SKU-028</x:v>
      </x:c>
      <x:c r="O487" t="n">
        <x:v>1</x:v>
      </x:c>
      <x:c r="P487" s="26" t="n">
        <x:f>F487/O487</x:f>
        <x:v>98.38</x:v>
      </x:c>
    </x:row>
    <x:row r="488">
      <x:c r="A488" t="n">
        <x:v>487</x:v>
      </x:c>
      <x:c r="B488" t="n">
        <x:v>52</x:v>
      </x:c>
      <x:c r="C488" t="str">
        <x:v>Male</x:v>
      </x:c>
      <x:c r="D488" t="str">
        <x:v>Sports</x:v>
      </x:c>
      <x:c r="E488" t="str">
        <x:v>Dumbbells</x:v>
      </x:c>
      <x:c r="F488" s="24" t="n">
        <x:v>152.29</x:v>
      </x:c>
      <x:c r="G488" t="str">
        <x:v>Spring</x:v>
      </x:c>
      <x:c r="H488" t="str">
        <x:v>Card</x:v>
      </x:c>
      <x:c r="I488" t="n">
        <x:v>3.2</x:v>
      </x:c>
      <x:c r="J488" t="n">
        <x:v>14</x:v>
      </x:c>
      <x:c r="K488" t="n">
        <x:v>2</x:v>
      </x:c>
      <x:c r="L488" t="str">
        <x:v>STORE-001</x:v>
      </x:c>
      <x:c r="M488" s="22" t="n">
        <x:v>46274</x:v>
      </x:c>
      <x:c r="N488" t="str">
        <x:v>SKU-005</x:v>
      </x:c>
      <x:c r="O488" t="n">
        <x:v>2</x:v>
      </x:c>
      <x:c r="P488" s="26" t="n">
        <x:f>F488/O488</x:f>
        <x:v>76.145</x:v>
      </x:c>
    </x:row>
    <x:row r="489">
      <x:c r="A489" t="n">
        <x:v>488</x:v>
      </x:c>
      <x:c r="B489" t="n">
        <x:v>69</x:v>
      </x:c>
      <x:c r="C489" t="str">
        <x:v>Female</x:v>
      </x:c>
      <x:c r="D489" t="str">
        <x:v>Womens Clothing</x:v>
      </x:c>
      <x:c r="E489" t="str">
        <x:v>Jeans</x:v>
      </x:c>
      <x:c r="F489" s="24" t="n">
        <x:v>96.34</x:v>
      </x:c>
      <x:c r="G489" t="str">
        <x:v>Winter</x:v>
      </x:c>
      <x:c r="H489" t="str">
        <x:v>Card</x:v>
      </x:c>
      <x:c r="I489" t="n">
        <x:v>3.8</x:v>
      </x:c>
      <x:c r="J489" t="n">
        <x:v>26</x:v>
      </x:c>
      <x:c r="K489" t="n">
        <x:v>8</x:v>
      </x:c>
      <x:c r="L489" t="str">
        <x:v>STORE-001</x:v>
      </x:c>
      <x:c r="M489" s="22" t="n">
        <x:v>46254</x:v>
      </x:c>
      <x:c r="N489" t="str">
        <x:v>SKU-011</x:v>
      </x:c>
      <x:c r="O489" t="n">
        <x:v>1</x:v>
      </x:c>
      <x:c r="P489" s="26" t="n">
        <x:f>F489/O489</x:f>
        <x:v>96.34</x:v>
      </x:c>
    </x:row>
    <x:row r="490">
      <x:c r="A490" t="n">
        <x:v>489</x:v>
      </x:c>
      <x:c r="B490" t="n">
        <x:v>26</x:v>
      </x:c>
      <x:c r="C490" t="str">
        <x:v>Female</x:v>
      </x:c>
      <x:c r="D490" t="str">
        <x:v>Accessories</x:v>
      </x:c>
      <x:c r="E490" t="str">
        <x:v>Wallet</x:v>
      </x:c>
      <x:c r="F490" s="24" t="n">
        <x:v>100.05</x:v>
      </x:c>
      <x:c r="G490" t="str">
        <x:v>Summer</x:v>
      </x:c>
      <x:c r="H490" t="str">
        <x:v>Card</x:v>
      </x:c>
      <x:c r="I490" t="n">
        <x:v>3.7</x:v>
      </x:c>
      <x:c r="J490" t="n">
        <x:v>11</x:v>
      </x:c>
      <x:c r="K490" t="n">
        <x:v>3</x:v>
      </x:c>
      <x:c r="L490" t="str">
        <x:v>STORE-001</x:v>
      </x:c>
      <x:c r="M490" s="22" t="n">
        <x:v>46032</x:v>
      </x:c>
      <x:c r="N490" t="str">
        <x:v>SKU-029</x:v>
      </x:c>
      <x:c r="O490" t="n">
        <x:v>1</x:v>
      </x:c>
      <x:c r="P490" s="26" t="n">
        <x:f>F490/O490</x:f>
        <x:v>100.05</x:v>
      </x:c>
    </x:row>
    <x:row r="491">
      <x:c r="A491" t="n">
        <x:v>490</x:v>
      </x:c>
      <x:c r="B491" t="n">
        <x:v>34</x:v>
      </x:c>
      <x:c r="C491" t="str">
        <x:v>Female</x:v>
      </x:c>
      <x:c r="D491" t="str">
        <x:v>Womens Clothing</x:v>
      </x:c>
      <x:c r="E491" t="str">
        <x:v>Skirt</x:v>
      </x:c>
      <x:c r="F491" s="24" t="n">
        <x:v>96.07</x:v>
      </x:c>
      <x:c r="G491" t="str">
        <x:v>Spring</x:v>
      </x:c>
      <x:c r="H491" t="str">
        <x:v>Card</x:v>
      </x:c>
      <x:c r="I491" t="n">
        <x:v>3.1</x:v>
      </x:c>
      <x:c r="J491" t="n">
        <x:v>12</x:v>
      </x:c>
      <x:c r="K491" t="n">
        <x:v>6</x:v>
      </x:c>
      <x:c r="L491" t="str">
        <x:v>STORE-001</x:v>
      </x:c>
      <x:c r="M491" s="22" t="n">
        <x:v>46285</x:v>
      </x:c>
      <x:c r="N491" t="str">
        <x:v>SKU-022</x:v>
      </x:c>
      <x:c r="O491" t="n">
        <x:v>1</x:v>
      </x:c>
      <x:c r="P491" s="26" t="n">
        <x:f>F491/O491</x:f>
        <x:v>96.07</x:v>
      </x:c>
    </x:row>
    <x:row r="492">
      <x:c r="A492" t="n">
        <x:v>491</x:v>
      </x:c>
      <x:c r="B492" t="n">
        <x:v>30</x:v>
      </x:c>
      <x:c r="C492" t="str">
        <x:v>Female</x:v>
      </x:c>
      <x:c r="D492" t="str">
        <x:v>Womens Clothing</x:v>
      </x:c>
      <x:c r="E492" t="str">
        <x:v>Top</x:v>
      </x:c>
      <x:c r="F492" s="24" t="n">
        <x:v>46.55</x:v>
      </x:c>
      <x:c r="G492" t="str">
        <x:v>Summer</x:v>
      </x:c>
      <x:c r="H492" t="str">
        <x:v>Card</x:v>
      </x:c>
      <x:c r="I492" t="n">
        <x:v>4.1</x:v>
      </x:c>
      <x:c r="J492" t="n">
        <x:v>8</x:v>
      </x:c>
      <x:c r="K492" t="n">
        <x:v>4</x:v>
      </x:c>
      <x:c r="L492" t="str">
        <x:v>STORE-001</x:v>
      </x:c>
      <x:c r="M492" s="22" t="n">
        <x:v>45993</x:v>
      </x:c>
      <x:c r="N492" t="str">
        <x:v>SKU-028</x:v>
      </x:c>
      <x:c r="O492" t="n">
        <x:v>1</x:v>
      </x:c>
      <x:c r="P492" s="26" t="n">
        <x:f>F492/O492</x:f>
        <x:v>46.55</x:v>
      </x:c>
    </x:row>
    <x:row r="493">
      <x:c r="A493" t="n">
        <x:v>492</x:v>
      </x:c>
      <x:c r="B493" t="n">
        <x:v>25</x:v>
      </x:c>
      <x:c r="C493" t="str">
        <x:v>Female</x:v>
      </x:c>
      <x:c r="D493" t="str">
        <x:v>Beauty</x:v>
      </x:c>
      <x:c r="E493" t="str">
        <x:v>Perfume</x:v>
      </x:c>
      <x:c r="F493" s="24" t="n">
        <x:v>86.16</x:v>
      </x:c>
      <x:c r="G493" t="str">
        <x:v>Autumn</x:v>
      </x:c>
      <x:c r="H493" t="str">
        <x:v>Cash on Delivery</x:v>
      </x:c>
      <x:c r="I493" t="n">
        <x:v>4.5</x:v>
      </x:c>
      <x:c r="J493" t="n">
        <x:v>6</x:v>
      </x:c>
      <x:c r="K493" t="n">
        <x:v>3</x:v>
      </x:c>
      <x:c r="L493" t="str">
        <x:v>STORE-001</x:v>
      </x:c>
      <x:c r="M493" s="22" t="n">
        <x:v>46171</x:v>
      </x:c>
      <x:c r="N493" t="str">
        <x:v>SKU-017</x:v>
      </x:c>
      <x:c r="O493" t="n">
        <x:v>1</x:v>
      </x:c>
      <x:c r="P493" s="26" t="n">
        <x:f>F493/O493</x:f>
        <x:v>86.16</x:v>
      </x:c>
    </x:row>
    <x:row r="494">
      <x:c r="A494" t="n">
        <x:v>493</x:v>
      </x:c>
      <x:c r="B494" t="n">
        <x:v>61</x:v>
      </x:c>
      <x:c r="C494" t="str">
        <x:v>Female</x:v>
      </x:c>
      <x:c r="D494" t="str">
        <x:v>Accessories</x:v>
      </x:c>
      <x:c r="E494" t="str">
        <x:v>Sunglasses</x:v>
      </x:c>
      <x:c r="F494" s="24" t="n">
        <x:v>174.31</x:v>
      </x:c>
      <x:c r="G494" t="str">
        <x:v>Spring</x:v>
      </x:c>
      <x:c r="H494" t="str">
        <x:v>Card</x:v>
      </x:c>
      <x:c r="I494" t="n">
        <x:v>5</x:v>
      </x:c>
      <x:c r="J494" t="n">
        <x:v>24</x:v>
      </x:c>
      <x:c r="K494" t="n">
        <x:v>7</x:v>
      </x:c>
      <x:c r="L494" t="str">
        <x:v>STORE-001</x:v>
      </x:c>
      <x:c r="M494" s="22" t="n">
        <x:v>46291</x:v>
      </x:c>
      <x:c r="N494" t="str">
        <x:v>SKU-026</x:v>
      </x:c>
      <x:c r="O494" t="n">
        <x:v>2</x:v>
      </x:c>
      <x:c r="P494" s="26" t="n">
        <x:f>F494/O494</x:f>
        <x:v>87.155</x:v>
      </x:c>
    </x:row>
    <x:row r="495">
      <x:c r="A495" t="n">
        <x:v>494</x:v>
      </x:c>
      <x:c r="B495" t="n">
        <x:v>27</x:v>
      </x:c>
      <x:c r="C495" t="str">
        <x:v>Female</x:v>
      </x:c>
      <x:c r="D495" t="str">
        <x:v>Footwear</x:v>
      </x:c>
      <x:c r="E495" t="str">
        <x:v>Formal Shoes</x:v>
      </x:c>
      <x:c r="F495" s="24" t="n">
        <x:v>150.45</x:v>
      </x:c>
      <x:c r="G495" t="str">
        <x:v>Spring</x:v>
      </x:c>
      <x:c r="H495" t="str">
        <x:v>Card</x:v>
      </x:c>
      <x:c r="I495" t="n">
        <x:v>3.7</x:v>
      </x:c>
      <x:c r="J495" t="n">
        <x:v>14</x:v>
      </x:c>
      <x:c r="K495" t="n">
        <x:v>7</x:v>
      </x:c>
      <x:c r="L495" t="str">
        <x:v>STORE-001</x:v>
      </x:c>
      <x:c r="M495" s="22" t="n">
        <x:v>45937</x:v>
      </x:c>
      <x:c r="N495" t="str">
        <x:v>SKU-007</x:v>
      </x:c>
      <x:c r="O495" t="n">
        <x:v>2</x:v>
      </x:c>
      <x:c r="P495" s="26" t="n">
        <x:f>F495/O495</x:f>
        <x:v>75.225</x:v>
      </x:c>
    </x:row>
    <x:row r="496">
      <x:c r="A496" t="n">
        <x:v>495</x:v>
      </x:c>
      <x:c r="B496" t="n">
        <x:v>40</x:v>
      </x:c>
      <x:c r="C496" t="str">
        <x:v>Male</x:v>
      </x:c>
      <x:c r="D496" t="str">
        <x:v>Sports</x:v>
      </x:c>
      <x:c r="E496" t="str">
        <x:v>Football</x:v>
      </x:c>
      <x:c r="F496" s="24" t="n">
        <x:v>106</x:v>
      </x:c>
      <x:c r="G496" t="str">
        <x:v>Winter</x:v>
      </x:c>
      <x:c r="H496" t="str">
        <x:v>Card</x:v>
      </x:c>
      <x:c r="I496" t="n">
        <x:v>3.4</x:v>
      </x:c>
      <x:c r="J496" t="n">
        <x:v>18</x:v>
      </x:c>
      <x:c r="K496" t="n">
        <x:v>4</x:v>
      </x:c>
      <x:c r="L496" t="str">
        <x:v>STORE-001</x:v>
      </x:c>
      <x:c r="M496" s="22" t="n">
        <x:v>46224</x:v>
      </x:c>
      <x:c r="N496" t="str">
        <x:v>SKU-006</x:v>
      </x:c>
      <x:c r="O496" t="n">
        <x:v>1</x:v>
      </x:c>
      <x:c r="P496" s="26" t="n">
        <x:f>F496/O496</x:f>
        <x:v>106</x:v>
      </x:c>
    </x:row>
    <x:row r="497">
      <x:c r="A497" t="n">
        <x:v>496</x:v>
      </x:c>
      <x:c r="B497" t="n">
        <x:v>44</x:v>
      </x:c>
      <x:c r="C497" t="str">
        <x:v>Male</x:v>
      </x:c>
      <x:c r="D497" t="str">
        <x:v>Sports</x:v>
      </x:c>
      <x:c r="E497" t="str">
        <x:v>Dumbbells</x:v>
      </x:c>
      <x:c r="F497" s="24" t="n">
        <x:v>119.84</x:v>
      </x:c>
      <x:c r="G497" t="str">
        <x:v>Autumn</x:v>
      </x:c>
      <x:c r="H497" t="str">
        <x:v>Card</x:v>
      </x:c>
      <x:c r="I497" t="n">
        <x:v>3.6</x:v>
      </x:c>
      <x:c r="J497" t="n">
        <x:v>9</x:v>
      </x:c>
      <x:c r="K497" t="n">
        <x:v>2</x:v>
      </x:c>
      <x:c r="L497" t="str">
        <x:v>STORE-001</x:v>
      </x:c>
      <x:c r="M497" s="22" t="n">
        <x:v>46170</x:v>
      </x:c>
      <x:c r="N497" t="str">
        <x:v>SKU-005</x:v>
      </x:c>
      <x:c r="O497" t="n">
        <x:v>2</x:v>
      </x:c>
      <x:c r="P497" s="26" t="n">
        <x:f>F497/O497</x:f>
        <x:v>59.92</x:v>
      </x:c>
    </x:row>
    <x:row r="498">
      <x:c r="A498" t="n">
        <x:v>497</x:v>
      </x:c>
      <x:c r="B498" t="n">
        <x:v>49</x:v>
      </x:c>
      <x:c r="C498" t="str">
        <x:v>Female</x:v>
      </x:c>
      <x:c r="D498" t="str">
        <x:v>Beauty</x:v>
      </x:c>
      <x:c r="E498" t="str">
        <x:v>Perfume</x:v>
      </x:c>
      <x:c r="F498" s="24" t="n">
        <x:v>102.61</x:v>
      </x:c>
      <x:c r="G498" t="str">
        <x:v>Autumn</x:v>
      </x:c>
      <x:c r="H498" t="str">
        <x:v>Card</x:v>
      </x:c>
      <x:c r="I498" t="n">
        <x:v>4.6</x:v>
      </x:c>
      <x:c r="J498" t="n">
        <x:v>26</x:v>
      </x:c>
      <x:c r="K498" t="n">
        <x:v>8</x:v>
      </x:c>
      <x:c r="L498" t="str">
        <x:v>STORE-001</x:v>
      </x:c>
      <x:c r="M498" s="22" t="n">
        <x:v>46090</x:v>
      </x:c>
      <x:c r="N498" t="str">
        <x:v>SKU-017</x:v>
      </x:c>
      <x:c r="O498" t="n">
        <x:v>1</x:v>
      </x:c>
      <x:c r="P498" s="26" t="n">
        <x:f>F498/O498</x:f>
        <x:v>102.61</x:v>
      </x:c>
    </x:row>
    <x:row r="499">
      <x:c r="A499" t="n">
        <x:v>498</x:v>
      </x:c>
      <x:c r="B499" t="n">
        <x:v>45</x:v>
      </x:c>
      <x:c r="C499" t="str">
        <x:v>Female</x:v>
      </x:c>
      <x:c r="D499" t="str">
        <x:v>Womens Clothing</x:v>
      </x:c>
      <x:c r="E499" t="str">
        <x:v>Dress</x:v>
      </x:c>
      <x:c r="F499" s="24" t="n">
        <x:v>82.9</x:v>
      </x:c>
      <x:c r="G499" t="str">
        <x:v>Spring</x:v>
      </x:c>
      <x:c r="H499" t="str">
        <x:v>Cash on Delivery</x:v>
      </x:c>
      <x:c r="I499" t="n">
        <x:v>3.9</x:v>
      </x:c>
      <x:c r="J499" t="n">
        <x:v>16</x:v>
      </x:c>
      <x:c r="K499" t="n">
        <x:v>8</x:v>
      </x:c>
      <x:c r="L499" t="str">
        <x:v>STORE-001</x:v>
      </x:c>
      <x:c r="M499" s="22" t="n">
        <x:v>45965</x:v>
      </x:c>
      <x:c r="N499" t="str">
        <x:v>SKU-004</x:v>
      </x:c>
      <x:c r="O499" t="n">
        <x:v>1</x:v>
      </x:c>
      <x:c r="P499" s="26" t="n">
        <x:f>F499/O499</x:f>
        <x:v>82.9</x:v>
      </x:c>
    </x:row>
    <x:row r="500">
      <x:c r="A500" t="n">
        <x:v>499</x:v>
      </x:c>
      <x:c r="B500" t="n">
        <x:v>31</x:v>
      </x:c>
      <x:c r="C500" t="str">
        <x:v>Male</x:v>
      </x:c>
      <x:c r="D500" t="str">
        <x:v>Sports</x:v>
      </x:c>
      <x:c r="E500" t="str">
        <x:v>Yoga Mat</x:v>
      </x:c>
      <x:c r="F500" s="24" t="n">
        <x:v>72.1</x:v>
      </x:c>
      <x:c r="G500" t="str">
        <x:v>Spring</x:v>
      </x:c>
      <x:c r="H500" t="str">
        <x:v>Card</x:v>
      </x:c>
      <x:c r="I500" t="n">
        <x:v>4.3</x:v>
      </x:c>
      <x:c r="J500" t="n">
        <x:v>12</x:v>
      </x:c>
      <x:c r="K500" t="n">
        <x:v>6</x:v>
      </x:c>
      <x:c r="L500" t="str">
        <x:v>STORE-001</x:v>
      </x:c>
      <x:c r="M500" s="22" t="n">
        <x:v>45953</x:v>
      </x:c>
      <x:c r="N500" t="str">
        <x:v>SKU-030</x:v>
      </x:c>
      <x:c r="O500" t="n">
        <x:v>3</x:v>
      </x:c>
      <x:c r="P500" s="26" t="n">
        <x:f>F500/O500</x:f>
        <x:v>24.03333333333333</x:v>
      </x:c>
    </x:row>
    <x:row r="501">
      <x:c r="A501" t="n">
        <x:v>500</x:v>
      </x:c>
      <x:c r="B501" t="n">
        <x:v>51</x:v>
      </x:c>
      <x:c r="C501" t="str">
        <x:v>Male</x:v>
      </x:c>
      <x:c r="D501" t="str">
        <x:v>Footwear</x:v>
      </x:c>
      <x:c r="E501" t="str">
        <x:v>Sneakers</x:v>
      </x:c>
      <x:c r="F501" s="24" t="n">
        <x:v>214.97</x:v>
      </x:c>
      <x:c r="G501" t="str">
        <x:v>Autumn</x:v>
      </x:c>
      <x:c r="H501" t="str">
        <x:v>Card</x:v>
      </x:c>
      <x:c r="I501" t="n">
        <x:v>4.1</x:v>
      </x:c>
      <x:c r="J501" t="n">
        <x:v>22</x:v>
      </x:c>
      <x:c r="K501" t="n">
        <x:v>6</x:v>
      </x:c>
      <x:c r="L501" t="str">
        <x:v>STORE-001</x:v>
      </x:c>
      <x:c r="M501" s="22" t="n">
        <x:v>46166</x:v>
      </x:c>
      <x:c r="N501" t="str">
        <x:v>SKU-025</x:v>
      </x:c>
      <x:c r="O501" t="n">
        <x:v>1</x:v>
      </x:c>
      <x:c r="P501" s="26" t="n">
        <x:f>F501/O501</x:f>
        <x:v>214.97</x:v>
      </x:c>
    </x:row>
    <x:row r="502">
      <x:c r="A502" t="n">
        <x:v>501</x:v>
      </x:c>
      <x:c r="B502" t="n">
        <x:v>27</x:v>
      </x:c>
      <x:c r="C502" t="str">
        <x:v>Male</x:v>
      </x:c>
      <x:c r="D502" t="str">
        <x:v>Electronics</x:v>
      </x:c>
      <x:c r="E502" t="str">
        <x:v>Laptop</x:v>
      </x:c>
      <x:c r="F502" s="24" t="n">
        <x:v>1871.95</x:v>
      </x:c>
      <x:c r="G502" t="str">
        <x:v>Spring</x:v>
      </x:c>
      <x:c r="H502" t="str">
        <x:v>Card</x:v>
      </x:c>
      <x:c r="I502" t="n">
        <x:v>4.3</x:v>
      </x:c>
      <x:c r="J502" t="n">
        <x:v>15</x:v>
      </x:c>
      <x:c r="K502" t="n">
        <x:v>5</x:v>
      </x:c>
      <x:c r="L502" t="str">
        <x:v>STORE-001</x:v>
      </x:c>
      <x:c r="M502" s="22" t="n">
        <x:v>45962</x:v>
      </x:c>
      <x:c r="N502" t="str">
        <x:v>SKU-014</x:v>
      </x:c>
      <x:c r="O502" t="n">
        <x:v>1</x:v>
      </x:c>
      <x:c r="P502" s="26" t="n">
        <x:f>F502/O502</x:f>
        <x:v>1871.95</x:v>
      </x:c>
    </x:row>
    <x:row r="503">
      <x:c r="A503" t="n">
        <x:v>502</x:v>
      </x:c>
      <x:c r="B503" t="n">
        <x:v>50</x:v>
      </x:c>
      <x:c r="C503" t="str">
        <x:v>Female</x:v>
      </x:c>
      <x:c r="D503" t="str">
        <x:v>Accessories</x:v>
      </x:c>
      <x:c r="E503" t="str">
        <x:v>Handbag</x:v>
      </x:c>
      <x:c r="F503" s="24" t="n">
        <x:v>40.1</x:v>
      </x:c>
      <x:c r="G503" t="str">
        <x:v>Autumn</x:v>
      </x:c>
      <x:c r="H503" t="str">
        <x:v>Cash on Delivery</x:v>
      </x:c>
      <x:c r="I503" t="n">
        <x:v>3.9</x:v>
      </x:c>
      <x:c r="J503" t="n">
        <x:v>19</x:v>
      </x:c>
      <x:c r="K503" t="n">
        <x:v>7</x:v>
      </x:c>
      <x:c r="L503" t="str">
        <x:v>STORE-001</x:v>
      </x:c>
      <x:c r="M503" s="22" t="n">
        <x:v>46163</x:v>
      </x:c>
      <x:c r="N503" t="str">
        <x:v>SKU-008</x:v>
      </x:c>
      <x:c r="O503" t="n">
        <x:v>1</x:v>
      </x:c>
      <x:c r="P503" s="26" t="n">
        <x:f>F503/O503</x:f>
        <x:v>40.1</x:v>
      </x:c>
    </x:row>
    <x:row r="504">
      <x:c r="A504" t="n">
        <x:v>503</x:v>
      </x:c>
      <x:c r="B504" t="n">
        <x:v>24</x:v>
      </x:c>
      <x:c r="C504" t="str">
        <x:v>Female</x:v>
      </x:c>
      <x:c r="D504" t="str">
        <x:v>Beauty</x:v>
      </x:c>
      <x:c r="E504" t="str">
        <x:v>Makeup Set</x:v>
      </x:c>
      <x:c r="F504" s="24" t="n">
        <x:v>96.8</x:v>
      </x:c>
      <x:c r="G504" t="str">
        <x:v>Spring</x:v>
      </x:c>
      <x:c r="H504" t="str">
        <x:v>Card</x:v>
      </x:c>
      <x:c r="I504" t="n">
        <x:v>4.6</x:v>
      </x:c>
      <x:c r="J504" t="n">
        <x:v>21</x:v>
      </x:c>
      <x:c r="K504" t="n">
        <x:v>8</x:v>
      </x:c>
      <x:c r="L504" t="str">
        <x:v>STORE-001</x:v>
      </x:c>
      <x:c r="M504" s="22" t="n">
        <x:v>46277</x:v>
      </x:c>
      <x:c r="N504" t="str">
        <x:v>SKU-015</x:v>
      </x:c>
      <x:c r="O504" t="n">
        <x:v>1</x:v>
      </x:c>
      <x:c r="P504" s="26" t="n">
        <x:f>F504/O504</x:f>
        <x:v>96.8</x:v>
      </x:c>
    </x:row>
    <x:row r="505">
      <x:c r="A505" t="n">
        <x:v>504</x:v>
      </x:c>
      <x:c r="B505" t="n">
        <x:v>59</x:v>
      </x:c>
      <x:c r="C505" t="str">
        <x:v>Male</x:v>
      </x:c>
      <x:c r="D505" t="str">
        <x:v>Home</x:v>
      </x:c>
      <x:c r="E505" t="str">
        <x:v>Curtains</x:v>
      </x:c>
      <x:c r="F505" s="24" t="n">
        <x:v>43.39</x:v>
      </x:c>
      <x:c r="G505" t="str">
        <x:v>Autumn</x:v>
      </x:c>
      <x:c r="H505" t="str">
        <x:v>Cash on Delivery</x:v>
      </x:c>
      <x:c r="I505" t="n">
        <x:v>5</x:v>
      </x:c>
      <x:c r="J505" t="n">
        <x:v>12</x:v>
      </x:c>
      <x:c r="K505" t="n">
        <x:v>1</x:v>
      </x:c>
      <x:c r="L505" t="str">
        <x:v>STORE-001</x:v>
      </x:c>
      <x:c r="M505" s="22" t="n">
        <x:v>46115</x:v>
      </x:c>
      <x:c r="N505" t="str">
        <x:v>SKU-003</x:v>
      </x:c>
      <x:c r="O505" t="n">
        <x:v>1</x:v>
      </x:c>
      <x:c r="P505" s="26" t="n">
        <x:f>F505/O505</x:f>
        <x:v>43.39</x:v>
      </x:c>
    </x:row>
    <x:row r="506">
      <x:c r="A506" t="n">
        <x:v>505</x:v>
      </x:c>
      <x:c r="B506" t="n">
        <x:v>26</x:v>
      </x:c>
      <x:c r="C506" t="str">
        <x:v>Female</x:v>
      </x:c>
      <x:c r="D506" t="str">
        <x:v>Accessories</x:v>
      </x:c>
      <x:c r="E506" t="str">
        <x:v>Sunglasses</x:v>
      </x:c>
      <x:c r="F506" s="24" t="n">
        <x:v>26.57</x:v>
      </x:c>
      <x:c r="G506" t="str">
        <x:v>Summer</x:v>
      </x:c>
      <x:c r="H506" t="str">
        <x:v>Cash on Delivery</x:v>
      </x:c>
      <x:c r="I506" t="n">
        <x:v>4.4</x:v>
      </x:c>
      <x:c r="J506" t="n">
        <x:v>22</x:v>
      </x:c>
      <x:c r="K506" t="n">
        <x:v>6</x:v>
      </x:c>
      <x:c r="L506" t="str">
        <x:v>STORE-001</x:v>
      </x:c>
      <x:c r="M506" s="22" t="n">
        <x:v>46067</x:v>
      </x:c>
      <x:c r="N506" t="str">
        <x:v>SKU-026</x:v>
      </x:c>
      <x:c r="O506" t="n">
        <x:v>1</x:v>
      </x:c>
      <x:c r="P506" s="26" t="n">
        <x:f>F506/O506</x:f>
        <x:v>26.57</x:v>
      </x:c>
    </x:row>
    <x:row r="507">
      <x:c r="A507" t="n">
        <x:v>506</x:v>
      </x:c>
      <x:c r="B507" t="n">
        <x:v>57</x:v>
      </x:c>
      <x:c r="C507" t="str">
        <x:v>Female</x:v>
      </x:c>
      <x:c r="D507" t="str">
        <x:v>Womens Clothing</x:v>
      </x:c>
      <x:c r="E507" t="str">
        <x:v>Skirt</x:v>
      </x:c>
      <x:c r="F507" s="24" t="n">
        <x:v>187.19</x:v>
      </x:c>
      <x:c r="G507" t="str">
        <x:v>Summer</x:v>
      </x:c>
      <x:c r="H507" t="str">
        <x:v>Card</x:v>
      </x:c>
      <x:c r="I507" t="n">
        <x:v>4.7</x:v>
      </x:c>
      <x:c r="J507" t="n">
        <x:v>16</x:v>
      </x:c>
      <x:c r="K507" t="n">
        <x:v>3</x:v>
      </x:c>
      <x:c r="L507" t="str">
        <x:v>STORE-001</x:v>
      </x:c>
      <x:c r="M507" s="22" t="n">
        <x:v>46000</x:v>
      </x:c>
      <x:c r="N507" t="str">
        <x:v>SKU-022</x:v>
      </x:c>
      <x:c r="O507" t="n">
        <x:v>1</x:v>
      </x:c>
      <x:c r="P507" s="26" t="n">
        <x:f>F507/O507</x:f>
        <x:v>187.19</x:v>
      </x:c>
    </x:row>
    <x:row r="508">
      <x:c r="A508" t="n">
        <x:v>507</x:v>
      </x:c>
      <x:c r="B508" t="n">
        <x:v>37</x:v>
      </x:c>
      <x:c r="C508" t="str">
        <x:v>Male</x:v>
      </x:c>
      <x:c r="D508" t="str">
        <x:v>Footwear</x:v>
      </x:c>
      <x:c r="E508" t="str">
        <x:v>Sandals</x:v>
      </x:c>
      <x:c r="F508" s="24" t="n">
        <x:v>80.92</x:v>
      </x:c>
      <x:c r="G508" t="str">
        <x:v>Autumn</x:v>
      </x:c>
      <x:c r="H508" t="str">
        <x:v>Cash on Delivery</x:v>
      </x:c>
      <x:c r="I508" t="n">
        <x:v>3</x:v>
      </x:c>
      <x:c r="J508" t="n">
        <x:v>14</x:v>
      </x:c>
      <x:c r="K508" t="n">
        <x:v>7</x:v>
      </x:c>
      <x:c r="L508" t="str">
        <x:v>STORE-001</x:v>
      </x:c>
      <x:c r="M508" s="22" t="n">
        <x:v>46118</x:v>
      </x:c>
      <x:c r="N508" t="str">
        <x:v>SKU-019</x:v>
      </x:c>
      <x:c r="O508" t="n">
        <x:v>1</x:v>
      </x:c>
      <x:c r="P508" s="26" t="n">
        <x:f>F508/O508</x:f>
        <x:v>80.92</x:v>
      </x:c>
    </x:row>
    <x:row r="509">
      <x:c r="A509" t="n">
        <x:v>508</x:v>
      </x:c>
      <x:c r="B509" t="n">
        <x:v>44</x:v>
      </x:c>
      <x:c r="C509" t="str">
        <x:v>Male</x:v>
      </x:c>
      <x:c r="D509" t="str">
        <x:v>Electronics</x:v>
      </x:c>
      <x:c r="E509" t="str">
        <x:v>Laptop</x:v>
      </x:c>
      <x:c r="F509" s="24" t="n">
        <x:v>1002.94</x:v>
      </x:c>
      <x:c r="G509" t="str">
        <x:v>Summer</x:v>
      </x:c>
      <x:c r="H509" t="str">
        <x:v>Card</x:v>
      </x:c>
      <x:c r="I509" t="n">
        <x:v>2.3</x:v>
      </x:c>
      <x:c r="J509" t="n">
        <x:v>14</x:v>
      </x:c>
      <x:c r="K509" t="n">
        <x:v>2</x:v>
      </x:c>
      <x:c r="L509" t="str">
        <x:v>STORE-001</x:v>
      </x:c>
      <x:c r="M509" s="22" t="n">
        <x:v>46020</x:v>
      </x:c>
      <x:c r="N509" t="str">
        <x:v>SKU-014</x:v>
      </x:c>
      <x:c r="O509" t="n">
        <x:v>1</x:v>
      </x:c>
      <x:c r="P509" s="26" t="n">
        <x:f>F509/O509</x:f>
        <x:v>1002.94</x:v>
      </x:c>
    </x:row>
    <x:row r="510">
      <x:c r="A510" t="n">
        <x:v>509</x:v>
      </x:c>
      <x:c r="B510" t="n">
        <x:v>23</x:v>
      </x:c>
      <x:c r="C510" t="str">
        <x:v>Female</x:v>
      </x:c>
      <x:c r="D510" t="str">
        <x:v>Beauty</x:v>
      </x:c>
      <x:c r="E510" t="str">
        <x:v>Perfume</x:v>
      </x:c>
      <x:c r="F510" s="24" t="n">
        <x:v>65.35</x:v>
      </x:c>
      <x:c r="G510" t="str">
        <x:v>Summer</x:v>
      </x:c>
      <x:c r="H510" t="str">
        <x:v>Card</x:v>
      </x:c>
      <x:c r="I510" t="n">
        <x:v>2.7</x:v>
      </x:c>
      <x:c r="J510" t="n">
        <x:v>16</x:v>
      </x:c>
      <x:c r="K510" t="n">
        <x:v>3</x:v>
      </x:c>
      <x:c r="L510" t="str">
        <x:v>STORE-001</x:v>
      </x:c>
      <x:c r="M510" s="22" t="n">
        <x:v>46075</x:v>
      </x:c>
      <x:c r="N510" t="str">
        <x:v>SKU-017</x:v>
      </x:c>
      <x:c r="O510" t="n">
        <x:v>1</x:v>
      </x:c>
      <x:c r="P510" s="26" t="n">
        <x:f>F510/O510</x:f>
        <x:v>65.35</x:v>
      </x:c>
    </x:row>
    <x:row r="511">
      <x:c r="A511" t="n">
        <x:v>510</x:v>
      </x:c>
      <x:c r="B511" t="n">
        <x:v>21</x:v>
      </x:c>
      <x:c r="C511" t="str">
        <x:v>Male</x:v>
      </x:c>
      <x:c r="D511" t="str">
        <x:v>Footwear</x:v>
      </x:c>
      <x:c r="E511" t="str">
        <x:v>Formal Shoes</x:v>
      </x:c>
      <x:c r="F511" s="24" t="n">
        <x:v>87.39</x:v>
      </x:c>
      <x:c r="G511" t="str">
        <x:v>Autumn</x:v>
      </x:c>
      <x:c r="H511" t="str">
        <x:v>Card</x:v>
      </x:c>
      <x:c r="I511" t="n">
        <x:v>3.7</x:v>
      </x:c>
      <x:c r="J511" t="n">
        <x:v>6</x:v>
      </x:c>
      <x:c r="K511" t="n">
        <x:v>3</x:v>
      </x:c>
      <x:c r="L511" t="str">
        <x:v>STORE-001</x:v>
      </x:c>
      <x:c r="M511" s="22" t="n">
        <x:v>46157</x:v>
      </x:c>
      <x:c r="N511" t="str">
        <x:v>SKU-007</x:v>
      </x:c>
      <x:c r="O511" t="n">
        <x:v>1</x:v>
      </x:c>
      <x:c r="P511" s="26" t="n">
        <x:f>F511/O511</x:f>
        <x:v>87.39</x:v>
      </x:c>
    </x:row>
    <x:row r="512">
      <x:c r="A512" t="n">
        <x:v>511</x:v>
      </x:c>
      <x:c r="B512" t="n">
        <x:v>38</x:v>
      </x:c>
      <x:c r="C512" t="str">
        <x:v>Male</x:v>
      </x:c>
      <x:c r="D512" t="str">
        <x:v>Electronics</x:v>
      </x:c>
      <x:c r="E512" t="str">
        <x:v>Laptop</x:v>
      </x:c>
      <x:c r="F512" s="24" t="n">
        <x:v>1886.55</x:v>
      </x:c>
      <x:c r="G512" t="str">
        <x:v>Summer</x:v>
      </x:c>
      <x:c r="H512" t="str">
        <x:v>Card</x:v>
      </x:c>
      <x:c r="I512" t="n">
        <x:v>3.8</x:v>
      </x:c>
      <x:c r="J512" t="n">
        <x:v>16</x:v>
      </x:c>
      <x:c r="K512" t="n">
        <x:v>3</x:v>
      </x:c>
      <x:c r="L512" t="str">
        <x:v>STORE-001</x:v>
      </x:c>
      <x:c r="M512" s="22" t="n">
        <x:v>46051</x:v>
      </x:c>
      <x:c r="N512" t="str">
        <x:v>SKU-014</x:v>
      </x:c>
      <x:c r="O512" t="n">
        <x:v>1</x:v>
      </x:c>
      <x:c r="P512" s="26" t="n">
        <x:f>F512/O512</x:f>
        <x:v>1886.55</x:v>
      </x:c>
    </x:row>
    <x:row r="513">
      <x:c r="A513" t="n">
        <x:v>512</x:v>
      </x:c>
      <x:c r="B513" t="n">
        <x:v>58</x:v>
      </x:c>
      <x:c r="C513" t="str">
        <x:v>Female</x:v>
      </x:c>
      <x:c r="D513" t="str">
        <x:v>Womens Clothing</x:v>
      </x:c>
      <x:c r="E513" t="str">
        <x:v>Top</x:v>
      </x:c>
      <x:c r="F513" s="24" t="n">
        <x:v>166.84</x:v>
      </x:c>
      <x:c r="G513" t="str">
        <x:v>Spring</x:v>
      </x:c>
      <x:c r="H513" t="str">
        <x:v>Card</x:v>
      </x:c>
      <x:c r="I513" t="n">
        <x:v>4.6</x:v>
      </x:c>
      <x:c r="J513" t="n">
        <x:v>18</x:v>
      </x:c>
      <x:c r="K513" t="n">
        <x:v>4</x:v>
      </x:c>
      <x:c r="L513" t="str">
        <x:v>STORE-001</x:v>
      </x:c>
      <x:c r="M513" s="22" t="n">
        <x:v>46267</x:v>
      </x:c>
      <x:c r="N513" t="str">
        <x:v>SKU-028</x:v>
      </x:c>
      <x:c r="O513" t="n">
        <x:v>2</x:v>
      </x:c>
      <x:c r="P513" s="26" t="n">
        <x:f>F513/O513</x:f>
        <x:v>83.42</x:v>
      </x:c>
    </x:row>
    <x:row r="514">
      <x:c r="A514" t="n">
        <x:v>513</x:v>
      </x:c>
      <x:c r="B514" t="n">
        <x:v>37</x:v>
      </x:c>
      <x:c r="C514" t="str">
        <x:v>Female</x:v>
      </x:c>
      <x:c r="D514" t="str">
        <x:v>Beauty</x:v>
      </x:c>
      <x:c r="E514" t="str">
        <x:v>Skincare Kit</x:v>
      </x:c>
      <x:c r="F514" s="24" t="n">
        <x:v>87.84</x:v>
      </x:c>
      <x:c r="G514" t="str">
        <x:v>Spring</x:v>
      </x:c>
      <x:c r="H514" t="str">
        <x:v>Card</x:v>
      </x:c>
      <x:c r="I514" t="n">
        <x:v>4.1</x:v>
      </x:c>
      <x:c r="J514" t="n">
        <x:v>7</x:v>
      </x:c>
      <x:c r="K514" t="n">
        <x:v>1</x:v>
      </x:c>
      <x:c r="L514" t="str">
        <x:v>STORE-001</x:v>
      </x:c>
      <x:c r="M514" s="22" t="n">
        <x:v>45947</x:v>
      </x:c>
      <x:c r="N514" t="str">
        <x:v>SKU-021</x:v>
      </x:c>
      <x:c r="O514" t="n">
        <x:v>1</x:v>
      </x:c>
      <x:c r="P514" s="26" t="n">
        <x:f>F514/O514</x:f>
        <x:v>87.84</x:v>
      </x:c>
    </x:row>
    <x:row r="515">
      <x:c r="A515" t="n">
        <x:v>514</x:v>
      </x:c>
      <x:c r="B515" t="n">
        <x:v>44</x:v>
      </x:c>
      <x:c r="C515" t="str">
        <x:v>Female</x:v>
      </x:c>
      <x:c r="D515" t="str">
        <x:v>Beauty</x:v>
      </x:c>
      <x:c r="E515" t="str">
        <x:v>Makeup Set</x:v>
      </x:c>
      <x:c r="F515" s="24" t="n">
        <x:v>110.61</x:v>
      </x:c>
      <x:c r="G515" t="str">
        <x:v>Autumn</x:v>
      </x:c>
      <x:c r="H515" t="str">
        <x:v>Card</x:v>
      </x:c>
      <x:c r="I515" t="n">
        <x:v>3.5</x:v>
      </x:c>
      <x:c r="J515" t="n">
        <x:v>13</x:v>
      </x:c>
      <x:c r="K515" t="n">
        <x:v>4</x:v>
      </x:c>
      <x:c r="L515" t="str">
        <x:v>STORE-001</x:v>
      </x:c>
      <x:c r="M515" s="22" t="n">
        <x:v>46099</x:v>
      </x:c>
      <x:c r="N515" t="str">
        <x:v>SKU-015</x:v>
      </x:c>
      <x:c r="O515" t="n">
        <x:v>1</x:v>
      </x:c>
      <x:c r="P515" s="26" t="n">
        <x:f>F515/O515</x:f>
        <x:v>110.61</x:v>
      </x:c>
    </x:row>
    <x:row r="516">
      <x:c r="A516" t="n">
        <x:v>515</x:v>
      </x:c>
      <x:c r="B516" t="n">
        <x:v>55</x:v>
      </x:c>
      <x:c r="C516" t="str">
        <x:v>Male</x:v>
      </x:c>
      <x:c r="D516" t="str">
        <x:v>Home</x:v>
      </x:c>
      <x:c r="E516" t="str">
        <x:v>Lamp</x:v>
      </x:c>
      <x:c r="F516" s="24" t="n">
        <x:v>130.03</x:v>
      </x:c>
      <x:c r="G516" t="str">
        <x:v>Winter</x:v>
      </x:c>
      <x:c r="H516" t="str">
        <x:v>Card</x:v>
      </x:c>
      <x:c r="I516" t="n">
        <x:v>3.1</x:v>
      </x:c>
      <x:c r="J516" t="n">
        <x:v>14</x:v>
      </x:c>
      <x:c r="K516" t="n">
        <x:v>7</x:v>
      </x:c>
      <x:c r="L516" t="str">
        <x:v>STORE-001</x:v>
      </x:c>
      <x:c r="M516" s="22" t="n">
        <x:v>46240</x:v>
      </x:c>
      <x:c r="N516" t="str">
        <x:v>SKU-013</x:v>
      </x:c>
      <x:c r="O516" t="n">
        <x:v>1</x:v>
      </x:c>
      <x:c r="P516" s="26" t="n">
        <x:f>F516/O516</x:f>
        <x:v>130.03</x:v>
      </x:c>
    </x:row>
    <x:row r="517">
      <x:c r="A517" t="n">
        <x:v>516</x:v>
      </x:c>
      <x:c r="B517" t="n">
        <x:v>33</x:v>
      </x:c>
      <x:c r="C517" t="str">
        <x:v>Female</x:v>
      </x:c>
      <x:c r="D517" t="str">
        <x:v>Accessories</x:v>
      </x:c>
      <x:c r="E517" t="str">
        <x:v>Sunglasses</x:v>
      </x:c>
      <x:c r="F517" s="24" t="n">
        <x:v>97.26</x:v>
      </x:c>
      <x:c r="G517" t="str">
        <x:v>Summer</x:v>
      </x:c>
      <x:c r="H517" t="str">
        <x:v>Card</x:v>
      </x:c>
      <x:c r="I517" t="n">
        <x:v>3.1</x:v>
      </x:c>
      <x:c r="J517" t="n">
        <x:v>10</x:v>
      </x:c>
      <x:c r="K517" t="n">
        <x:v>5</x:v>
      </x:c>
      <x:c r="L517" t="str">
        <x:v>STORE-001</x:v>
      </x:c>
      <x:c r="M517" s="22" t="n">
        <x:v>46049</x:v>
      </x:c>
      <x:c r="N517" t="str">
        <x:v>SKU-026</x:v>
      </x:c>
      <x:c r="O517" t="n">
        <x:v>1</x:v>
      </x:c>
      <x:c r="P517" s="26" t="n">
        <x:f>F517/O517</x:f>
        <x:v>97.26</x:v>
      </x:c>
    </x:row>
    <x:row r="518">
      <x:c r="A518" t="n">
        <x:v>517</x:v>
      </x:c>
      <x:c r="B518" t="n">
        <x:v>39</x:v>
      </x:c>
      <x:c r="C518" t="str">
        <x:v>Female</x:v>
      </x:c>
      <x:c r="D518" t="str">
        <x:v>Beauty</x:v>
      </x:c>
      <x:c r="E518" t="str">
        <x:v>Makeup Set</x:v>
      </x:c>
      <x:c r="F518" s="24" t="n">
        <x:v>35.18</x:v>
      </x:c>
      <x:c r="G518" t="str">
        <x:v>Autumn</x:v>
      </x:c>
      <x:c r="H518" t="str">
        <x:v>Card</x:v>
      </x:c>
      <x:c r="I518" t="n">
        <x:v>4.1</x:v>
      </x:c>
      <x:c r="J518" t="n">
        <x:v>17</x:v>
      </x:c>
      <x:c r="K518" t="n">
        <x:v>6</x:v>
      </x:c>
      <x:c r="L518" t="str">
        <x:v>STORE-001</x:v>
      </x:c>
      <x:c r="M518" s="22" t="n">
        <x:v>46158</x:v>
      </x:c>
      <x:c r="N518" t="str">
        <x:v>SKU-015</x:v>
      </x:c>
      <x:c r="O518" t="n">
        <x:v>1</x:v>
      </x:c>
      <x:c r="P518" s="26" t="n">
        <x:f>F518/O518</x:f>
        <x:v>35.18</x:v>
      </x:c>
    </x:row>
    <x:row r="519">
      <x:c r="A519" t="n">
        <x:v>518</x:v>
      </x:c>
      <x:c r="B519" t="n">
        <x:v>44</x:v>
      </x:c>
      <x:c r="C519" t="str">
        <x:v>Male</x:v>
      </x:c>
      <x:c r="D519" t="str">
        <x:v>Sports</x:v>
      </x:c>
      <x:c r="E519" t="str">
        <x:v>Dumbbells</x:v>
      </x:c>
      <x:c r="F519" s="24" t="n">
        <x:v>93.78</x:v>
      </x:c>
      <x:c r="G519" t="str">
        <x:v>Summer</x:v>
      </x:c>
      <x:c r="H519" t="str">
        <x:v>Cash on Delivery</x:v>
      </x:c>
      <x:c r="I519" t="n">
        <x:v>5</x:v>
      </x:c>
      <x:c r="J519" t="n">
        <x:v>17</x:v>
      </x:c>
      <x:c r="K519" t="n">
        <x:v>6</x:v>
      </x:c>
      <x:c r="L519" t="str">
        <x:v>STORE-001</x:v>
      </x:c>
      <x:c r="M519" s="22" t="n">
        <x:v>46076</x:v>
      </x:c>
      <x:c r="N519" t="str">
        <x:v>SKU-005</x:v>
      </x:c>
      <x:c r="O519" t="n">
        <x:v>1</x:v>
      </x:c>
      <x:c r="P519" s="26" t="n">
        <x:f>F519/O519</x:f>
        <x:v>93.78</x:v>
      </x:c>
    </x:row>
    <x:row r="520">
      <x:c r="A520" t="n">
        <x:v>519</x:v>
      </x:c>
      <x:c r="B520" t="n">
        <x:v>26</x:v>
      </x:c>
      <x:c r="C520" t="str">
        <x:v>Male</x:v>
      </x:c>
      <x:c r="D520" t="str">
        <x:v>Footwear</x:v>
      </x:c>
      <x:c r="E520" t="str">
        <x:v>Sneakers</x:v>
      </x:c>
      <x:c r="F520" s="24" t="n">
        <x:v>235.26</x:v>
      </x:c>
      <x:c r="G520" t="str">
        <x:v>Summer</x:v>
      </x:c>
      <x:c r="H520" t="str">
        <x:v>Card</x:v>
      </x:c>
      <x:c r="I520" t="n">
        <x:v>4.9</x:v>
      </x:c>
      <x:c r="J520" t="n">
        <x:v>13</x:v>
      </x:c>
      <x:c r="K520" t="n">
        <x:v>4</x:v>
      </x:c>
      <x:c r="L520" t="str">
        <x:v>STORE-001</x:v>
      </x:c>
      <x:c r="M520" s="22" t="n">
        <x:v>46029</x:v>
      </x:c>
      <x:c r="N520" t="str">
        <x:v>SKU-025</x:v>
      </x:c>
      <x:c r="O520" t="n">
        <x:v>1</x:v>
      </x:c>
      <x:c r="P520" s="26" t="n">
        <x:f>F520/O520</x:f>
        <x:v>235.26</x:v>
      </x:c>
    </x:row>
    <x:row r="521">
      <x:c r="A521" t="n">
        <x:v>520</x:v>
      </x:c>
      <x:c r="B521" t="n">
        <x:v>62</x:v>
      </x:c>
      <x:c r="C521" t="str">
        <x:v>Male</x:v>
      </x:c>
      <x:c r="D521" t="str">
        <x:v>Sports</x:v>
      </x:c>
      <x:c r="E521" t="str">
        <x:v>Dumbbells</x:v>
      </x:c>
      <x:c r="F521" s="24" t="n">
        <x:v>136.94</x:v>
      </x:c>
      <x:c r="G521" t="str">
        <x:v>Autumn</x:v>
      </x:c>
      <x:c r="H521" t="str">
        <x:v>Card</x:v>
      </x:c>
      <x:c r="I521" t="n">
        <x:v>3.6</x:v>
      </x:c>
      <x:c r="J521" t="n">
        <x:v>15</x:v>
      </x:c>
      <x:c r="K521" t="n">
        <x:v>5</x:v>
      </x:c>
      <x:c r="L521" t="str">
        <x:v>STORE-001</x:v>
      </x:c>
      <x:c r="M521" s="22" t="n">
        <x:v>46091</x:v>
      </x:c>
      <x:c r="N521" t="str">
        <x:v>SKU-005</x:v>
      </x:c>
      <x:c r="O521" t="n">
        <x:v>1</x:v>
      </x:c>
      <x:c r="P521" s="26" t="n">
        <x:f>F521/O521</x:f>
        <x:v>136.94</x:v>
      </x:c>
    </x:row>
    <x:row r="522">
      <x:c r="A522" t="n">
        <x:v>521</x:v>
      </x:c>
      <x:c r="B522" t="n">
        <x:v>60</x:v>
      </x:c>
      <x:c r="C522" t="str">
        <x:v>Female</x:v>
      </x:c>
      <x:c r="D522" t="str">
        <x:v>Footwear</x:v>
      </x:c>
      <x:c r="E522" t="str">
        <x:v>Formal Shoes</x:v>
      </x:c>
      <x:c r="F522" s="24" t="n">
        <x:v>149.45</x:v>
      </x:c>
      <x:c r="G522" t="str">
        <x:v>Winter</x:v>
      </x:c>
      <x:c r="H522" t="str">
        <x:v>Card</x:v>
      </x:c>
      <x:c r="I522" t="n">
        <x:v>3.3</x:v>
      </x:c>
      <x:c r="J522" t="n">
        <x:v>6</x:v>
      </x:c>
      <x:c r="K522" t="n">
        <x:v>3</x:v>
      </x:c>
      <x:c r="L522" t="str">
        <x:v>STORE-001</x:v>
      </x:c>
      <x:c r="M522" s="22" t="n">
        <x:v>46219</x:v>
      </x:c>
      <x:c r="N522" t="str">
        <x:v>SKU-007</x:v>
      </x:c>
      <x:c r="O522" t="n">
        <x:v>1</x:v>
      </x:c>
      <x:c r="P522" s="26" t="n">
        <x:f>F522/O522</x:f>
        <x:v>149.45</x:v>
      </x:c>
    </x:row>
    <x:row r="523">
      <x:c r="A523" t="n">
        <x:v>522</x:v>
      </x:c>
      <x:c r="B523" t="n">
        <x:v>42</x:v>
      </x:c>
      <x:c r="C523" t="str">
        <x:v>Male</x:v>
      </x:c>
      <x:c r="D523" t="str">
        <x:v>Footwear</x:v>
      </x:c>
      <x:c r="E523" t="str">
        <x:v>Formal Shoes</x:v>
      </x:c>
      <x:c r="F523" s="24" t="n">
        <x:v>122.86</x:v>
      </x:c>
      <x:c r="G523" t="str">
        <x:v>Summer</x:v>
      </x:c>
      <x:c r="H523" t="str">
        <x:v>Card</x:v>
      </x:c>
      <x:c r="I523" t="n">
        <x:v>4.7</x:v>
      </x:c>
      <x:c r="J523" t="n">
        <x:v>18</x:v>
      </x:c>
      <x:c r="K523" t="n">
        <x:v>4</x:v>
      </x:c>
      <x:c r="L523" t="str">
        <x:v>STORE-001</x:v>
      </x:c>
      <x:c r="M523" s="22" t="n">
        <x:v>46050</x:v>
      </x:c>
      <x:c r="N523" t="str">
        <x:v>SKU-007</x:v>
      </x:c>
      <x:c r="O523" t="n">
        <x:v>2</x:v>
      </x:c>
      <x:c r="P523" s="26" t="n">
        <x:f>F523/O523</x:f>
        <x:v>61.43</x:v>
      </x:c>
    </x:row>
    <x:row r="524">
      <x:c r="A524" t="n">
        <x:v>523</x:v>
      </x:c>
      <x:c r="B524" t="n">
        <x:v>32</x:v>
      </x:c>
      <x:c r="C524" t="str">
        <x:v>Female</x:v>
      </x:c>
      <x:c r="D524" t="str">
        <x:v>Footwear</x:v>
      </x:c>
      <x:c r="E524" t="str">
        <x:v>Formal Shoes</x:v>
      </x:c>
      <x:c r="F524" s="24" t="n">
        <x:v>156.61</x:v>
      </x:c>
      <x:c r="G524" t="str">
        <x:v>Summer</x:v>
      </x:c>
      <x:c r="H524" t="str">
        <x:v>Card</x:v>
      </x:c>
      <x:c r="I524" t="n">
        <x:v>4.7</x:v>
      </x:c>
      <x:c r="J524" t="n">
        <x:v>22</x:v>
      </x:c>
      <x:c r="K524" t="n">
        <x:v>6</x:v>
      </x:c>
      <x:c r="L524" t="str">
        <x:v>STORE-001</x:v>
      </x:c>
      <x:c r="M524" s="22" t="n">
        <x:v>46051</x:v>
      </x:c>
      <x:c r="N524" t="str">
        <x:v>SKU-007</x:v>
      </x:c>
      <x:c r="O524" t="n">
        <x:v>1</x:v>
      </x:c>
      <x:c r="P524" s="26" t="n">
        <x:f>F524/O524</x:f>
        <x:v>156.61</x:v>
      </x:c>
    </x:row>
    <x:row r="525">
      <x:c r="A525" t="n">
        <x:v>524</x:v>
      </x:c>
      <x:c r="B525" t="n">
        <x:v>29</x:v>
      </x:c>
      <x:c r="C525" t="str">
        <x:v>Male</x:v>
      </x:c>
      <x:c r="D525" t="str">
        <x:v>Sports</x:v>
      </x:c>
      <x:c r="E525" t="str">
        <x:v>Dumbbells</x:v>
      </x:c>
      <x:c r="F525" s="24" t="n">
        <x:v>88.8</x:v>
      </x:c>
      <x:c r="G525" t="str">
        <x:v>Autumn</x:v>
      </x:c>
      <x:c r="H525" t="str">
        <x:v>Card</x:v>
      </x:c>
      <x:c r="I525" t="n">
        <x:v>3.1</x:v>
      </x:c>
      <x:c r="J525" t="n">
        <x:v>22</x:v>
      </x:c>
      <x:c r="K525" t="n">
        <x:v>6</x:v>
      </x:c>
      <x:c r="L525" t="str">
        <x:v>STORE-001</x:v>
      </x:c>
      <x:c r="M525" s="22" t="n">
        <x:v>46089</x:v>
      </x:c>
      <x:c r="N525" t="str">
        <x:v>SKU-005</x:v>
      </x:c>
      <x:c r="O525" t="n">
        <x:v>1</x:v>
      </x:c>
      <x:c r="P525" s="26" t="n">
        <x:f>F525/O525</x:f>
        <x:v>88.8</x:v>
      </x:c>
    </x:row>
    <x:row r="526">
      <x:c r="A526" t="n">
        <x:v>525</x:v>
      </x:c>
      <x:c r="B526" t="n">
        <x:v>46</x:v>
      </x:c>
      <x:c r="C526" t="str">
        <x:v>Male</x:v>
      </x:c>
      <x:c r="D526" t="str">
        <x:v>Mens Clothing</x:v>
      </x:c>
      <x:c r="E526" t="str">
        <x:v>Shirt</x:v>
      </x:c>
      <x:c r="F526" s="24" t="n">
        <x:v>165.74</x:v>
      </x:c>
      <x:c r="G526" t="str">
        <x:v>Autumn</x:v>
      </x:c>
      <x:c r="H526" t="str">
        <x:v>Card</x:v>
      </x:c>
      <x:c r="I526" t="n">
        <x:v>4.2</x:v>
      </x:c>
      <x:c r="J526" t="n">
        <x:v>6</x:v>
      </x:c>
      <x:c r="K526" t="n">
        <x:v>3</x:v>
      </x:c>
      <x:c r="L526" t="str">
        <x:v>STORE-001</x:v>
      </x:c>
      <x:c r="M526" s="22" t="n">
        <x:v>46123</x:v>
      </x:c>
      <x:c r="N526" t="str">
        <x:v>SKU-020</x:v>
      </x:c>
      <x:c r="O526" t="n">
        <x:v>1</x:v>
      </x:c>
      <x:c r="P526" s="26" t="n">
        <x:f>F526/O526</x:f>
        <x:v>165.74</x:v>
      </x:c>
    </x:row>
    <x:row r="527">
      <x:c r="A527" t="n">
        <x:v>526</x:v>
      </x:c>
      <x:c r="B527" t="n">
        <x:v>61</x:v>
      </x:c>
      <x:c r="C527" t="str">
        <x:v>Male</x:v>
      </x:c>
      <x:c r="D527" t="str">
        <x:v>Home</x:v>
      </x:c>
      <x:c r="E527" t="str">
        <x:v>Kitchen Set</x:v>
      </x:c>
      <x:c r="F527" s="24" t="n">
        <x:v>220.45</x:v>
      </x:c>
      <x:c r="G527" t="str">
        <x:v>Spring</x:v>
      </x:c>
      <x:c r="H527" t="str">
        <x:v>Card</x:v>
      </x:c>
      <x:c r="I527" t="n">
        <x:v>3.2</x:v>
      </x:c>
      <x:c r="J527" t="n">
        <x:v>17</x:v>
      </x:c>
      <x:c r="K527" t="n">
        <x:v>6</x:v>
      </x:c>
      <x:c r="L527" t="str">
        <x:v>STORE-001</x:v>
      </x:c>
      <x:c r="M527" s="22" t="n">
        <x:v>45948</x:v>
      </x:c>
      <x:c r="N527" t="str">
        <x:v>SKU-012</x:v>
      </x:c>
      <x:c r="O527" t="n">
        <x:v>3</x:v>
      </x:c>
      <x:c r="P527" s="26" t="n">
        <x:f>F527/O527</x:f>
        <x:v>73.48333333333333</x:v>
      </x:c>
    </x:row>
    <x:row r="528">
      <x:c r="A528" t="n">
        <x:v>527</x:v>
      </x:c>
      <x:c r="B528" t="n">
        <x:v>27</x:v>
      </x:c>
      <x:c r="C528" t="str">
        <x:v>Male</x:v>
      </x:c>
      <x:c r="D528" t="str">
        <x:v>Mens Clothing</x:v>
      </x:c>
      <x:c r="E528" t="str">
        <x:v>Jeans</x:v>
      </x:c>
      <x:c r="F528" s="24" t="n">
        <x:v>110.6</x:v>
      </x:c>
      <x:c r="G528" t="str">
        <x:v>Autumn</x:v>
      </x:c>
      <x:c r="H528" t="str">
        <x:v>Card</x:v>
      </x:c>
      <x:c r="I528" t="n">
        <x:v>3.6</x:v>
      </x:c>
      <x:c r="J528" t="n">
        <x:v>10</x:v>
      </x:c>
      <x:c r="K528" t="n">
        <x:v>0</x:v>
      </x:c>
      <x:c r="L528" t="str">
        <x:v>STORE-001</x:v>
      </x:c>
      <x:c r="M528" s="22" t="n">
        <x:v>46096</x:v>
      </x:c>
      <x:c r="N528" t="str">
        <x:v>SKU-011</x:v>
      </x:c>
      <x:c r="O528" t="n">
        <x:v>1</x:v>
      </x:c>
      <x:c r="P528" s="26" t="n">
        <x:f>F528/O528</x:f>
        <x:v>110.6</x:v>
      </x:c>
    </x:row>
    <x:row r="529">
      <x:c r="A529" t="n">
        <x:v>528</x:v>
      </x:c>
      <x:c r="B529" t="n">
        <x:v>56</x:v>
      </x:c>
      <x:c r="C529" t="str">
        <x:v>Female</x:v>
      </x:c>
      <x:c r="D529" t="str">
        <x:v>Beauty</x:v>
      </x:c>
      <x:c r="E529" t="str">
        <x:v>Makeup Set</x:v>
      </x:c>
      <x:c r="F529" s="24" t="n">
        <x:v>135.51</x:v>
      </x:c>
      <x:c r="G529" t="str">
        <x:v>Summer</x:v>
      </x:c>
      <x:c r="H529" t="str">
        <x:v>Card</x:v>
      </x:c>
      <x:c r="I529" t="n">
        <x:v>4.4</x:v>
      </x:c>
      <x:c r="J529" t="n">
        <x:v>26</x:v>
      </x:c>
      <x:c r="K529" t="n">
        <x:v>8</x:v>
      </x:c>
      <x:c r="L529" t="str">
        <x:v>STORE-001</x:v>
      </x:c>
      <x:c r="M529" s="22" t="n">
        <x:v>46015</x:v>
      </x:c>
      <x:c r="N529" t="str">
        <x:v>SKU-015</x:v>
      </x:c>
      <x:c r="O529" t="n">
        <x:v>3</x:v>
      </x:c>
      <x:c r="P529" s="26" t="n">
        <x:f>F529/O529</x:f>
        <x:v>45.169999999999995</x:v>
      </x:c>
    </x:row>
    <x:row r="530">
      <x:c r="A530" t="n">
        <x:v>529</x:v>
      </x:c>
      <x:c r="B530" t="n">
        <x:v>54</x:v>
      </x:c>
      <x:c r="C530" t="str">
        <x:v>Male</x:v>
      </x:c>
      <x:c r="D530" t="str">
        <x:v>Mens Clothing</x:v>
      </x:c>
      <x:c r="E530" t="str">
        <x:v>Jeans</x:v>
      </x:c>
      <x:c r="F530" s="24" t="n">
        <x:v>118.11</x:v>
      </x:c>
      <x:c r="G530" t="str">
        <x:v>Spring</x:v>
      </x:c>
      <x:c r="H530" t="str">
        <x:v>Card</x:v>
      </x:c>
      <x:c r="I530" t="n">
        <x:v>3.2</x:v>
      </x:c>
      <x:c r="J530" t="n">
        <x:v>13</x:v>
      </x:c>
      <x:c r="K530" t="n">
        <x:v>4</x:v>
      </x:c>
      <x:c r="L530" t="str">
        <x:v>STORE-001</x:v>
      </x:c>
      <x:c r="M530" s="22" t="n">
        <x:v>45934</x:v>
      </x:c>
      <x:c r="N530" t="str">
        <x:v>SKU-011</x:v>
      </x:c>
      <x:c r="O530" t="n">
        <x:v>2</x:v>
      </x:c>
      <x:c r="P530" s="26" t="n">
        <x:f>F530/O530</x:f>
        <x:v>59.055</x:v>
      </x:c>
    </x:row>
    <x:row r="531">
      <x:c r="A531" t="n">
        <x:v>530</x:v>
      </x:c>
      <x:c r="B531" t="n">
        <x:v>56</x:v>
      </x:c>
      <x:c r="C531" t="str">
        <x:v>Male</x:v>
      </x:c>
      <x:c r="D531" t="str">
        <x:v>Mens Clothing</x:v>
      </x:c>
      <x:c r="E531" t="str">
        <x:v>Shirt</x:v>
      </x:c>
      <x:c r="F531" s="24" t="n">
        <x:v>125.17</x:v>
      </x:c>
      <x:c r="G531" t="str">
        <x:v>Autumn</x:v>
      </x:c>
      <x:c r="H531" t="str">
        <x:v>Card</x:v>
      </x:c>
      <x:c r="I531" t="n">
        <x:v>3.6</x:v>
      </x:c>
      <x:c r="J531" t="n">
        <x:v>22</x:v>
      </x:c>
      <x:c r="K531" t="n">
        <x:v>6</x:v>
      </x:c>
      <x:c r="L531" t="str">
        <x:v>STORE-001</x:v>
      </x:c>
      <x:c r="M531" s="22" t="n">
        <x:v>46106</x:v>
      </x:c>
      <x:c r="N531" t="str">
        <x:v>SKU-020</x:v>
      </x:c>
      <x:c r="O531" t="n">
        <x:v>1</x:v>
      </x:c>
      <x:c r="P531" s="26" t="n">
        <x:f>F531/O531</x:f>
        <x:v>125.17</x:v>
      </x:c>
    </x:row>
    <x:row r="532">
      <x:c r="A532" t="n">
        <x:v>531</x:v>
      </x:c>
      <x:c r="B532" t="n">
        <x:v>57</x:v>
      </x:c>
      <x:c r="C532" t="str">
        <x:v>Female</x:v>
      </x:c>
      <x:c r="D532" t="str">
        <x:v>Sports</x:v>
      </x:c>
      <x:c r="E532" t="str">
        <x:v>Yoga Mat</x:v>
      </x:c>
      <x:c r="F532" s="24" t="n">
        <x:v>157.33</x:v>
      </x:c>
      <x:c r="G532" t="str">
        <x:v>Summer</x:v>
      </x:c>
      <x:c r="H532" t="str">
        <x:v>Card</x:v>
      </x:c>
      <x:c r="I532" t="n">
        <x:v>3.9</x:v>
      </x:c>
      <x:c r="J532" t="n">
        <x:v>13</x:v>
      </x:c>
      <x:c r="K532" t="n">
        <x:v>4</x:v>
      </x:c>
      <x:c r="L532" t="str">
        <x:v>STORE-001</x:v>
      </x:c>
      <x:c r="M532" s="22" t="n">
        <x:v>46027</x:v>
      </x:c>
      <x:c r="N532" t="str">
        <x:v>SKU-030</x:v>
      </x:c>
      <x:c r="O532" t="n">
        <x:v>2</x:v>
      </x:c>
      <x:c r="P532" s="26" t="n">
        <x:f>F532/O532</x:f>
        <x:v>78.665</x:v>
      </x:c>
    </x:row>
    <x:row r="533">
      <x:c r="A533" t="n">
        <x:v>532</x:v>
      </x:c>
      <x:c r="B533" t="n">
        <x:v>29</x:v>
      </x:c>
      <x:c r="C533" t="str">
        <x:v>Female</x:v>
      </x:c>
      <x:c r="D533" t="str">
        <x:v>Groceries</x:v>
      </x:c>
      <x:c r="E533" t="str">
        <x:v>Rice Pack</x:v>
      </x:c>
      <x:c r="F533" s="24" t="n">
        <x:v>56.63</x:v>
      </x:c>
      <x:c r="G533" t="str">
        <x:v>Spring</x:v>
      </x:c>
      <x:c r="H533" t="str">
        <x:v>Card</x:v>
      </x:c>
      <x:c r="I533" t="n">
        <x:v>4.5</x:v>
      </x:c>
      <x:c r="J533" t="n">
        <x:v>13</x:v>
      </x:c>
      <x:c r="K533" t="n">
        <x:v>4</x:v>
      </x:c>
      <x:c r="L533" t="str">
        <x:v>STORE-001</x:v>
      </x:c>
      <x:c r="M533" s="22" t="n">
        <x:v>46277</x:v>
      </x:c>
      <x:c r="N533" t="str">
        <x:v>SKU-018</x:v>
      </x:c>
      <x:c r="O533" t="n">
        <x:v>5</x:v>
      </x:c>
      <x:c r="P533" s="26" t="n">
        <x:f>F533/O533</x:f>
        <x:v>11.326</x:v>
      </x:c>
    </x:row>
    <x:row r="534">
      <x:c r="A534" t="n">
        <x:v>533</x:v>
      </x:c>
      <x:c r="B534" t="n">
        <x:v>30</x:v>
      </x:c>
      <x:c r="C534" t="str">
        <x:v>Female</x:v>
      </x:c>
      <x:c r="D534" t="str">
        <x:v>Accessories</x:v>
      </x:c>
      <x:c r="E534" t="str">
        <x:v>Handbag</x:v>
      </x:c>
      <x:c r="F534" s="24" t="n">
        <x:v>89.32</x:v>
      </x:c>
      <x:c r="G534" t="str">
        <x:v>Winter</x:v>
      </x:c>
      <x:c r="H534" t="str">
        <x:v>Cash on Delivery</x:v>
      </x:c>
      <x:c r="I534" t="n">
        <x:v>4.5</x:v>
      </x:c>
      <x:c r="J534" t="n">
        <x:v>12</x:v>
      </x:c>
      <x:c r="K534" t="n">
        <x:v>6</x:v>
      </x:c>
      <x:c r="L534" t="str">
        <x:v>STORE-001</x:v>
      </x:c>
      <x:c r="M534" s="22" t="n">
        <x:v>46231</x:v>
      </x:c>
      <x:c r="N534" t="str">
        <x:v>SKU-008</x:v>
      </x:c>
      <x:c r="O534" t="n">
        <x:v>1</x:v>
      </x:c>
      <x:c r="P534" s="26" t="n">
        <x:f>F534/O534</x:f>
        <x:v>89.32</x:v>
      </x:c>
    </x:row>
    <x:row r="535">
      <x:c r="A535" t="n">
        <x:v>534</x:v>
      </x:c>
      <x:c r="B535" t="n">
        <x:v>20</x:v>
      </x:c>
      <x:c r="C535" t="str">
        <x:v>Female</x:v>
      </x:c>
      <x:c r="D535" t="str">
        <x:v>Womens Clothing</x:v>
      </x:c>
      <x:c r="E535" t="str">
        <x:v>Dress</x:v>
      </x:c>
      <x:c r="F535" s="24" t="n">
        <x:v>131.59</x:v>
      </x:c>
      <x:c r="G535" t="str">
        <x:v>Autumn</x:v>
      </x:c>
      <x:c r="H535" t="str">
        <x:v>Card</x:v>
      </x:c>
      <x:c r="I535" t="n">
        <x:v>4.2</x:v>
      </x:c>
      <x:c r="J535" t="n">
        <x:v>17</x:v>
      </x:c>
      <x:c r="K535" t="n">
        <x:v>6</x:v>
      </x:c>
      <x:c r="L535" t="str">
        <x:v>STORE-001</x:v>
      </x:c>
      <x:c r="M535" s="22" t="n">
        <x:v>46153</x:v>
      </x:c>
      <x:c r="N535" t="str">
        <x:v>SKU-004</x:v>
      </x:c>
      <x:c r="O535" t="n">
        <x:v>2</x:v>
      </x:c>
      <x:c r="P535" s="26" t="n">
        <x:f>F535/O535</x:f>
        <x:v>65.795</x:v>
      </x:c>
    </x:row>
    <x:row r="536">
      <x:c r="A536" t="n">
        <x:v>535</x:v>
      </x:c>
      <x:c r="B536" t="n">
        <x:v>31</x:v>
      </x:c>
      <x:c r="C536" t="str">
        <x:v>Male</x:v>
      </x:c>
      <x:c r="D536" t="str">
        <x:v>Sports</x:v>
      </x:c>
      <x:c r="E536" t="str">
        <x:v>Yoga Mat</x:v>
      </x:c>
      <x:c r="F536" s="24" t="n">
        <x:v>45.03</x:v>
      </x:c>
      <x:c r="G536" t="str">
        <x:v>Spring</x:v>
      </x:c>
      <x:c r="H536" t="str">
        <x:v>Cash on Delivery</x:v>
      </x:c>
      <x:c r="I536" t="n">
        <x:v>4.9</x:v>
      </x:c>
      <x:c r="J536" t="n">
        <x:v>12</x:v>
      </x:c>
      <x:c r="K536" t="n">
        <x:v>6</x:v>
      </x:c>
      <x:c r="L536" t="str">
        <x:v>STORE-001</x:v>
      </x:c>
      <x:c r="M536" s="22" t="n">
        <x:v>45936</x:v>
      </x:c>
      <x:c r="N536" t="str">
        <x:v>SKU-030</x:v>
      </x:c>
      <x:c r="O536" t="n">
        <x:v>2</x:v>
      </x:c>
      <x:c r="P536" s="26" t="n">
        <x:f>F536/O536</x:f>
        <x:v>22.515</x:v>
      </x:c>
    </x:row>
    <x:row r="537">
      <x:c r="A537" t="n">
        <x:v>536</x:v>
      </x:c>
      <x:c r="B537" t="n">
        <x:v>49</x:v>
      </x:c>
      <x:c r="C537" t="str">
        <x:v>Male</x:v>
      </x:c>
      <x:c r="D537" t="str">
        <x:v>Footwear</x:v>
      </x:c>
      <x:c r="E537" t="str">
        <x:v>Formal Shoes</x:v>
      </x:c>
      <x:c r="F537" s="24" t="n">
        <x:v>105.07</x:v>
      </x:c>
      <x:c r="G537" t="str">
        <x:v>Summer</x:v>
      </x:c>
      <x:c r="H537" t="str">
        <x:v>Card</x:v>
      </x:c>
      <x:c r="I537" t="n">
        <x:v>4.2</x:v>
      </x:c>
      <x:c r="J537" t="n">
        <x:v>14</x:v>
      </x:c>
      <x:c r="K537" t="n">
        <x:v>7</x:v>
      </x:c>
      <x:c r="L537" t="str">
        <x:v>STORE-001</x:v>
      </x:c>
      <x:c r="M537" s="22" t="n">
        <x:v>46060</x:v>
      </x:c>
      <x:c r="N537" t="str">
        <x:v>SKU-007</x:v>
      </x:c>
      <x:c r="O537" t="n">
        <x:v>1</x:v>
      </x:c>
      <x:c r="P537" s="26" t="n">
        <x:f>F537/O537</x:f>
        <x:v>105.07</x:v>
      </x:c>
    </x:row>
    <x:row r="538">
      <x:c r="A538" t="n">
        <x:v>537</x:v>
      </x:c>
      <x:c r="B538" t="n">
        <x:v>35</x:v>
      </x:c>
      <x:c r="C538" t="str">
        <x:v>Female</x:v>
      </x:c>
      <x:c r="D538" t="str">
        <x:v>Accessories</x:v>
      </x:c>
      <x:c r="E538" t="str">
        <x:v>Sunglasses</x:v>
      </x:c>
      <x:c r="F538" s="24" t="n">
        <x:v>31.51</x:v>
      </x:c>
      <x:c r="G538" t="str">
        <x:v>Summer</x:v>
      </x:c>
      <x:c r="H538" t="str">
        <x:v>Card</x:v>
      </x:c>
      <x:c r="I538" t="n">
        <x:v>3.2</x:v>
      </x:c>
      <x:c r="J538" t="n">
        <x:v>15</x:v>
      </x:c>
      <x:c r="K538" t="n">
        <x:v>5</x:v>
      </x:c>
      <x:c r="L538" t="str">
        <x:v>STORE-001</x:v>
      </x:c>
      <x:c r="M538" s="22" t="n">
        <x:v>46007</x:v>
      </x:c>
      <x:c r="N538" t="str">
        <x:v>SKU-026</x:v>
      </x:c>
      <x:c r="O538" t="n">
        <x:v>2</x:v>
      </x:c>
      <x:c r="P538" s="26" t="n">
        <x:f>F538/O538</x:f>
        <x:v>15.755</x:v>
      </x:c>
    </x:row>
    <x:row r="539">
      <x:c r="A539" t="n">
        <x:v>538</x:v>
      </x:c>
      <x:c r="B539" t="n">
        <x:v>60</x:v>
      </x:c>
      <x:c r="C539" t="str">
        <x:v>Male</x:v>
      </x:c>
      <x:c r="D539" t="str">
        <x:v>Sports</x:v>
      </x:c>
      <x:c r="E539" t="str">
        <x:v>Yoga Mat</x:v>
      </x:c>
      <x:c r="F539" s="24" t="n">
        <x:v>98.94</x:v>
      </x:c>
      <x:c r="G539" t="str">
        <x:v>Spring</x:v>
      </x:c>
      <x:c r="H539" t="str">
        <x:v>Card</x:v>
      </x:c>
      <x:c r="I539" t="n">
        <x:v>3.4</x:v>
      </x:c>
      <x:c r="J539" t="n">
        <x:v>10</x:v>
      </x:c>
      <x:c r="K539" t="n">
        <x:v>5</x:v>
      </x:c>
      <x:c r="L539" t="str">
        <x:v>STORE-001</x:v>
      </x:c>
      <x:c r="M539" s="22" t="n">
        <x:v>46289</x:v>
      </x:c>
      <x:c r="N539" t="str">
        <x:v>SKU-030</x:v>
      </x:c>
      <x:c r="O539" t="n">
        <x:v>1</x:v>
      </x:c>
      <x:c r="P539" s="26" t="n">
        <x:f>F539/O539</x:f>
        <x:v>98.94</x:v>
      </x:c>
    </x:row>
    <x:row r="540">
      <x:c r="A540" t="n">
        <x:v>539</x:v>
      </x:c>
      <x:c r="B540" t="n">
        <x:v>23</x:v>
      </x:c>
      <x:c r="C540" t="str">
        <x:v>Male</x:v>
      </x:c>
      <x:c r="D540" t="str">
        <x:v>Footwear</x:v>
      </x:c>
      <x:c r="E540" t="str">
        <x:v>Sandals</x:v>
      </x:c>
      <x:c r="F540" s="24" t="n">
        <x:v>236.7</x:v>
      </x:c>
      <x:c r="G540" t="str">
        <x:v>Spring</x:v>
      </x:c>
      <x:c r="H540" t="str">
        <x:v>Card</x:v>
      </x:c>
      <x:c r="I540" t="n">
        <x:v>4.5</x:v>
      </x:c>
      <x:c r="J540" t="n">
        <x:v>17</x:v>
      </x:c>
      <x:c r="K540" t="n">
        <x:v>6</x:v>
      </x:c>
      <x:c r="L540" t="str">
        <x:v>STORE-001</x:v>
      </x:c>
      <x:c r="M540" s="22" t="n">
        <x:v>46282</x:v>
      </x:c>
      <x:c r="N540" t="str">
        <x:v>SKU-019</x:v>
      </x:c>
      <x:c r="O540" t="n">
        <x:v>2</x:v>
      </x:c>
      <x:c r="P540" s="26" t="n">
        <x:f>F540/O540</x:f>
        <x:v>118.35</x:v>
      </x:c>
    </x:row>
    <x:row r="541">
      <x:c r="A541" t="n">
        <x:v>540</x:v>
      </x:c>
      <x:c r="B541" t="n">
        <x:v>59</x:v>
      </x:c>
      <x:c r="C541" t="str">
        <x:v>Female</x:v>
      </x:c>
      <x:c r="D541" t="str">
        <x:v>Womens Clothing</x:v>
      </x:c>
      <x:c r="E541" t="str">
        <x:v>Top</x:v>
      </x:c>
      <x:c r="F541" s="24" t="n">
        <x:v>111.87</x:v>
      </x:c>
      <x:c r="G541" t="str">
        <x:v>Winter</x:v>
      </x:c>
      <x:c r="H541" t="str">
        <x:v>Card</x:v>
      </x:c>
      <x:c r="I541" t="n">
        <x:v>3.9</x:v>
      </x:c>
      <x:c r="J541" t="n">
        <x:v>21</x:v>
      </x:c>
      <x:c r="K541" t="n">
        <x:v>8</x:v>
      </x:c>
      <x:c r="L541" t="str">
        <x:v>STORE-001</x:v>
      </x:c>
      <x:c r="M541" s="22" t="n">
        <x:v>46239</x:v>
      </x:c>
      <x:c r="N541" t="str">
        <x:v>SKU-028</x:v>
      </x:c>
      <x:c r="O541" t="n">
        <x:v>1</x:v>
      </x:c>
      <x:c r="P541" s="26" t="n">
        <x:f>F541/O541</x:f>
        <x:v>111.87</x:v>
      </x:c>
    </x:row>
    <x:row r="542">
      <x:c r="A542" t="n">
        <x:v>541</x:v>
      </x:c>
      <x:c r="B542" t="n">
        <x:v>31</x:v>
      </x:c>
      <x:c r="C542" t="str">
        <x:v>Male</x:v>
      </x:c>
      <x:c r="D542" t="str">
        <x:v>Sports</x:v>
      </x:c>
      <x:c r="E542" t="str">
        <x:v>Football</x:v>
      </x:c>
      <x:c r="F542" s="24" t="n">
        <x:v>90.67</x:v>
      </x:c>
      <x:c r="G542" t="str">
        <x:v>Autumn</x:v>
      </x:c>
      <x:c r="H542" t="str">
        <x:v>Cash on Delivery</x:v>
      </x:c>
      <x:c r="I542" t="n">
        <x:v>5</x:v>
      </x:c>
      <x:c r="J542" t="n">
        <x:v>12</x:v>
      </x:c>
      <x:c r="K542" t="n">
        <x:v>6</x:v>
      </x:c>
      <x:c r="L542" t="str">
        <x:v>STORE-001</x:v>
      </x:c>
      <x:c r="M542" s="22" t="n">
        <x:v>46098</x:v>
      </x:c>
      <x:c r="N542" t="str">
        <x:v>SKU-006</x:v>
      </x:c>
      <x:c r="O542" t="n">
        <x:v>2</x:v>
      </x:c>
      <x:c r="P542" s="26" t="n">
        <x:f>F542/O542</x:f>
        <x:v>45.335</x:v>
      </x:c>
    </x:row>
    <x:row r="543">
      <x:c r="A543" t="n">
        <x:v>542</x:v>
      </x:c>
      <x:c r="B543" t="n">
        <x:v>28</x:v>
      </x:c>
      <x:c r="C543" t="str">
        <x:v>Male</x:v>
      </x:c>
      <x:c r="D543" t="str">
        <x:v>Mens Clothing</x:v>
      </x:c>
      <x:c r="E543" t="str">
        <x:v>Jeans</x:v>
      </x:c>
      <x:c r="F543" s="24" t="n">
        <x:v>141.19</x:v>
      </x:c>
      <x:c r="G543" t="str">
        <x:v>Winter</x:v>
      </x:c>
      <x:c r="H543" t="str">
        <x:v>Card</x:v>
      </x:c>
      <x:c r="I543" t="n">
        <x:v>4</x:v>
      </x:c>
      <x:c r="J543" t="n">
        <x:v>4</x:v>
      </x:c>
      <x:c r="K543" t="n">
        <x:v>2</x:v>
      </x:c>
      <x:c r="L543" t="str">
        <x:v>STORE-001</x:v>
      </x:c>
      <x:c r="M543" s="22" t="n">
        <x:v>46234</x:v>
      </x:c>
      <x:c r="N543" t="str">
        <x:v>SKU-011</x:v>
      </x:c>
      <x:c r="O543" t="n">
        <x:v>1</x:v>
      </x:c>
      <x:c r="P543" s="26" t="n">
        <x:f>F543/O543</x:f>
        <x:v>141.19</x:v>
      </x:c>
    </x:row>
    <x:row r="544">
      <x:c r="A544" t="n">
        <x:v>543</x:v>
      </x:c>
      <x:c r="B544" t="n">
        <x:v>32</x:v>
      </x:c>
      <x:c r="C544" t="str">
        <x:v>Female</x:v>
      </x:c>
      <x:c r="D544" t="str">
        <x:v>Womens Clothing</x:v>
      </x:c>
      <x:c r="E544" t="str">
        <x:v>Top</x:v>
      </x:c>
      <x:c r="F544" s="24" t="n">
        <x:v>158.72</x:v>
      </x:c>
      <x:c r="G544" t="str">
        <x:v>Spring</x:v>
      </x:c>
      <x:c r="H544" t="str">
        <x:v>Card</x:v>
      </x:c>
      <x:c r="I544" t="n">
        <x:v>4.9</x:v>
      </x:c>
      <x:c r="J544" t="n">
        <x:v>16</x:v>
      </x:c>
      <x:c r="K544" t="n">
        <x:v>3</x:v>
      </x:c>
      <x:c r="L544" t="str">
        <x:v>STORE-001</x:v>
      </x:c>
      <x:c r="M544" s="22" t="n">
        <x:v>45952</x:v>
      </x:c>
      <x:c r="N544" t="str">
        <x:v>SKU-028</x:v>
      </x:c>
      <x:c r="O544" t="n">
        <x:v>1</x:v>
      </x:c>
      <x:c r="P544" s="26" t="n">
        <x:f>F544/O544</x:f>
        <x:v>158.72</x:v>
      </x:c>
    </x:row>
    <x:row r="545">
      <x:c r="A545" t="n">
        <x:v>544</x:v>
      </x:c>
      <x:c r="B545" t="n">
        <x:v>32</x:v>
      </x:c>
      <x:c r="C545" t="str">
        <x:v>Female</x:v>
      </x:c>
      <x:c r="D545" t="str">
        <x:v>Footwear</x:v>
      </x:c>
      <x:c r="E545" t="str">
        <x:v>Formal Shoes</x:v>
      </x:c>
      <x:c r="F545" s="24" t="n">
        <x:v>91.02</x:v>
      </x:c>
      <x:c r="G545" t="str">
        <x:v>Winter</x:v>
      </x:c>
      <x:c r="H545" t="str">
        <x:v>Card</x:v>
      </x:c>
      <x:c r="I545" t="n">
        <x:v>4.1</x:v>
      </x:c>
      <x:c r="J545" t="n">
        <x:v>17</x:v>
      </x:c>
      <x:c r="K545" t="n">
        <x:v>6</x:v>
      </x:c>
      <x:c r="L545" t="str">
        <x:v>STORE-001</x:v>
      </x:c>
      <x:c r="M545" s="22" t="n">
        <x:v>46265</x:v>
      </x:c>
      <x:c r="N545" t="str">
        <x:v>SKU-007</x:v>
      </x:c>
      <x:c r="O545" t="n">
        <x:v>1</x:v>
      </x:c>
      <x:c r="P545" s="26" t="n">
        <x:f>F545/O545</x:f>
        <x:v>91.02</x:v>
      </x:c>
    </x:row>
    <x:row r="546">
      <x:c r="A546" t="n">
        <x:v>545</x:v>
      </x:c>
      <x:c r="B546" t="n">
        <x:v>70</x:v>
      </x:c>
      <x:c r="C546" t="str">
        <x:v>Female</x:v>
      </x:c>
      <x:c r="D546" t="str">
        <x:v>Accessories</x:v>
      </x:c>
      <x:c r="E546" t="str">
        <x:v>Sunglasses</x:v>
      </x:c>
      <x:c r="F546" s="24" t="n">
        <x:v>159.31</x:v>
      </x:c>
      <x:c r="G546" t="str">
        <x:v>Autumn</x:v>
      </x:c>
      <x:c r="H546" t="str">
        <x:v>Card</x:v>
      </x:c>
      <x:c r="I546" t="n">
        <x:v>4.5</x:v>
      </x:c>
      <x:c r="J546" t="n">
        <x:v>17</x:v>
      </x:c>
      <x:c r="K546" t="n">
        <x:v>6</x:v>
      </x:c>
      <x:c r="L546" t="str">
        <x:v>STORE-001</x:v>
      </x:c>
      <x:c r="M546" s="22" t="n">
        <x:v>46108</x:v>
      </x:c>
      <x:c r="N546" t="str">
        <x:v>SKU-026</x:v>
      </x:c>
      <x:c r="O546" t="n">
        <x:v>2</x:v>
      </x:c>
      <x:c r="P546" s="26" t="n">
        <x:f>F546/O546</x:f>
        <x:v>79.655</x:v>
      </x:c>
    </x:row>
    <x:row r="547">
      <x:c r="A547" t="n">
        <x:v>546</x:v>
      </x:c>
      <x:c r="B547" t="n">
        <x:v>30</x:v>
      </x:c>
      <x:c r="C547" t="str">
        <x:v>Male</x:v>
      </x:c>
      <x:c r="D547" t="str">
        <x:v>Electronics</x:v>
      </x:c>
      <x:c r="E547" t="str">
        <x:v>Smart Watch</x:v>
      </x:c>
      <x:c r="F547" s="24" t="n">
        <x:v>2428.11</x:v>
      </x:c>
      <x:c r="G547" t="str">
        <x:v>Spring</x:v>
      </x:c>
      <x:c r="H547" t="str">
        <x:v>Card</x:v>
      </x:c>
      <x:c r="I547" t="n">
        <x:v>3.9</x:v>
      </x:c>
      <x:c r="J547" t="n">
        <x:v>4</x:v>
      </x:c>
      <x:c r="K547" t="n">
        <x:v>2</x:v>
      </x:c>
      <x:c r="L547" t="str">
        <x:v>STORE-001</x:v>
      </x:c>
      <x:c r="M547" s="22" t="n">
        <x:v>46282</x:v>
      </x:c>
      <x:c r="N547" t="str">
        <x:v>SKU-023</x:v>
      </x:c>
      <x:c r="O547" t="n">
        <x:v>2</x:v>
      </x:c>
      <x:c r="P547" s="26" t="n">
        <x:f>F547/O547</x:f>
        <x:v>1214.055</x:v>
      </x:c>
    </x:row>
    <x:row r="548">
      <x:c r="A548" t="n">
        <x:v>547</x:v>
      </x:c>
      <x:c r="B548" t="n">
        <x:v>28</x:v>
      </x:c>
      <x:c r="C548" t="str">
        <x:v>Female</x:v>
      </x:c>
      <x:c r="D548" t="str">
        <x:v>Beauty</x:v>
      </x:c>
      <x:c r="E548" t="str">
        <x:v>Perfume</x:v>
      </x:c>
      <x:c r="F548" s="24" t="n">
        <x:v>25.24</x:v>
      </x:c>
      <x:c r="G548" t="str">
        <x:v>Winter</x:v>
      </x:c>
      <x:c r="H548" t="str">
        <x:v>Card</x:v>
      </x:c>
      <x:c r="I548" t="n">
        <x:v>3.7</x:v>
      </x:c>
      <x:c r="J548" t="n">
        <x:v>21</x:v>
      </x:c>
      <x:c r="K548" t="n">
        <x:v>8</x:v>
      </x:c>
      <x:c r="L548" t="str">
        <x:v>STORE-001</x:v>
      </x:c>
      <x:c r="M548" s="22" t="n">
        <x:v>46237</x:v>
      </x:c>
      <x:c r="N548" t="str">
        <x:v>SKU-017</x:v>
      </x:c>
      <x:c r="O548" t="n">
        <x:v>1</x:v>
      </x:c>
      <x:c r="P548" s="26" t="n">
        <x:f>F548/O548</x:f>
        <x:v>25.24</x:v>
      </x:c>
    </x:row>
    <x:row r="549">
      <x:c r="A549" t="n">
        <x:v>548</x:v>
      </x:c>
      <x:c r="B549" t="n">
        <x:v>46</x:v>
      </x:c>
      <x:c r="C549" t="str">
        <x:v>Male</x:v>
      </x:c>
      <x:c r="D549" t="str">
        <x:v>Groceries</x:v>
      </x:c>
      <x:c r="E549" t="str">
        <x:v>Rice Pack</x:v>
      </x:c>
      <x:c r="F549" s="24" t="n">
        <x:v>62.51</x:v>
      </x:c>
      <x:c r="G549" t="str">
        <x:v>Winter</x:v>
      </x:c>
      <x:c r="H549" t="str">
        <x:v>Cash on Delivery</x:v>
      </x:c>
      <x:c r="I549" t="n">
        <x:v>4.2</x:v>
      </x:c>
      <x:c r="J549" t="n">
        <x:v>11</x:v>
      </x:c>
      <x:c r="K549" t="n">
        <x:v>3</x:v>
      </x:c>
      <x:c r="L549" t="str">
        <x:v>STORE-001</x:v>
      </x:c>
      <x:c r="M549" s="22" t="n">
        <x:v>46237</x:v>
      </x:c>
      <x:c r="N549" t="str">
        <x:v>SKU-018</x:v>
      </x:c>
      <x:c r="O549" t="n">
        <x:v>2</x:v>
      </x:c>
      <x:c r="P549" s="26" t="n">
        <x:f>F549/O549</x:f>
        <x:v>31.255</x:v>
      </x:c>
    </x:row>
    <x:row r="550">
      <x:c r="A550" t="n">
        <x:v>549</x:v>
      </x:c>
      <x:c r="B550" t="n">
        <x:v>22</x:v>
      </x:c>
      <x:c r="C550" t="str">
        <x:v>Male</x:v>
      </x:c>
      <x:c r="D550" t="str">
        <x:v>Footwear</x:v>
      </x:c>
      <x:c r="E550" t="str">
        <x:v>Formal Shoes</x:v>
      </x:c>
      <x:c r="F550" s="24" t="n">
        <x:v>80.22</x:v>
      </x:c>
      <x:c r="G550" t="str">
        <x:v>Summer</x:v>
      </x:c>
      <x:c r="H550" t="str">
        <x:v>Card</x:v>
      </x:c>
      <x:c r="I550" t="n">
        <x:v>4.6</x:v>
      </x:c>
      <x:c r="J550" t="n">
        <x:v>8</x:v>
      </x:c>
      <x:c r="K550" t="n">
        <x:v>4</x:v>
      </x:c>
      <x:c r="L550" t="str">
        <x:v>STORE-001</x:v>
      </x:c>
      <x:c r="M550" s="22" t="n">
        <x:v>46011</x:v>
      </x:c>
      <x:c r="N550" t="str">
        <x:v>SKU-007</x:v>
      </x:c>
      <x:c r="O550" t="n">
        <x:v>1</x:v>
      </x:c>
      <x:c r="P550" s="26" t="n">
        <x:f>F550/O550</x:f>
        <x:v>80.22</x:v>
      </x:c>
    </x:row>
    <x:row r="551">
      <x:c r="A551" t="n">
        <x:v>550</x:v>
      </x:c>
      <x:c r="B551" t="n">
        <x:v>28</x:v>
      </x:c>
      <x:c r="C551" t="str">
        <x:v>Male</x:v>
      </x:c>
      <x:c r="D551" t="str">
        <x:v>Electronics</x:v>
      </x:c>
      <x:c r="E551" t="str">
        <x:v>Headphones</x:v>
      </x:c>
      <x:c r="F551" s="24" t="n">
        <x:v>600.17</x:v>
      </x:c>
      <x:c r="G551" t="str">
        <x:v>Winter</x:v>
      </x:c>
      <x:c r="H551" t="str">
        <x:v>Card</x:v>
      </x:c>
      <x:c r="I551" t="n">
        <x:v>3.8</x:v>
      </x:c>
      <x:c r="J551" t="n">
        <x:v>10</x:v>
      </x:c>
      <x:c r="K551" t="n">
        <x:v>5</x:v>
      </x:c>
      <x:c r="L551" t="str">
        <x:v>STORE-001</x:v>
      </x:c>
      <x:c r="M551" s="22" t="n">
        <x:v>46188</x:v>
      </x:c>
      <x:c r="N551" t="str">
        <x:v>SKU-009</x:v>
      </x:c>
      <x:c r="O551" t="n">
        <x:v>1</x:v>
      </x:c>
      <x:c r="P551" s="26" t="n">
        <x:f>F551/O551</x:f>
        <x:v>600.17</x:v>
      </x:c>
    </x:row>
    <x:row r="552">
      <x:c r="A552" t="n">
        <x:v>551</x:v>
      </x:c>
      <x:c r="B552" t="n">
        <x:v>63</x:v>
      </x:c>
      <x:c r="C552" t="str">
        <x:v>Male</x:v>
      </x:c>
      <x:c r="D552" t="str">
        <x:v>Mens Clothing</x:v>
      </x:c>
      <x:c r="E552" t="str">
        <x:v>Jeans</x:v>
      </x:c>
      <x:c r="F552" s="24" t="n">
        <x:v>106.27</x:v>
      </x:c>
      <x:c r="G552" t="str">
        <x:v>Summer</x:v>
      </x:c>
      <x:c r="H552" t="str">
        <x:v>Card</x:v>
      </x:c>
      <x:c r="I552" t="n">
        <x:v>3.5</x:v>
      </x:c>
      <x:c r="J552" t="n">
        <x:v>14</x:v>
      </x:c>
      <x:c r="K552" t="n">
        <x:v>7</x:v>
      </x:c>
      <x:c r="L552" t="str">
        <x:v>STORE-001</x:v>
      </x:c>
      <x:c r="M552" s="22" t="n">
        <x:v>46032</x:v>
      </x:c>
      <x:c r="N552" t="str">
        <x:v>SKU-011</x:v>
      </x:c>
      <x:c r="O552" t="n">
        <x:v>1</x:v>
      </x:c>
      <x:c r="P552" s="26" t="n">
        <x:f>F552/O552</x:f>
        <x:v>106.27</x:v>
      </x:c>
    </x:row>
    <x:row r="553">
      <x:c r="A553" t="n">
        <x:v>552</x:v>
      </x:c>
      <x:c r="B553" t="n">
        <x:v>27</x:v>
      </x:c>
      <x:c r="C553" t="str">
        <x:v>Male</x:v>
      </x:c>
      <x:c r="D553" t="str">
        <x:v>Footwear</x:v>
      </x:c>
      <x:c r="E553" t="str">
        <x:v>Sandals</x:v>
      </x:c>
      <x:c r="F553" s="24" t="n">
        <x:v>141.6</x:v>
      </x:c>
      <x:c r="G553" t="str">
        <x:v>Winter</x:v>
      </x:c>
      <x:c r="H553" t="str">
        <x:v>Card</x:v>
      </x:c>
      <x:c r="I553" t="n">
        <x:v>4.1</x:v>
      </x:c>
      <x:c r="J553" t="n">
        <x:v>19</x:v>
      </x:c>
      <x:c r="K553" t="n">
        <x:v>7</x:v>
      </x:c>
      <x:c r="L553" t="str">
        <x:v>STORE-001</x:v>
      </x:c>
      <x:c r="M553" s="22" t="n">
        <x:v>46199</x:v>
      </x:c>
      <x:c r="N553" t="str">
        <x:v>SKU-019</x:v>
      </x:c>
      <x:c r="O553" t="n">
        <x:v>2</x:v>
      </x:c>
      <x:c r="P553" s="26" t="n">
        <x:f>F553/O553</x:f>
        <x:v>70.8</x:v>
      </x:c>
    </x:row>
    <x:row r="554">
      <x:c r="A554" t="n">
        <x:v>553</x:v>
      </x:c>
      <x:c r="B554" t="n">
        <x:v>43</x:v>
      </x:c>
      <x:c r="C554" t="str">
        <x:v>Male</x:v>
      </x:c>
      <x:c r="D554" t="str">
        <x:v>Footwear</x:v>
      </x:c>
      <x:c r="E554" t="str">
        <x:v>Formal Shoes</x:v>
      </x:c>
      <x:c r="F554" s="24" t="n">
        <x:v>90.88</x:v>
      </x:c>
      <x:c r="G554" t="str">
        <x:v>Winter</x:v>
      </x:c>
      <x:c r="H554" t="str">
        <x:v>Cash on Delivery</x:v>
      </x:c>
      <x:c r="I554" t="n">
        <x:v>3.3</x:v>
      </x:c>
      <x:c r="J554" t="n">
        <x:v>14</x:v>
      </x:c>
      <x:c r="K554" t="n">
        <x:v>2</x:v>
      </x:c>
      <x:c r="L554" t="str">
        <x:v>STORE-001</x:v>
      </x:c>
      <x:c r="M554" s="22" t="n">
        <x:v>46223</x:v>
      </x:c>
      <x:c r="N554" t="str">
        <x:v>SKU-007</x:v>
      </x:c>
      <x:c r="O554" t="n">
        <x:v>1</x:v>
      </x:c>
      <x:c r="P554" s="26" t="n">
        <x:f>F554/O554</x:f>
        <x:v>90.88</x:v>
      </x:c>
    </x:row>
    <x:row r="555">
      <x:c r="A555" t="n">
        <x:v>554</x:v>
      </x:c>
      <x:c r="B555" t="n">
        <x:v>20</x:v>
      </x:c>
      <x:c r="C555" t="str">
        <x:v>Female</x:v>
      </x:c>
      <x:c r="D555" t="str">
        <x:v>Footwear</x:v>
      </x:c>
      <x:c r="E555" t="str">
        <x:v>Sneakers</x:v>
      </x:c>
      <x:c r="F555" s="24" t="n">
        <x:v>156.91</x:v>
      </x:c>
      <x:c r="G555" t="str">
        <x:v>Summer</x:v>
      </x:c>
      <x:c r="H555" t="str">
        <x:v>Card</x:v>
      </x:c>
      <x:c r="I555" t="n">
        <x:v>4.1</x:v>
      </x:c>
      <x:c r="J555" t="n">
        <x:v>22</x:v>
      </x:c>
      <x:c r="K555" t="n">
        <x:v>6</x:v>
      </x:c>
      <x:c r="L555" t="str">
        <x:v>STORE-001</x:v>
      </x:c>
      <x:c r="M555" s="22" t="n">
        <x:v>46080</x:v>
      </x:c>
      <x:c r="N555" t="str">
        <x:v>SKU-025</x:v>
      </x:c>
      <x:c r="O555" t="n">
        <x:v>2</x:v>
      </x:c>
      <x:c r="P555" s="26" t="n">
        <x:f>F555/O555</x:f>
        <x:v>78.455</x:v>
      </x:c>
    </x:row>
    <x:row r="556">
      <x:c r="A556" t="n">
        <x:v>555</x:v>
      </x:c>
      <x:c r="B556" t="n">
        <x:v>41</x:v>
      </x:c>
      <x:c r="C556" t="str">
        <x:v>Male</x:v>
      </x:c>
      <x:c r="D556" t="str">
        <x:v>Sports</x:v>
      </x:c>
      <x:c r="E556" t="str">
        <x:v>Football</x:v>
      </x:c>
      <x:c r="F556" s="24" t="n">
        <x:v>232.73</x:v>
      </x:c>
      <x:c r="G556" t="str">
        <x:v>Winter</x:v>
      </x:c>
      <x:c r="H556" t="str">
        <x:v>Card</x:v>
      </x:c>
      <x:c r="I556" t="n">
        <x:v>3.7</x:v>
      </x:c>
      <x:c r="J556" t="n">
        <x:v>15</x:v>
      </x:c>
      <x:c r="K556" t="n">
        <x:v>5</x:v>
      </x:c>
      <x:c r="L556" t="str">
        <x:v>STORE-001</x:v>
      </x:c>
      <x:c r="M556" s="22" t="n">
        <x:v>46231</x:v>
      </x:c>
      <x:c r="N556" t="str">
        <x:v>SKU-006</x:v>
      </x:c>
      <x:c r="O556" t="n">
        <x:v>1</x:v>
      </x:c>
      <x:c r="P556" s="26" t="n">
        <x:f>F556/O556</x:f>
        <x:v>232.73</x:v>
      </x:c>
    </x:row>
    <x:row r="557">
      <x:c r="A557" t="n">
        <x:v>556</x:v>
      </x:c>
      <x:c r="B557" t="n">
        <x:v>29</x:v>
      </x:c>
      <x:c r="C557" t="str">
        <x:v>Female</x:v>
      </x:c>
      <x:c r="D557" t="str">
        <x:v>Accessories</x:v>
      </x:c>
      <x:c r="E557" t="str">
        <x:v>Wallet</x:v>
      </x:c>
      <x:c r="F557" s="24" t="n">
        <x:v>53.93</x:v>
      </x:c>
      <x:c r="G557" t="str">
        <x:v>Summer</x:v>
      </x:c>
      <x:c r="H557" t="str">
        <x:v>Card</x:v>
      </x:c>
      <x:c r="I557" t="n">
        <x:v>2.5</x:v>
      </x:c>
      <x:c r="J557" t="n">
        <x:v>18</x:v>
      </x:c>
      <x:c r="K557" t="n">
        <x:v>4</x:v>
      </x:c>
      <x:c r="L557" t="str">
        <x:v>STORE-001</x:v>
      </x:c>
      <x:c r="M557" s="22" t="n">
        <x:v>45992</x:v>
      </x:c>
      <x:c r="N557" t="str">
        <x:v>SKU-029</x:v>
      </x:c>
      <x:c r="O557" t="n">
        <x:v>2</x:v>
      </x:c>
      <x:c r="P557" s="26" t="n">
        <x:f>F557/O557</x:f>
        <x:v>26.965</x:v>
      </x:c>
    </x:row>
    <x:row r="558">
      <x:c r="A558" t="n">
        <x:v>557</x:v>
      </x:c>
      <x:c r="B558" t="n">
        <x:v>61</x:v>
      </x:c>
      <x:c r="C558" t="str">
        <x:v>Male</x:v>
      </x:c>
      <x:c r="D558" t="str">
        <x:v>Footwear</x:v>
      </x:c>
      <x:c r="E558" t="str">
        <x:v>Sneakers</x:v>
      </x:c>
      <x:c r="F558" s="24" t="n">
        <x:v>65.72</x:v>
      </x:c>
      <x:c r="G558" t="str">
        <x:v>Summer</x:v>
      </x:c>
      <x:c r="H558" t="str">
        <x:v>Cash on Delivery</x:v>
      </x:c>
      <x:c r="I558" t="n">
        <x:v>2.8</x:v>
      </x:c>
      <x:c r="J558" t="n">
        <x:v>8</x:v>
      </x:c>
      <x:c r="K558" t="n">
        <x:v>4</x:v>
      </x:c>
      <x:c r="L558" t="str">
        <x:v>STORE-001</x:v>
      </x:c>
      <x:c r="M558" s="22" t="n">
        <x:v>46019</x:v>
      </x:c>
      <x:c r="N558" t="str">
        <x:v>SKU-025</x:v>
      </x:c>
      <x:c r="O558" t="n">
        <x:v>1</x:v>
      </x:c>
      <x:c r="P558" s="26" t="n">
        <x:f>F558/O558</x:f>
        <x:v>65.72</x:v>
      </x:c>
    </x:row>
    <x:row r="559">
      <x:c r="A559" t="n">
        <x:v>558</x:v>
      </x:c>
      <x:c r="B559" t="n">
        <x:v>69</x:v>
      </x:c>
      <x:c r="C559" t="str">
        <x:v>Female</x:v>
      </x:c>
      <x:c r="D559" t="str">
        <x:v>Womens Clothing</x:v>
      </x:c>
      <x:c r="E559" t="str">
        <x:v>Skirt</x:v>
      </x:c>
      <x:c r="F559" s="24" t="n">
        <x:v>159.87</x:v>
      </x:c>
      <x:c r="G559" t="str">
        <x:v>Winter</x:v>
      </x:c>
      <x:c r="H559" t="str">
        <x:v>Card</x:v>
      </x:c>
      <x:c r="I559" t="n">
        <x:v>3.6</x:v>
      </x:c>
      <x:c r="J559" t="n">
        <x:v>10</x:v>
      </x:c>
      <x:c r="K559" t="n">
        <x:v>0</x:v>
      </x:c>
      <x:c r="L559" t="str">
        <x:v>STORE-001</x:v>
      </x:c>
      <x:c r="M559" s="22" t="n">
        <x:v>46263</x:v>
      </x:c>
      <x:c r="N559" t="str">
        <x:v>SKU-022</x:v>
      </x:c>
      <x:c r="O559" t="n">
        <x:v>1</x:v>
      </x:c>
      <x:c r="P559" s="26" t="n">
        <x:f>F559/O559</x:f>
        <x:v>159.87</x:v>
      </x:c>
    </x:row>
    <x:row r="560">
      <x:c r="A560" t="n">
        <x:v>559</x:v>
      </x:c>
      <x:c r="B560" t="n">
        <x:v>64</x:v>
      </x:c>
      <x:c r="C560" t="str">
        <x:v>Male</x:v>
      </x:c>
      <x:c r="D560" t="str">
        <x:v>Electronics</x:v>
      </x:c>
      <x:c r="E560" t="str">
        <x:v>Laptop</x:v>
      </x:c>
      <x:c r="F560" s="24" t="n">
        <x:v>2435.63</x:v>
      </x:c>
      <x:c r="G560" t="str">
        <x:v>Winter</x:v>
      </x:c>
      <x:c r="H560" t="str">
        <x:v>Card</x:v>
      </x:c>
      <x:c r="I560" t="n">
        <x:v>3.3</x:v>
      </x:c>
      <x:c r="J560" t="n">
        <x:v>18</x:v>
      </x:c>
      <x:c r="K560" t="n">
        <x:v>4</x:v>
      </x:c>
      <x:c r="L560" t="str">
        <x:v>STORE-001</x:v>
      </x:c>
      <x:c r="M560" s="22" t="n">
        <x:v>46206</x:v>
      </x:c>
      <x:c r="N560" t="str">
        <x:v>SKU-014</x:v>
      </x:c>
      <x:c r="O560" t="n">
        <x:v>1</x:v>
      </x:c>
      <x:c r="P560" s="26" t="n">
        <x:f>F560/O560</x:f>
        <x:v>2435.63</x:v>
      </x:c>
    </x:row>
    <x:row r="561">
      <x:c r="A561" t="n">
        <x:v>560</x:v>
      </x:c>
      <x:c r="B561" t="n">
        <x:v>40</x:v>
      </x:c>
      <x:c r="C561" t="str">
        <x:v>Male</x:v>
      </x:c>
      <x:c r="D561" t="str">
        <x:v>Footwear</x:v>
      </x:c>
      <x:c r="E561" t="str">
        <x:v>Sneakers</x:v>
      </x:c>
      <x:c r="F561" s="24" t="n">
        <x:v>90.24</x:v>
      </x:c>
      <x:c r="G561" t="str">
        <x:v>Spring</x:v>
      </x:c>
      <x:c r="H561" t="str">
        <x:v>Cash on Delivery</x:v>
      </x:c>
      <x:c r="I561" t="n">
        <x:v>4.3</x:v>
      </x:c>
      <x:c r="J561" t="n">
        <x:v>17</x:v>
      </x:c>
      <x:c r="K561" t="n">
        <x:v>6</x:v>
      </x:c>
      <x:c r="L561" t="str">
        <x:v>STORE-001</x:v>
      </x:c>
      <x:c r="M561" s="22" t="n">
        <x:v>46282</x:v>
      </x:c>
      <x:c r="N561" t="str">
        <x:v>SKU-025</x:v>
      </x:c>
      <x:c r="O561" t="n">
        <x:v>1</x:v>
      </x:c>
      <x:c r="P561" s="26" t="n">
        <x:f>F561/O561</x:f>
        <x:v>90.24</x:v>
      </x:c>
    </x:row>
    <x:row r="562">
      <x:c r="A562" t="n">
        <x:v>561</x:v>
      </x:c>
      <x:c r="B562" t="n">
        <x:v>37</x:v>
      </x:c>
      <x:c r="C562" t="str">
        <x:v>Female</x:v>
      </x:c>
      <x:c r="D562" t="str">
        <x:v>Accessories</x:v>
      </x:c>
      <x:c r="E562" t="str">
        <x:v>Handbag</x:v>
      </x:c>
      <x:c r="F562" s="24" t="n">
        <x:v>117.76</x:v>
      </x:c>
      <x:c r="G562" t="str">
        <x:v>Spring</x:v>
      </x:c>
      <x:c r="H562" t="str">
        <x:v>Card</x:v>
      </x:c>
      <x:c r="I562" t="n">
        <x:v>3.5</x:v>
      </x:c>
      <x:c r="J562" t="n">
        <x:v>12</x:v>
      </x:c>
      <x:c r="K562" t="n">
        <x:v>6</x:v>
      </x:c>
      <x:c r="L562" t="str">
        <x:v>STORE-001</x:v>
      </x:c>
      <x:c r="M562" s="22" t="n">
        <x:v>46283</x:v>
      </x:c>
      <x:c r="N562" t="str">
        <x:v>SKU-008</x:v>
      </x:c>
      <x:c r="O562" t="n">
        <x:v>2</x:v>
      </x:c>
      <x:c r="P562" s="26" t="n">
        <x:f>F562/O562</x:f>
        <x:v>58.88</x:v>
      </x:c>
    </x:row>
    <x:row r="563">
      <x:c r="A563" t="n">
        <x:v>562</x:v>
      </x:c>
      <x:c r="B563" t="n">
        <x:v>64</x:v>
      </x:c>
      <x:c r="C563" t="str">
        <x:v>Female</x:v>
      </x:c>
      <x:c r="D563" t="str">
        <x:v>Womens Clothing</x:v>
      </x:c>
      <x:c r="E563" t="str">
        <x:v>Jeans</x:v>
      </x:c>
      <x:c r="F563" s="24" t="n">
        <x:v>97.62</x:v>
      </x:c>
      <x:c r="G563" t="str">
        <x:v>Summer</x:v>
      </x:c>
      <x:c r="H563" t="str">
        <x:v>Card</x:v>
      </x:c>
      <x:c r="I563" t="n">
        <x:v>3.8</x:v>
      </x:c>
      <x:c r="J563" t="n">
        <x:v>8</x:v>
      </x:c>
      <x:c r="K563" t="n">
        <x:v>4</x:v>
      </x:c>
      <x:c r="L563" t="str">
        <x:v>STORE-001</x:v>
      </x:c>
      <x:c r="M563" s="22" t="n">
        <x:v>46005</x:v>
      </x:c>
      <x:c r="N563" t="str">
        <x:v>SKU-011</x:v>
      </x:c>
      <x:c r="O563" t="n">
        <x:v>1</x:v>
      </x:c>
      <x:c r="P563" s="26" t="n">
        <x:f>F563/O563</x:f>
        <x:v>97.62</x:v>
      </x:c>
    </x:row>
    <x:row r="564">
      <x:c r="A564" t="n">
        <x:v>563</x:v>
      </x:c>
      <x:c r="B564" t="n">
        <x:v>66</x:v>
      </x:c>
      <x:c r="C564" t="str">
        <x:v>Female</x:v>
      </x:c>
      <x:c r="D564" t="str">
        <x:v>Beauty</x:v>
      </x:c>
      <x:c r="E564" t="str">
        <x:v>Makeup Set</x:v>
      </x:c>
      <x:c r="F564" s="24" t="n">
        <x:v>98.66</x:v>
      </x:c>
      <x:c r="G564" t="str">
        <x:v>Autumn</x:v>
      </x:c>
      <x:c r="H564" t="str">
        <x:v>Card</x:v>
      </x:c>
      <x:c r="I564" t="n">
        <x:v>2.7</x:v>
      </x:c>
      <x:c r="J564" t="n">
        <x:v>22</x:v>
      </x:c>
      <x:c r="K564" t="n">
        <x:v>6</x:v>
      </x:c>
      <x:c r="L564" t="str">
        <x:v>STORE-001</x:v>
      </x:c>
      <x:c r="M564" s="22" t="n">
        <x:v>46124</x:v>
      </x:c>
      <x:c r="N564" t="str">
        <x:v>SKU-015</x:v>
      </x:c>
      <x:c r="O564" t="n">
        <x:v>1</x:v>
      </x:c>
      <x:c r="P564" s="26" t="n">
        <x:f>F564/O564</x:f>
        <x:v>98.66</x:v>
      </x:c>
    </x:row>
    <x:row r="565">
      <x:c r="A565" t="n">
        <x:v>564</x:v>
      </x:c>
      <x:c r="B565" t="n">
        <x:v>66</x:v>
      </x:c>
      <x:c r="C565" t="str">
        <x:v>Female</x:v>
      </x:c>
      <x:c r="D565" t="str">
        <x:v>Womens Clothing</x:v>
      </x:c>
      <x:c r="E565" t="str">
        <x:v>Top</x:v>
      </x:c>
      <x:c r="F565" s="24" t="n">
        <x:v>185.56</x:v>
      </x:c>
      <x:c r="G565" t="str">
        <x:v>Spring</x:v>
      </x:c>
      <x:c r="H565" t="str">
        <x:v>Card</x:v>
      </x:c>
      <x:c r="I565" t="n">
        <x:v>3.7</x:v>
      </x:c>
      <x:c r="J565" t="n">
        <x:v>21</x:v>
      </x:c>
      <x:c r="K565" t="n">
        <x:v>8</x:v>
      </x:c>
      <x:c r="L565" t="str">
        <x:v>STORE-001</x:v>
      </x:c>
      <x:c r="M565" s="22" t="n">
        <x:v>45987</x:v>
      </x:c>
      <x:c r="N565" t="str">
        <x:v>SKU-028</x:v>
      </x:c>
      <x:c r="O565" t="n">
        <x:v>2</x:v>
      </x:c>
      <x:c r="P565" s="26" t="n">
        <x:f>F565/O565</x:f>
        <x:v>92.78</x:v>
      </x:c>
    </x:row>
    <x:row r="566">
      <x:c r="A566" t="n">
        <x:v>565</x:v>
      </x:c>
      <x:c r="B566" t="n">
        <x:v>60</x:v>
      </x:c>
      <x:c r="C566" t="str">
        <x:v>Female</x:v>
      </x:c>
      <x:c r="D566" t="str">
        <x:v>Groceries</x:v>
      </x:c>
      <x:c r="E566" t="str">
        <x:v>Rice Pack</x:v>
      </x:c>
      <x:c r="F566" s="24" t="n">
        <x:v>12.59</x:v>
      </x:c>
      <x:c r="G566" t="str">
        <x:v>Spring</x:v>
      </x:c>
      <x:c r="H566" t="str">
        <x:v>Card</x:v>
      </x:c>
      <x:c r="I566" t="n">
        <x:v>3.4</x:v>
      </x:c>
      <x:c r="J566" t="n">
        <x:v>12</x:v>
      </x:c>
      <x:c r="K566" t="n">
        <x:v>1</x:v>
      </x:c>
      <x:c r="L566" t="str">
        <x:v>STORE-001</x:v>
      </x:c>
      <x:c r="M566" s="22" t="n">
        <x:v>45933</x:v>
      </x:c>
      <x:c r="N566" t="str">
        <x:v>SKU-018</x:v>
      </x:c>
      <x:c r="O566" t="n">
        <x:v>4</x:v>
      </x:c>
      <x:c r="P566" s="26" t="n">
        <x:f>F566/O566</x:f>
        <x:v>3.1475</x:v>
      </x:c>
    </x:row>
    <x:row r="567">
      <x:c r="A567" t="n">
        <x:v>566</x:v>
      </x:c>
      <x:c r="B567" t="n">
        <x:v>41</x:v>
      </x:c>
      <x:c r="C567" t="str">
        <x:v>Female</x:v>
      </x:c>
      <x:c r="D567" t="str">
        <x:v>Beauty</x:v>
      </x:c>
      <x:c r="E567" t="str">
        <x:v>Makeup Set</x:v>
      </x:c>
      <x:c r="F567" s="24" t="n">
        <x:v>34.3</x:v>
      </x:c>
      <x:c r="G567" t="str">
        <x:v>Autumn</x:v>
      </x:c>
      <x:c r="H567" t="str">
        <x:v>Card</x:v>
      </x:c>
      <x:c r="I567" t="n">
        <x:v>3.3</x:v>
      </x:c>
      <x:c r="J567" t="n">
        <x:v>4</x:v>
      </x:c>
      <x:c r="K567" t="n">
        <x:v>2</x:v>
      </x:c>
      <x:c r="L567" t="str">
        <x:v>STORE-001</x:v>
      </x:c>
      <x:c r="M567" s="22" t="n">
        <x:v>46131</x:v>
      </x:c>
      <x:c r="N567" t="str">
        <x:v>SKU-015</x:v>
      </x:c>
      <x:c r="O567" t="n">
        <x:v>1</x:v>
      </x:c>
      <x:c r="P567" s="26" t="n">
        <x:f>F567/O567</x:f>
        <x:v>34.3</x:v>
      </x:c>
    </x:row>
    <x:row r="568">
      <x:c r="A568" t="n">
        <x:v>567</x:v>
      </x:c>
      <x:c r="B568" t="n">
        <x:v>29</x:v>
      </x:c>
      <x:c r="C568" t="str">
        <x:v>Male</x:v>
      </x:c>
      <x:c r="D568" t="str">
        <x:v>Sports</x:v>
      </x:c>
      <x:c r="E568" t="str">
        <x:v>Football</x:v>
      </x:c>
      <x:c r="F568" s="24" t="n">
        <x:v>162.96</x:v>
      </x:c>
      <x:c r="G568" t="str">
        <x:v>Summer</x:v>
      </x:c>
      <x:c r="H568" t="str">
        <x:v>Card</x:v>
      </x:c>
      <x:c r="I568" t="n">
        <x:v>3.9</x:v>
      </x:c>
      <x:c r="J568" t="n">
        <x:v>19</x:v>
      </x:c>
      <x:c r="K568" t="n">
        <x:v>7</x:v>
      </x:c>
      <x:c r="L568" t="str">
        <x:v>STORE-001</x:v>
      </x:c>
      <x:c r="M568" s="22" t="n">
        <x:v>46062</x:v>
      </x:c>
      <x:c r="N568" t="str">
        <x:v>SKU-006</x:v>
      </x:c>
      <x:c r="O568" t="n">
        <x:v>2</x:v>
      </x:c>
      <x:c r="P568" s="26" t="n">
        <x:f>F568/O568</x:f>
        <x:v>81.48</x:v>
      </x:c>
    </x:row>
    <x:row r="569">
      <x:c r="A569" t="n">
        <x:v>568</x:v>
      </x:c>
      <x:c r="B569" t="n">
        <x:v>45</x:v>
      </x:c>
      <x:c r="C569" t="str">
        <x:v>Male</x:v>
      </x:c>
      <x:c r="D569" t="str">
        <x:v>Electronics</x:v>
      </x:c>
      <x:c r="E569" t="str">
        <x:v>Laptop</x:v>
      </x:c>
      <x:c r="F569" s="24" t="n">
        <x:v>2785.85</x:v>
      </x:c>
      <x:c r="G569" t="str">
        <x:v>Spring</x:v>
      </x:c>
      <x:c r="H569" t="str">
        <x:v>Card</x:v>
      </x:c>
      <x:c r="I569" t="n">
        <x:v>3.4</x:v>
      </x:c>
      <x:c r="J569" t="n">
        <x:v>18</x:v>
      </x:c>
      <x:c r="K569" t="n">
        <x:v>4</x:v>
      </x:c>
      <x:c r="L569" t="str">
        <x:v>STORE-001</x:v>
      </x:c>
      <x:c r="M569" s="22" t="n">
        <x:v>46290</x:v>
      </x:c>
      <x:c r="N569" t="str">
        <x:v>SKU-014</x:v>
      </x:c>
      <x:c r="O569" t="n">
        <x:v>1</x:v>
      </x:c>
      <x:c r="P569" s="26" t="n">
        <x:f>F569/O569</x:f>
        <x:v>2785.85</x:v>
      </x:c>
    </x:row>
    <x:row r="570">
      <x:c r="A570" t="n">
        <x:v>569</x:v>
      </x:c>
      <x:c r="B570" t="n">
        <x:v>67</x:v>
      </x:c>
      <x:c r="C570" t="str">
        <x:v>Male</x:v>
      </x:c>
      <x:c r="D570" t="str">
        <x:v>Footwear</x:v>
      </x:c>
      <x:c r="E570" t="str">
        <x:v>Sandals</x:v>
      </x:c>
      <x:c r="F570" s="24" t="n">
        <x:v>79.99</x:v>
      </x:c>
      <x:c r="G570" t="str">
        <x:v>Spring</x:v>
      </x:c>
      <x:c r="H570" t="str">
        <x:v>Card</x:v>
      </x:c>
      <x:c r="I570" t="n">
        <x:v>3.5</x:v>
      </x:c>
      <x:c r="J570" t="n">
        <x:v>12</x:v>
      </x:c>
      <x:c r="K570" t="n">
        <x:v>1</x:v>
      </x:c>
      <x:c r="L570" t="str">
        <x:v>STORE-001</x:v>
      </x:c>
      <x:c r="M570" s="22" t="n">
        <x:v>46281</x:v>
      </x:c>
      <x:c r="N570" t="str">
        <x:v>SKU-019</x:v>
      </x:c>
      <x:c r="O570" t="n">
        <x:v>1</x:v>
      </x:c>
      <x:c r="P570" s="26" t="n">
        <x:f>F570/O570</x:f>
        <x:v>79.99</x:v>
      </x:c>
    </x:row>
    <x:row r="571">
      <x:c r="A571" t="n">
        <x:v>570</x:v>
      </x:c>
      <x:c r="B571" t="n">
        <x:v>24</x:v>
      </x:c>
      <x:c r="C571" t="str">
        <x:v>Female</x:v>
      </x:c>
      <x:c r="D571" t="str">
        <x:v>Womens Clothing</x:v>
      </x:c>
      <x:c r="E571" t="str">
        <x:v>Jeans</x:v>
      </x:c>
      <x:c r="F571" s="24" t="n">
        <x:v>33.98</x:v>
      </x:c>
      <x:c r="G571" t="str">
        <x:v>Spring</x:v>
      </x:c>
      <x:c r="H571" t="str">
        <x:v>Card</x:v>
      </x:c>
      <x:c r="I571" t="n">
        <x:v>2.1</x:v>
      </x:c>
      <x:c r="J571" t="n">
        <x:v>15</x:v>
      </x:c>
      <x:c r="K571" t="n">
        <x:v>5</x:v>
      </x:c>
      <x:c r="L571" t="str">
        <x:v>STORE-001</x:v>
      </x:c>
      <x:c r="M571" s="22" t="n">
        <x:v>46288</x:v>
      </x:c>
      <x:c r="N571" t="str">
        <x:v>SKU-011</x:v>
      </x:c>
      <x:c r="O571" t="n">
        <x:v>1</x:v>
      </x:c>
      <x:c r="P571" s="26" t="n">
        <x:f>F571/O571</x:f>
        <x:v>33.98</x:v>
      </x:c>
    </x:row>
    <x:row r="572">
      <x:c r="A572" t="n">
        <x:v>571</x:v>
      </x:c>
      <x:c r="B572" t="n">
        <x:v>32</x:v>
      </x:c>
      <x:c r="C572" t="str">
        <x:v>Male</x:v>
      </x:c>
      <x:c r="D572" t="str">
        <x:v>Electronics</x:v>
      </x:c>
      <x:c r="E572" t="str">
        <x:v>Headphones</x:v>
      </x:c>
      <x:c r="F572" s="24" t="n">
        <x:v>2562.09</x:v>
      </x:c>
      <x:c r="G572" t="str">
        <x:v>Winter</x:v>
      </x:c>
      <x:c r="H572" t="str">
        <x:v>Card</x:v>
      </x:c>
      <x:c r="I572" t="n">
        <x:v>3.7</x:v>
      </x:c>
      <x:c r="J572" t="n">
        <x:v>14</x:v>
      </x:c>
      <x:c r="K572" t="n">
        <x:v>7</x:v>
      </x:c>
      <x:c r="L572" t="str">
        <x:v>STORE-001</x:v>
      </x:c>
      <x:c r="M572" s="22" t="n">
        <x:v>46199</x:v>
      </x:c>
      <x:c r="N572" t="str">
        <x:v>SKU-009</x:v>
      </x:c>
      <x:c r="O572" t="n">
        <x:v>1</x:v>
      </x:c>
      <x:c r="P572" s="26" t="n">
        <x:f>F572/O572</x:f>
        <x:v>2562.09</x:v>
      </x:c>
    </x:row>
    <x:row r="573">
      <x:c r="A573" t="n">
        <x:v>572</x:v>
      </x:c>
      <x:c r="B573" t="n">
        <x:v>69</x:v>
      </x:c>
      <x:c r="C573" t="str">
        <x:v>Female</x:v>
      </x:c>
      <x:c r="D573" t="str">
        <x:v>Beauty</x:v>
      </x:c>
      <x:c r="E573" t="str">
        <x:v>Makeup Set</x:v>
      </x:c>
      <x:c r="F573" s="24" t="n">
        <x:v>55.71</x:v>
      </x:c>
      <x:c r="G573" t="str">
        <x:v>Spring</x:v>
      </x:c>
      <x:c r="H573" t="str">
        <x:v>Card</x:v>
      </x:c>
      <x:c r="I573" t="n">
        <x:v>2.9</x:v>
      </x:c>
      <x:c r="J573" t="n">
        <x:v>15</x:v>
      </x:c>
      <x:c r="K573" t="n">
        <x:v>5</x:v>
      </x:c>
      <x:c r="L573" t="str">
        <x:v>STORE-001</x:v>
      </x:c>
      <x:c r="M573" s="22" t="n">
        <x:v>46266</x:v>
      </x:c>
      <x:c r="N573" t="str">
        <x:v>SKU-015</x:v>
      </x:c>
      <x:c r="O573" t="n">
        <x:v>1</x:v>
      </x:c>
      <x:c r="P573" s="26" t="n">
        <x:f>F573/O573</x:f>
        <x:v>55.71</x:v>
      </x:c>
    </x:row>
    <x:row r="574">
      <x:c r="A574" t="n">
        <x:v>573</x:v>
      </x:c>
      <x:c r="B574" t="n">
        <x:v>61</x:v>
      </x:c>
      <x:c r="C574" t="str">
        <x:v>Male</x:v>
      </x:c>
      <x:c r="D574" t="str">
        <x:v>Footwear</x:v>
      </x:c>
      <x:c r="E574" t="str">
        <x:v>Sandals</x:v>
      </x:c>
      <x:c r="F574" s="24" t="n">
        <x:v>41.13</x:v>
      </x:c>
      <x:c r="G574" t="str">
        <x:v>Summer</x:v>
      </x:c>
      <x:c r="H574" t="str">
        <x:v>Cash on Delivery</x:v>
      </x:c>
      <x:c r="I574" t="n">
        <x:v>5</x:v>
      </x:c>
      <x:c r="J574" t="n">
        <x:v>17</x:v>
      </x:c>
      <x:c r="K574" t="n">
        <x:v>6</x:v>
      </x:c>
      <x:c r="L574" t="str">
        <x:v>STORE-001</x:v>
      </x:c>
      <x:c r="M574" s="22" t="n">
        <x:v>46075</x:v>
      </x:c>
      <x:c r="N574" t="str">
        <x:v>SKU-019</x:v>
      </x:c>
      <x:c r="O574" t="n">
        <x:v>2</x:v>
      </x:c>
      <x:c r="P574" s="26" t="n">
        <x:f>F574/O574</x:f>
        <x:v>20.565</x:v>
      </x:c>
    </x:row>
    <x:row r="575">
      <x:c r="A575" t="n">
        <x:v>574</x:v>
      </x:c>
      <x:c r="B575" t="n">
        <x:v>46</x:v>
      </x:c>
      <x:c r="C575" t="str">
        <x:v>Female</x:v>
      </x:c>
      <x:c r="D575" t="str">
        <x:v>Womens Clothing</x:v>
      </x:c>
      <x:c r="E575" t="str">
        <x:v>Skirt</x:v>
      </x:c>
      <x:c r="F575" s="24" t="n">
        <x:v>62.15</x:v>
      </x:c>
      <x:c r="G575" t="str">
        <x:v>Summer</x:v>
      </x:c>
      <x:c r="H575" t="str">
        <x:v>Cash on Delivery</x:v>
      </x:c>
      <x:c r="I575" t="n">
        <x:v>3.8</x:v>
      </x:c>
      <x:c r="J575" t="n">
        <x:v>22</x:v>
      </x:c>
      <x:c r="K575" t="n">
        <x:v>6</x:v>
      </x:c>
      <x:c r="L575" t="str">
        <x:v>STORE-001</x:v>
      </x:c>
      <x:c r="M575" s="22" t="n">
        <x:v>46012</x:v>
      </x:c>
      <x:c r="N575" t="str">
        <x:v>SKU-022</x:v>
      </x:c>
      <x:c r="O575" t="n">
        <x:v>1</x:v>
      </x:c>
      <x:c r="P575" s="26" t="n">
        <x:f>F575/O575</x:f>
        <x:v>62.15</x:v>
      </x:c>
    </x:row>
    <x:row r="576">
      <x:c r="A576" t="n">
        <x:v>575</x:v>
      </x:c>
      <x:c r="B576" t="n">
        <x:v>44</x:v>
      </x:c>
      <x:c r="C576" t="str">
        <x:v>Male</x:v>
      </x:c>
      <x:c r="D576" t="str">
        <x:v>Home</x:v>
      </x:c>
      <x:c r="E576" t="str">
        <x:v>Curtains</x:v>
      </x:c>
      <x:c r="F576" s="24" t="n">
        <x:v>124.45</x:v>
      </x:c>
      <x:c r="G576" t="str">
        <x:v>Summer</x:v>
      </x:c>
      <x:c r="H576" t="str">
        <x:v>Card</x:v>
      </x:c>
      <x:c r="I576" t="n">
        <x:v>5</x:v>
      </x:c>
      <x:c r="J576" t="n">
        <x:v>9</x:v>
      </x:c>
      <x:c r="K576" t="n">
        <x:v>2</x:v>
      </x:c>
      <x:c r="L576" t="str">
        <x:v>STORE-001</x:v>
      </x:c>
      <x:c r="M576" s="22" t="n">
        <x:v>46015</x:v>
      </x:c>
      <x:c r="N576" t="str">
        <x:v>SKU-003</x:v>
      </x:c>
      <x:c r="O576" t="n">
        <x:v>1</x:v>
      </x:c>
      <x:c r="P576" s="26" t="n">
        <x:f>F576/O576</x:f>
        <x:v>124.45</x:v>
      </x:c>
    </x:row>
    <x:row r="577">
      <x:c r="A577" t="n">
        <x:v>576</x:v>
      </x:c>
      <x:c r="B577" t="n">
        <x:v>46</x:v>
      </x:c>
      <x:c r="C577" t="str">
        <x:v>Male</x:v>
      </x:c>
      <x:c r="D577" t="str">
        <x:v>Footwear</x:v>
      </x:c>
      <x:c r="E577" t="str">
        <x:v>Sneakers</x:v>
      </x:c>
      <x:c r="F577" s="24" t="n">
        <x:v>75.37</x:v>
      </x:c>
      <x:c r="G577" t="str">
        <x:v>Winter</x:v>
      </x:c>
      <x:c r="H577" t="str">
        <x:v>Card</x:v>
      </x:c>
      <x:c r="I577" t="n">
        <x:v>3.7</x:v>
      </x:c>
      <x:c r="J577" t="n">
        <x:v>20</x:v>
      </x:c>
      <x:c r="K577" t="n">
        <x:v>10</x:v>
      </x:c>
      <x:c r="L577" t="str">
        <x:v>STORE-001</x:v>
      </x:c>
      <x:c r="M577" s="22" t="n">
        <x:v>46247</x:v>
      </x:c>
      <x:c r="N577" t="str">
        <x:v>SKU-025</x:v>
      </x:c>
      <x:c r="O577" t="n">
        <x:v>1</x:v>
      </x:c>
      <x:c r="P577" s="26" t="n">
        <x:f>F577/O577</x:f>
        <x:v>75.37</x:v>
      </x:c>
    </x:row>
    <x:row r="578">
      <x:c r="A578" t="n">
        <x:v>577</x:v>
      </x:c>
      <x:c r="B578" t="n">
        <x:v>30</x:v>
      </x:c>
      <x:c r="C578" t="str">
        <x:v>Male</x:v>
      </x:c>
      <x:c r="D578" t="str">
        <x:v>Sports</x:v>
      </x:c>
      <x:c r="E578" t="str">
        <x:v>Yoga Mat</x:v>
      </x:c>
      <x:c r="F578" s="24" t="n">
        <x:v>141.81</x:v>
      </x:c>
      <x:c r="G578" t="str">
        <x:v>Winter</x:v>
      </x:c>
      <x:c r="H578" t="str">
        <x:v>Card</x:v>
      </x:c>
      <x:c r="I578" t="n">
        <x:v>4.9</x:v>
      </x:c>
      <x:c r="J578" t="n">
        <x:v>13</x:v>
      </x:c>
      <x:c r="K578" t="n">
        <x:v>4</x:v>
      </x:c>
      <x:c r="L578" t="str">
        <x:v>STORE-001</x:v>
      </x:c>
      <x:c r="M578" s="22" t="n">
        <x:v>46245</x:v>
      </x:c>
      <x:c r="N578" t="str">
        <x:v>SKU-030</x:v>
      </x:c>
      <x:c r="O578" t="n">
        <x:v>1</x:v>
      </x:c>
      <x:c r="P578" s="26" t="n">
        <x:f>F578/O578</x:f>
        <x:v>141.81</x:v>
      </x:c>
    </x:row>
    <x:row r="579">
      <x:c r="A579" t="n">
        <x:v>578</x:v>
      </x:c>
      <x:c r="B579" t="n">
        <x:v>38</x:v>
      </x:c>
      <x:c r="C579" t="str">
        <x:v>Male</x:v>
      </x:c>
      <x:c r="D579" t="str">
        <x:v>Mens Clothing</x:v>
      </x:c>
      <x:c r="E579" t="str">
        <x:v>Jeans</x:v>
      </x:c>
      <x:c r="F579" s="24" t="n">
        <x:v>173.03</x:v>
      </x:c>
      <x:c r="G579" t="str">
        <x:v>Autumn</x:v>
      </x:c>
      <x:c r="H579" t="str">
        <x:v>Card</x:v>
      </x:c>
      <x:c r="I579" t="n">
        <x:v>2.6</x:v>
      </x:c>
      <x:c r="J579" t="n">
        <x:v>13</x:v>
      </x:c>
      <x:c r="K579" t="n">
        <x:v>4</x:v>
      </x:c>
      <x:c r="L579" t="str">
        <x:v>STORE-001</x:v>
      </x:c>
      <x:c r="M579" s="22" t="n">
        <x:v>46096</x:v>
      </x:c>
      <x:c r="N579" t="str">
        <x:v>SKU-011</x:v>
      </x:c>
      <x:c r="O579" t="n">
        <x:v>3</x:v>
      </x:c>
      <x:c r="P579" s="26" t="n">
        <x:f>F579/O579</x:f>
        <x:v>57.67666666666667</x:v>
      </x:c>
    </x:row>
    <x:row r="580">
      <x:c r="A580" t="n">
        <x:v>579</x:v>
      </x:c>
      <x:c r="B580" t="n">
        <x:v>26</x:v>
      </x:c>
      <x:c r="C580" t="str">
        <x:v>Female</x:v>
      </x:c>
      <x:c r="D580" t="str">
        <x:v>Home</x:v>
      </x:c>
      <x:c r="E580" t="str">
        <x:v>Curtains</x:v>
      </x:c>
      <x:c r="F580" s="24" t="n">
        <x:v>174.88</x:v>
      </x:c>
      <x:c r="G580" t="str">
        <x:v>Autumn</x:v>
      </x:c>
      <x:c r="H580" t="str">
        <x:v>Card</x:v>
      </x:c>
      <x:c r="I580" t="n">
        <x:v>4.4</x:v>
      </x:c>
      <x:c r="J580" t="n">
        <x:v>14</x:v>
      </x:c>
      <x:c r="K580" t="n">
        <x:v>2</x:v>
      </x:c>
      <x:c r="L580" t="str">
        <x:v>STORE-001</x:v>
      </x:c>
      <x:c r="M580" s="22" t="n">
        <x:v>46109</x:v>
      </x:c>
      <x:c r="N580" t="str">
        <x:v>SKU-003</x:v>
      </x:c>
      <x:c r="O580" t="n">
        <x:v>2</x:v>
      </x:c>
      <x:c r="P580" s="26" t="n">
        <x:f>F580/O580</x:f>
        <x:v>87.44</x:v>
      </x:c>
    </x:row>
    <x:row r="581">
      <x:c r="A581" t="n">
        <x:v>580</x:v>
      </x:c>
      <x:c r="B581" t="n">
        <x:v>42</x:v>
      </x:c>
      <x:c r="C581" t="str">
        <x:v>Female</x:v>
      </x:c>
      <x:c r="D581" t="str">
        <x:v>Beauty</x:v>
      </x:c>
      <x:c r="E581" t="str">
        <x:v>Perfume</x:v>
      </x:c>
      <x:c r="F581" s="24" t="n">
        <x:v>48.19</x:v>
      </x:c>
      <x:c r="G581" t="str">
        <x:v>Winter</x:v>
      </x:c>
      <x:c r="H581" t="str">
        <x:v>Card</x:v>
      </x:c>
      <x:c r="I581" t="n">
        <x:v>2.7</x:v>
      </x:c>
      <x:c r="J581" t="n">
        <x:v>12</x:v>
      </x:c>
      <x:c r="K581" t="n">
        <x:v>6</x:v>
      </x:c>
      <x:c r="L581" t="str">
        <x:v>STORE-001</x:v>
      </x:c>
      <x:c r="M581" s="22" t="n">
        <x:v>46195</x:v>
      </x:c>
      <x:c r="N581" t="str">
        <x:v>SKU-017</x:v>
      </x:c>
      <x:c r="O581" t="n">
        <x:v>1</x:v>
      </x:c>
      <x:c r="P581" s="26" t="n">
        <x:f>F581/O581</x:f>
        <x:v>48.19</x:v>
      </x:c>
    </x:row>
    <x:row r="582">
      <x:c r="A582" t="n">
        <x:v>581</x:v>
      </x:c>
      <x:c r="B582" t="n">
        <x:v>37</x:v>
      </x:c>
      <x:c r="C582" t="str">
        <x:v>Male</x:v>
      </x:c>
      <x:c r="D582" t="str">
        <x:v>Electronics</x:v>
      </x:c>
      <x:c r="E582" t="str">
        <x:v>Laptop</x:v>
      </x:c>
      <x:c r="F582" s="24" t="n">
        <x:v>714.78</x:v>
      </x:c>
      <x:c r="G582" t="str">
        <x:v>Winter</x:v>
      </x:c>
      <x:c r="H582" t="str">
        <x:v>Card</x:v>
      </x:c>
      <x:c r="I582" t="n">
        <x:v>4</x:v>
      </x:c>
      <x:c r="J582" t="n">
        <x:v>12</x:v>
      </x:c>
      <x:c r="K582" t="n">
        <x:v>6</x:v>
      </x:c>
      <x:c r="L582" t="str">
        <x:v>STORE-001</x:v>
      </x:c>
      <x:c r="M582" s="22" t="n">
        <x:v>46229</x:v>
      </x:c>
      <x:c r="N582" t="str">
        <x:v>SKU-014</x:v>
      </x:c>
      <x:c r="O582" t="n">
        <x:v>1</x:v>
      </x:c>
      <x:c r="P582" s="26" t="n">
        <x:f>F582/O582</x:f>
        <x:v>714.78</x:v>
      </x:c>
    </x:row>
    <x:row r="583">
      <x:c r="A583" t="n">
        <x:v>582</x:v>
      </x:c>
      <x:c r="B583" t="n">
        <x:v>54</x:v>
      </x:c>
      <x:c r="C583" t="str">
        <x:v>Female</x:v>
      </x:c>
      <x:c r="D583" t="str">
        <x:v>Sports</x:v>
      </x:c>
      <x:c r="E583" t="str">
        <x:v>Dumbbells</x:v>
      </x:c>
      <x:c r="F583" s="24" t="n">
        <x:v>30.19</x:v>
      </x:c>
      <x:c r="G583" t="str">
        <x:v>Autumn</x:v>
      </x:c>
      <x:c r="H583" t="str">
        <x:v>Cash on Delivery</x:v>
      </x:c>
      <x:c r="I583" t="n">
        <x:v>4.2</x:v>
      </x:c>
      <x:c r="J583" t="n">
        <x:v>13</x:v>
      </x:c>
      <x:c r="K583" t="n">
        <x:v>4</x:v>
      </x:c>
      <x:c r="L583" t="str">
        <x:v>STORE-001</x:v>
      </x:c>
      <x:c r="M583" s="22" t="n">
        <x:v>46172</x:v>
      </x:c>
      <x:c r="N583" t="str">
        <x:v>SKU-005</x:v>
      </x:c>
      <x:c r="O583" t="n">
        <x:v>1</x:v>
      </x:c>
      <x:c r="P583" s="26" t="n">
        <x:f>F583/O583</x:f>
        <x:v>30.19</x:v>
      </x:c>
    </x:row>
    <x:row r="584">
      <x:c r="A584" t="n">
        <x:v>583</x:v>
      </x:c>
      <x:c r="B584" t="n">
        <x:v>68</x:v>
      </x:c>
      <x:c r="C584" t="str">
        <x:v>Female</x:v>
      </x:c>
      <x:c r="D584" t="str">
        <x:v>Beauty</x:v>
      </x:c>
      <x:c r="E584" t="str">
        <x:v>Makeup Set</x:v>
      </x:c>
      <x:c r="F584" s="24" t="n">
        <x:v>120.37</x:v>
      </x:c>
      <x:c r="G584" t="str">
        <x:v>Winter</x:v>
      </x:c>
      <x:c r="H584" t="str">
        <x:v>Card</x:v>
      </x:c>
      <x:c r="I584" t="n">
        <x:v>2.9</x:v>
      </x:c>
      <x:c r="J584" t="n">
        <x:v>24</x:v>
      </x:c>
      <x:c r="K584" t="n">
        <x:v>7</x:v>
      </x:c>
      <x:c r="L584" t="str">
        <x:v>STORE-001</x:v>
      </x:c>
      <x:c r="M584" s="22" t="n">
        <x:v>46185</x:v>
      </x:c>
      <x:c r="N584" t="str">
        <x:v>SKU-015</x:v>
      </x:c>
      <x:c r="O584" t="n">
        <x:v>2</x:v>
      </x:c>
      <x:c r="P584" s="26" t="n">
        <x:f>F584/O584</x:f>
        <x:v>60.185</x:v>
      </x:c>
    </x:row>
    <x:row r="585">
      <x:c r="A585" t="n">
        <x:v>584</x:v>
      </x:c>
      <x:c r="B585" t="n">
        <x:v>38</x:v>
      </x:c>
      <x:c r="C585" t="str">
        <x:v>Female</x:v>
      </x:c>
      <x:c r="D585" t="str">
        <x:v>Womens Clothing</x:v>
      </x:c>
      <x:c r="E585" t="str">
        <x:v>Dress</x:v>
      </x:c>
      <x:c r="F585" s="24" t="n">
        <x:v>185.35</x:v>
      </x:c>
      <x:c r="G585" t="str">
        <x:v>Winter</x:v>
      </x:c>
      <x:c r="H585" t="str">
        <x:v>Card</x:v>
      </x:c>
      <x:c r="I585" t="n">
        <x:v>4.9</x:v>
      </x:c>
      <x:c r="J585" t="n">
        <x:v>12</x:v>
      </x:c>
      <x:c r="K585" t="n">
        <x:v>6</x:v>
      </x:c>
      <x:c r="L585" t="str">
        <x:v>STORE-001</x:v>
      </x:c>
      <x:c r="M585" s="22" t="n">
        <x:v>46264</x:v>
      </x:c>
      <x:c r="N585" t="str">
        <x:v>SKU-004</x:v>
      </x:c>
      <x:c r="O585" t="n">
        <x:v>3</x:v>
      </x:c>
      <x:c r="P585" s="26" t="n">
        <x:f>F585/O585</x:f>
        <x:v>61.78333333333333</x:v>
      </x:c>
    </x:row>
    <x:row r="586">
      <x:c r="A586" t="n">
        <x:v>585</x:v>
      </x:c>
      <x:c r="B586" t="n">
        <x:v>25</x:v>
      </x:c>
      <x:c r="C586" t="str">
        <x:v>Male</x:v>
      </x:c>
      <x:c r="D586" t="str">
        <x:v>Electronics</x:v>
      </x:c>
      <x:c r="E586" t="str">
        <x:v>Smart Watch</x:v>
      </x:c>
      <x:c r="F586" s="24" t="n">
        <x:v>1495.63</x:v>
      </x:c>
      <x:c r="G586" t="str">
        <x:v>Summer</x:v>
      </x:c>
      <x:c r="H586" t="str">
        <x:v>Card</x:v>
      </x:c>
      <x:c r="I586" t="n">
        <x:v>3.8</x:v>
      </x:c>
      <x:c r="J586" t="n">
        <x:v>14</x:v>
      </x:c>
      <x:c r="K586" t="n">
        <x:v>2</x:v>
      </x:c>
      <x:c r="L586" t="str">
        <x:v>STORE-001</x:v>
      </x:c>
      <x:c r="M586" s="22" t="n">
        <x:v>46014</x:v>
      </x:c>
      <x:c r="N586" t="str">
        <x:v>SKU-023</x:v>
      </x:c>
      <x:c r="O586" t="n">
        <x:v>1</x:v>
      </x:c>
      <x:c r="P586" s="26" t="n">
        <x:f>F586/O586</x:f>
        <x:v>1495.63</x:v>
      </x:c>
    </x:row>
    <x:row r="587">
      <x:c r="A587" t="n">
        <x:v>586</x:v>
      </x:c>
      <x:c r="B587" t="n">
        <x:v>42</x:v>
      </x:c>
      <x:c r="C587" t="str">
        <x:v>Male</x:v>
      </x:c>
      <x:c r="D587" t="str">
        <x:v>Electronics</x:v>
      </x:c>
      <x:c r="E587" t="str">
        <x:v>Mobile Phone</x:v>
      </x:c>
      <x:c r="F587" s="24" t="n">
        <x:v>1552.24</x:v>
      </x:c>
      <x:c r="G587" t="str">
        <x:v>Autumn</x:v>
      </x:c>
      <x:c r="H587" t="str">
        <x:v>Card</x:v>
      </x:c>
      <x:c r="I587" t="n">
        <x:v>3.8</x:v>
      </x:c>
      <x:c r="J587" t="n">
        <x:v>17</x:v>
      </x:c>
      <x:c r="K587" t="n">
        <x:v>6</x:v>
      </x:c>
      <x:c r="L587" t="str">
        <x:v>STORE-001</x:v>
      </x:c>
      <x:c r="M587" s="22" t="n">
        <x:v>46089</x:v>
      </x:c>
      <x:c r="N587" t="str">
        <x:v>SKU-016</x:v>
      </x:c>
      <x:c r="O587" t="n">
        <x:v>1</x:v>
      </x:c>
      <x:c r="P587" s="26" t="n">
        <x:f>F587/O587</x:f>
        <x:v>1552.24</x:v>
      </x:c>
    </x:row>
    <x:row r="588">
      <x:c r="A588" t="n">
        <x:v>587</x:v>
      </x:c>
      <x:c r="B588" t="n">
        <x:v>26</x:v>
      </x:c>
      <x:c r="C588" t="str">
        <x:v>Male</x:v>
      </x:c>
      <x:c r="D588" t="str">
        <x:v>Sports</x:v>
      </x:c>
      <x:c r="E588" t="str">
        <x:v>Football</x:v>
      </x:c>
      <x:c r="F588" s="24" t="n">
        <x:v>175.47</x:v>
      </x:c>
      <x:c r="G588" t="str">
        <x:v>Autumn</x:v>
      </x:c>
      <x:c r="H588" t="str">
        <x:v>Card</x:v>
      </x:c>
      <x:c r="I588" t="n">
        <x:v>3</x:v>
      </x:c>
      <x:c r="J588" t="n">
        <x:v>13</x:v>
      </x:c>
      <x:c r="K588" t="n">
        <x:v>4</x:v>
      </x:c>
      <x:c r="L588" t="str">
        <x:v>STORE-001</x:v>
      </x:c>
      <x:c r="M588" s="22" t="n">
        <x:v>46140</x:v>
      </x:c>
      <x:c r="N588" t="str">
        <x:v>SKU-006</x:v>
      </x:c>
      <x:c r="O588" t="n">
        <x:v>2</x:v>
      </x:c>
      <x:c r="P588" s="26" t="n">
        <x:f>F588/O588</x:f>
        <x:v>87.735</x:v>
      </x:c>
    </x:row>
    <x:row r="589">
      <x:c r="A589" t="n">
        <x:v>588</x:v>
      </x:c>
      <x:c r="B589" t="n">
        <x:v>45</x:v>
      </x:c>
      <x:c r="C589" t="str">
        <x:v>Male</x:v>
      </x:c>
      <x:c r="D589" t="str">
        <x:v>Sports</x:v>
      </x:c>
      <x:c r="E589" t="str">
        <x:v>Football</x:v>
      </x:c>
      <x:c r="F589" s="24" t="n">
        <x:v>136.12</x:v>
      </x:c>
      <x:c r="G589" t="str">
        <x:v>Spring</x:v>
      </x:c>
      <x:c r="H589" t="str">
        <x:v>Card</x:v>
      </x:c>
      <x:c r="I589" t="n">
        <x:v>4.5</x:v>
      </x:c>
      <x:c r="J589" t="n">
        <x:v>23</x:v>
      </x:c>
      <x:c r="K589" t="n">
        <x:v>9</x:v>
      </x:c>
      <x:c r="L589" t="str">
        <x:v>STORE-001</x:v>
      </x:c>
      <x:c r="M589" s="22" t="n">
        <x:v>45953</x:v>
      </x:c>
      <x:c r="N589" t="str">
        <x:v>SKU-006</x:v>
      </x:c>
      <x:c r="O589" t="n">
        <x:v>1</x:v>
      </x:c>
      <x:c r="P589" s="26" t="n">
        <x:f>F589/O589</x:f>
        <x:v>136.12</x:v>
      </x:c>
    </x:row>
    <x:row r="590">
      <x:c r="A590" t="n">
        <x:v>589</x:v>
      </x:c>
      <x:c r="B590" t="n">
        <x:v>22</x:v>
      </x:c>
      <x:c r="C590" t="str">
        <x:v>Female</x:v>
      </x:c>
      <x:c r="D590" t="str">
        <x:v>Footwear</x:v>
      </x:c>
      <x:c r="E590" t="str">
        <x:v>Sneakers</x:v>
      </x:c>
      <x:c r="F590" s="24" t="n">
        <x:v>174.5</x:v>
      </x:c>
      <x:c r="G590" t="str">
        <x:v>Autumn</x:v>
      </x:c>
      <x:c r="H590" t="str">
        <x:v>Card</x:v>
      </x:c>
      <x:c r="I590" t="n">
        <x:v>3.7</x:v>
      </x:c>
      <x:c r="J590" t="n">
        <x:v>14</x:v>
      </x:c>
      <x:c r="K590" t="n">
        <x:v>2</x:v>
      </x:c>
      <x:c r="L590" t="str">
        <x:v>STORE-001</x:v>
      </x:c>
      <x:c r="M590" s="22" t="n">
        <x:v>46162</x:v>
      </x:c>
      <x:c r="N590" t="str">
        <x:v>SKU-025</x:v>
      </x:c>
      <x:c r="O590" t="n">
        <x:v>1</x:v>
      </x:c>
      <x:c r="P590" s="26" t="n">
        <x:f>F590/O590</x:f>
        <x:v>174.5</x:v>
      </x:c>
    </x:row>
    <x:row r="591">
      <x:c r="A591" t="n">
        <x:v>590</x:v>
      </x:c>
      <x:c r="B591" t="n">
        <x:v>40</x:v>
      </x:c>
      <x:c r="C591" t="str">
        <x:v>Male</x:v>
      </x:c>
      <x:c r="D591" t="str">
        <x:v>Home</x:v>
      </x:c>
      <x:c r="E591" t="str">
        <x:v>Lamp</x:v>
      </x:c>
      <x:c r="F591" s="24" t="n">
        <x:v>136.29</x:v>
      </x:c>
      <x:c r="G591" t="str">
        <x:v>Winter</x:v>
      </x:c>
      <x:c r="H591" t="str">
        <x:v>Card</x:v>
      </x:c>
      <x:c r="I591" t="n">
        <x:v>2.9</x:v>
      </x:c>
      <x:c r="J591" t="n">
        <x:v>13</x:v>
      </x:c>
      <x:c r="K591" t="n">
        <x:v>4</x:v>
      </x:c>
      <x:c r="L591" t="str">
        <x:v>STORE-001</x:v>
      </x:c>
      <x:c r="M591" s="22" t="n">
        <x:v>46257</x:v>
      </x:c>
      <x:c r="N591" t="str">
        <x:v>SKU-013</x:v>
      </x:c>
      <x:c r="O591" t="n">
        <x:v>1</x:v>
      </x:c>
      <x:c r="P591" s="26" t="n">
        <x:f>F591/O591</x:f>
        <x:v>136.29</x:v>
      </x:c>
    </x:row>
    <x:row r="592">
      <x:c r="A592" t="n">
        <x:v>591</x:v>
      </x:c>
      <x:c r="B592" t="n">
        <x:v>44</x:v>
      </x:c>
      <x:c r="C592" t="str">
        <x:v>Female</x:v>
      </x:c>
      <x:c r="D592" t="str">
        <x:v>Footwear</x:v>
      </x:c>
      <x:c r="E592" t="str">
        <x:v>Sandals</x:v>
      </x:c>
      <x:c r="F592" s="24" t="n">
        <x:v>62.11</x:v>
      </x:c>
      <x:c r="G592" t="str">
        <x:v>Summer</x:v>
      </x:c>
      <x:c r="H592" t="str">
        <x:v>Card</x:v>
      </x:c>
      <x:c r="I592" t="n">
        <x:v>2.9</x:v>
      </x:c>
      <x:c r="J592" t="n">
        <x:v>19</x:v>
      </x:c>
      <x:c r="K592" t="n">
        <x:v>7</x:v>
      </x:c>
      <x:c r="L592" t="str">
        <x:v>STORE-001</x:v>
      </x:c>
      <x:c r="M592" s="22" t="n">
        <x:v>46064</x:v>
      </x:c>
      <x:c r="N592" t="str">
        <x:v>SKU-019</x:v>
      </x:c>
      <x:c r="O592" t="n">
        <x:v>1</x:v>
      </x:c>
      <x:c r="P592" s="26" t="n">
        <x:f>F592/O592</x:f>
        <x:v>62.11</x:v>
      </x:c>
    </x:row>
    <x:row r="593">
      <x:c r="A593" t="n">
        <x:v>592</x:v>
      </x:c>
      <x:c r="B593" t="n">
        <x:v>31</x:v>
      </x:c>
      <x:c r="C593" t="str">
        <x:v>Male</x:v>
      </x:c>
      <x:c r="D593" t="str">
        <x:v>Sports</x:v>
      </x:c>
      <x:c r="E593" t="str">
        <x:v>Football</x:v>
      </x:c>
      <x:c r="F593" s="24" t="n">
        <x:v>209.64</x:v>
      </x:c>
      <x:c r="G593" t="str">
        <x:v>Autumn</x:v>
      </x:c>
      <x:c r="H593" t="str">
        <x:v>Card</x:v>
      </x:c>
      <x:c r="I593" t="n">
        <x:v>4.6</x:v>
      </x:c>
      <x:c r="J593" t="n">
        <x:v>11</x:v>
      </x:c>
      <x:c r="K593" t="n">
        <x:v>3</x:v>
      </x:c>
      <x:c r="L593" t="str">
        <x:v>STORE-001</x:v>
      </x:c>
      <x:c r="M593" s="22" t="n">
        <x:v>46129</x:v>
      </x:c>
      <x:c r="N593" t="str">
        <x:v>SKU-006</x:v>
      </x:c>
      <x:c r="O593" t="n">
        <x:v>1</x:v>
      </x:c>
      <x:c r="P593" s="26" t="n">
        <x:f>F593/O593</x:f>
        <x:v>209.64</x:v>
      </x:c>
    </x:row>
    <x:row r="594">
      <x:c r="A594" t="n">
        <x:v>593</x:v>
      </x:c>
      <x:c r="B594" t="n">
        <x:v>23</x:v>
      </x:c>
      <x:c r="C594" t="str">
        <x:v>Male</x:v>
      </x:c>
      <x:c r="D594" t="str">
        <x:v>Footwear</x:v>
      </x:c>
      <x:c r="E594" t="str">
        <x:v>Sandals</x:v>
      </x:c>
      <x:c r="F594" s="24" t="n">
        <x:v>188.15</x:v>
      </x:c>
      <x:c r="G594" t="str">
        <x:v>Winter</x:v>
      </x:c>
      <x:c r="H594" t="str">
        <x:v>Card</x:v>
      </x:c>
      <x:c r="I594" t="n">
        <x:v>3.5</x:v>
      </x:c>
      <x:c r="J594" t="n">
        <x:v>4</x:v>
      </x:c>
      <x:c r="K594" t="n">
        <x:v>2</x:v>
      </x:c>
      <x:c r="L594" t="str">
        <x:v>STORE-001</x:v>
      </x:c>
      <x:c r="M594" s="22" t="n">
        <x:v>46209</x:v>
      </x:c>
      <x:c r="N594" t="str">
        <x:v>SKU-019</x:v>
      </x:c>
      <x:c r="O594" t="n">
        <x:v>3</x:v>
      </x:c>
      <x:c r="P594" s="26" t="n">
        <x:f>F594/O594</x:f>
        <x:v>62.71666666666667</x:v>
      </x:c>
    </x:row>
    <x:row r="595">
      <x:c r="A595" t="n">
        <x:v>594</x:v>
      </x:c>
      <x:c r="B595" t="n">
        <x:v>27</x:v>
      </x:c>
      <x:c r="C595" t="str">
        <x:v>Female</x:v>
      </x:c>
      <x:c r="D595" t="str">
        <x:v>Accessories</x:v>
      </x:c>
      <x:c r="E595" t="str">
        <x:v>Handbag</x:v>
      </x:c>
      <x:c r="F595" s="24" t="n">
        <x:v>31.87</x:v>
      </x:c>
      <x:c r="G595" t="str">
        <x:v>Winter</x:v>
      </x:c>
      <x:c r="H595" t="str">
        <x:v>Cash on Delivery</x:v>
      </x:c>
      <x:c r="I595" t="n">
        <x:v>5</x:v>
      </x:c>
      <x:c r="J595" t="n">
        <x:v>22</x:v>
      </x:c>
      <x:c r="K595" t="n">
        <x:v>6</x:v>
      </x:c>
      <x:c r="L595" t="str">
        <x:v>STORE-001</x:v>
      </x:c>
      <x:c r="M595" s="22" t="n">
        <x:v>46177</x:v>
      </x:c>
      <x:c r="N595" t="str">
        <x:v>SKU-008</x:v>
      </x:c>
      <x:c r="O595" t="n">
        <x:v>2</x:v>
      </x:c>
      <x:c r="P595" s="26" t="n">
        <x:f>F595/O595</x:f>
        <x:v>15.935</x:v>
      </x:c>
    </x:row>
    <x:row r="596">
      <x:c r="A596" t="n">
        <x:v>595</x:v>
      </x:c>
      <x:c r="B596" t="n">
        <x:v>24</x:v>
      </x:c>
      <x:c r="C596" t="str">
        <x:v>Male</x:v>
      </x:c>
      <x:c r="D596" t="str">
        <x:v>Mens Clothing</x:v>
      </x:c>
      <x:c r="E596" t="str">
        <x:v>Jeans</x:v>
      </x:c>
      <x:c r="F596" s="24" t="n">
        <x:v>128.64</x:v>
      </x:c>
      <x:c r="G596" t="str">
        <x:v>Autumn</x:v>
      </x:c>
      <x:c r="H596" t="str">
        <x:v>Card</x:v>
      </x:c>
      <x:c r="I596" t="n">
        <x:v>4.4</x:v>
      </x:c>
      <x:c r="J596" t="n">
        <x:v>22</x:v>
      </x:c>
      <x:c r="K596" t="n">
        <x:v>6</x:v>
      </x:c>
      <x:c r="L596" t="str">
        <x:v>STORE-001</x:v>
      </x:c>
      <x:c r="M596" s="22" t="n">
        <x:v>46090</x:v>
      </x:c>
      <x:c r="N596" t="str">
        <x:v>SKU-011</x:v>
      </x:c>
      <x:c r="O596" t="n">
        <x:v>1</x:v>
      </x:c>
      <x:c r="P596" s="26" t="n">
        <x:f>F596/O596</x:f>
        <x:v>128.64</x:v>
      </x:c>
    </x:row>
    <x:row r="597">
      <x:c r="A597" t="n">
        <x:v>596</x:v>
      </x:c>
      <x:c r="B597" t="n">
        <x:v>57</x:v>
      </x:c>
      <x:c r="C597" t="str">
        <x:v>Female</x:v>
      </x:c>
      <x:c r="D597" t="str">
        <x:v>Footwear</x:v>
      </x:c>
      <x:c r="E597" t="str">
        <x:v>Sneakers</x:v>
      </x:c>
      <x:c r="F597" s="24" t="n">
        <x:v>107.31</x:v>
      </x:c>
      <x:c r="G597" t="str">
        <x:v>Winter</x:v>
      </x:c>
      <x:c r="H597" t="str">
        <x:v>Card</x:v>
      </x:c>
      <x:c r="I597" t="n">
        <x:v>3.6</x:v>
      </x:c>
      <x:c r="J597" t="n">
        <x:v>16</x:v>
      </x:c>
      <x:c r="K597" t="n">
        <x:v>8</x:v>
      </x:c>
      <x:c r="L597" t="str">
        <x:v>STORE-001</x:v>
      </x:c>
      <x:c r="M597" s="22" t="n">
        <x:v>46189</x:v>
      </x:c>
      <x:c r="N597" t="str">
        <x:v>SKU-025</x:v>
      </x:c>
      <x:c r="O597" t="n">
        <x:v>2</x:v>
      </x:c>
      <x:c r="P597" s="26" t="n">
        <x:f>F597/O597</x:f>
        <x:v>53.655</x:v>
      </x:c>
    </x:row>
    <x:row r="598">
      <x:c r="A598" t="n">
        <x:v>597</x:v>
      </x:c>
      <x:c r="B598" t="n">
        <x:v>37</x:v>
      </x:c>
      <x:c r="C598" t="str">
        <x:v>Female</x:v>
      </x:c>
      <x:c r="D598" t="str">
        <x:v>Sports</x:v>
      </x:c>
      <x:c r="E598" t="str">
        <x:v>Football</x:v>
      </x:c>
      <x:c r="F598" s="24" t="n">
        <x:v>160.72</x:v>
      </x:c>
      <x:c r="G598" t="str">
        <x:v>Spring</x:v>
      </x:c>
      <x:c r="H598" t="str">
        <x:v>Card</x:v>
      </x:c>
      <x:c r="I598" t="n">
        <x:v>3.8</x:v>
      </x:c>
      <x:c r="J598" t="n">
        <x:v>8</x:v>
      </x:c>
      <x:c r="K598" t="n">
        <x:v>4</x:v>
      </x:c>
      <x:c r="L598" t="str">
        <x:v>STORE-001</x:v>
      </x:c>
      <x:c r="M598" s="22" t="n">
        <x:v>45976</x:v>
      </x:c>
      <x:c r="N598" t="str">
        <x:v>SKU-006</x:v>
      </x:c>
      <x:c r="O598" t="n">
        <x:v>1</x:v>
      </x:c>
      <x:c r="P598" s="26" t="n">
        <x:f>F598/O598</x:f>
        <x:v>160.72</x:v>
      </x:c>
    </x:row>
    <x:row r="599">
      <x:c r="A599" t="n">
        <x:v>598</x:v>
      </x:c>
      <x:c r="B599" t="n">
        <x:v>44</x:v>
      </x:c>
      <x:c r="C599" t="str">
        <x:v>Male</x:v>
      </x:c>
      <x:c r="D599" t="str">
        <x:v>Mens Clothing</x:v>
      </x:c>
      <x:c r="E599" t="str">
        <x:v>Jacket</x:v>
      </x:c>
      <x:c r="F599" s="24" t="n">
        <x:v>74.66</x:v>
      </x:c>
      <x:c r="G599" t="str">
        <x:v>Autumn</x:v>
      </x:c>
      <x:c r="H599" t="str">
        <x:v>Cash on Delivery</x:v>
      </x:c>
      <x:c r="I599" t="n">
        <x:v>3</x:v>
      </x:c>
      <x:c r="J599" t="n">
        <x:v>13</x:v>
      </x:c>
      <x:c r="K599" t="n">
        <x:v>4</x:v>
      </x:c>
      <x:c r="L599" t="str">
        <x:v>STORE-001</x:v>
      </x:c>
      <x:c r="M599" s="22" t="n">
        <x:v>46165</x:v>
      </x:c>
      <x:c r="N599" t="str">
        <x:v>SKU-010</x:v>
      </x:c>
      <x:c r="O599" t="n">
        <x:v>2</x:v>
      </x:c>
      <x:c r="P599" s="26" t="n">
        <x:f>F599/O599</x:f>
        <x:v>37.33</x:v>
      </x:c>
    </x:row>
    <x:row r="600">
      <x:c r="A600" t="n">
        <x:v>599</x:v>
      </x:c>
      <x:c r="B600" t="n">
        <x:v>69</x:v>
      </x:c>
      <x:c r="C600" t="str">
        <x:v>Male</x:v>
      </x:c>
      <x:c r="D600" t="str">
        <x:v>Footwear</x:v>
      </x:c>
      <x:c r="E600" t="str">
        <x:v>Sneakers</x:v>
      </x:c>
      <x:c r="F600" s="24" t="n">
        <x:v>210.5</x:v>
      </x:c>
      <x:c r="G600" t="str">
        <x:v>Winter</x:v>
      </x:c>
      <x:c r="H600" t="str">
        <x:v>Card</x:v>
      </x:c>
      <x:c r="I600" t="n">
        <x:v>3.8</x:v>
      </x:c>
      <x:c r="J600" t="n">
        <x:v>13</x:v>
      </x:c>
      <x:c r="K600" t="n">
        <x:v>4</x:v>
      </x:c>
      <x:c r="L600" t="str">
        <x:v>STORE-001</x:v>
      </x:c>
      <x:c r="M600" s="22" t="n">
        <x:v>46234</x:v>
      </x:c>
      <x:c r="N600" t="str">
        <x:v>SKU-025</x:v>
      </x:c>
      <x:c r="O600" t="n">
        <x:v>1</x:v>
      </x:c>
      <x:c r="P600" s="26" t="n">
        <x:f>F600/O600</x:f>
        <x:v>210.5</x:v>
      </x:c>
    </x:row>
    <x:row r="601">
      <x:c r="A601" t="n">
        <x:v>600</x:v>
      </x:c>
      <x:c r="B601" t="n">
        <x:v>24</x:v>
      </x:c>
      <x:c r="C601" t="str">
        <x:v>Male</x:v>
      </x:c>
      <x:c r="D601" t="str">
        <x:v>Mens Clothing</x:v>
      </x:c>
      <x:c r="E601" t="str">
        <x:v>Shirt</x:v>
      </x:c>
      <x:c r="F601" s="24" t="n">
        <x:v>35.35</x:v>
      </x:c>
      <x:c r="G601" t="str">
        <x:v>Winter</x:v>
      </x:c>
      <x:c r="H601" t="str">
        <x:v>Card</x:v>
      </x:c>
      <x:c r="I601" t="n">
        <x:v>3.6</x:v>
      </x:c>
      <x:c r="J601" t="n">
        <x:v>21</x:v>
      </x:c>
      <x:c r="K601" t="n">
        <x:v>8</x:v>
      </x:c>
      <x:c r="L601" t="str">
        <x:v>STORE-001</x:v>
      </x:c>
      <x:c r="M601" s="22" t="n">
        <x:v>46245</x:v>
      </x:c>
      <x:c r="N601" t="str">
        <x:v>SKU-020</x:v>
      </x:c>
      <x:c r="O601" t="n">
        <x:v>3</x:v>
      </x:c>
      <x:c r="P601" s="26" t="n">
        <x:f>F601/O601</x:f>
        <x:v>11.783333333333333</x:v>
      </x:c>
    </x:row>
    <x:row r="602">
      <x:c r="A602" t="n">
        <x:v>601</x:v>
      </x:c>
      <x:c r="B602" t="n">
        <x:v>48</x:v>
      </x:c>
      <x:c r="C602" t="str">
        <x:v>Male</x:v>
      </x:c>
      <x:c r="D602" t="str">
        <x:v>Sports</x:v>
      </x:c>
      <x:c r="E602" t="str">
        <x:v>Dumbbells</x:v>
      </x:c>
      <x:c r="F602" s="24" t="n">
        <x:v>63.8</x:v>
      </x:c>
      <x:c r="G602" t="str">
        <x:v>Winter</x:v>
      </x:c>
      <x:c r="H602" t="str">
        <x:v>Cash on Delivery</x:v>
      </x:c>
      <x:c r="I602" t="n">
        <x:v>4.2</x:v>
      </x:c>
      <x:c r="J602" t="n">
        <x:v>15</x:v>
      </x:c>
      <x:c r="K602" t="n">
        <x:v>5</x:v>
      </x:c>
      <x:c r="L602" t="str">
        <x:v>STORE-001</x:v>
      </x:c>
      <x:c r="M602" s="22" t="n">
        <x:v>46238</x:v>
      </x:c>
      <x:c r="N602" t="str">
        <x:v>SKU-005</x:v>
      </x:c>
      <x:c r="O602" t="n">
        <x:v>1</x:v>
      </x:c>
      <x:c r="P602" s="26" t="n">
        <x:f>F602/O602</x:f>
        <x:v>63.8</x:v>
      </x:c>
    </x:row>
    <x:row r="603">
      <x:c r="A603" t="n">
        <x:v>602</x:v>
      </x:c>
      <x:c r="B603" t="n">
        <x:v>50</x:v>
      </x:c>
      <x:c r="C603" t="str">
        <x:v>Male</x:v>
      </x:c>
      <x:c r="D603" t="str">
        <x:v>Footwear</x:v>
      </x:c>
      <x:c r="E603" t="str">
        <x:v>Sandals</x:v>
      </x:c>
      <x:c r="F603" s="24" t="n">
        <x:v>66.64</x:v>
      </x:c>
      <x:c r="G603" t="str">
        <x:v>Summer</x:v>
      </x:c>
      <x:c r="H603" t="str">
        <x:v>Card</x:v>
      </x:c>
      <x:c r="I603" t="n">
        <x:v>5</x:v>
      </x:c>
      <x:c r="J603" t="n">
        <x:v>15</x:v>
      </x:c>
      <x:c r="K603" t="n">
        <x:v>5</x:v>
      </x:c>
      <x:c r="L603" t="str">
        <x:v>STORE-001</x:v>
      </x:c>
      <x:c r="M603" s="22" t="n">
        <x:v>46078</x:v>
      </x:c>
      <x:c r="N603" t="str">
        <x:v>SKU-019</x:v>
      </x:c>
      <x:c r="O603" t="n">
        <x:v>2</x:v>
      </x:c>
      <x:c r="P603" s="26" t="n">
        <x:f>F603/O603</x:f>
        <x:v>33.32</x:v>
      </x:c>
    </x:row>
    <x:row r="604">
      <x:c r="A604" t="n">
        <x:v>603</x:v>
      </x:c>
      <x:c r="B604" t="n">
        <x:v>33</x:v>
      </x:c>
      <x:c r="C604" t="str">
        <x:v>Female</x:v>
      </x:c>
      <x:c r="D604" t="str">
        <x:v>Sports</x:v>
      </x:c>
      <x:c r="E604" t="str">
        <x:v>Dumbbells</x:v>
      </x:c>
      <x:c r="F604" s="24" t="n">
        <x:v>26.47</x:v>
      </x:c>
      <x:c r="G604" t="str">
        <x:v>Spring</x:v>
      </x:c>
      <x:c r="H604" t="str">
        <x:v>Cash on Delivery</x:v>
      </x:c>
      <x:c r="I604" t="n">
        <x:v>2.7</x:v>
      </x:c>
      <x:c r="J604" t="n">
        <x:v>4</x:v>
      </x:c>
      <x:c r="K604" t="n">
        <x:v>2</x:v>
      </x:c>
      <x:c r="L604" t="str">
        <x:v>STORE-001</x:v>
      </x:c>
      <x:c r="M604" s="22" t="n">
        <x:v>45991</x:v>
      </x:c>
      <x:c r="N604" t="str">
        <x:v>SKU-005</x:v>
      </x:c>
      <x:c r="O604" t="n">
        <x:v>1</x:v>
      </x:c>
      <x:c r="P604" s="26" t="n">
        <x:f>F604/O604</x:f>
        <x:v>26.47</x:v>
      </x:c>
    </x:row>
    <x:row r="605">
      <x:c r="A605" t="n">
        <x:v>604</x:v>
      </x:c>
      <x:c r="B605" t="n">
        <x:v>67</x:v>
      </x:c>
      <x:c r="C605" t="str">
        <x:v>Male</x:v>
      </x:c>
      <x:c r="D605" t="str">
        <x:v>Footwear</x:v>
      </x:c>
      <x:c r="E605" t="str">
        <x:v>Formal Shoes</x:v>
      </x:c>
      <x:c r="F605" s="24" t="n">
        <x:v>233.68</x:v>
      </x:c>
      <x:c r="G605" t="str">
        <x:v>Autumn</x:v>
      </x:c>
      <x:c r="H605" t="str">
        <x:v>Card</x:v>
      </x:c>
      <x:c r="I605" t="n">
        <x:v>3.3</x:v>
      </x:c>
      <x:c r="J605" t="n">
        <x:v>13</x:v>
      </x:c>
      <x:c r="K605" t="n">
        <x:v>4</x:v>
      </x:c>
      <x:c r="L605" t="str">
        <x:v>STORE-001</x:v>
      </x:c>
      <x:c r="M605" s="22" t="n">
        <x:v>46084</x:v>
      </x:c>
      <x:c r="N605" t="str">
        <x:v>SKU-007</x:v>
      </x:c>
      <x:c r="O605" t="n">
        <x:v>1</x:v>
      </x:c>
      <x:c r="P605" s="26" t="n">
        <x:f>F605/O605</x:f>
        <x:v>233.68</x:v>
      </x:c>
    </x:row>
    <x:row r="606">
      <x:c r="A606" t="n">
        <x:v>605</x:v>
      </x:c>
      <x:c r="B606" t="n">
        <x:v>48</x:v>
      </x:c>
      <x:c r="C606" t="str">
        <x:v>Female</x:v>
      </x:c>
      <x:c r="D606" t="str">
        <x:v>Sports</x:v>
      </x:c>
      <x:c r="E606" t="str">
        <x:v>Dumbbells</x:v>
      </x:c>
      <x:c r="F606" s="24" t="n">
        <x:v>184.2</x:v>
      </x:c>
      <x:c r="G606" t="str">
        <x:v>Spring</x:v>
      </x:c>
      <x:c r="H606" t="str">
        <x:v>Card</x:v>
      </x:c>
      <x:c r="I606" t="n">
        <x:v>4.3</x:v>
      </x:c>
      <x:c r="J606" t="n">
        <x:v>19</x:v>
      </x:c>
      <x:c r="K606" t="n">
        <x:v>7</x:v>
      </x:c>
      <x:c r="L606" t="str">
        <x:v>STORE-001</x:v>
      </x:c>
      <x:c r="M606" s="22" t="n">
        <x:v>46288</x:v>
      </x:c>
      <x:c r="N606" t="str">
        <x:v>SKU-005</x:v>
      </x:c>
      <x:c r="O606" t="n">
        <x:v>2</x:v>
      </x:c>
      <x:c r="P606" s="26" t="n">
        <x:f>F606/O606</x:f>
        <x:v>92.1</x:v>
      </x:c>
    </x:row>
    <x:row r="607">
      <x:c r="A607" t="n">
        <x:v>606</x:v>
      </x:c>
      <x:c r="B607" t="n">
        <x:v>43</x:v>
      </x:c>
      <x:c r="C607" t="str">
        <x:v>Female</x:v>
      </x:c>
      <x:c r="D607" t="str">
        <x:v>Footwear</x:v>
      </x:c>
      <x:c r="E607" t="str">
        <x:v>Formal Shoes</x:v>
      </x:c>
      <x:c r="F607" s="24" t="n">
        <x:v>209.23</x:v>
      </x:c>
      <x:c r="G607" t="str">
        <x:v>Winter</x:v>
      </x:c>
      <x:c r="H607" t="str">
        <x:v>Card</x:v>
      </x:c>
      <x:c r="I607" t="n">
        <x:v>3</x:v>
      </x:c>
      <x:c r="J607" t="n">
        <x:v>13</x:v>
      </x:c>
      <x:c r="K607" t="n">
        <x:v>4</x:v>
      </x:c>
      <x:c r="L607" t="str">
        <x:v>STORE-001</x:v>
      </x:c>
      <x:c r="M607" s="22" t="n">
        <x:v>46191</x:v>
      </x:c>
      <x:c r="N607" t="str">
        <x:v>SKU-007</x:v>
      </x:c>
      <x:c r="O607" t="n">
        <x:v>1</x:v>
      </x:c>
      <x:c r="P607" s="26" t="n">
        <x:f>F607/O607</x:f>
        <x:v>209.23</x:v>
      </x:c>
    </x:row>
    <x:row r="608">
      <x:c r="A608" t="n">
        <x:v>607</x:v>
      </x:c>
      <x:c r="B608" t="n">
        <x:v>55</x:v>
      </x:c>
      <x:c r="C608" t="str">
        <x:v>Male</x:v>
      </x:c>
      <x:c r="D608" t="str">
        <x:v>Sports</x:v>
      </x:c>
      <x:c r="E608" t="str">
        <x:v>Football</x:v>
      </x:c>
      <x:c r="F608" s="24" t="n">
        <x:v>225.1</x:v>
      </x:c>
      <x:c r="G608" t="str">
        <x:v>Winter</x:v>
      </x:c>
      <x:c r="H608" t="str">
        <x:v>Card</x:v>
      </x:c>
      <x:c r="I608" t="n">
        <x:v>4.8</x:v>
      </x:c>
      <x:c r="J608" t="n">
        <x:v>12</x:v>
      </x:c>
      <x:c r="K608" t="n">
        <x:v>6</x:v>
      </x:c>
      <x:c r="L608" t="str">
        <x:v>STORE-001</x:v>
      </x:c>
      <x:c r="M608" s="22" t="n">
        <x:v>46199</x:v>
      </x:c>
      <x:c r="N608" t="str">
        <x:v>SKU-006</x:v>
      </x:c>
      <x:c r="O608" t="n">
        <x:v>2</x:v>
      </x:c>
      <x:c r="P608" s="26" t="n">
        <x:f>F608/O608</x:f>
        <x:v>112.55</x:v>
      </x:c>
    </x:row>
    <x:row r="609">
      <x:c r="A609" t="n">
        <x:v>608</x:v>
      </x:c>
      <x:c r="B609" t="n">
        <x:v>26</x:v>
      </x:c>
      <x:c r="C609" t="str">
        <x:v>Male</x:v>
      </x:c>
      <x:c r="D609" t="str">
        <x:v>Mens Clothing</x:v>
      </x:c>
      <x:c r="E609" t="str">
        <x:v>Jacket</x:v>
      </x:c>
      <x:c r="F609" s="24" t="n">
        <x:v>172.87</x:v>
      </x:c>
      <x:c r="G609" t="str">
        <x:v>Summer</x:v>
      </x:c>
      <x:c r="H609" t="str">
        <x:v>Card</x:v>
      </x:c>
      <x:c r="I609" t="n">
        <x:v>3.3</x:v>
      </x:c>
      <x:c r="J609" t="n">
        <x:v>17</x:v>
      </x:c>
      <x:c r="K609" t="n">
        <x:v>6</x:v>
      </x:c>
      <x:c r="L609" t="str">
        <x:v>STORE-001</x:v>
      </x:c>
      <x:c r="M609" s="22" t="n">
        <x:v>46009</x:v>
      </x:c>
      <x:c r="N609" t="str">
        <x:v>SKU-010</x:v>
      </x:c>
      <x:c r="O609" t="n">
        <x:v>1</x:v>
      </x:c>
      <x:c r="P609" s="26" t="n">
        <x:f>F609/O609</x:f>
        <x:v>172.87</x:v>
      </x:c>
    </x:row>
    <x:row r="610">
      <x:c r="A610" t="n">
        <x:v>609</x:v>
      </x:c>
      <x:c r="B610" t="n">
        <x:v>56</x:v>
      </x:c>
      <x:c r="C610" t="str">
        <x:v>Male</x:v>
      </x:c>
      <x:c r="D610" t="str">
        <x:v>Electronics</x:v>
      </x:c>
      <x:c r="E610" t="str">
        <x:v>Laptop</x:v>
      </x:c>
      <x:c r="F610" s="24" t="n">
        <x:v>2831.6</x:v>
      </x:c>
      <x:c r="G610" t="str">
        <x:v>Autumn</x:v>
      </x:c>
      <x:c r="H610" t="str">
        <x:v>Card</x:v>
      </x:c>
      <x:c r="I610" t="n">
        <x:v>4.7</x:v>
      </x:c>
      <x:c r="J610" t="n">
        <x:v>15</x:v>
      </x:c>
      <x:c r="K610" t="n">
        <x:v>5</x:v>
      </x:c>
      <x:c r="L610" t="str">
        <x:v>STORE-001</x:v>
      </x:c>
      <x:c r="M610" s="22" t="n">
        <x:v>46151</x:v>
      </x:c>
      <x:c r="N610" t="str">
        <x:v>SKU-014</x:v>
      </x:c>
      <x:c r="O610" t="n">
        <x:v>1</x:v>
      </x:c>
      <x:c r="P610" s="26" t="n">
        <x:f>F610/O610</x:f>
        <x:v>2831.6</x:v>
      </x:c>
    </x:row>
    <x:row r="611">
      <x:c r="A611" t="n">
        <x:v>610</x:v>
      </x:c>
      <x:c r="B611" t="n">
        <x:v>52</x:v>
      </x:c>
      <x:c r="C611" t="str">
        <x:v>Female</x:v>
      </x:c>
      <x:c r="D611" t="str">
        <x:v>Accessories</x:v>
      </x:c>
      <x:c r="E611" t="str">
        <x:v>Handbag</x:v>
      </x:c>
      <x:c r="F611" s="24" t="n">
        <x:v>20.11</x:v>
      </x:c>
      <x:c r="G611" t="str">
        <x:v>Spring</x:v>
      </x:c>
      <x:c r="H611" t="str">
        <x:v>Card</x:v>
      </x:c>
      <x:c r="I611" t="n">
        <x:v>5</x:v>
      </x:c>
      <x:c r="J611" t="n">
        <x:v>8</x:v>
      </x:c>
      <x:c r="K611" t="n">
        <x:v>4</x:v>
      </x:c>
      <x:c r="L611" t="str">
        <x:v>STORE-001</x:v>
      </x:c>
      <x:c r="M611" s="22" t="n">
        <x:v>45977</x:v>
      </x:c>
      <x:c r="N611" t="str">
        <x:v>SKU-008</x:v>
      </x:c>
      <x:c r="O611" t="n">
        <x:v>2</x:v>
      </x:c>
      <x:c r="P611" s="26" t="n">
        <x:f>F611/O611</x:f>
        <x:v>10.055</x:v>
      </x:c>
    </x:row>
    <x:row r="612">
      <x:c r="A612" t="n">
        <x:v>611</x:v>
      </x:c>
      <x:c r="B612" t="n">
        <x:v>32</x:v>
      </x:c>
      <x:c r="C612" t="str">
        <x:v>Male</x:v>
      </x:c>
      <x:c r="D612" t="str">
        <x:v>Groceries</x:v>
      </x:c>
      <x:c r="E612" t="str">
        <x:v>Snacks</x:v>
      </x:c>
      <x:c r="F612" s="24" t="n">
        <x:v>58.96</x:v>
      </x:c>
      <x:c r="G612" t="str">
        <x:v>Winter</x:v>
      </x:c>
      <x:c r="H612" t="str">
        <x:v>Cash on Delivery</x:v>
      </x:c>
      <x:c r="I612" t="n">
        <x:v>4.8</x:v>
      </x:c>
      <x:c r="J612" t="n">
        <x:v>4</x:v>
      </x:c>
      <x:c r="K612" t="n">
        <x:v>2</x:v>
      </x:c>
      <x:c r="L612" t="str">
        <x:v>STORE-001</x:v>
      </x:c>
      <x:c r="M612" s="22" t="n">
        <x:v>46260</x:v>
      </x:c>
      <x:c r="N612" t="str">
        <x:v>SKU-024</x:v>
      </x:c>
      <x:c r="O612" t="n">
        <x:v>2</x:v>
      </x:c>
      <x:c r="P612" s="26" t="n">
        <x:f>F612/O612</x:f>
        <x:v>29.48</x:v>
      </x:c>
    </x:row>
    <x:row r="613">
      <x:c r="A613" t="n">
        <x:v>612</x:v>
      </x:c>
      <x:c r="B613" t="n">
        <x:v>44</x:v>
      </x:c>
      <x:c r="C613" t="str">
        <x:v>Female</x:v>
      </x:c>
      <x:c r="D613" t="str">
        <x:v>Accessories</x:v>
      </x:c>
      <x:c r="E613" t="str">
        <x:v>Wallet</x:v>
      </x:c>
      <x:c r="F613" s="24" t="n">
        <x:v>170.49</x:v>
      </x:c>
      <x:c r="G613" t="str">
        <x:v>Autumn</x:v>
      </x:c>
      <x:c r="H613" t="str">
        <x:v>Card</x:v>
      </x:c>
      <x:c r="I613" t="n">
        <x:v>2.9</x:v>
      </x:c>
      <x:c r="J613" t="n">
        <x:v>18</x:v>
      </x:c>
      <x:c r="K613" t="n">
        <x:v>9</x:v>
      </x:c>
      <x:c r="L613" t="str">
        <x:v>STORE-001</x:v>
      </x:c>
      <x:c r="M613" s="22" t="n">
        <x:v>46090</x:v>
      </x:c>
      <x:c r="N613" t="str">
        <x:v>SKU-029</x:v>
      </x:c>
      <x:c r="O613" t="n">
        <x:v>1</x:v>
      </x:c>
      <x:c r="P613" s="26" t="n">
        <x:f>F613/O613</x:f>
        <x:v>170.49</x:v>
      </x:c>
    </x:row>
    <x:row r="614">
      <x:c r="A614" t="n">
        <x:v>613</x:v>
      </x:c>
      <x:c r="B614" t="n">
        <x:v>44</x:v>
      </x:c>
      <x:c r="C614" t="str">
        <x:v>Female</x:v>
      </x:c>
      <x:c r="D614" t="str">
        <x:v>Womens Clothing</x:v>
      </x:c>
      <x:c r="E614" t="str">
        <x:v>Skirt</x:v>
      </x:c>
      <x:c r="F614" s="24" t="n">
        <x:v>65.05</x:v>
      </x:c>
      <x:c r="G614" t="str">
        <x:v>Summer</x:v>
      </x:c>
      <x:c r="H614" t="str">
        <x:v>Cash on Delivery</x:v>
      </x:c>
      <x:c r="I614" t="n">
        <x:v>3.4</x:v>
      </x:c>
      <x:c r="J614" t="n">
        <x:v>19</x:v>
      </x:c>
      <x:c r="K614" t="n">
        <x:v>7</x:v>
      </x:c>
      <x:c r="L614" t="str">
        <x:v>STORE-001</x:v>
      </x:c>
      <x:c r="M614" s="22" t="n">
        <x:v>46009</x:v>
      </x:c>
      <x:c r="N614" t="str">
        <x:v>SKU-022</x:v>
      </x:c>
      <x:c r="O614" t="n">
        <x:v>2</x:v>
      </x:c>
      <x:c r="P614" s="26" t="n">
        <x:f>F614/O614</x:f>
        <x:v>32.525</x:v>
      </x:c>
    </x:row>
    <x:row r="615">
      <x:c r="A615" t="n">
        <x:v>614</x:v>
      </x:c>
      <x:c r="B615" t="n">
        <x:v>32</x:v>
      </x:c>
      <x:c r="C615" t="str">
        <x:v>Female</x:v>
      </x:c>
      <x:c r="D615" t="str">
        <x:v>Womens Clothing</x:v>
      </x:c>
      <x:c r="E615" t="str">
        <x:v>Jeans</x:v>
      </x:c>
      <x:c r="F615" s="24" t="n">
        <x:v>35.66</x:v>
      </x:c>
      <x:c r="G615" t="str">
        <x:v>Summer</x:v>
      </x:c>
      <x:c r="H615" t="str">
        <x:v>Cash on Delivery</x:v>
      </x:c>
      <x:c r="I615" t="n">
        <x:v>4.1</x:v>
      </x:c>
      <x:c r="J615" t="n">
        <x:v>17</x:v>
      </x:c>
      <x:c r="K615" t="n">
        <x:v>6</x:v>
      </x:c>
      <x:c r="L615" t="str">
        <x:v>STORE-001</x:v>
      </x:c>
      <x:c r="M615" s="22" t="n">
        <x:v>46042</x:v>
      </x:c>
      <x:c r="N615" t="str">
        <x:v>SKU-011</x:v>
      </x:c>
      <x:c r="O615" t="n">
        <x:v>1</x:v>
      </x:c>
      <x:c r="P615" s="26" t="n">
        <x:f>F615/O615</x:f>
        <x:v>35.66</x:v>
      </x:c>
    </x:row>
    <x:row r="616">
      <x:c r="A616" t="n">
        <x:v>615</x:v>
      </x:c>
      <x:c r="B616" t="n">
        <x:v>32</x:v>
      </x:c>
      <x:c r="C616" t="str">
        <x:v>Female</x:v>
      </x:c>
      <x:c r="D616" t="str">
        <x:v>Sports</x:v>
      </x:c>
      <x:c r="E616" t="str">
        <x:v>Dumbbells</x:v>
      </x:c>
      <x:c r="F616" s="24" t="n">
        <x:v>37.45</x:v>
      </x:c>
      <x:c r="G616" t="str">
        <x:v>Winter</x:v>
      </x:c>
      <x:c r="H616" t="str">
        <x:v>Card</x:v>
      </x:c>
      <x:c r="I616" t="n">
        <x:v>3.2</x:v>
      </x:c>
      <x:c r="J616" t="n">
        <x:v>2</x:v>
      </x:c>
      <x:c r="K616" t="n">
        <x:v>1</x:v>
      </x:c>
      <x:c r="L616" t="str">
        <x:v>STORE-001</x:v>
      </x:c>
      <x:c r="M616" s="22" t="n">
        <x:v>46179</x:v>
      </x:c>
      <x:c r="N616" t="str">
        <x:v>SKU-005</x:v>
      </x:c>
      <x:c r="O616" t="n">
        <x:v>1</x:v>
      </x:c>
      <x:c r="P616" s="26" t="n">
        <x:f>F616/O616</x:f>
        <x:v>37.45</x:v>
      </x:c>
    </x:row>
    <x:row r="617">
      <x:c r="A617" t="n">
        <x:v>616</x:v>
      </x:c>
      <x:c r="B617" t="n">
        <x:v>26</x:v>
      </x:c>
      <x:c r="C617" t="str">
        <x:v>Female</x:v>
      </x:c>
      <x:c r="D617" t="str">
        <x:v>Accessories</x:v>
      </x:c>
      <x:c r="E617" t="str">
        <x:v>Sunglasses</x:v>
      </x:c>
      <x:c r="F617" s="24" t="n">
        <x:v>170.43</x:v>
      </x:c>
      <x:c r="G617" t="str">
        <x:v>Spring</x:v>
      </x:c>
      <x:c r="H617" t="str">
        <x:v>Card</x:v>
      </x:c>
      <x:c r="I617" t="n">
        <x:v>3.1</x:v>
      </x:c>
      <x:c r="J617" t="n">
        <x:v>17</x:v>
      </x:c>
      <x:c r="K617" t="n">
        <x:v>6</x:v>
      </x:c>
      <x:c r="L617" t="str">
        <x:v>STORE-001</x:v>
      </x:c>
      <x:c r="M617" s="22" t="n">
        <x:v>45942</x:v>
      </x:c>
      <x:c r="N617" t="str">
        <x:v>SKU-026</x:v>
      </x:c>
      <x:c r="O617" t="n">
        <x:v>1</x:v>
      </x:c>
      <x:c r="P617" s="26" t="n">
        <x:f>F617/O617</x:f>
        <x:v>170.43</x:v>
      </x:c>
    </x:row>
    <x:row r="618">
      <x:c r="A618" t="n">
        <x:v>617</x:v>
      </x:c>
      <x:c r="B618" t="n">
        <x:v>30</x:v>
      </x:c>
      <x:c r="C618" t="str">
        <x:v>Female</x:v>
      </x:c>
      <x:c r="D618" t="str">
        <x:v>Footwear</x:v>
      </x:c>
      <x:c r="E618" t="str">
        <x:v>Sandals</x:v>
      </x:c>
      <x:c r="F618" s="24" t="n">
        <x:v>61.98</x:v>
      </x:c>
      <x:c r="G618" t="str">
        <x:v>Spring</x:v>
      </x:c>
      <x:c r="H618" t="str">
        <x:v>Card</x:v>
      </x:c>
      <x:c r="I618" t="n">
        <x:v>3.5</x:v>
      </x:c>
      <x:c r="J618" t="n">
        <x:v>10</x:v>
      </x:c>
      <x:c r="K618" t="n">
        <x:v>5</x:v>
      </x:c>
      <x:c r="L618" t="str">
        <x:v>STORE-001</x:v>
      </x:c>
      <x:c r="M618" s="22" t="n">
        <x:v>45947</x:v>
      </x:c>
      <x:c r="N618" t="str">
        <x:v>SKU-019</x:v>
      </x:c>
      <x:c r="O618" t="n">
        <x:v>1</x:v>
      </x:c>
      <x:c r="P618" s="26" t="n">
        <x:f>F618/O618</x:f>
        <x:v>61.98</x:v>
      </x:c>
    </x:row>
    <x:row r="619">
      <x:c r="A619" t="n">
        <x:v>618</x:v>
      </x:c>
      <x:c r="B619" t="n">
        <x:v>54</x:v>
      </x:c>
      <x:c r="C619" t="str">
        <x:v>Female</x:v>
      </x:c>
      <x:c r="D619" t="str">
        <x:v>Womens Clothing</x:v>
      </x:c>
      <x:c r="E619" t="str">
        <x:v>Dress</x:v>
      </x:c>
      <x:c r="F619" s="24" t="n">
        <x:v>97.85</x:v>
      </x:c>
      <x:c r="G619" t="str">
        <x:v>Autumn</x:v>
      </x:c>
      <x:c r="H619" t="str">
        <x:v>Cash on Delivery</x:v>
      </x:c>
      <x:c r="I619" t="n">
        <x:v>3.6</x:v>
      </x:c>
      <x:c r="J619" t="n">
        <x:v>12</x:v>
      </x:c>
      <x:c r="K619" t="n">
        <x:v>6</x:v>
      </x:c>
      <x:c r="L619" t="str">
        <x:v>STORE-001</x:v>
      </x:c>
      <x:c r="M619" s="22" t="n">
        <x:v>46137</x:v>
      </x:c>
      <x:c r="N619" t="str">
        <x:v>SKU-004</x:v>
      </x:c>
      <x:c r="O619" t="n">
        <x:v>1</x:v>
      </x:c>
      <x:c r="P619" s="26" t="n">
        <x:f>F619/O619</x:f>
        <x:v>97.85</x:v>
      </x:c>
    </x:row>
    <x:row r="620">
      <x:c r="A620" t="n">
        <x:v>619</x:v>
      </x:c>
      <x:c r="B620" t="n">
        <x:v>44</x:v>
      </x:c>
      <x:c r="C620" t="str">
        <x:v>Male</x:v>
      </x:c>
      <x:c r="D620" t="str">
        <x:v>Footwear</x:v>
      </x:c>
      <x:c r="E620" t="str">
        <x:v>Sandals</x:v>
      </x:c>
      <x:c r="F620" s="24" t="n">
        <x:v>180.53</x:v>
      </x:c>
      <x:c r="G620" t="str">
        <x:v>Autumn</x:v>
      </x:c>
      <x:c r="H620" t="str">
        <x:v>Card</x:v>
      </x:c>
      <x:c r="I620" t="n">
        <x:v>3.4</x:v>
      </x:c>
      <x:c r="J620" t="n">
        <x:v>26</x:v>
      </x:c>
      <x:c r="K620" t="n">
        <x:v>8</x:v>
      </x:c>
      <x:c r="L620" t="str">
        <x:v>STORE-001</x:v>
      </x:c>
      <x:c r="M620" s="22" t="n">
        <x:v>46126</x:v>
      </x:c>
      <x:c r="N620" t="str">
        <x:v>SKU-019</x:v>
      </x:c>
      <x:c r="O620" t="n">
        <x:v>2</x:v>
      </x:c>
      <x:c r="P620" s="26" t="n">
        <x:f>F620/O620</x:f>
        <x:v>90.265</x:v>
      </x:c>
    </x:row>
    <x:row r="621">
      <x:c r="A621" t="n">
        <x:v>620</x:v>
      </x:c>
      <x:c r="B621" t="n">
        <x:v>70</x:v>
      </x:c>
      <x:c r="C621" t="str">
        <x:v>Male</x:v>
      </x:c>
      <x:c r="D621" t="str">
        <x:v>Electronics</x:v>
      </x:c>
      <x:c r="E621" t="str">
        <x:v>Mobile Phone</x:v>
      </x:c>
      <x:c r="F621" s="24" t="n">
        <x:v>2658.73</x:v>
      </x:c>
      <x:c r="G621" t="str">
        <x:v>Summer</x:v>
      </x:c>
      <x:c r="H621" t="str">
        <x:v>Card</x:v>
      </x:c>
      <x:c r="I621" t="n">
        <x:v>4.3</x:v>
      </x:c>
      <x:c r="J621" t="n">
        <x:v>22</x:v>
      </x:c>
      <x:c r="K621" t="n">
        <x:v>6</x:v>
      </x:c>
      <x:c r="L621" t="str">
        <x:v>STORE-001</x:v>
      </x:c>
      <x:c r="M621" s="22" t="n">
        <x:v>46080</x:v>
      </x:c>
      <x:c r="N621" t="str">
        <x:v>SKU-016</x:v>
      </x:c>
      <x:c r="O621" t="n">
        <x:v>1</x:v>
      </x:c>
      <x:c r="P621" s="26" t="n">
        <x:f>F621/O621</x:f>
        <x:v>2658.73</x:v>
      </x:c>
    </x:row>
    <x:row r="622">
      <x:c r="A622" t="n">
        <x:v>621</x:v>
      </x:c>
      <x:c r="B622" t="n">
        <x:v>32</x:v>
      </x:c>
      <x:c r="C622" t="str">
        <x:v>Male</x:v>
      </x:c>
      <x:c r="D622" t="str">
        <x:v>Footwear</x:v>
      </x:c>
      <x:c r="E622" t="str">
        <x:v>Sandals</x:v>
      </x:c>
      <x:c r="F622" s="24" t="n">
        <x:v>158.28</x:v>
      </x:c>
      <x:c r="G622" t="str">
        <x:v>Autumn</x:v>
      </x:c>
      <x:c r="H622" t="str">
        <x:v>Card</x:v>
      </x:c>
      <x:c r="I622" t="n">
        <x:v>4.1</x:v>
      </x:c>
      <x:c r="J622" t="n">
        <x:v>26</x:v>
      </x:c>
      <x:c r="K622" t="n">
        <x:v>8</x:v>
      </x:c>
      <x:c r="L622" t="str">
        <x:v>STORE-001</x:v>
      </x:c>
      <x:c r="M622" s="22" t="n">
        <x:v>46086</x:v>
      </x:c>
      <x:c r="N622" t="str">
        <x:v>SKU-019</x:v>
      </x:c>
      <x:c r="O622" t="n">
        <x:v>1</x:v>
      </x:c>
      <x:c r="P622" s="26" t="n">
        <x:f>F622/O622</x:f>
        <x:v>158.28</x:v>
      </x:c>
    </x:row>
    <x:row r="623">
      <x:c r="A623" t="n">
        <x:v>622</x:v>
      </x:c>
      <x:c r="B623" t="n">
        <x:v>57</x:v>
      </x:c>
      <x:c r="C623" t="str">
        <x:v>Male</x:v>
      </x:c>
      <x:c r="D623" t="str">
        <x:v>Sports</x:v>
      </x:c>
      <x:c r="E623" t="str">
        <x:v>Yoga Mat</x:v>
      </x:c>
      <x:c r="F623" s="24" t="n">
        <x:v>222.98</x:v>
      </x:c>
      <x:c r="G623" t="str">
        <x:v>Winter</x:v>
      </x:c>
      <x:c r="H623" t="str">
        <x:v>Card</x:v>
      </x:c>
      <x:c r="I623" t="n">
        <x:v>3.5</x:v>
      </x:c>
      <x:c r="J623" t="n">
        <x:v>24</x:v>
      </x:c>
      <x:c r="K623" t="n">
        <x:v>7</x:v>
      </x:c>
      <x:c r="L623" t="str">
        <x:v>STORE-001</x:v>
      </x:c>
      <x:c r="M623" s="22" t="n">
        <x:v>46188</x:v>
      </x:c>
      <x:c r="N623" t="str">
        <x:v>SKU-030</x:v>
      </x:c>
      <x:c r="O623" t="n">
        <x:v>1</x:v>
      </x:c>
      <x:c r="P623" s="26" t="n">
        <x:f>F623/O623</x:f>
        <x:v>222.98</x:v>
      </x:c>
    </x:row>
    <x:row r="624">
      <x:c r="A624" t="n">
        <x:v>623</x:v>
      </x:c>
      <x:c r="B624" t="n">
        <x:v>49</x:v>
      </x:c>
      <x:c r="C624" t="str">
        <x:v>Male</x:v>
      </x:c>
      <x:c r="D624" t="str">
        <x:v>Mens Clothing</x:v>
      </x:c>
      <x:c r="E624" t="str">
        <x:v>Shirt</x:v>
      </x:c>
      <x:c r="F624" s="24" t="n">
        <x:v>197.05</x:v>
      </x:c>
      <x:c r="G624" t="str">
        <x:v>Winter</x:v>
      </x:c>
      <x:c r="H624" t="str">
        <x:v>Card</x:v>
      </x:c>
      <x:c r="I624" t="n">
        <x:v>4.4</x:v>
      </x:c>
      <x:c r="J624" t="n">
        <x:v>17</x:v>
      </x:c>
      <x:c r="K624" t="n">
        <x:v>6</x:v>
      </x:c>
      <x:c r="L624" t="str">
        <x:v>STORE-001</x:v>
      </x:c>
      <x:c r="M624" s="22" t="n">
        <x:v>46231</x:v>
      </x:c>
      <x:c r="N624" t="str">
        <x:v>SKU-020</x:v>
      </x:c>
      <x:c r="O624" t="n">
        <x:v>1</x:v>
      </x:c>
      <x:c r="P624" s="26" t="n">
        <x:f>F624/O624</x:f>
        <x:v>197.05</x:v>
      </x:c>
    </x:row>
    <x:row r="625">
      <x:c r="A625" t="n">
        <x:v>624</x:v>
      </x:c>
      <x:c r="B625" t="n">
        <x:v>48</x:v>
      </x:c>
      <x:c r="C625" t="str">
        <x:v>Male</x:v>
      </x:c>
      <x:c r="D625" t="str">
        <x:v>Sports</x:v>
      </x:c>
      <x:c r="E625" t="str">
        <x:v>Yoga Mat</x:v>
      </x:c>
      <x:c r="F625" s="24" t="n">
        <x:v>97.69</x:v>
      </x:c>
      <x:c r="G625" t="str">
        <x:v>Summer</x:v>
      </x:c>
      <x:c r="H625" t="str">
        <x:v>Cash on Delivery</x:v>
      </x:c>
      <x:c r="I625" t="n">
        <x:v>3.4</x:v>
      </x:c>
      <x:c r="J625" t="n">
        <x:v>19</x:v>
      </x:c>
      <x:c r="K625" t="n">
        <x:v>7</x:v>
      </x:c>
      <x:c r="L625" t="str">
        <x:v>STORE-001</x:v>
      </x:c>
      <x:c r="M625" s="22" t="n">
        <x:v>46058</x:v>
      </x:c>
      <x:c r="N625" t="str">
        <x:v>SKU-030</x:v>
      </x:c>
      <x:c r="O625" t="n">
        <x:v>3</x:v>
      </x:c>
      <x:c r="P625" s="26" t="n">
        <x:f>F625/O625</x:f>
        <x:v>32.56333333333333</x:v>
      </x:c>
    </x:row>
    <x:row r="626">
      <x:c r="A626" t="n">
        <x:v>625</x:v>
      </x:c>
      <x:c r="B626" t="n">
        <x:v>35</x:v>
      </x:c>
      <x:c r="C626" t="str">
        <x:v>Male</x:v>
      </x:c>
      <x:c r="D626" t="str">
        <x:v>Electronics</x:v>
      </x:c>
      <x:c r="E626" t="str">
        <x:v>Mobile Phone</x:v>
      </x:c>
      <x:c r="F626" s="24" t="n">
        <x:v>761.2</x:v>
      </x:c>
      <x:c r="G626" t="str">
        <x:v>Summer</x:v>
      </x:c>
      <x:c r="H626" t="str">
        <x:v>Card</x:v>
      </x:c>
      <x:c r="I626" t="n">
        <x:v>5</x:v>
      </x:c>
      <x:c r="J626" t="n">
        <x:v>24</x:v>
      </x:c>
      <x:c r="K626" t="n">
        <x:v>7</x:v>
      </x:c>
      <x:c r="L626" t="str">
        <x:v>STORE-001</x:v>
      </x:c>
      <x:c r="M626" s="22" t="n">
        <x:v>46077</x:v>
      </x:c>
      <x:c r="N626" t="str">
        <x:v>SKU-016</x:v>
      </x:c>
      <x:c r="O626" t="n">
        <x:v>1</x:v>
      </x:c>
      <x:c r="P626" s="26" t="n">
        <x:f>F626/O626</x:f>
        <x:v>761.2</x:v>
      </x:c>
    </x:row>
    <x:row r="627">
      <x:c r="A627" t="n">
        <x:v>626</x:v>
      </x:c>
      <x:c r="B627" t="n">
        <x:v>63</x:v>
      </x:c>
      <x:c r="C627" t="str">
        <x:v>Female</x:v>
      </x:c>
      <x:c r="D627" t="str">
        <x:v>Footwear</x:v>
      </x:c>
      <x:c r="E627" t="str">
        <x:v>Formal Shoes</x:v>
      </x:c>
      <x:c r="F627" s="24" t="n">
        <x:v>208.69</x:v>
      </x:c>
      <x:c r="G627" t="str">
        <x:v>Winter</x:v>
      </x:c>
      <x:c r="H627" t="str">
        <x:v>Card</x:v>
      </x:c>
      <x:c r="I627" t="n">
        <x:v>3.2</x:v>
      </x:c>
      <x:c r="J627" t="n">
        <x:v>13</x:v>
      </x:c>
      <x:c r="K627" t="n">
        <x:v>4</x:v>
      </x:c>
      <x:c r="L627" t="str">
        <x:v>STORE-001</x:v>
      </x:c>
      <x:c r="M627" s="22" t="n">
        <x:v>46207</x:v>
      </x:c>
      <x:c r="N627" t="str">
        <x:v>SKU-007</x:v>
      </x:c>
      <x:c r="O627" t="n">
        <x:v>1</x:v>
      </x:c>
      <x:c r="P627" s="26" t="n">
        <x:f>F627/O627</x:f>
        <x:v>208.69</x:v>
      </x:c>
    </x:row>
    <x:row r="628">
      <x:c r="A628" t="n">
        <x:v>627</x:v>
      </x:c>
      <x:c r="B628" t="n">
        <x:v>60</x:v>
      </x:c>
      <x:c r="C628" t="str">
        <x:v>Female</x:v>
      </x:c>
      <x:c r="D628" t="str">
        <x:v>Womens Clothing</x:v>
      </x:c>
      <x:c r="E628" t="str">
        <x:v>Dress</x:v>
      </x:c>
      <x:c r="F628" s="24" t="n">
        <x:v>31.81</x:v>
      </x:c>
      <x:c r="G628" t="str">
        <x:v>Spring</x:v>
      </x:c>
      <x:c r="H628" t="str">
        <x:v>Card</x:v>
      </x:c>
      <x:c r="I628" t="n">
        <x:v>3.5</x:v>
      </x:c>
      <x:c r="J628" t="n">
        <x:v>12</x:v>
      </x:c>
      <x:c r="K628" t="n">
        <x:v>6</x:v>
      </x:c>
      <x:c r="L628" t="str">
        <x:v>STORE-001</x:v>
      </x:c>
      <x:c r="M628" s="22" t="n">
        <x:v>46284</x:v>
      </x:c>
      <x:c r="N628" t="str">
        <x:v>SKU-004</x:v>
      </x:c>
      <x:c r="O628" t="n">
        <x:v>1</x:v>
      </x:c>
      <x:c r="P628" s="26" t="n">
        <x:f>F628/O628</x:f>
        <x:v>31.81</x:v>
      </x:c>
    </x:row>
    <x:row r="629">
      <x:c r="A629" t="n">
        <x:v>628</x:v>
      </x:c>
      <x:c r="B629" t="n">
        <x:v>29</x:v>
      </x:c>
      <x:c r="C629" t="str">
        <x:v>Male</x:v>
      </x:c>
      <x:c r="D629" t="str">
        <x:v>Electronics</x:v>
      </x:c>
      <x:c r="E629" t="str">
        <x:v>Laptop</x:v>
      </x:c>
      <x:c r="F629" s="24" t="n">
        <x:v>1170.69</x:v>
      </x:c>
      <x:c r="G629" t="str">
        <x:v>Summer</x:v>
      </x:c>
      <x:c r="H629" t="str">
        <x:v>Card</x:v>
      </x:c>
      <x:c r="I629" t="n">
        <x:v>3.5</x:v>
      </x:c>
      <x:c r="J629" t="n">
        <x:v>16</x:v>
      </x:c>
      <x:c r="K629" t="n">
        <x:v>3</x:v>
      </x:c>
      <x:c r="L629" t="str">
        <x:v>STORE-001</x:v>
      </x:c>
      <x:c r="M629" s="22" t="n">
        <x:v>46053</x:v>
      </x:c>
      <x:c r="N629" t="str">
        <x:v>SKU-014</x:v>
      </x:c>
      <x:c r="O629" t="n">
        <x:v>1</x:v>
      </x:c>
      <x:c r="P629" s="26" t="n">
        <x:f>F629/O629</x:f>
        <x:v>1170.69</x:v>
      </x:c>
    </x:row>
    <x:row r="630">
      <x:c r="A630" t="n">
        <x:v>629</x:v>
      </x:c>
      <x:c r="B630" t="n">
        <x:v>54</x:v>
      </x:c>
      <x:c r="C630" t="str">
        <x:v>Male</x:v>
      </x:c>
      <x:c r="D630" t="str">
        <x:v>Footwear</x:v>
      </x:c>
      <x:c r="E630" t="str">
        <x:v>Formal Shoes</x:v>
      </x:c>
      <x:c r="F630" s="24" t="n">
        <x:v>66.74</x:v>
      </x:c>
      <x:c r="G630" t="str">
        <x:v>Autumn</x:v>
      </x:c>
      <x:c r="H630" t="str">
        <x:v>Cash on Delivery</x:v>
      </x:c>
      <x:c r="I630" t="n">
        <x:v>4.3</x:v>
      </x:c>
      <x:c r="J630" t="n">
        <x:v>12</x:v>
      </x:c>
      <x:c r="K630" t="n">
        <x:v>6</x:v>
      </x:c>
      <x:c r="L630" t="str">
        <x:v>STORE-001</x:v>
      </x:c>
      <x:c r="M630" s="22" t="n">
        <x:v>46083</x:v>
      </x:c>
      <x:c r="N630" t="str">
        <x:v>SKU-007</x:v>
      </x:c>
      <x:c r="O630" t="n">
        <x:v>1</x:v>
      </x:c>
      <x:c r="P630" s="26" t="n">
        <x:f>F630/O630</x:f>
        <x:v>66.74</x:v>
      </x:c>
    </x:row>
    <x:row r="631">
      <x:c r="A631" t="n">
        <x:v>630</x:v>
      </x:c>
      <x:c r="B631" t="n">
        <x:v>23</x:v>
      </x:c>
      <x:c r="C631" t="str">
        <x:v>Female</x:v>
      </x:c>
      <x:c r="D631" t="str">
        <x:v>Beauty</x:v>
      </x:c>
      <x:c r="E631" t="str">
        <x:v>Skincare Kit</x:v>
      </x:c>
      <x:c r="F631" s="24" t="n">
        <x:v>39.91</x:v>
      </x:c>
      <x:c r="G631" t="str">
        <x:v>Spring</x:v>
      </x:c>
      <x:c r="H631" t="str">
        <x:v>Cash on Delivery</x:v>
      </x:c>
      <x:c r="I631" t="n">
        <x:v>3.3</x:v>
      </x:c>
      <x:c r="J631" t="n">
        <x:v>2</x:v>
      </x:c>
      <x:c r="K631" t="n">
        <x:v>1</x:v>
      </x:c>
      <x:c r="L631" t="str">
        <x:v>STORE-001</x:v>
      </x:c>
      <x:c r="M631" s="22" t="n">
        <x:v>45964</x:v>
      </x:c>
      <x:c r="N631" t="str">
        <x:v>SKU-021</x:v>
      </x:c>
      <x:c r="O631" t="n">
        <x:v>3</x:v>
      </x:c>
      <x:c r="P631" s="26" t="n">
        <x:f>F631/O631</x:f>
        <x:v>13.303333333333333</x:v>
      </x:c>
    </x:row>
    <x:row r="632">
      <x:c r="A632" t="n">
        <x:v>631</x:v>
      </x:c>
      <x:c r="B632" t="n">
        <x:v>42</x:v>
      </x:c>
      <x:c r="C632" t="str">
        <x:v>Female</x:v>
      </x:c>
      <x:c r="D632" t="str">
        <x:v>Groceries</x:v>
      </x:c>
      <x:c r="E632" t="str">
        <x:v>Cooking Oil</x:v>
      </x:c>
      <x:c r="F632" s="24" t="n">
        <x:v>10.19</x:v>
      </x:c>
      <x:c r="G632" t="str">
        <x:v>Autumn</x:v>
      </x:c>
      <x:c r="H632" t="str">
        <x:v>Cash on Delivery</x:v>
      </x:c>
      <x:c r="I632" t="n">
        <x:v>4.1</x:v>
      </x:c>
      <x:c r="J632" t="n">
        <x:v>14</x:v>
      </x:c>
      <x:c r="K632" t="n">
        <x:v>7</x:v>
      </x:c>
      <x:c r="L632" t="str">
        <x:v>STORE-001</x:v>
      </x:c>
      <x:c r="M632" s="22" t="n">
        <x:v>46145</x:v>
      </x:c>
      <x:c r="N632" t="str">
        <x:v>SKU-002</x:v>
      </x:c>
      <x:c r="O632" t="n">
        <x:v>1</x:v>
      </x:c>
      <x:c r="P632" s="26" t="n">
        <x:f>F632/O632</x:f>
        <x:v>10.19</x:v>
      </x:c>
    </x:row>
    <x:row r="633">
      <x:c r="A633" t="n">
        <x:v>632</x:v>
      </x:c>
      <x:c r="B633" t="n">
        <x:v>70</x:v>
      </x:c>
      <x:c r="C633" t="str">
        <x:v>Male</x:v>
      </x:c>
      <x:c r="D633" t="str">
        <x:v>Mens Clothing</x:v>
      </x:c>
      <x:c r="E633" t="str">
        <x:v>Jeans</x:v>
      </x:c>
      <x:c r="F633" s="24" t="n">
        <x:v>69.05</x:v>
      </x:c>
      <x:c r="G633" t="str">
        <x:v>Autumn</x:v>
      </x:c>
      <x:c r="H633" t="str">
        <x:v>Card</x:v>
      </x:c>
      <x:c r="I633" t="n">
        <x:v>3.9</x:v>
      </x:c>
      <x:c r="J633" t="n">
        <x:v>8</x:v>
      </x:c>
      <x:c r="K633" t="n">
        <x:v>4</x:v>
      </x:c>
      <x:c r="L633" t="str">
        <x:v>STORE-001</x:v>
      </x:c>
      <x:c r="M633" s="22" t="n">
        <x:v>46158</x:v>
      </x:c>
      <x:c r="N633" t="str">
        <x:v>SKU-011</x:v>
      </x:c>
      <x:c r="O633" t="n">
        <x:v>3</x:v>
      </x:c>
      <x:c r="P633" s="26" t="n">
        <x:f>F633/O633</x:f>
        <x:v>23.016666666666666</x:v>
      </x:c>
    </x:row>
    <x:row r="634">
      <x:c r="A634" t="n">
        <x:v>633</x:v>
      </x:c>
      <x:c r="B634" t="n">
        <x:v>29</x:v>
      </x:c>
      <x:c r="C634" t="str">
        <x:v>Male</x:v>
      </x:c>
      <x:c r="D634" t="str">
        <x:v>Footwear</x:v>
      </x:c>
      <x:c r="E634" t="str">
        <x:v>Sneakers</x:v>
      </x:c>
      <x:c r="F634" s="24" t="n">
        <x:v>91.99</x:v>
      </x:c>
      <x:c r="G634" t="str">
        <x:v>Winter</x:v>
      </x:c>
      <x:c r="H634" t="str">
        <x:v>Card</x:v>
      </x:c>
      <x:c r="I634" t="n">
        <x:v>2.9</x:v>
      </x:c>
      <x:c r="J634" t="n">
        <x:v>25</x:v>
      </x:c>
      <x:c r="K634" t="n">
        <x:v>10</x:v>
      </x:c>
      <x:c r="L634" t="str">
        <x:v>STORE-001</x:v>
      </x:c>
      <x:c r="M634" s="22" t="n">
        <x:v>46191</x:v>
      </x:c>
      <x:c r="N634" t="str">
        <x:v>SKU-025</x:v>
      </x:c>
      <x:c r="O634" t="n">
        <x:v>1</x:v>
      </x:c>
      <x:c r="P634" s="26" t="n">
        <x:f>F634/O634</x:f>
        <x:v>91.99</x:v>
      </x:c>
    </x:row>
    <x:row r="635">
      <x:c r="A635" t="n">
        <x:v>634</x:v>
      </x:c>
      <x:c r="B635" t="n">
        <x:v>38</x:v>
      </x:c>
      <x:c r="C635" t="str">
        <x:v>Female</x:v>
      </x:c>
      <x:c r="D635" t="str">
        <x:v>Footwear</x:v>
      </x:c>
      <x:c r="E635" t="str">
        <x:v>Formal Shoes</x:v>
      </x:c>
      <x:c r="F635" s="24" t="n">
        <x:v>247.76</x:v>
      </x:c>
      <x:c r="G635" t="str">
        <x:v>Winter</x:v>
      </x:c>
      <x:c r="H635" t="str">
        <x:v>Card</x:v>
      </x:c>
      <x:c r="I635" t="n">
        <x:v>3.3</x:v>
      </x:c>
      <x:c r="J635" t="n">
        <x:v>11</x:v>
      </x:c>
      <x:c r="K635" t="n">
        <x:v>3</x:v>
      </x:c>
      <x:c r="L635" t="str">
        <x:v>STORE-001</x:v>
      </x:c>
      <x:c r="M635" s="22" t="n">
        <x:v>46188</x:v>
      </x:c>
      <x:c r="N635" t="str">
        <x:v>SKU-007</x:v>
      </x:c>
      <x:c r="O635" t="n">
        <x:v>1</x:v>
      </x:c>
      <x:c r="P635" s="26" t="n">
        <x:f>F635/O635</x:f>
        <x:v>247.76</x:v>
      </x:c>
    </x:row>
    <x:row r="636">
      <x:c r="A636" t="n">
        <x:v>635</x:v>
      </x:c>
      <x:c r="B636" t="n">
        <x:v>45</x:v>
      </x:c>
      <x:c r="C636" t="str">
        <x:v>Male</x:v>
      </x:c>
      <x:c r="D636" t="str">
        <x:v>Footwear</x:v>
      </x:c>
      <x:c r="E636" t="str">
        <x:v>Formal Shoes</x:v>
      </x:c>
      <x:c r="F636" s="24" t="n">
        <x:v>203.46</x:v>
      </x:c>
      <x:c r="G636" t="str">
        <x:v>Autumn</x:v>
      </x:c>
      <x:c r="H636" t="str">
        <x:v>Card</x:v>
      </x:c>
      <x:c r="I636" t="n">
        <x:v>3.1</x:v>
      </x:c>
      <x:c r="J636" t="n">
        <x:v>10</x:v>
      </x:c>
      <x:c r="K636" t="n">
        <x:v>5</x:v>
      </x:c>
      <x:c r="L636" t="str">
        <x:v>STORE-001</x:v>
      </x:c>
      <x:c r="M636" s="22" t="n">
        <x:v>46169</x:v>
      </x:c>
      <x:c r="N636" t="str">
        <x:v>SKU-007</x:v>
      </x:c>
      <x:c r="O636" t="n">
        <x:v>1</x:v>
      </x:c>
      <x:c r="P636" s="26" t="n">
        <x:f>F636/O636</x:f>
        <x:v>203.46</x:v>
      </x:c>
    </x:row>
    <x:row r="637">
      <x:c r="A637" t="n">
        <x:v>636</x:v>
      </x:c>
      <x:c r="B637" t="n">
        <x:v>61</x:v>
      </x:c>
      <x:c r="C637" t="str">
        <x:v>Male</x:v>
      </x:c>
      <x:c r="D637" t="str">
        <x:v>Footwear</x:v>
      </x:c>
      <x:c r="E637" t="str">
        <x:v>Formal Shoes</x:v>
      </x:c>
      <x:c r="F637" s="24" t="n">
        <x:v>118.53</x:v>
      </x:c>
      <x:c r="G637" t="str">
        <x:v>Summer</x:v>
      </x:c>
      <x:c r="H637" t="str">
        <x:v>Card</x:v>
      </x:c>
      <x:c r="I637" t="n">
        <x:v>4.9</x:v>
      </x:c>
      <x:c r="J637" t="n">
        <x:v>14</x:v>
      </x:c>
      <x:c r="K637" t="n">
        <x:v>2</x:v>
      </x:c>
      <x:c r="L637" t="str">
        <x:v>STORE-001</x:v>
      </x:c>
      <x:c r="M637" s="22" t="n">
        <x:v>46052</x:v>
      </x:c>
      <x:c r="N637" t="str">
        <x:v>SKU-007</x:v>
      </x:c>
      <x:c r="O637" t="n">
        <x:v>1</x:v>
      </x:c>
      <x:c r="P637" s="26" t="n">
        <x:f>F637/O637</x:f>
        <x:v>118.53</x:v>
      </x:c>
    </x:row>
    <x:row r="638">
      <x:c r="A638" t="n">
        <x:v>637</x:v>
      </x:c>
      <x:c r="B638" t="n">
        <x:v>66</x:v>
      </x:c>
      <x:c r="C638" t="str">
        <x:v>Male</x:v>
      </x:c>
      <x:c r="D638" t="str">
        <x:v>Mens Clothing</x:v>
      </x:c>
      <x:c r="E638" t="str">
        <x:v>Shirt</x:v>
      </x:c>
      <x:c r="F638" s="24" t="n">
        <x:v>63.45</x:v>
      </x:c>
      <x:c r="G638" t="str">
        <x:v>Winter</x:v>
      </x:c>
      <x:c r="H638" t="str">
        <x:v>Card</x:v>
      </x:c>
      <x:c r="I638" t="n">
        <x:v>3.6</x:v>
      </x:c>
      <x:c r="J638" t="n">
        <x:v>15</x:v>
      </x:c>
      <x:c r="K638" t="n">
        <x:v>5</x:v>
      </x:c>
      <x:c r="L638" t="str">
        <x:v>STORE-001</x:v>
      </x:c>
      <x:c r="M638" s="22" t="n">
        <x:v>46185</x:v>
      </x:c>
      <x:c r="N638" t="str">
        <x:v>SKU-020</x:v>
      </x:c>
      <x:c r="O638" t="n">
        <x:v>1</x:v>
      </x:c>
      <x:c r="P638" s="26" t="n">
        <x:f>F638/O638</x:f>
        <x:v>63.45</x:v>
      </x:c>
    </x:row>
    <x:row r="639">
      <x:c r="A639" t="n">
        <x:v>638</x:v>
      </x:c>
      <x:c r="B639" t="n">
        <x:v>66</x:v>
      </x:c>
      <x:c r="C639" t="str">
        <x:v>Female</x:v>
      </x:c>
      <x:c r="D639" t="str">
        <x:v>Accessories</x:v>
      </x:c>
      <x:c r="E639" t="str">
        <x:v>Sunglasses</x:v>
      </x:c>
      <x:c r="F639" s="24" t="n">
        <x:v>129.69</x:v>
      </x:c>
      <x:c r="G639" t="str">
        <x:v>Winter</x:v>
      </x:c>
      <x:c r="H639" t="str">
        <x:v>Card</x:v>
      </x:c>
      <x:c r="I639" t="n">
        <x:v>3.1</x:v>
      </x:c>
      <x:c r="J639" t="n">
        <x:v>17</x:v>
      </x:c>
      <x:c r="K639" t="n">
        <x:v>6</x:v>
      </x:c>
      <x:c r="L639" t="str">
        <x:v>STORE-001</x:v>
      </x:c>
      <x:c r="M639" s="22" t="n">
        <x:v>46241</x:v>
      </x:c>
      <x:c r="N639" t="str">
        <x:v>SKU-026</x:v>
      </x:c>
      <x:c r="O639" t="n">
        <x:v>2</x:v>
      </x:c>
      <x:c r="P639" s="26" t="n">
        <x:f>F639/O639</x:f>
        <x:v>64.845</x:v>
      </x:c>
    </x:row>
    <x:row r="640">
      <x:c r="A640" t="n">
        <x:v>639</x:v>
      </x:c>
      <x:c r="B640" t="n">
        <x:v>27</x:v>
      </x:c>
      <x:c r="C640" t="str">
        <x:v>Male</x:v>
      </x:c>
      <x:c r="D640" t="str">
        <x:v>Electronics</x:v>
      </x:c>
      <x:c r="E640" t="str">
        <x:v>Smart Watch</x:v>
      </x:c>
      <x:c r="F640" s="24" t="n">
        <x:v>736.92</x:v>
      </x:c>
      <x:c r="G640" t="str">
        <x:v>Autumn</x:v>
      </x:c>
      <x:c r="H640" t="str">
        <x:v>Card</x:v>
      </x:c>
      <x:c r="I640" t="n">
        <x:v>3.3</x:v>
      </x:c>
      <x:c r="J640" t="n">
        <x:v>12</x:v>
      </x:c>
      <x:c r="K640" t="n">
        <x:v>1</x:v>
      </x:c>
      <x:c r="L640" t="str">
        <x:v>STORE-001</x:v>
      </x:c>
      <x:c r="M640" s="22" t="n">
        <x:v>46131</x:v>
      </x:c>
      <x:c r="N640" t="str">
        <x:v>SKU-023</x:v>
      </x:c>
      <x:c r="O640" t="n">
        <x:v>1</x:v>
      </x:c>
      <x:c r="P640" s="26" t="n">
        <x:f>F640/O640</x:f>
        <x:v>736.92</x:v>
      </x:c>
    </x:row>
    <x:row r="641">
      <x:c r="A641" t="n">
        <x:v>640</x:v>
      </x:c>
      <x:c r="B641" t="n">
        <x:v>52</x:v>
      </x:c>
      <x:c r="C641" t="str">
        <x:v>Female</x:v>
      </x:c>
      <x:c r="D641" t="str">
        <x:v>Beauty</x:v>
      </x:c>
      <x:c r="E641" t="str">
        <x:v>Skincare Kit</x:v>
      </x:c>
      <x:c r="F641" s="24" t="n">
        <x:v>87.62</x:v>
      </x:c>
      <x:c r="G641" t="str">
        <x:v>Autumn</x:v>
      </x:c>
      <x:c r="H641" t="str">
        <x:v>Card</x:v>
      </x:c>
      <x:c r="I641" t="n">
        <x:v>2.9</x:v>
      </x:c>
      <x:c r="J641" t="n">
        <x:v>10</x:v>
      </x:c>
      <x:c r="K641" t="n">
        <x:v>5</x:v>
      </x:c>
      <x:c r="L641" t="str">
        <x:v>STORE-001</x:v>
      </x:c>
      <x:c r="M641" s="22" t="n">
        <x:v>46100</x:v>
      </x:c>
      <x:c r="N641" t="str">
        <x:v>SKU-021</x:v>
      </x:c>
      <x:c r="O641" t="n">
        <x:v>2</x:v>
      </x:c>
      <x:c r="P641" s="26" t="n">
        <x:f>F641/O641</x:f>
        <x:v>43.81</x:v>
      </x:c>
    </x:row>
    <x:row r="642">
      <x:c r="A642" t="n">
        <x:v>641</x:v>
      </x:c>
      <x:c r="B642" t="n">
        <x:v>43</x:v>
      </x:c>
      <x:c r="C642" t="str">
        <x:v>Female</x:v>
      </x:c>
      <x:c r="D642" t="str">
        <x:v>Home</x:v>
      </x:c>
      <x:c r="E642" t="str">
        <x:v>Kitchen Set</x:v>
      </x:c>
      <x:c r="F642" s="24" t="n">
        <x:v>140</x:v>
      </x:c>
      <x:c r="G642" t="str">
        <x:v>Summer</x:v>
      </x:c>
      <x:c r="H642" t="str">
        <x:v>Card</x:v>
      </x:c>
      <x:c r="I642" t="n">
        <x:v>3.9</x:v>
      </x:c>
      <x:c r="J642" t="n">
        <x:v>15</x:v>
      </x:c>
      <x:c r="K642" t="n">
        <x:v>5</x:v>
      </x:c>
      <x:c r="L642" t="str">
        <x:v>STORE-001</x:v>
      </x:c>
      <x:c r="M642" s="22" t="n">
        <x:v>46051</x:v>
      </x:c>
      <x:c r="N642" t="str">
        <x:v>SKU-012</x:v>
      </x:c>
      <x:c r="O642" t="n">
        <x:v>1</x:v>
      </x:c>
      <x:c r="P642" s="26" t="n">
        <x:f>F642/O642</x:f>
        <x:v>140</x:v>
      </x:c>
    </x:row>
    <x:row r="643">
      <x:c r="A643" t="n">
        <x:v>642</x:v>
      </x:c>
      <x:c r="B643" t="n">
        <x:v>35</x:v>
      </x:c>
      <x:c r="C643" t="str">
        <x:v>Male</x:v>
      </x:c>
      <x:c r="D643" t="str">
        <x:v>Sports</x:v>
      </x:c>
      <x:c r="E643" t="str">
        <x:v>Football</x:v>
      </x:c>
      <x:c r="F643" s="24" t="n">
        <x:v>107.57</x:v>
      </x:c>
      <x:c r="G643" t="str">
        <x:v>Summer</x:v>
      </x:c>
      <x:c r="H643" t="str">
        <x:v>Card</x:v>
      </x:c>
      <x:c r="I643" t="n">
        <x:v>3.9</x:v>
      </x:c>
      <x:c r="J643" t="n">
        <x:v>12</x:v>
      </x:c>
      <x:c r="K643" t="n">
        <x:v>6</x:v>
      </x:c>
      <x:c r="L643" t="str">
        <x:v>STORE-001</x:v>
      </x:c>
      <x:c r="M643" s="22" t="n">
        <x:v>46027</x:v>
      </x:c>
      <x:c r="N643" t="str">
        <x:v>SKU-006</x:v>
      </x:c>
      <x:c r="O643" t="n">
        <x:v>1</x:v>
      </x:c>
      <x:c r="P643" s="26" t="n">
        <x:f>F643/O643</x:f>
        <x:v>107.57</x:v>
      </x:c>
    </x:row>
    <x:row r="644">
      <x:c r="A644" t="n">
        <x:v>643</x:v>
      </x:c>
      <x:c r="B644" t="n">
        <x:v>34</x:v>
      </x:c>
      <x:c r="C644" t="str">
        <x:v>Male</x:v>
      </x:c>
      <x:c r="D644" t="str">
        <x:v>Groceries</x:v>
      </x:c>
      <x:c r="E644" t="str">
        <x:v>Cooking Oil</x:v>
      </x:c>
      <x:c r="F644" s="24" t="n">
        <x:v>78.16</x:v>
      </x:c>
      <x:c r="G644" t="str">
        <x:v>Spring</x:v>
      </x:c>
      <x:c r="H644" t="str">
        <x:v>Cash on Delivery</x:v>
      </x:c>
      <x:c r="I644" t="n">
        <x:v>2.2</x:v>
      </x:c>
      <x:c r="J644" t="n">
        <x:v>4</x:v>
      </x:c>
      <x:c r="K644" t="n">
        <x:v>2</x:v>
      </x:c>
      <x:c r="L644" t="str">
        <x:v>STORE-001</x:v>
      </x:c>
      <x:c r="M644" s="22" t="n">
        <x:v>46283</x:v>
      </x:c>
      <x:c r="N644" t="str">
        <x:v>SKU-002</x:v>
      </x:c>
      <x:c r="O644" t="n">
        <x:v>4</x:v>
      </x:c>
      <x:c r="P644" s="26" t="n">
        <x:f>F644/O644</x:f>
        <x:v>19.54</x:v>
      </x:c>
    </x:row>
    <x:row r="645">
      <x:c r="A645" t="n">
        <x:v>644</x:v>
      </x:c>
      <x:c r="B645" t="n">
        <x:v>51</x:v>
      </x:c>
      <x:c r="C645" t="str">
        <x:v>Female</x:v>
      </x:c>
      <x:c r="D645" t="str">
        <x:v>Womens Clothing</x:v>
      </x:c>
      <x:c r="E645" t="str">
        <x:v>Dress</x:v>
      </x:c>
      <x:c r="F645" s="24" t="n">
        <x:v>47.3</x:v>
      </x:c>
      <x:c r="G645" t="str">
        <x:v>Autumn</x:v>
      </x:c>
      <x:c r="H645" t="str">
        <x:v>Cash on Delivery</x:v>
      </x:c>
      <x:c r="I645" t="n">
        <x:v>3.9</x:v>
      </x:c>
      <x:c r="J645" t="n">
        <x:v>7</x:v>
      </x:c>
      <x:c r="K645" t="n">
        <x:v>1</x:v>
      </x:c>
      <x:c r="L645" t="str">
        <x:v>STORE-001</x:v>
      </x:c>
      <x:c r="M645" s="22" t="n">
        <x:v>46141</x:v>
      </x:c>
      <x:c r="N645" t="str">
        <x:v>SKU-004</x:v>
      </x:c>
      <x:c r="O645" t="n">
        <x:v>1</x:v>
      </x:c>
      <x:c r="P645" s="26" t="n">
        <x:f>F645/O645</x:f>
        <x:v>47.3</x:v>
      </x:c>
    </x:row>
    <x:row r="646">
      <x:c r="A646" t="n">
        <x:v>645</x:v>
      </x:c>
      <x:c r="B646" t="n">
        <x:v>43</x:v>
      </x:c>
      <x:c r="C646" t="str">
        <x:v>Female</x:v>
      </x:c>
      <x:c r="D646" t="str">
        <x:v>Womens Clothing</x:v>
      </x:c>
      <x:c r="E646" t="str">
        <x:v>Skirt</x:v>
      </x:c>
      <x:c r="F646" s="24" t="n">
        <x:v>143.8</x:v>
      </x:c>
      <x:c r="G646" t="str">
        <x:v>Autumn</x:v>
      </x:c>
      <x:c r="H646" t="str">
        <x:v>Card</x:v>
      </x:c>
      <x:c r="I646" t="n">
        <x:v>3.6</x:v>
      </x:c>
      <x:c r="J646" t="n">
        <x:v>12</x:v>
      </x:c>
      <x:c r="K646" t="n">
        <x:v>6</x:v>
      </x:c>
      <x:c r="L646" t="str">
        <x:v>STORE-001</x:v>
      </x:c>
      <x:c r="M646" s="22" t="n">
        <x:v>46162</x:v>
      </x:c>
      <x:c r="N646" t="str">
        <x:v>SKU-022</x:v>
      </x:c>
      <x:c r="O646" t="n">
        <x:v>1</x:v>
      </x:c>
      <x:c r="P646" s="26" t="n">
        <x:f>F646/O646</x:f>
        <x:v>143.8</x:v>
      </x:c>
    </x:row>
    <x:row r="647">
      <x:c r="A647" t="n">
        <x:v>646</x:v>
      </x:c>
      <x:c r="B647" t="n">
        <x:v>50</x:v>
      </x:c>
      <x:c r="C647" t="str">
        <x:v>Male</x:v>
      </x:c>
      <x:c r="D647" t="str">
        <x:v>Sports</x:v>
      </x:c>
      <x:c r="E647" t="str">
        <x:v>Dumbbells</x:v>
      </x:c>
      <x:c r="F647" s="24" t="n">
        <x:v>208.8</x:v>
      </x:c>
      <x:c r="G647" t="str">
        <x:v>Summer</x:v>
      </x:c>
      <x:c r="H647" t="str">
        <x:v>Card</x:v>
      </x:c>
      <x:c r="I647" t="n">
        <x:v>3.4</x:v>
      </x:c>
      <x:c r="J647" t="n">
        <x:v>4</x:v>
      </x:c>
      <x:c r="K647" t="n">
        <x:v>2</x:v>
      </x:c>
      <x:c r="L647" t="str">
        <x:v>STORE-001</x:v>
      </x:c>
      <x:c r="M647" s="22" t="n">
        <x:v>45999</x:v>
      </x:c>
      <x:c r="N647" t="str">
        <x:v>SKU-005</x:v>
      </x:c>
      <x:c r="O647" t="n">
        <x:v>1</x:v>
      </x:c>
      <x:c r="P647" s="26" t="n">
        <x:f>F647/O647</x:f>
        <x:v>208.8</x:v>
      </x:c>
    </x:row>
    <x:row r="648">
      <x:c r="A648" t="n">
        <x:v>647</x:v>
      </x:c>
      <x:c r="B648" t="n">
        <x:v>33</x:v>
      </x:c>
      <x:c r="C648" t="str">
        <x:v>Male</x:v>
      </x:c>
      <x:c r="D648" t="str">
        <x:v>Home</x:v>
      </x:c>
      <x:c r="E648" t="str">
        <x:v>Lamp</x:v>
      </x:c>
      <x:c r="F648" s="24" t="n">
        <x:v>170.58</x:v>
      </x:c>
      <x:c r="G648" t="str">
        <x:v>Summer</x:v>
      </x:c>
      <x:c r="H648" t="str">
        <x:v>Card</x:v>
      </x:c>
      <x:c r="I648" t="n">
        <x:v>4.2</x:v>
      </x:c>
      <x:c r="J648" t="n">
        <x:v>8</x:v>
      </x:c>
      <x:c r="K648" t="n">
        <x:v>4</x:v>
      </x:c>
      <x:c r="L648" t="str">
        <x:v>STORE-001</x:v>
      </x:c>
      <x:c r="M648" s="22" t="n">
        <x:v>46053</x:v>
      </x:c>
      <x:c r="N648" t="str">
        <x:v>SKU-013</x:v>
      </x:c>
      <x:c r="O648" t="n">
        <x:v>1</x:v>
      </x:c>
      <x:c r="P648" s="26" t="n">
        <x:f>F648/O648</x:f>
        <x:v>170.58</x:v>
      </x:c>
    </x:row>
    <x:row r="649">
      <x:c r="A649" t="n">
        <x:v>648</x:v>
      </x:c>
      <x:c r="B649" t="n">
        <x:v>30</x:v>
      </x:c>
      <x:c r="C649" t="str">
        <x:v>Male</x:v>
      </x:c>
      <x:c r="D649" t="str">
        <x:v>Mens Clothing</x:v>
      </x:c>
      <x:c r="E649" t="str">
        <x:v>Jeans</x:v>
      </x:c>
      <x:c r="F649" s="24" t="n">
        <x:v>42.67</x:v>
      </x:c>
      <x:c r="G649" t="str">
        <x:v>Autumn</x:v>
      </x:c>
      <x:c r="H649" t="str">
        <x:v>Cash on Delivery</x:v>
      </x:c>
      <x:c r="I649" t="n">
        <x:v>4.1</x:v>
      </x:c>
      <x:c r="J649" t="n">
        <x:v>8</x:v>
      </x:c>
      <x:c r="K649" t="n">
        <x:v>4</x:v>
      </x:c>
      <x:c r="L649" t="str">
        <x:v>STORE-001</x:v>
      </x:c>
      <x:c r="M649" s="22" t="n">
        <x:v>46159</x:v>
      </x:c>
      <x:c r="N649" t="str">
        <x:v>SKU-011</x:v>
      </x:c>
      <x:c r="O649" t="n">
        <x:v>2</x:v>
      </x:c>
      <x:c r="P649" s="26" t="n">
        <x:f>F649/O649</x:f>
        <x:v>21.335</x:v>
      </x:c>
    </x:row>
    <x:row r="650">
      <x:c r="A650" t="n">
        <x:v>649</x:v>
      </x:c>
      <x:c r="B650" t="n">
        <x:v>54</x:v>
      </x:c>
      <x:c r="C650" t="str">
        <x:v>Male</x:v>
      </x:c>
      <x:c r="D650" t="str">
        <x:v>Mens Clothing</x:v>
      </x:c>
      <x:c r="E650" t="str">
        <x:v>Jeans</x:v>
      </x:c>
      <x:c r="F650" s="24" t="n">
        <x:v>170.85</x:v>
      </x:c>
      <x:c r="G650" t="str">
        <x:v>Summer</x:v>
      </x:c>
      <x:c r="H650" t="str">
        <x:v>Card</x:v>
      </x:c>
      <x:c r="I650" t="n">
        <x:v>3.4</x:v>
      </x:c>
      <x:c r="J650" t="n">
        <x:v>13</x:v>
      </x:c>
      <x:c r="K650" t="n">
        <x:v>4</x:v>
      </x:c>
      <x:c r="L650" t="str">
        <x:v>STORE-001</x:v>
      </x:c>
      <x:c r="M650" s="22" t="n">
        <x:v>45993</x:v>
      </x:c>
      <x:c r="N650" t="str">
        <x:v>SKU-011</x:v>
      </x:c>
      <x:c r="O650" t="n">
        <x:v>1</x:v>
      </x:c>
      <x:c r="P650" s="26" t="n">
        <x:f>F650/O650</x:f>
        <x:v>170.85</x:v>
      </x:c>
    </x:row>
    <x:row r="651">
      <x:c r="A651" t="n">
        <x:v>650</x:v>
      </x:c>
      <x:c r="B651" t="n">
        <x:v>70</x:v>
      </x:c>
      <x:c r="C651" t="str">
        <x:v>Male</x:v>
      </x:c>
      <x:c r="D651" t="str">
        <x:v>Footwear</x:v>
      </x:c>
      <x:c r="E651" t="str">
        <x:v>Formal Shoes</x:v>
      </x:c>
      <x:c r="F651" s="24" t="n">
        <x:v>174.39</x:v>
      </x:c>
      <x:c r="G651" t="str">
        <x:v>Summer</x:v>
      </x:c>
      <x:c r="H651" t="str">
        <x:v>Card</x:v>
      </x:c>
      <x:c r="I651" t="n">
        <x:v>3.2</x:v>
      </x:c>
      <x:c r="J651" t="n">
        <x:v>20</x:v>
      </x:c>
      <x:c r="K651" t="n">
        <x:v>5</x:v>
      </x:c>
      <x:c r="L651" t="str">
        <x:v>STORE-001</x:v>
      </x:c>
      <x:c r="M651" s="22" t="n">
        <x:v>46029</x:v>
      </x:c>
      <x:c r="N651" t="str">
        <x:v>SKU-007</x:v>
      </x:c>
      <x:c r="O651" t="n">
        <x:v>1</x:v>
      </x:c>
      <x:c r="P651" s="26" t="n">
        <x:f>F651/O651</x:f>
        <x:v>174.39</x:v>
      </x:c>
    </x:row>
    <x:row r="652">
      <x:c r="A652" t="n">
        <x:v>651</x:v>
      </x:c>
      <x:c r="B652" t="n">
        <x:v>58</x:v>
      </x:c>
      <x:c r="C652" t="str">
        <x:v>Male</x:v>
      </x:c>
      <x:c r="D652" t="str">
        <x:v>Sports</x:v>
      </x:c>
      <x:c r="E652" t="str">
        <x:v>Football</x:v>
      </x:c>
      <x:c r="F652" s="24" t="n">
        <x:v>124.28</x:v>
      </x:c>
      <x:c r="G652" t="str">
        <x:v>Spring</x:v>
      </x:c>
      <x:c r="H652" t="str">
        <x:v>Card</x:v>
      </x:c>
      <x:c r="I652" t="n">
        <x:v>3.1</x:v>
      </x:c>
      <x:c r="J652" t="n">
        <x:v>16</x:v>
      </x:c>
      <x:c r="K652" t="n">
        <x:v>3</x:v>
      </x:c>
      <x:c r="L652" t="str">
        <x:v>STORE-001</x:v>
      </x:c>
      <x:c r="M652" s="22" t="n">
        <x:v>45951</x:v>
      </x:c>
      <x:c r="N652" t="str">
        <x:v>SKU-006</x:v>
      </x:c>
      <x:c r="O652" t="n">
        <x:v>1</x:v>
      </x:c>
      <x:c r="P652" s="26" t="n">
        <x:f>F652/O652</x:f>
        <x:v>124.28</x:v>
      </x:c>
    </x:row>
    <x:row r="653">
      <x:c r="A653" t="n">
        <x:v>652</x:v>
      </x:c>
      <x:c r="B653" t="n">
        <x:v>69</x:v>
      </x:c>
      <x:c r="C653" t="str">
        <x:v>Male</x:v>
      </x:c>
      <x:c r="D653" t="str">
        <x:v>Sports</x:v>
      </x:c>
      <x:c r="E653" t="str">
        <x:v>Dumbbells</x:v>
      </x:c>
      <x:c r="F653" s="24" t="n">
        <x:v>100.45</x:v>
      </x:c>
      <x:c r="G653" t="str">
        <x:v>Winter</x:v>
      </x:c>
      <x:c r="H653" t="str">
        <x:v>Card</x:v>
      </x:c>
      <x:c r="I653" t="n">
        <x:v>3.6</x:v>
      </x:c>
      <x:c r="J653" t="n">
        <x:v>13</x:v>
      </x:c>
      <x:c r="K653" t="n">
        <x:v>4</x:v>
      </x:c>
      <x:c r="L653" t="str">
        <x:v>STORE-001</x:v>
      </x:c>
      <x:c r="M653" s="22" t="n">
        <x:v>46242</x:v>
      </x:c>
      <x:c r="N653" t="str">
        <x:v>SKU-005</x:v>
      </x:c>
      <x:c r="O653" t="n">
        <x:v>1</x:v>
      </x:c>
      <x:c r="P653" s="26" t="n">
        <x:f>F653/O653</x:f>
        <x:v>100.45</x:v>
      </x:c>
    </x:row>
    <x:row r="654">
      <x:c r="A654" t="n">
        <x:v>653</x:v>
      </x:c>
      <x:c r="B654" t="n">
        <x:v>52</x:v>
      </x:c>
      <x:c r="C654" t="str">
        <x:v>Male</x:v>
      </x:c>
      <x:c r="D654" t="str">
        <x:v>Home</x:v>
      </x:c>
      <x:c r="E654" t="str">
        <x:v>Kitchen Set</x:v>
      </x:c>
      <x:c r="F654" s="24" t="n">
        <x:v>56.48</x:v>
      </x:c>
      <x:c r="G654" t="str">
        <x:v>Spring</x:v>
      </x:c>
      <x:c r="H654" t="str">
        <x:v>Cash on Delivery</x:v>
      </x:c>
      <x:c r="I654" t="n">
        <x:v>5</x:v>
      </x:c>
      <x:c r="J654" t="n">
        <x:v>29</x:v>
      </x:c>
      <x:c r="K654" t="n">
        <x:v>12</x:v>
      </x:c>
      <x:c r="L654" t="str">
        <x:v>STORE-001</x:v>
      </x:c>
      <x:c r="M654" s="22" t="n">
        <x:v>46274</x:v>
      </x:c>
      <x:c r="N654" t="str">
        <x:v>SKU-012</x:v>
      </x:c>
      <x:c r="O654" t="n">
        <x:v>1</x:v>
      </x:c>
      <x:c r="P654" s="26" t="n">
        <x:f>F654/O654</x:f>
        <x:v>56.48</x:v>
      </x:c>
    </x:row>
    <x:row r="655">
      <x:c r="A655" t="n">
        <x:v>654</x:v>
      </x:c>
      <x:c r="B655" t="n">
        <x:v>60</x:v>
      </x:c>
      <x:c r="C655" t="str">
        <x:v>Female</x:v>
      </x:c>
      <x:c r="D655" t="str">
        <x:v>Accessories</x:v>
      </x:c>
      <x:c r="E655" t="str">
        <x:v>Wallet</x:v>
      </x:c>
      <x:c r="F655" s="24" t="n">
        <x:v>30.06</x:v>
      </x:c>
      <x:c r="G655" t="str">
        <x:v>Autumn</x:v>
      </x:c>
      <x:c r="H655" t="str">
        <x:v>Card</x:v>
      </x:c>
      <x:c r="I655" t="n">
        <x:v>4.6</x:v>
      </x:c>
      <x:c r="J655" t="n">
        <x:v>22</x:v>
      </x:c>
      <x:c r="K655" t="n">
        <x:v>6</x:v>
      </x:c>
      <x:c r="L655" t="str">
        <x:v>STORE-001</x:v>
      </x:c>
      <x:c r="M655" s="22" t="n">
        <x:v>46115</x:v>
      </x:c>
      <x:c r="N655" t="str">
        <x:v>SKU-029</x:v>
      </x:c>
      <x:c r="O655" t="n">
        <x:v>1</x:v>
      </x:c>
      <x:c r="P655" s="26" t="n">
        <x:f>F655/O655</x:f>
        <x:v>30.06</x:v>
      </x:c>
    </x:row>
    <x:row r="656">
      <x:c r="A656" t="n">
        <x:v>655</x:v>
      </x:c>
      <x:c r="B656" t="n">
        <x:v>70</x:v>
      </x:c>
      <x:c r="C656" t="str">
        <x:v>Female</x:v>
      </x:c>
      <x:c r="D656" t="str">
        <x:v>Footwear</x:v>
      </x:c>
      <x:c r="E656" t="str">
        <x:v>Sandals</x:v>
      </x:c>
      <x:c r="F656" s="24" t="n">
        <x:v>54</x:v>
      </x:c>
      <x:c r="G656" t="str">
        <x:v>Autumn</x:v>
      </x:c>
      <x:c r="H656" t="str">
        <x:v>Card</x:v>
      </x:c>
      <x:c r="I656" t="n">
        <x:v>2.8</x:v>
      </x:c>
      <x:c r="J656" t="n">
        <x:v>30</x:v>
      </x:c>
      <x:c r="K656" t="n">
        <x:v>10</x:v>
      </x:c>
      <x:c r="L656" t="str">
        <x:v>STORE-001</x:v>
      </x:c>
      <x:c r="M656" s="22" t="n">
        <x:v>46093</x:v>
      </x:c>
      <x:c r="N656" t="str">
        <x:v>SKU-019</x:v>
      </x:c>
      <x:c r="O656" t="n">
        <x:v>2</x:v>
      </x:c>
      <x:c r="P656" s="26" t="n">
        <x:f>F656/O656</x:f>
        <x:v>27</x:v>
      </x:c>
    </x:row>
    <x:row r="657">
      <x:c r="A657" t="n">
        <x:v>656</x:v>
      </x:c>
      <x:c r="B657" t="n">
        <x:v>67</x:v>
      </x:c>
      <x:c r="C657" t="str">
        <x:v>Male</x:v>
      </x:c>
      <x:c r="D657" t="str">
        <x:v>Mens Clothing</x:v>
      </x:c>
      <x:c r="E657" t="str">
        <x:v>Jeans</x:v>
      </x:c>
      <x:c r="F657" s="24" t="n">
        <x:v>174.5</x:v>
      </x:c>
      <x:c r="G657" t="str">
        <x:v>Summer</x:v>
      </x:c>
      <x:c r="H657" t="str">
        <x:v>Card</x:v>
      </x:c>
      <x:c r="I657" t="n">
        <x:v>4.5</x:v>
      </x:c>
      <x:c r="J657" t="n">
        <x:v>15</x:v>
      </x:c>
      <x:c r="K657" t="n">
        <x:v>5</x:v>
      </x:c>
      <x:c r="L657" t="str">
        <x:v>STORE-001</x:v>
      </x:c>
      <x:c r="M657" s="22" t="n">
        <x:v>46006</x:v>
      </x:c>
      <x:c r="N657" t="str">
        <x:v>SKU-011</x:v>
      </x:c>
      <x:c r="O657" t="n">
        <x:v>1</x:v>
      </x:c>
      <x:c r="P657" s="26" t="n">
        <x:f>F657/O657</x:f>
        <x:v>174.5</x:v>
      </x:c>
    </x:row>
    <x:row r="658">
      <x:c r="A658" t="n">
        <x:v>657</x:v>
      </x:c>
      <x:c r="B658" t="n">
        <x:v>20</x:v>
      </x:c>
      <x:c r="C658" t="str">
        <x:v>Female</x:v>
      </x:c>
      <x:c r="D658" t="str">
        <x:v>Accessories</x:v>
      </x:c>
      <x:c r="E658" t="str">
        <x:v>Sunglasses</x:v>
      </x:c>
      <x:c r="F658" s="24" t="n">
        <x:v>92.35</x:v>
      </x:c>
      <x:c r="G658" t="str">
        <x:v>Autumn</x:v>
      </x:c>
      <x:c r="H658" t="str">
        <x:v>Card</x:v>
      </x:c>
      <x:c r="I658" t="n">
        <x:v>3.3</x:v>
      </x:c>
      <x:c r="J658" t="n">
        <x:v>12</x:v>
      </x:c>
      <x:c r="K658" t="n">
        <x:v>1</x:v>
      </x:c>
      <x:c r="L658" t="str">
        <x:v>STORE-001</x:v>
      </x:c>
      <x:c r="M658" s="22" t="n">
        <x:v>46125</x:v>
      </x:c>
      <x:c r="N658" t="str">
        <x:v>SKU-026</x:v>
      </x:c>
      <x:c r="O658" t="n">
        <x:v>1</x:v>
      </x:c>
      <x:c r="P658" s="26" t="n">
        <x:f>F658/O658</x:f>
        <x:v>92.35</x:v>
      </x:c>
    </x:row>
    <x:row r="659">
      <x:c r="A659" t="n">
        <x:v>658</x:v>
      </x:c>
      <x:c r="B659" t="n">
        <x:v>33</x:v>
      </x:c>
      <x:c r="C659" t="str">
        <x:v>Female</x:v>
      </x:c>
      <x:c r="D659" t="str">
        <x:v>Accessories</x:v>
      </x:c>
      <x:c r="E659" t="str">
        <x:v>Wallet</x:v>
      </x:c>
      <x:c r="F659" s="24" t="n">
        <x:v>40.85</x:v>
      </x:c>
      <x:c r="G659" t="str">
        <x:v>Summer</x:v>
      </x:c>
      <x:c r="H659" t="str">
        <x:v>Cash on Delivery</x:v>
      </x:c>
      <x:c r="I659" t="n">
        <x:v>4.2</x:v>
      </x:c>
      <x:c r="J659" t="n">
        <x:v>18</x:v>
      </x:c>
      <x:c r="K659" t="n">
        <x:v>4</x:v>
      </x:c>
      <x:c r="L659" t="str">
        <x:v>STORE-001</x:v>
      </x:c>
      <x:c r="M659" s="22" t="n">
        <x:v>46026</x:v>
      </x:c>
      <x:c r="N659" t="str">
        <x:v>SKU-029</x:v>
      </x:c>
      <x:c r="O659" t="n">
        <x:v>1</x:v>
      </x:c>
      <x:c r="P659" s="26" t="n">
        <x:f>F659/O659</x:f>
        <x:v>40.85</x:v>
      </x:c>
    </x:row>
    <x:row r="660">
      <x:c r="A660" t="n">
        <x:v>659</x:v>
      </x:c>
      <x:c r="B660" t="n">
        <x:v>27</x:v>
      </x:c>
      <x:c r="C660" t="str">
        <x:v>Male</x:v>
      </x:c>
      <x:c r="D660" t="str">
        <x:v>Sports</x:v>
      </x:c>
      <x:c r="E660" t="str">
        <x:v>Yoga Mat</x:v>
      </x:c>
      <x:c r="F660" s="24" t="n">
        <x:v>68.16</x:v>
      </x:c>
      <x:c r="G660" t="str">
        <x:v>Spring</x:v>
      </x:c>
      <x:c r="H660" t="str">
        <x:v>Card</x:v>
      </x:c>
      <x:c r="I660" t="n">
        <x:v>4.1</x:v>
      </x:c>
      <x:c r="J660" t="n">
        <x:v>10</x:v>
      </x:c>
      <x:c r="K660" t="n">
        <x:v>5</x:v>
      </x:c>
      <x:c r="L660" t="str">
        <x:v>STORE-001</x:v>
      </x:c>
      <x:c r="M660" s="22" t="n">
        <x:v>46290</x:v>
      </x:c>
      <x:c r="N660" t="str">
        <x:v>SKU-030</x:v>
      </x:c>
      <x:c r="O660" t="n">
        <x:v>1</x:v>
      </x:c>
      <x:c r="P660" s="26" t="n">
        <x:f>F660/O660</x:f>
        <x:v>68.16</x:v>
      </x:c>
    </x:row>
    <x:row r="661">
      <x:c r="A661" t="n">
        <x:v>660</x:v>
      </x:c>
      <x:c r="B661" t="n">
        <x:v>33</x:v>
      </x:c>
      <x:c r="C661" t="str">
        <x:v>Female</x:v>
      </x:c>
      <x:c r="D661" t="str">
        <x:v>Beauty</x:v>
      </x:c>
      <x:c r="E661" t="str">
        <x:v>Makeup Set</x:v>
      </x:c>
      <x:c r="F661" s="24" t="n">
        <x:v>107.56</x:v>
      </x:c>
      <x:c r="G661" t="str">
        <x:v>Spring</x:v>
      </x:c>
      <x:c r="H661" t="str">
        <x:v>Card</x:v>
      </x:c>
      <x:c r="I661" t="n">
        <x:v>2.6</x:v>
      </x:c>
      <x:c r="J661" t="n">
        <x:v>8</x:v>
      </x:c>
      <x:c r="K661" t="n">
        <x:v>4</x:v>
      </x:c>
      <x:c r="L661" t="str">
        <x:v>STORE-001</x:v>
      </x:c>
      <x:c r="M661" s="22" t="n">
        <x:v>46266</x:v>
      </x:c>
      <x:c r="N661" t="str">
        <x:v>SKU-015</x:v>
      </x:c>
      <x:c r="O661" t="n">
        <x:v>1</x:v>
      </x:c>
      <x:c r="P661" s="26" t="n">
        <x:f>F661/O661</x:f>
        <x:v>107.56</x:v>
      </x:c>
    </x:row>
    <x:row r="662">
      <x:c r="A662" t="n">
        <x:v>661</x:v>
      </x:c>
      <x:c r="B662" t="n">
        <x:v>54</x:v>
      </x:c>
      <x:c r="C662" t="str">
        <x:v>Female</x:v>
      </x:c>
      <x:c r="D662" t="str">
        <x:v>Footwear</x:v>
      </x:c>
      <x:c r="E662" t="str">
        <x:v>Sneakers</x:v>
      </x:c>
      <x:c r="F662" s="24" t="n">
        <x:v>242.06</x:v>
      </x:c>
      <x:c r="G662" t="str">
        <x:v>Spring</x:v>
      </x:c>
      <x:c r="H662" t="str">
        <x:v>Card</x:v>
      </x:c>
      <x:c r="I662" t="n">
        <x:v>4.1</x:v>
      </x:c>
      <x:c r="J662" t="n">
        <x:v>19</x:v>
      </x:c>
      <x:c r="K662" t="n">
        <x:v>7</x:v>
      </x:c>
      <x:c r="L662" t="str">
        <x:v>STORE-001</x:v>
      </x:c>
      <x:c r="M662" s="22" t="n">
        <x:v>45937</x:v>
      </x:c>
      <x:c r="N662" t="str">
        <x:v>SKU-025</x:v>
      </x:c>
      <x:c r="O662" t="n">
        <x:v>1</x:v>
      </x:c>
      <x:c r="P662" s="26" t="n">
        <x:f>F662/O662</x:f>
        <x:v>242.06</x:v>
      </x:c>
    </x:row>
    <x:row r="663">
      <x:c r="A663" t="n">
        <x:v>662</x:v>
      </x:c>
      <x:c r="B663" t="n">
        <x:v>45</x:v>
      </x:c>
      <x:c r="C663" t="str">
        <x:v>Female</x:v>
      </x:c>
      <x:c r="D663" t="str">
        <x:v>Beauty</x:v>
      </x:c>
      <x:c r="E663" t="str">
        <x:v>Perfume</x:v>
      </x:c>
      <x:c r="F663" s="24" t="n">
        <x:v>144.31</x:v>
      </x:c>
      <x:c r="G663" t="str">
        <x:v>Autumn</x:v>
      </x:c>
      <x:c r="H663" t="str">
        <x:v>Card</x:v>
      </x:c>
      <x:c r="I663" t="n">
        <x:v>3.8</x:v>
      </x:c>
      <x:c r="J663" t="n">
        <x:v>0</x:v>
      </x:c>
      <x:c r="K663" t="n">
        <x:v>0</x:v>
      </x:c>
      <x:c r="L663" t="str">
        <x:v>STORE-001</x:v>
      </x:c>
      <x:c r="M663" s="22" t="n">
        <x:v>46092</x:v>
      </x:c>
      <x:c r="N663" t="str">
        <x:v>SKU-017</x:v>
      </x:c>
      <x:c r="O663" t="n">
        <x:v>1</x:v>
      </x:c>
      <x:c r="P663" s="26" t="n">
        <x:f>F663/O663</x:f>
        <x:v>144.31</x:v>
      </x:c>
    </x:row>
    <x:row r="664">
      <x:c r="A664" t="n">
        <x:v>663</x:v>
      </x:c>
      <x:c r="B664" t="n">
        <x:v>28</x:v>
      </x:c>
      <x:c r="C664" t="str">
        <x:v>Female</x:v>
      </x:c>
      <x:c r="D664" t="str">
        <x:v>Beauty</x:v>
      </x:c>
      <x:c r="E664" t="str">
        <x:v>Perfume</x:v>
      </x:c>
      <x:c r="F664" s="24" t="n">
        <x:v>119.55</x:v>
      </x:c>
      <x:c r="G664" t="str">
        <x:v>Winter</x:v>
      </x:c>
      <x:c r="H664" t="str">
        <x:v>Card</x:v>
      </x:c>
      <x:c r="I664" t="n">
        <x:v>3.6</x:v>
      </x:c>
      <x:c r="J664" t="n">
        <x:v>6</x:v>
      </x:c>
      <x:c r="K664" t="n">
        <x:v>3</x:v>
      </x:c>
      <x:c r="L664" t="str">
        <x:v>STORE-001</x:v>
      </x:c>
      <x:c r="M664" s="22" t="n">
        <x:v>46205</x:v>
      </x:c>
      <x:c r="N664" t="str">
        <x:v>SKU-017</x:v>
      </x:c>
      <x:c r="O664" t="n">
        <x:v>2</x:v>
      </x:c>
      <x:c r="P664" s="26" t="n">
        <x:f>F664/O664</x:f>
        <x:v>59.775</x:v>
      </x:c>
    </x:row>
    <x:row r="665">
      <x:c r="A665" t="n">
        <x:v>664</x:v>
      </x:c>
      <x:c r="B665" t="n">
        <x:v>46</x:v>
      </x:c>
      <x:c r="C665" t="str">
        <x:v>Male</x:v>
      </x:c>
      <x:c r="D665" t="str">
        <x:v>Sports</x:v>
      </x:c>
      <x:c r="E665" t="str">
        <x:v>Football</x:v>
      </x:c>
      <x:c r="F665" s="24" t="n">
        <x:v>56.34</x:v>
      </x:c>
      <x:c r="G665" t="str">
        <x:v>Winter</x:v>
      </x:c>
      <x:c r="H665" t="str">
        <x:v>Cash on Delivery</x:v>
      </x:c>
      <x:c r="I665" t="n">
        <x:v>2.9</x:v>
      </x:c>
      <x:c r="J665" t="n">
        <x:v>11</x:v>
      </x:c>
      <x:c r="K665" t="n">
        <x:v>3</x:v>
      </x:c>
      <x:c r="L665" t="str">
        <x:v>STORE-001</x:v>
      </x:c>
      <x:c r="M665" s="22" t="n">
        <x:v>46180</x:v>
      </x:c>
      <x:c r="N665" t="str">
        <x:v>SKU-006</x:v>
      </x:c>
      <x:c r="O665" t="n">
        <x:v>3</x:v>
      </x:c>
      <x:c r="P665" s="26" t="n">
        <x:f>F665/O665</x:f>
        <x:v>18.78</x:v>
      </x:c>
    </x:row>
    <x:row r="666">
      <x:c r="A666" t="n">
        <x:v>665</x:v>
      </x:c>
      <x:c r="B666" t="n">
        <x:v>25</x:v>
      </x:c>
      <x:c r="C666" t="str">
        <x:v>Male</x:v>
      </x:c>
      <x:c r="D666" t="str">
        <x:v>Home</x:v>
      </x:c>
      <x:c r="E666" t="str">
        <x:v>Lamp</x:v>
      </x:c>
      <x:c r="F666" s="24" t="n">
        <x:v>279.19</x:v>
      </x:c>
      <x:c r="G666" t="str">
        <x:v>Summer</x:v>
      </x:c>
      <x:c r="H666" t="str">
        <x:v>Card</x:v>
      </x:c>
      <x:c r="I666" t="n">
        <x:v>4.5</x:v>
      </x:c>
      <x:c r="J666" t="n">
        <x:v>8</x:v>
      </x:c>
      <x:c r="K666" t="n">
        <x:v>4</x:v>
      </x:c>
      <x:c r="L666" t="str">
        <x:v>STORE-001</x:v>
      </x:c>
      <x:c r="M666" s="22" t="n">
        <x:v>46037</x:v>
      </x:c>
      <x:c r="N666" t="str">
        <x:v>SKU-013</x:v>
      </x:c>
      <x:c r="O666" t="n">
        <x:v>2</x:v>
      </x:c>
      <x:c r="P666" s="26" t="n">
        <x:f>F666/O666</x:f>
        <x:v>139.595</x:v>
      </x:c>
    </x:row>
    <x:row r="667">
      <x:c r="A667" t="n">
        <x:v>666</x:v>
      </x:c>
      <x:c r="B667" t="n">
        <x:v>31</x:v>
      </x:c>
      <x:c r="C667" t="str">
        <x:v>Female</x:v>
      </x:c>
      <x:c r="D667" t="str">
        <x:v>Beauty</x:v>
      </x:c>
      <x:c r="E667" t="str">
        <x:v>Makeup Set</x:v>
      </x:c>
      <x:c r="F667" s="24" t="n">
        <x:v>34.01</x:v>
      </x:c>
      <x:c r="G667" t="str">
        <x:v>Summer</x:v>
      </x:c>
      <x:c r="H667" t="str">
        <x:v>Card</x:v>
      </x:c>
      <x:c r="I667" t="n">
        <x:v>3.8</x:v>
      </x:c>
      <x:c r="J667" t="n">
        <x:v>22</x:v>
      </x:c>
      <x:c r="K667" t="n">
        <x:v>6</x:v>
      </x:c>
      <x:c r="L667" t="str">
        <x:v>STORE-001</x:v>
      </x:c>
      <x:c r="M667" s="22" t="n">
        <x:v>46067</x:v>
      </x:c>
      <x:c r="N667" t="str">
        <x:v>SKU-015</x:v>
      </x:c>
      <x:c r="O667" t="n">
        <x:v>1</x:v>
      </x:c>
      <x:c r="P667" s="26" t="n">
        <x:f>F667/O667</x:f>
        <x:v>34.01</x:v>
      </x:c>
    </x:row>
    <x:row r="668">
      <x:c r="A668" t="n">
        <x:v>667</x:v>
      </x:c>
      <x:c r="B668" t="n">
        <x:v>60</x:v>
      </x:c>
      <x:c r="C668" t="str">
        <x:v>Male</x:v>
      </x:c>
      <x:c r="D668" t="str">
        <x:v>Footwear</x:v>
      </x:c>
      <x:c r="E668" t="str">
        <x:v>Sneakers</x:v>
      </x:c>
      <x:c r="F668" s="24" t="n">
        <x:v>99.93</x:v>
      </x:c>
      <x:c r="G668" t="str">
        <x:v>Winter</x:v>
      </x:c>
      <x:c r="H668" t="str">
        <x:v>Card</x:v>
      </x:c>
      <x:c r="I668" t="n">
        <x:v>3.5</x:v>
      </x:c>
      <x:c r="J668" t="n">
        <x:v>28</x:v>
      </x:c>
      <x:c r="K668" t="n">
        <x:v>9</x:v>
      </x:c>
      <x:c r="L668" t="str">
        <x:v>STORE-001</x:v>
      </x:c>
      <x:c r="M668" s="22" t="n">
        <x:v>46189</x:v>
      </x:c>
      <x:c r="N668" t="str">
        <x:v>SKU-025</x:v>
      </x:c>
      <x:c r="O668" t="n">
        <x:v>2</x:v>
      </x:c>
      <x:c r="P668" s="26" t="n">
        <x:f>F668/O668</x:f>
        <x:v>49.965</x:v>
      </x:c>
    </x:row>
    <x:row r="669">
      <x:c r="A669" t="n">
        <x:v>668</x:v>
      </x:c>
      <x:c r="B669" t="n">
        <x:v>64</x:v>
      </x:c>
      <x:c r="C669" t="str">
        <x:v>Male</x:v>
      </x:c>
      <x:c r="D669" t="str">
        <x:v>Electronics</x:v>
      </x:c>
      <x:c r="E669" t="str">
        <x:v>Headphones</x:v>
      </x:c>
      <x:c r="F669" s="24" t="n">
        <x:v>1514.05</x:v>
      </x:c>
      <x:c r="G669" t="str">
        <x:v>Winter</x:v>
      </x:c>
      <x:c r="H669" t="str">
        <x:v>Card</x:v>
      </x:c>
      <x:c r="I669" t="n">
        <x:v>3.7</x:v>
      </x:c>
      <x:c r="J669" t="n">
        <x:v>20</x:v>
      </x:c>
      <x:c r="K669" t="n">
        <x:v>5</x:v>
      </x:c>
      <x:c r="L669" t="str">
        <x:v>STORE-001</x:v>
      </x:c>
      <x:c r="M669" s="22" t="n">
        <x:v>46190</x:v>
      </x:c>
      <x:c r="N669" t="str">
        <x:v>SKU-009</x:v>
      </x:c>
      <x:c r="O669" t="n">
        <x:v>1</x:v>
      </x:c>
      <x:c r="P669" s="26" t="n">
        <x:f>F669/O669</x:f>
        <x:v>1514.05</x:v>
      </x:c>
    </x:row>
    <x:row r="670">
      <x:c r="A670" t="n">
        <x:v>669</x:v>
      </x:c>
      <x:c r="B670" t="n">
        <x:v>62</x:v>
      </x:c>
      <x:c r="C670" t="str">
        <x:v>Male</x:v>
      </x:c>
      <x:c r="D670" t="str">
        <x:v>Mens Clothing</x:v>
      </x:c>
      <x:c r="E670" t="str">
        <x:v>T-Shirt</x:v>
      </x:c>
      <x:c r="F670" s="24" t="n">
        <x:v>182.98</x:v>
      </x:c>
      <x:c r="G670" t="str">
        <x:v>Autumn</x:v>
      </x:c>
      <x:c r="H670" t="str">
        <x:v>Card</x:v>
      </x:c>
      <x:c r="I670" t="n">
        <x:v>3.1</x:v>
      </x:c>
      <x:c r="J670" t="n">
        <x:v>13</x:v>
      </x:c>
      <x:c r="K670" t="n">
        <x:v>4</x:v>
      </x:c>
      <x:c r="L670" t="str">
        <x:v>STORE-001</x:v>
      </x:c>
      <x:c r="M670" s="22" t="n">
        <x:v>46147</x:v>
      </x:c>
      <x:c r="N670" t="str">
        <x:v>SKU-027</x:v>
      </x:c>
      <x:c r="O670" t="n">
        <x:v>2</x:v>
      </x:c>
      <x:c r="P670" s="26" t="n">
        <x:f>F670/O670</x:f>
        <x:v>91.49</x:v>
      </x:c>
    </x:row>
    <x:row r="671">
      <x:c r="A671" t="n">
        <x:v>670</x:v>
      </x:c>
      <x:c r="B671" t="n">
        <x:v>24</x:v>
      </x:c>
      <x:c r="C671" t="str">
        <x:v>Male</x:v>
      </x:c>
      <x:c r="D671" t="str">
        <x:v>Home</x:v>
      </x:c>
      <x:c r="E671" t="str">
        <x:v>Curtains</x:v>
      </x:c>
      <x:c r="F671" s="24" t="n">
        <x:v>237.47</x:v>
      </x:c>
      <x:c r="G671" t="str">
        <x:v>Winter</x:v>
      </x:c>
      <x:c r="H671" t="str">
        <x:v>Card</x:v>
      </x:c>
      <x:c r="I671" t="n">
        <x:v>3.2</x:v>
      </x:c>
      <x:c r="J671" t="n">
        <x:v>28</x:v>
      </x:c>
      <x:c r="K671" t="n">
        <x:v>9</x:v>
      </x:c>
      <x:c r="L671" t="str">
        <x:v>STORE-001</x:v>
      </x:c>
      <x:c r="M671" s="22" t="n">
        <x:v>46193</x:v>
      </x:c>
      <x:c r="N671" t="str">
        <x:v>SKU-003</x:v>
      </x:c>
      <x:c r="O671" t="n">
        <x:v>1</x:v>
      </x:c>
      <x:c r="P671" s="26" t="n">
        <x:f>F671/O671</x:f>
        <x:v>237.47</x:v>
      </x:c>
    </x:row>
    <x:row r="672">
      <x:c r="A672" t="n">
        <x:v>671</x:v>
      </x:c>
      <x:c r="B672" t="n">
        <x:v>64</x:v>
      </x:c>
      <x:c r="C672" t="str">
        <x:v>Male</x:v>
      </x:c>
      <x:c r="D672" t="str">
        <x:v>Electronics</x:v>
      </x:c>
      <x:c r="E672" t="str">
        <x:v>Laptop</x:v>
      </x:c>
      <x:c r="F672" s="24" t="n">
        <x:v>1417.01</x:v>
      </x:c>
      <x:c r="G672" t="str">
        <x:v>Spring</x:v>
      </x:c>
      <x:c r="H672" t="str">
        <x:v>Card</x:v>
      </x:c>
      <x:c r="I672" t="n">
        <x:v>4</x:v>
      </x:c>
      <x:c r="J672" t="n">
        <x:v>2</x:v>
      </x:c>
      <x:c r="K672" t="n">
        <x:v>1</x:v>
      </x:c>
      <x:c r="L672" t="str">
        <x:v>STORE-001</x:v>
      </x:c>
      <x:c r="M672" s="22" t="n">
        <x:v>45955</x:v>
      </x:c>
      <x:c r="N672" t="str">
        <x:v>SKU-014</x:v>
      </x:c>
      <x:c r="O672" t="n">
        <x:v>1</x:v>
      </x:c>
      <x:c r="P672" s="26" t="n">
        <x:f>F672/O672</x:f>
        <x:v>1417.01</x:v>
      </x:c>
    </x:row>
    <x:row r="673">
      <x:c r="A673" t="n">
        <x:v>672</x:v>
      </x:c>
      <x:c r="B673" t="n">
        <x:v>27</x:v>
      </x:c>
      <x:c r="C673" t="str">
        <x:v>Female</x:v>
      </x:c>
      <x:c r="D673" t="str">
        <x:v>Womens Clothing</x:v>
      </x:c>
      <x:c r="E673" t="str">
        <x:v>Skirt</x:v>
      </x:c>
      <x:c r="F673" s="24" t="n">
        <x:v>43.52</x:v>
      </x:c>
      <x:c r="G673" t="str">
        <x:v>Summer</x:v>
      </x:c>
      <x:c r="H673" t="str">
        <x:v>Cash on Delivery</x:v>
      </x:c>
      <x:c r="I673" t="n">
        <x:v>4.1</x:v>
      </x:c>
      <x:c r="J673" t="n">
        <x:v>13</x:v>
      </x:c>
      <x:c r="K673" t="n">
        <x:v>4</x:v>
      </x:c>
      <x:c r="L673" t="str">
        <x:v>STORE-001</x:v>
      </x:c>
      <x:c r="M673" s="22" t="n">
        <x:v>46013</x:v>
      </x:c>
      <x:c r="N673" t="str">
        <x:v>SKU-022</x:v>
      </x:c>
      <x:c r="O673" t="n">
        <x:v>2</x:v>
      </x:c>
      <x:c r="P673" s="26" t="n">
        <x:f>F673/O673</x:f>
        <x:v>21.76</x:v>
      </x:c>
    </x:row>
    <x:row r="674">
      <x:c r="A674" t="n">
        <x:v>673</x:v>
      </x:c>
      <x:c r="B674" t="n">
        <x:v>33</x:v>
      </x:c>
      <x:c r="C674" t="str">
        <x:v>Female</x:v>
      </x:c>
      <x:c r="D674" t="str">
        <x:v>Womens Clothing</x:v>
      </x:c>
      <x:c r="E674" t="str">
        <x:v>Skirt</x:v>
      </x:c>
      <x:c r="F674" s="24" t="n">
        <x:v>116.95</x:v>
      </x:c>
      <x:c r="G674" t="str">
        <x:v>Summer</x:v>
      </x:c>
      <x:c r="H674" t="str">
        <x:v>Card</x:v>
      </x:c>
      <x:c r="I674" t="n">
        <x:v>4.6</x:v>
      </x:c>
      <x:c r="J674" t="n">
        <x:v>21</x:v>
      </x:c>
      <x:c r="K674" t="n">
        <x:v>8</x:v>
      </x:c>
      <x:c r="L674" t="str">
        <x:v>STORE-001</x:v>
      </x:c>
      <x:c r="M674" s="22" t="n">
        <x:v>46042</x:v>
      </x:c>
      <x:c r="N674" t="str">
        <x:v>SKU-022</x:v>
      </x:c>
      <x:c r="O674" t="n">
        <x:v>2</x:v>
      </x:c>
      <x:c r="P674" s="26" t="n">
        <x:f>F674/O674</x:f>
        <x:v>58.475</x:v>
      </x:c>
    </x:row>
    <x:row r="675">
      <x:c r="A675" t="n">
        <x:v>674</x:v>
      </x:c>
      <x:c r="B675" t="n">
        <x:v>61</x:v>
      </x:c>
      <x:c r="C675" t="str">
        <x:v>Female</x:v>
      </x:c>
      <x:c r="D675" t="str">
        <x:v>Womens Clothing</x:v>
      </x:c>
      <x:c r="E675" t="str">
        <x:v>Jeans</x:v>
      </x:c>
      <x:c r="F675" s="24" t="n">
        <x:v>196.34</x:v>
      </x:c>
      <x:c r="G675" t="str">
        <x:v>Winter</x:v>
      </x:c>
      <x:c r="H675" t="str">
        <x:v>Card</x:v>
      </x:c>
      <x:c r="I675" t="n">
        <x:v>3</x:v>
      </x:c>
      <x:c r="J675" t="n">
        <x:v>16</x:v>
      </x:c>
      <x:c r="K675" t="n">
        <x:v>8</x:v>
      </x:c>
      <x:c r="L675" t="str">
        <x:v>STORE-001</x:v>
      </x:c>
      <x:c r="M675" s="22" t="n">
        <x:v>46222</x:v>
      </x:c>
      <x:c r="N675" t="str">
        <x:v>SKU-011</x:v>
      </x:c>
      <x:c r="O675" t="n">
        <x:v>1</x:v>
      </x:c>
      <x:c r="P675" s="26" t="n">
        <x:f>F675/O675</x:f>
        <x:v>196.34</x:v>
      </x:c>
    </x:row>
    <x:row r="676">
      <x:c r="A676" t="n">
        <x:v>675</x:v>
      </x:c>
      <x:c r="B676" t="n">
        <x:v>68</x:v>
      </x:c>
      <x:c r="C676" t="str">
        <x:v>Female</x:v>
      </x:c>
      <x:c r="D676" t="str">
        <x:v>Footwear</x:v>
      </x:c>
      <x:c r="E676" t="str">
        <x:v>Sandals</x:v>
      </x:c>
      <x:c r="F676" s="24" t="n">
        <x:v>163.6</x:v>
      </x:c>
      <x:c r="G676" t="str">
        <x:v>Spring</x:v>
      </x:c>
      <x:c r="H676" t="str">
        <x:v>Card</x:v>
      </x:c>
      <x:c r="I676" t="n">
        <x:v>4.3</x:v>
      </x:c>
      <x:c r="J676" t="n">
        <x:v>22</x:v>
      </x:c>
      <x:c r="K676" t="n">
        <x:v>6</x:v>
      </x:c>
      <x:c r="L676" t="str">
        <x:v>STORE-001</x:v>
      </x:c>
      <x:c r="M676" s="22" t="n">
        <x:v>46276</x:v>
      </x:c>
      <x:c r="N676" t="str">
        <x:v>SKU-019</x:v>
      </x:c>
      <x:c r="O676" t="n">
        <x:v>1</x:v>
      </x:c>
      <x:c r="P676" s="26" t="n">
        <x:f>F676/O676</x:f>
        <x:v>163.6</x:v>
      </x:c>
    </x:row>
    <x:row r="677">
      <x:c r="A677" t="n">
        <x:v>676</x:v>
      </x:c>
      <x:c r="B677" t="n">
        <x:v>54</x:v>
      </x:c>
      <x:c r="C677" t="str">
        <x:v>Male</x:v>
      </x:c>
      <x:c r="D677" t="str">
        <x:v>Footwear</x:v>
      </x:c>
      <x:c r="E677" t="str">
        <x:v>Sneakers</x:v>
      </x:c>
      <x:c r="F677" s="24" t="n">
        <x:v>144.58</x:v>
      </x:c>
      <x:c r="G677" t="str">
        <x:v>Spring</x:v>
      </x:c>
      <x:c r="H677" t="str">
        <x:v>Card</x:v>
      </x:c>
      <x:c r="I677" t="n">
        <x:v>3.9</x:v>
      </x:c>
      <x:c r="J677" t="n">
        <x:v>24</x:v>
      </x:c>
      <x:c r="K677" t="n">
        <x:v>7</x:v>
      </x:c>
      <x:c r="L677" t="str">
        <x:v>STORE-001</x:v>
      </x:c>
      <x:c r="M677" s="22" t="n">
        <x:v>46268</x:v>
      </x:c>
      <x:c r="N677" t="str">
        <x:v>SKU-025</x:v>
      </x:c>
      <x:c r="O677" t="n">
        <x:v>2</x:v>
      </x:c>
      <x:c r="P677" s="26" t="n">
        <x:f>F677/O677</x:f>
        <x:v>72.29</x:v>
      </x:c>
    </x:row>
    <x:row r="678">
      <x:c r="A678" t="n">
        <x:v>677</x:v>
      </x:c>
      <x:c r="B678" t="n">
        <x:v>22</x:v>
      </x:c>
      <x:c r="C678" t="str">
        <x:v>Male</x:v>
      </x:c>
      <x:c r="D678" t="str">
        <x:v>Sports</x:v>
      </x:c>
      <x:c r="E678" t="str">
        <x:v>Yoga Mat</x:v>
      </x:c>
      <x:c r="F678" s="24" t="n">
        <x:v>158.64</x:v>
      </x:c>
      <x:c r="G678" t="str">
        <x:v>Spring</x:v>
      </x:c>
      <x:c r="H678" t="str">
        <x:v>Card</x:v>
      </x:c>
      <x:c r="I678" t="n">
        <x:v>3.9</x:v>
      </x:c>
      <x:c r="J678" t="n">
        <x:v>21</x:v>
      </x:c>
      <x:c r="K678" t="n">
        <x:v>8</x:v>
      </x:c>
      <x:c r="L678" t="str">
        <x:v>STORE-001</x:v>
      </x:c>
      <x:c r="M678" s="22" t="n">
        <x:v>46286</x:v>
      </x:c>
      <x:c r="N678" t="str">
        <x:v>SKU-030</x:v>
      </x:c>
      <x:c r="O678" t="n">
        <x:v>2</x:v>
      </x:c>
      <x:c r="P678" s="26" t="n">
        <x:f>F678/O678</x:f>
        <x:v>79.32</x:v>
      </x:c>
    </x:row>
    <x:row r="679">
      <x:c r="A679" t="n">
        <x:v>678</x:v>
      </x:c>
      <x:c r="B679" t="n">
        <x:v>52</x:v>
      </x:c>
      <x:c r="C679" t="str">
        <x:v>Female</x:v>
      </x:c>
      <x:c r="D679" t="str">
        <x:v>Groceries</x:v>
      </x:c>
      <x:c r="E679" t="str">
        <x:v>Beverages</x:v>
      </x:c>
      <x:c r="F679" s="24" t="n">
        <x:v>5.89</x:v>
      </x:c>
      <x:c r="G679" t="str">
        <x:v>Summer</x:v>
      </x:c>
      <x:c r="H679" t="str">
        <x:v>Card</x:v>
      </x:c>
      <x:c r="I679" t="n">
        <x:v>3.6</x:v>
      </x:c>
      <x:c r="J679" t="n">
        <x:v>7</x:v>
      </x:c>
      <x:c r="K679" t="n">
        <x:v>1</x:v>
      </x:c>
      <x:c r="L679" t="str">
        <x:v>STORE-001</x:v>
      </x:c>
      <x:c r="M679" s="22" t="n">
        <x:v>46047</x:v>
      </x:c>
      <x:c r="N679" t="str">
        <x:v>SKU-001</x:v>
      </x:c>
      <x:c r="O679" t="n">
        <x:v>3</x:v>
      </x:c>
      <x:c r="P679" s="26" t="n">
        <x:f>F679/O679</x:f>
        <x:v>1.9633333333333332</x:v>
      </x:c>
    </x:row>
    <x:row r="680">
      <x:c r="A680" t="n">
        <x:v>679</x:v>
      </x:c>
      <x:c r="B680" t="n">
        <x:v>63</x:v>
      </x:c>
      <x:c r="C680" t="str">
        <x:v>Female</x:v>
      </x:c>
      <x:c r="D680" t="str">
        <x:v>Accessories</x:v>
      </x:c>
      <x:c r="E680" t="str">
        <x:v>Handbag</x:v>
      </x:c>
      <x:c r="F680" s="24" t="n">
        <x:v>168.46</x:v>
      </x:c>
      <x:c r="G680" t="str">
        <x:v>Winter</x:v>
      </x:c>
      <x:c r="H680" t="str">
        <x:v>Card</x:v>
      </x:c>
      <x:c r="I680" t="n">
        <x:v>3.1</x:v>
      </x:c>
      <x:c r="J680" t="n">
        <x:v>20</x:v>
      </x:c>
      <x:c r="K680" t="n">
        <x:v>5</x:v>
      </x:c>
      <x:c r="L680" t="str">
        <x:v>STORE-001</x:v>
      </x:c>
      <x:c r="M680" s="22" t="n">
        <x:v>46188</x:v>
      </x:c>
      <x:c r="N680" t="str">
        <x:v>SKU-008</x:v>
      </x:c>
      <x:c r="O680" t="n">
        <x:v>1</x:v>
      </x:c>
      <x:c r="P680" s="26" t="n">
        <x:f>F680/O680</x:f>
        <x:v>168.46</x:v>
      </x:c>
    </x:row>
    <x:row r="681">
      <x:c r="A681" t="n">
        <x:v>680</x:v>
      </x:c>
      <x:c r="B681" t="n">
        <x:v>53</x:v>
      </x:c>
      <x:c r="C681" t="str">
        <x:v>Female</x:v>
      </x:c>
      <x:c r="D681" t="str">
        <x:v>Womens Clothing</x:v>
      </x:c>
      <x:c r="E681" t="str">
        <x:v>Jeans</x:v>
      </x:c>
      <x:c r="F681" s="24" t="n">
        <x:v>102.52</x:v>
      </x:c>
      <x:c r="G681" t="str">
        <x:v>Spring</x:v>
      </x:c>
      <x:c r="H681" t="str">
        <x:v>Card</x:v>
      </x:c>
      <x:c r="I681" t="n">
        <x:v>4.3</x:v>
      </x:c>
      <x:c r="J681" t="n">
        <x:v>16</x:v>
      </x:c>
      <x:c r="K681" t="n">
        <x:v>8</x:v>
      </x:c>
      <x:c r="L681" t="str">
        <x:v>STORE-001</x:v>
      </x:c>
      <x:c r="M681" s="22" t="n">
        <x:v>45981</x:v>
      </x:c>
      <x:c r="N681" t="str">
        <x:v>SKU-011</x:v>
      </x:c>
      <x:c r="O681" t="n">
        <x:v>1</x:v>
      </x:c>
      <x:c r="P681" s="26" t="n">
        <x:f>F681/O681</x:f>
        <x:v>102.52</x:v>
      </x:c>
    </x:row>
    <x:row r="682">
      <x:c r="A682" t="n">
        <x:v>681</x:v>
      </x:c>
      <x:c r="B682" t="n">
        <x:v>31</x:v>
      </x:c>
      <x:c r="C682" t="str">
        <x:v>Female</x:v>
      </x:c>
      <x:c r="D682" t="str">
        <x:v>Beauty</x:v>
      </x:c>
      <x:c r="E682" t="str">
        <x:v>Skincare Kit</x:v>
      </x:c>
      <x:c r="F682" s="24" t="n">
        <x:v>47.92</x:v>
      </x:c>
      <x:c r="G682" t="str">
        <x:v>Summer</x:v>
      </x:c>
      <x:c r="H682" t="str">
        <x:v>Card</x:v>
      </x:c>
      <x:c r="I682" t="n">
        <x:v>3.6</x:v>
      </x:c>
      <x:c r="J682" t="n">
        <x:v>8</x:v>
      </x:c>
      <x:c r="K682" t="n">
        <x:v>4</x:v>
      </x:c>
      <x:c r="L682" t="str">
        <x:v>STORE-001</x:v>
      </x:c>
      <x:c r="M682" s="22" t="n">
        <x:v>46010</x:v>
      </x:c>
      <x:c r="N682" t="str">
        <x:v>SKU-021</x:v>
      </x:c>
      <x:c r="O682" t="n">
        <x:v>2</x:v>
      </x:c>
      <x:c r="P682" s="26" t="n">
        <x:f>F682/O682</x:f>
        <x:v>23.96</x:v>
      </x:c>
    </x:row>
    <x:row r="683">
      <x:c r="A683" t="n">
        <x:v>682</x:v>
      </x:c>
      <x:c r="B683" t="n">
        <x:v>27</x:v>
      </x:c>
      <x:c r="C683" t="str">
        <x:v>Male</x:v>
      </x:c>
      <x:c r="D683" t="str">
        <x:v>Sports</x:v>
      </x:c>
      <x:c r="E683" t="str">
        <x:v>Dumbbells</x:v>
      </x:c>
      <x:c r="F683" s="24" t="n">
        <x:v>119.22</x:v>
      </x:c>
      <x:c r="G683" t="str">
        <x:v>Winter</x:v>
      </x:c>
      <x:c r="H683" t="str">
        <x:v>Card</x:v>
      </x:c>
      <x:c r="I683" t="n">
        <x:v>4</x:v>
      </x:c>
      <x:c r="J683" t="n">
        <x:v>16</x:v>
      </x:c>
      <x:c r="K683" t="n">
        <x:v>3</x:v>
      </x:c>
      <x:c r="L683" t="str">
        <x:v>STORE-001</x:v>
      </x:c>
      <x:c r="M683" s="22" t="n">
        <x:v>46263</x:v>
      </x:c>
      <x:c r="N683" t="str">
        <x:v>SKU-005</x:v>
      </x:c>
      <x:c r="O683" t="n">
        <x:v>2</x:v>
      </x:c>
      <x:c r="P683" s="26" t="n">
        <x:f>F683/O683</x:f>
        <x:v>59.61</x:v>
      </x:c>
    </x:row>
    <x:row r="684">
      <x:c r="A684" t="n">
        <x:v>683</x:v>
      </x:c>
      <x:c r="B684" t="n">
        <x:v>22</x:v>
      </x:c>
      <x:c r="C684" t="str">
        <x:v>Male</x:v>
      </x:c>
      <x:c r="D684" t="str">
        <x:v>Home</x:v>
      </x:c>
      <x:c r="E684" t="str">
        <x:v>Lamp</x:v>
      </x:c>
      <x:c r="F684" s="24" t="n">
        <x:v>83.17</x:v>
      </x:c>
      <x:c r="G684" t="str">
        <x:v>Summer</x:v>
      </x:c>
      <x:c r="H684" t="str">
        <x:v>Cash on Delivery</x:v>
      </x:c>
      <x:c r="I684" t="n">
        <x:v>4.6</x:v>
      </x:c>
      <x:c r="J684" t="n">
        <x:v>22</x:v>
      </x:c>
      <x:c r="K684" t="n">
        <x:v>6</x:v>
      </x:c>
      <x:c r="L684" t="str">
        <x:v>STORE-001</x:v>
      </x:c>
      <x:c r="M684" s="22" t="n">
        <x:v>45998</x:v>
      </x:c>
      <x:c r="N684" t="str">
        <x:v>SKU-013</x:v>
      </x:c>
      <x:c r="O684" t="n">
        <x:v>1</x:v>
      </x:c>
      <x:c r="P684" s="26" t="n">
        <x:f>F684/O684</x:f>
        <x:v>83.17</x:v>
      </x:c>
    </x:row>
    <x:row r="685">
      <x:c r="A685" t="n">
        <x:v>684</x:v>
      </x:c>
      <x:c r="B685" t="n">
        <x:v>41</x:v>
      </x:c>
      <x:c r="C685" t="str">
        <x:v>Male</x:v>
      </x:c>
      <x:c r="D685" t="str">
        <x:v>Electronics</x:v>
      </x:c>
      <x:c r="E685" t="str">
        <x:v>Laptop</x:v>
      </x:c>
      <x:c r="F685" s="24" t="n">
        <x:v>1496.4</x:v>
      </x:c>
      <x:c r="G685" t="str">
        <x:v>Spring</x:v>
      </x:c>
      <x:c r="H685" t="str">
        <x:v>Card</x:v>
      </x:c>
      <x:c r="I685" t="n">
        <x:v>3.9</x:v>
      </x:c>
      <x:c r="J685" t="n">
        <x:v>16</x:v>
      </x:c>
      <x:c r="K685" t="n">
        <x:v>3</x:v>
      </x:c>
      <x:c r="L685" t="str">
        <x:v>STORE-001</x:v>
      </x:c>
      <x:c r="M685" s="22" t="n">
        <x:v>46281</x:v>
      </x:c>
      <x:c r="N685" t="str">
        <x:v>SKU-014</x:v>
      </x:c>
      <x:c r="O685" t="n">
        <x:v>1</x:v>
      </x:c>
      <x:c r="P685" s="26" t="n">
        <x:f>F685/O685</x:f>
        <x:v>1496.4</x:v>
      </x:c>
    </x:row>
    <x:row r="686">
      <x:c r="A686" t="n">
        <x:v>685</x:v>
      </x:c>
      <x:c r="B686" t="n">
        <x:v>35</x:v>
      </x:c>
      <x:c r="C686" t="str">
        <x:v>Female</x:v>
      </x:c>
      <x:c r="D686" t="str">
        <x:v>Home</x:v>
      </x:c>
      <x:c r="E686" t="str">
        <x:v>Curtains</x:v>
      </x:c>
      <x:c r="F686" s="24" t="n">
        <x:v>121.52</x:v>
      </x:c>
      <x:c r="G686" t="str">
        <x:v>Summer</x:v>
      </x:c>
      <x:c r="H686" t="str">
        <x:v>Card</x:v>
      </x:c>
      <x:c r="I686" t="n">
        <x:v>3.6</x:v>
      </x:c>
      <x:c r="J686" t="n">
        <x:v>10</x:v>
      </x:c>
      <x:c r="K686" t="n">
        <x:v>5</x:v>
      </x:c>
      <x:c r="L686" t="str">
        <x:v>STORE-001</x:v>
      </x:c>
      <x:c r="M686" s="22" t="n">
        <x:v>46000</x:v>
      </x:c>
      <x:c r="N686" t="str">
        <x:v>SKU-003</x:v>
      </x:c>
      <x:c r="O686" t="n">
        <x:v>1</x:v>
      </x:c>
      <x:c r="P686" s="26" t="n">
        <x:f>F686/O686</x:f>
        <x:v>121.52</x:v>
      </x:c>
    </x:row>
    <x:row r="687">
      <x:c r="A687" t="n">
        <x:v>686</x:v>
      </x:c>
      <x:c r="B687" t="n">
        <x:v>51</x:v>
      </x:c>
      <x:c r="C687" t="str">
        <x:v>Female</x:v>
      </x:c>
      <x:c r="D687" t="str">
        <x:v>Beauty</x:v>
      </x:c>
      <x:c r="E687" t="str">
        <x:v>Makeup Set</x:v>
      </x:c>
      <x:c r="F687" s="24" t="n">
        <x:v>101.58</x:v>
      </x:c>
      <x:c r="G687" t="str">
        <x:v>Spring</x:v>
      </x:c>
      <x:c r="H687" t="str">
        <x:v>Card</x:v>
      </x:c>
      <x:c r="I687" t="n">
        <x:v>3.7</x:v>
      </x:c>
      <x:c r="J687" t="n">
        <x:v>14</x:v>
      </x:c>
      <x:c r="K687" t="n">
        <x:v>2</x:v>
      </x:c>
      <x:c r="L687" t="str">
        <x:v>STORE-001</x:v>
      </x:c>
      <x:c r="M687" s="22" t="n">
        <x:v>45947</x:v>
      </x:c>
      <x:c r="N687" t="str">
        <x:v>SKU-015</x:v>
      </x:c>
      <x:c r="O687" t="n">
        <x:v>1</x:v>
      </x:c>
      <x:c r="P687" s="26" t="n">
        <x:f>F687/O687</x:f>
        <x:v>101.58</x:v>
      </x:c>
    </x:row>
    <x:row r="688">
      <x:c r="A688" t="n">
        <x:v>687</x:v>
      </x:c>
      <x:c r="B688" t="n">
        <x:v>20</x:v>
      </x:c>
      <x:c r="C688" t="str">
        <x:v>Female</x:v>
      </x:c>
      <x:c r="D688" t="str">
        <x:v>Accessories</x:v>
      </x:c>
      <x:c r="E688" t="str">
        <x:v>Wallet</x:v>
      </x:c>
      <x:c r="F688" s="24" t="n">
        <x:v>96.93</x:v>
      </x:c>
      <x:c r="G688" t="str">
        <x:v>Spring</x:v>
      </x:c>
      <x:c r="H688" t="str">
        <x:v>Cash on Delivery</x:v>
      </x:c>
      <x:c r="I688" t="n">
        <x:v>3.2</x:v>
      </x:c>
      <x:c r="J688" t="n">
        <x:v>12</x:v>
      </x:c>
      <x:c r="K688" t="n">
        <x:v>6</x:v>
      </x:c>
      <x:c r="L688" t="str">
        <x:v>STORE-001</x:v>
      </x:c>
      <x:c r="M688" s="22" t="n">
        <x:v>46278</x:v>
      </x:c>
      <x:c r="N688" t="str">
        <x:v>SKU-029</x:v>
      </x:c>
      <x:c r="O688" t="n">
        <x:v>1</x:v>
      </x:c>
      <x:c r="P688" s="26" t="n">
        <x:f>F688/O688</x:f>
        <x:v>96.93</x:v>
      </x:c>
    </x:row>
    <x:row r="689">
      <x:c r="A689" t="n">
        <x:v>688</x:v>
      </x:c>
      <x:c r="B689" t="n">
        <x:v>63</x:v>
      </x:c>
      <x:c r="C689" t="str">
        <x:v>Male</x:v>
      </x:c>
      <x:c r="D689" t="str">
        <x:v>Sports</x:v>
      </x:c>
      <x:c r="E689" t="str">
        <x:v>Football</x:v>
      </x:c>
      <x:c r="F689" s="24" t="n">
        <x:v>195.87</x:v>
      </x:c>
      <x:c r="G689" t="str">
        <x:v>Spring</x:v>
      </x:c>
      <x:c r="H689" t="str">
        <x:v>Card</x:v>
      </x:c>
      <x:c r="I689" t="n">
        <x:v>4</x:v>
      </x:c>
      <x:c r="J689" t="n">
        <x:v>18</x:v>
      </x:c>
      <x:c r="K689" t="n">
        <x:v>4</x:v>
      </x:c>
      <x:c r="L689" t="str">
        <x:v>STORE-001</x:v>
      </x:c>
      <x:c r="M689" s="22" t="n">
        <x:v>45966</x:v>
      </x:c>
      <x:c r="N689" t="str">
        <x:v>SKU-006</x:v>
      </x:c>
      <x:c r="O689" t="n">
        <x:v>1</x:v>
      </x:c>
      <x:c r="P689" s="26" t="n">
        <x:f>F689/O689</x:f>
        <x:v>195.87</x:v>
      </x:c>
    </x:row>
    <x:row r="690">
      <x:c r="A690" t="n">
        <x:v>689</x:v>
      </x:c>
      <x:c r="B690" t="n">
        <x:v>57</x:v>
      </x:c>
      <x:c r="C690" t="str">
        <x:v>Female</x:v>
      </x:c>
      <x:c r="D690" t="str">
        <x:v>Footwear</x:v>
      </x:c>
      <x:c r="E690" t="str">
        <x:v>Sneakers</x:v>
      </x:c>
      <x:c r="F690" s="24" t="n">
        <x:v>152.19</x:v>
      </x:c>
      <x:c r="G690" t="str">
        <x:v>Spring</x:v>
      </x:c>
      <x:c r="H690" t="str">
        <x:v>Card</x:v>
      </x:c>
      <x:c r="I690" t="n">
        <x:v>5</x:v>
      </x:c>
      <x:c r="J690" t="n">
        <x:v>13</x:v>
      </x:c>
      <x:c r="K690" t="n">
        <x:v>4</x:v>
      </x:c>
      <x:c r="L690" t="str">
        <x:v>STORE-001</x:v>
      </x:c>
      <x:c r="M690" s="22" t="n">
        <x:v>46292</x:v>
      </x:c>
      <x:c r="N690" t="str">
        <x:v>SKU-025</x:v>
      </x:c>
      <x:c r="O690" t="n">
        <x:v>3</x:v>
      </x:c>
      <x:c r="P690" s="26" t="n">
        <x:f>F690/O690</x:f>
        <x:v>50.73</x:v>
      </x:c>
    </x:row>
    <x:row r="691">
      <x:c r="A691" t="n">
        <x:v>690</x:v>
      </x:c>
      <x:c r="B691" t="n">
        <x:v>68</x:v>
      </x:c>
      <x:c r="C691" t="str">
        <x:v>Male</x:v>
      </x:c>
      <x:c r="D691" t="str">
        <x:v>Mens Clothing</x:v>
      </x:c>
      <x:c r="E691" t="str">
        <x:v>T-Shirt</x:v>
      </x:c>
      <x:c r="F691" s="24" t="n">
        <x:v>71.13</x:v>
      </x:c>
      <x:c r="G691" t="str">
        <x:v>Winter</x:v>
      </x:c>
      <x:c r="H691" t="str">
        <x:v>Cash on Delivery</x:v>
      </x:c>
      <x:c r="I691" t="n">
        <x:v>3.8</x:v>
      </x:c>
      <x:c r="J691" t="n">
        <x:v>10</x:v>
      </x:c>
      <x:c r="K691" t="n">
        <x:v>5</x:v>
      </x:c>
      <x:c r="L691" t="str">
        <x:v>STORE-001</x:v>
      </x:c>
      <x:c r="M691" s="22" t="n">
        <x:v>46238</x:v>
      </x:c>
      <x:c r="N691" t="str">
        <x:v>SKU-027</x:v>
      </x:c>
      <x:c r="O691" t="n">
        <x:v>1</x:v>
      </x:c>
      <x:c r="P691" s="26" t="n">
        <x:f>F691/O691</x:f>
        <x:v>71.13</x:v>
      </x:c>
    </x:row>
    <x:row r="692">
      <x:c r="A692" t="n">
        <x:v>691</x:v>
      </x:c>
      <x:c r="B692" t="n">
        <x:v>68</x:v>
      </x:c>
      <x:c r="C692" t="str">
        <x:v>Female</x:v>
      </x:c>
      <x:c r="D692" t="str">
        <x:v>Beauty</x:v>
      </x:c>
      <x:c r="E692" t="str">
        <x:v>Skincare Kit</x:v>
      </x:c>
      <x:c r="F692" s="24" t="n">
        <x:v>139.64</x:v>
      </x:c>
      <x:c r="G692" t="str">
        <x:v>Spring</x:v>
      </x:c>
      <x:c r="H692" t="str">
        <x:v>Card</x:v>
      </x:c>
      <x:c r="I692" t="n">
        <x:v>4.1</x:v>
      </x:c>
      <x:c r="J692" t="n">
        <x:v>20</x:v>
      </x:c>
      <x:c r="K692" t="n">
        <x:v>5</x:v>
      </x:c>
      <x:c r="L692" t="str">
        <x:v>STORE-001</x:v>
      </x:c>
      <x:c r="M692" s="22" t="n">
        <x:v>46280</x:v>
      </x:c>
      <x:c r="N692" t="str">
        <x:v>SKU-021</x:v>
      </x:c>
      <x:c r="O692" t="n">
        <x:v>2</x:v>
      </x:c>
      <x:c r="P692" s="26" t="n">
        <x:f>F692/O692</x:f>
        <x:v>69.82</x:v>
      </x:c>
    </x:row>
    <x:row r="693">
      <x:c r="A693" t="n">
        <x:v>692</x:v>
      </x:c>
      <x:c r="B693" t="n">
        <x:v>65</x:v>
      </x:c>
      <x:c r="C693" t="str">
        <x:v>Male</x:v>
      </x:c>
      <x:c r="D693" t="str">
        <x:v>Footwear</x:v>
      </x:c>
      <x:c r="E693" t="str">
        <x:v>Sandals</x:v>
      </x:c>
      <x:c r="F693" s="24" t="n">
        <x:v>134.93</x:v>
      </x:c>
      <x:c r="G693" t="str">
        <x:v>Summer</x:v>
      </x:c>
      <x:c r="H693" t="str">
        <x:v>Card</x:v>
      </x:c>
      <x:c r="I693" t="n">
        <x:v>4</x:v>
      </x:c>
      <x:c r="J693" t="n">
        <x:v>15</x:v>
      </x:c>
      <x:c r="K693" t="n">
        <x:v>5</x:v>
      </x:c>
      <x:c r="L693" t="str">
        <x:v>STORE-001</x:v>
      </x:c>
      <x:c r="M693" s="22" t="n">
        <x:v>46018</x:v>
      </x:c>
      <x:c r="N693" t="str">
        <x:v>SKU-019</x:v>
      </x:c>
      <x:c r="O693" t="n">
        <x:v>3</x:v>
      </x:c>
      <x:c r="P693" s="26" t="n">
        <x:f>F693/O693</x:f>
        <x:v>44.97666666666667</x:v>
      </x:c>
    </x:row>
    <x:row r="694">
      <x:c r="A694" t="n">
        <x:v>693</x:v>
      </x:c>
      <x:c r="B694" t="n">
        <x:v>30</x:v>
      </x:c>
      <x:c r="C694" t="str">
        <x:v>Male</x:v>
      </x:c>
      <x:c r="D694" t="str">
        <x:v>Footwear</x:v>
      </x:c>
      <x:c r="E694" t="str">
        <x:v>Sandals</x:v>
      </x:c>
      <x:c r="F694" s="24" t="n">
        <x:v>75.61</x:v>
      </x:c>
      <x:c r="G694" t="str">
        <x:v>Autumn</x:v>
      </x:c>
      <x:c r="H694" t="str">
        <x:v>Cash on Delivery</x:v>
      </x:c>
      <x:c r="I694" t="n">
        <x:v>3.1</x:v>
      </x:c>
      <x:c r="J694" t="n">
        <x:v>17</x:v>
      </x:c>
      <x:c r="K694" t="n">
        <x:v>6</x:v>
      </x:c>
      <x:c r="L694" t="str">
        <x:v>STORE-001</x:v>
      </x:c>
      <x:c r="M694" s="22" t="n">
        <x:v>46132</x:v>
      </x:c>
      <x:c r="N694" t="str">
        <x:v>SKU-019</x:v>
      </x:c>
      <x:c r="O694" t="n">
        <x:v>1</x:v>
      </x:c>
      <x:c r="P694" s="26" t="n">
        <x:f>F694/O694</x:f>
        <x:v>75.61</x:v>
      </x:c>
    </x:row>
    <x:row r="695">
      <x:c r="A695" t="n">
        <x:v>694</x:v>
      </x:c>
      <x:c r="B695" t="n">
        <x:v>23</x:v>
      </x:c>
      <x:c r="C695" t="str">
        <x:v>Female</x:v>
      </x:c>
      <x:c r="D695" t="str">
        <x:v>Accessories</x:v>
      </x:c>
      <x:c r="E695" t="str">
        <x:v>Sunglasses</x:v>
      </x:c>
      <x:c r="F695" s="24" t="n">
        <x:v>115.77</x:v>
      </x:c>
      <x:c r="G695" t="str">
        <x:v>Winter</x:v>
      </x:c>
      <x:c r="H695" t="str">
        <x:v>Card</x:v>
      </x:c>
      <x:c r="I695" t="n">
        <x:v>4.5</x:v>
      </x:c>
      <x:c r="J695" t="n">
        <x:v>13</x:v>
      </x:c>
      <x:c r="K695" t="n">
        <x:v>4</x:v>
      </x:c>
      <x:c r="L695" t="str">
        <x:v>STORE-001</x:v>
      </x:c>
      <x:c r="M695" s="22" t="n">
        <x:v>46208</x:v>
      </x:c>
      <x:c r="N695" t="str">
        <x:v>SKU-026</x:v>
      </x:c>
      <x:c r="O695" t="n">
        <x:v>1</x:v>
      </x:c>
      <x:c r="P695" s="26" t="n">
        <x:f>F695/O695</x:f>
        <x:v>115.77</x:v>
      </x:c>
    </x:row>
    <x:row r="696">
      <x:c r="A696" t="n">
        <x:v>695</x:v>
      </x:c>
      <x:c r="B696" t="n">
        <x:v>23</x:v>
      </x:c>
      <x:c r="C696" t="str">
        <x:v>Female</x:v>
      </x:c>
      <x:c r="D696" t="str">
        <x:v>Footwear</x:v>
      </x:c>
      <x:c r="E696" t="str">
        <x:v>Sandals</x:v>
      </x:c>
      <x:c r="F696" s="24" t="n">
        <x:v>223.09</x:v>
      </x:c>
      <x:c r="G696" t="str">
        <x:v>Spring</x:v>
      </x:c>
      <x:c r="H696" t="str">
        <x:v>Card</x:v>
      </x:c>
      <x:c r="I696" t="n">
        <x:v>4.1</x:v>
      </x:c>
      <x:c r="J696" t="n">
        <x:v>16</x:v>
      </x:c>
      <x:c r="K696" t="n">
        <x:v>3</x:v>
      </x:c>
      <x:c r="L696" t="str">
        <x:v>STORE-001</x:v>
      </x:c>
      <x:c r="M696" s="22" t="n">
        <x:v>45956</x:v>
      </x:c>
      <x:c r="N696" t="str">
        <x:v>SKU-019</x:v>
      </x:c>
      <x:c r="O696" t="n">
        <x:v>2</x:v>
      </x:c>
      <x:c r="P696" s="26" t="n">
        <x:f>F696/O696</x:f>
        <x:v>111.545</x:v>
      </x:c>
    </x:row>
    <x:row r="697">
      <x:c r="A697" t="n">
        <x:v>696</x:v>
      </x:c>
      <x:c r="B697" t="n">
        <x:v>59</x:v>
      </x:c>
      <x:c r="C697" t="str">
        <x:v>Female</x:v>
      </x:c>
      <x:c r="D697" t="str">
        <x:v>Beauty</x:v>
      </x:c>
      <x:c r="E697" t="str">
        <x:v>Skincare Kit</x:v>
      </x:c>
      <x:c r="F697" s="24" t="n">
        <x:v>127.79</x:v>
      </x:c>
      <x:c r="G697" t="str">
        <x:v>Winter</x:v>
      </x:c>
      <x:c r="H697" t="str">
        <x:v>Card</x:v>
      </x:c>
      <x:c r="I697" t="n">
        <x:v>3.8</x:v>
      </x:c>
      <x:c r="J697" t="n">
        <x:v>6</x:v>
      </x:c>
      <x:c r="K697" t="n">
        <x:v>3</x:v>
      </x:c>
      <x:c r="L697" t="str">
        <x:v>STORE-001</x:v>
      </x:c>
      <x:c r="M697" s="22" t="n">
        <x:v>46259</x:v>
      </x:c>
      <x:c r="N697" t="str">
        <x:v>SKU-021</x:v>
      </x:c>
      <x:c r="O697" t="n">
        <x:v>2</x:v>
      </x:c>
      <x:c r="P697" s="26" t="n">
        <x:f>F697/O697</x:f>
        <x:v>63.895</x:v>
      </x:c>
    </x:row>
    <x:row r="698">
      <x:c r="A698" t="n">
        <x:v>697</x:v>
      </x:c>
      <x:c r="B698" t="n">
        <x:v>35</x:v>
      </x:c>
      <x:c r="C698" t="str">
        <x:v>Male</x:v>
      </x:c>
      <x:c r="D698" t="str">
        <x:v>Groceries</x:v>
      </x:c>
      <x:c r="E698" t="str">
        <x:v>Cooking Oil</x:v>
      </x:c>
      <x:c r="F698" s="24" t="n">
        <x:v>49.52</x:v>
      </x:c>
      <x:c r="G698" t="str">
        <x:v>Spring</x:v>
      </x:c>
      <x:c r="H698" t="str">
        <x:v>Cash on Delivery</x:v>
      </x:c>
      <x:c r="I698" t="n">
        <x:v>3.6</x:v>
      </x:c>
      <x:c r="J698" t="n">
        <x:v>13</x:v>
      </x:c>
      <x:c r="K698" t="n">
        <x:v>4</x:v>
      </x:c>
      <x:c r="L698" t="str">
        <x:v>STORE-001</x:v>
      </x:c>
      <x:c r="M698" s="22" t="n">
        <x:v>46277</x:v>
      </x:c>
      <x:c r="N698" t="str">
        <x:v>SKU-002</x:v>
      </x:c>
      <x:c r="O698" t="n">
        <x:v>2</x:v>
      </x:c>
      <x:c r="P698" s="26" t="n">
        <x:f>F698/O698</x:f>
        <x:v>24.76</x:v>
      </x:c>
    </x:row>
    <x:row r="699">
      <x:c r="A699" t="n">
        <x:v>698</x:v>
      </x:c>
      <x:c r="B699" t="n">
        <x:v>59</x:v>
      </x:c>
      <x:c r="C699" t="str">
        <x:v>Female</x:v>
      </x:c>
      <x:c r="D699" t="str">
        <x:v>Footwear</x:v>
      </x:c>
      <x:c r="E699" t="str">
        <x:v>Sneakers</x:v>
      </x:c>
      <x:c r="F699" s="24" t="n">
        <x:v>105.81</x:v>
      </x:c>
      <x:c r="G699" t="str">
        <x:v>Winter</x:v>
      </x:c>
      <x:c r="H699" t="str">
        <x:v>Card</x:v>
      </x:c>
      <x:c r="I699" t="n">
        <x:v>3.8</x:v>
      </x:c>
      <x:c r="J699" t="n">
        <x:v>23</x:v>
      </x:c>
      <x:c r="K699" t="n">
        <x:v>9</x:v>
      </x:c>
      <x:c r="L699" t="str">
        <x:v>STORE-001</x:v>
      </x:c>
      <x:c r="M699" s="22" t="n">
        <x:v>46215</x:v>
      </x:c>
      <x:c r="N699" t="str">
        <x:v>SKU-025</x:v>
      </x:c>
      <x:c r="O699" t="n">
        <x:v>1</x:v>
      </x:c>
      <x:c r="P699" s="26" t="n">
        <x:f>F699/O699</x:f>
        <x:v>105.81</x:v>
      </x:c>
    </x:row>
    <x:row r="700">
      <x:c r="A700" t="n">
        <x:v>699</x:v>
      </x:c>
      <x:c r="B700" t="n">
        <x:v>42</x:v>
      </x:c>
      <x:c r="C700" t="str">
        <x:v>Female</x:v>
      </x:c>
      <x:c r="D700" t="str">
        <x:v>Womens Clothing</x:v>
      </x:c>
      <x:c r="E700" t="str">
        <x:v>Dress</x:v>
      </x:c>
      <x:c r="F700" s="24" t="n">
        <x:v>178.77</x:v>
      </x:c>
      <x:c r="G700" t="str">
        <x:v>Summer</x:v>
      </x:c>
      <x:c r="H700" t="str">
        <x:v>Card</x:v>
      </x:c>
      <x:c r="I700" t="n">
        <x:v>3.4</x:v>
      </x:c>
      <x:c r="J700" t="n">
        <x:v>9</x:v>
      </x:c>
      <x:c r="K700" t="n">
        <x:v>2</x:v>
      </x:c>
      <x:c r="L700" t="str">
        <x:v>STORE-001</x:v>
      </x:c>
      <x:c r="M700" s="22" t="n">
        <x:v>46068</x:v>
      </x:c>
      <x:c r="N700" t="str">
        <x:v>SKU-004</x:v>
      </x:c>
      <x:c r="O700" t="n">
        <x:v>2</x:v>
      </x:c>
      <x:c r="P700" s="26" t="n">
        <x:f>F700/O700</x:f>
        <x:v>89.385</x:v>
      </x:c>
    </x:row>
    <x:row r="701">
      <x:c r="A701" t="n">
        <x:v>700</x:v>
      </x:c>
      <x:c r="B701" t="n">
        <x:v>28</x:v>
      </x:c>
      <x:c r="C701" t="str">
        <x:v>Male</x:v>
      </x:c>
      <x:c r="D701" t="str">
        <x:v>Groceries</x:v>
      </x:c>
      <x:c r="E701" t="str">
        <x:v>Rice Pack</x:v>
      </x:c>
      <x:c r="F701" s="24" t="n">
        <x:v>54.61</x:v>
      </x:c>
      <x:c r="G701" t="str">
        <x:v>Winter</x:v>
      </x:c>
      <x:c r="H701" t="str">
        <x:v>Card</x:v>
      </x:c>
      <x:c r="I701" t="n">
        <x:v>4.1</x:v>
      </x:c>
      <x:c r="J701" t="n">
        <x:v>8</x:v>
      </x:c>
      <x:c r="K701" t="n">
        <x:v>4</x:v>
      </x:c>
      <x:c r="L701" t="str">
        <x:v>STORE-001</x:v>
      </x:c>
      <x:c r="M701" s="22" t="n">
        <x:v>46197</x:v>
      </x:c>
      <x:c r="N701" t="str">
        <x:v>SKU-018</x:v>
      </x:c>
      <x:c r="O701" t="n">
        <x:v>2</x:v>
      </x:c>
      <x:c r="P701" s="26" t="n">
        <x:f>F701/O701</x:f>
        <x:v>27.305</x:v>
      </x:c>
    </x:row>
    <x:row r="702">
      <x:c r="A702" t="n">
        <x:v>701</x:v>
      </x:c>
      <x:c r="B702" t="n">
        <x:v>49</x:v>
      </x:c>
      <x:c r="C702" t="str">
        <x:v>Male</x:v>
      </x:c>
      <x:c r="D702" t="str">
        <x:v>Electronics</x:v>
      </x:c>
      <x:c r="E702" t="str">
        <x:v>Smart Watch</x:v>
      </x:c>
      <x:c r="F702" s="24" t="n">
        <x:v>1321.86</x:v>
      </x:c>
      <x:c r="G702" t="str">
        <x:v>Spring</x:v>
      </x:c>
      <x:c r="H702" t="str">
        <x:v>Card</x:v>
      </x:c>
      <x:c r="I702" t="n">
        <x:v>4.4</x:v>
      </x:c>
      <x:c r="J702" t="n">
        <x:v>24</x:v>
      </x:c>
      <x:c r="K702" t="n">
        <x:v>7</x:v>
      </x:c>
      <x:c r="L702" t="str">
        <x:v>STORE-001</x:v>
      </x:c>
      <x:c r="M702" s="22" t="n">
        <x:v>46268</x:v>
      </x:c>
      <x:c r="N702" t="str">
        <x:v>SKU-023</x:v>
      </x:c>
      <x:c r="O702" t="n">
        <x:v>1</x:v>
      </x:c>
      <x:c r="P702" s="26" t="n">
        <x:f>F702/O702</x:f>
        <x:v>1321.86</x:v>
      </x:c>
    </x:row>
    <x:row r="703">
      <x:c r="A703" t="n">
        <x:v>702</x:v>
      </x:c>
      <x:c r="B703" t="n">
        <x:v>36</x:v>
      </x:c>
      <x:c r="C703" t="str">
        <x:v>Male</x:v>
      </x:c>
      <x:c r="D703" t="str">
        <x:v>Footwear</x:v>
      </x:c>
      <x:c r="E703" t="str">
        <x:v>Sneakers</x:v>
      </x:c>
      <x:c r="F703" s="24" t="n">
        <x:v>157.33</x:v>
      </x:c>
      <x:c r="G703" t="str">
        <x:v>Summer</x:v>
      </x:c>
      <x:c r="H703" t="str">
        <x:v>Card</x:v>
      </x:c>
      <x:c r="I703" t="n">
        <x:v>3.7</x:v>
      </x:c>
      <x:c r="J703" t="n">
        <x:v>17</x:v>
      </x:c>
      <x:c r="K703" t="n">
        <x:v>6</x:v>
      </x:c>
      <x:c r="L703" t="str">
        <x:v>STORE-001</x:v>
      </x:c>
      <x:c r="M703" s="22" t="n">
        <x:v>46019</x:v>
      </x:c>
      <x:c r="N703" t="str">
        <x:v>SKU-025</x:v>
      </x:c>
      <x:c r="O703" t="n">
        <x:v>2</x:v>
      </x:c>
      <x:c r="P703" s="26" t="n">
        <x:f>F703/O703</x:f>
        <x:v>78.665</x:v>
      </x:c>
    </x:row>
    <x:row r="704">
      <x:c r="A704" t="n">
        <x:v>703</x:v>
      </x:c>
      <x:c r="B704" t="n">
        <x:v>31</x:v>
      </x:c>
      <x:c r="C704" t="str">
        <x:v>Male</x:v>
      </x:c>
      <x:c r="D704" t="str">
        <x:v>Footwear</x:v>
      </x:c>
      <x:c r="E704" t="str">
        <x:v>Formal Shoes</x:v>
      </x:c>
      <x:c r="F704" s="24" t="n">
        <x:v>157.43</x:v>
      </x:c>
      <x:c r="G704" t="str">
        <x:v>Winter</x:v>
      </x:c>
      <x:c r="H704" t="str">
        <x:v>Card</x:v>
      </x:c>
      <x:c r="I704" t="n">
        <x:v>3</x:v>
      </x:c>
      <x:c r="J704" t="n">
        <x:v>6</x:v>
      </x:c>
      <x:c r="K704" t="n">
        <x:v>3</x:v>
      </x:c>
      <x:c r="L704" t="str">
        <x:v>STORE-001</x:v>
      </x:c>
      <x:c r="M704" s="22" t="n">
        <x:v>46196</x:v>
      </x:c>
      <x:c r="N704" t="str">
        <x:v>SKU-007</x:v>
      </x:c>
      <x:c r="O704" t="n">
        <x:v>1</x:v>
      </x:c>
      <x:c r="P704" s="26" t="n">
        <x:f>F704/O704</x:f>
        <x:v>157.43</x:v>
      </x:c>
    </x:row>
    <x:row r="705">
      <x:c r="A705" t="n">
        <x:v>704</x:v>
      </x:c>
      <x:c r="B705" t="n">
        <x:v>38</x:v>
      </x:c>
      <x:c r="C705" t="str">
        <x:v>Male</x:v>
      </x:c>
      <x:c r="D705" t="str">
        <x:v>Mens Clothing</x:v>
      </x:c>
      <x:c r="E705" t="str">
        <x:v>Jacket</x:v>
      </x:c>
      <x:c r="F705" s="24" t="n">
        <x:v>160.98</x:v>
      </x:c>
      <x:c r="G705" t="str">
        <x:v>Spring</x:v>
      </x:c>
      <x:c r="H705" t="str">
        <x:v>Card</x:v>
      </x:c>
      <x:c r="I705" t="n">
        <x:v>2.9</x:v>
      </x:c>
      <x:c r="J705" t="n">
        <x:v>20</x:v>
      </x:c>
      <x:c r="K705" t="n">
        <x:v>5</x:v>
      </x:c>
      <x:c r="L705" t="str">
        <x:v>STORE-001</x:v>
      </x:c>
      <x:c r="M705" s="22" t="n">
        <x:v>45965</x:v>
      </x:c>
      <x:c r="N705" t="str">
        <x:v>SKU-010</x:v>
      </x:c>
      <x:c r="O705" t="n">
        <x:v>1</x:v>
      </x:c>
      <x:c r="P705" s="26" t="n">
        <x:f>F705/O705</x:f>
        <x:v>160.98</x:v>
      </x:c>
    </x:row>
    <x:row r="706">
      <x:c r="A706" t="n">
        <x:v>705</x:v>
      </x:c>
      <x:c r="B706" t="n">
        <x:v>46</x:v>
      </x:c>
      <x:c r="C706" t="str">
        <x:v>Male</x:v>
      </x:c>
      <x:c r="D706" t="str">
        <x:v>Sports</x:v>
      </x:c>
      <x:c r="E706" t="str">
        <x:v>Yoga Mat</x:v>
      </x:c>
      <x:c r="F706" s="24" t="n">
        <x:v>107.82</x:v>
      </x:c>
      <x:c r="G706" t="str">
        <x:v>Winter</x:v>
      </x:c>
      <x:c r="H706" t="str">
        <x:v>Card</x:v>
      </x:c>
      <x:c r="I706" t="n">
        <x:v>3.9</x:v>
      </x:c>
      <x:c r="J706" t="n">
        <x:v>7</x:v>
      </x:c>
      <x:c r="K706" t="n">
        <x:v>1</x:v>
      </x:c>
      <x:c r="L706" t="str">
        <x:v>STORE-001</x:v>
      </x:c>
      <x:c r="M706" s="22" t="n">
        <x:v>46257</x:v>
      </x:c>
      <x:c r="N706" t="str">
        <x:v>SKU-030</x:v>
      </x:c>
      <x:c r="O706" t="n">
        <x:v>1</x:v>
      </x:c>
      <x:c r="P706" s="26" t="n">
        <x:f>F706/O706</x:f>
        <x:v>107.82</x:v>
      </x:c>
    </x:row>
    <x:row r="707">
      <x:c r="A707" t="n">
        <x:v>706</x:v>
      </x:c>
      <x:c r="B707" t="n">
        <x:v>39</x:v>
      </x:c>
      <x:c r="C707" t="str">
        <x:v>Female</x:v>
      </x:c>
      <x:c r="D707" t="str">
        <x:v>Footwear</x:v>
      </x:c>
      <x:c r="E707" t="str">
        <x:v>Formal Shoes</x:v>
      </x:c>
      <x:c r="F707" s="24" t="n">
        <x:v>217.69</x:v>
      </x:c>
      <x:c r="G707" t="str">
        <x:v>Summer</x:v>
      </x:c>
      <x:c r="H707" t="str">
        <x:v>Card</x:v>
      </x:c>
      <x:c r="I707" t="n">
        <x:v>2.6</x:v>
      </x:c>
      <x:c r="J707" t="n">
        <x:v>10</x:v>
      </x:c>
      <x:c r="K707" t="n">
        <x:v>5</x:v>
      </x:c>
      <x:c r="L707" t="str">
        <x:v>STORE-001</x:v>
      </x:c>
      <x:c r="M707" s="22" t="n">
        <x:v>45999</x:v>
      </x:c>
      <x:c r="N707" t="str">
        <x:v>SKU-007</x:v>
      </x:c>
      <x:c r="O707" t="n">
        <x:v>1</x:v>
      </x:c>
      <x:c r="P707" s="26" t="n">
        <x:f>F707/O707</x:f>
        <x:v>217.69</x:v>
      </x:c>
    </x:row>
    <x:row r="708">
      <x:c r="A708" t="n">
        <x:v>707</x:v>
      </x:c>
      <x:c r="B708" t="n">
        <x:v>45</x:v>
      </x:c>
      <x:c r="C708" t="str">
        <x:v>Male</x:v>
      </x:c>
      <x:c r="D708" t="str">
        <x:v>Sports</x:v>
      </x:c>
      <x:c r="E708" t="str">
        <x:v>Yoga Mat</x:v>
      </x:c>
      <x:c r="F708" s="24" t="n">
        <x:v>141.27</x:v>
      </x:c>
      <x:c r="G708" t="str">
        <x:v>Autumn</x:v>
      </x:c>
      <x:c r="H708" t="str">
        <x:v>Card</x:v>
      </x:c>
      <x:c r="I708" t="n">
        <x:v>3.2</x:v>
      </x:c>
      <x:c r="J708" t="n">
        <x:v>16</x:v>
      </x:c>
      <x:c r="K708" t="n">
        <x:v>3</x:v>
      </x:c>
      <x:c r="L708" t="str">
        <x:v>STORE-001</x:v>
      </x:c>
      <x:c r="M708" s="22" t="n">
        <x:v>46119</x:v>
      </x:c>
      <x:c r="N708" t="str">
        <x:v>SKU-030</x:v>
      </x:c>
      <x:c r="O708" t="n">
        <x:v>2</x:v>
      </x:c>
      <x:c r="P708" s="26" t="n">
        <x:f>F708/O708</x:f>
        <x:v>70.635</x:v>
      </x:c>
    </x:row>
    <x:row r="709">
      <x:c r="A709" t="n">
        <x:v>708</x:v>
      </x:c>
      <x:c r="B709" t="n">
        <x:v>57</x:v>
      </x:c>
      <x:c r="C709" t="str">
        <x:v>Male</x:v>
      </x:c>
      <x:c r="D709" t="str">
        <x:v>Footwear</x:v>
      </x:c>
      <x:c r="E709" t="str">
        <x:v>Sandals</x:v>
      </x:c>
      <x:c r="F709" s="24" t="n">
        <x:v>233.72</x:v>
      </x:c>
      <x:c r="G709" t="str">
        <x:v>Summer</x:v>
      </x:c>
      <x:c r="H709" t="str">
        <x:v>Card</x:v>
      </x:c>
      <x:c r="I709" t="n">
        <x:v>2.8</x:v>
      </x:c>
      <x:c r="J709" t="n">
        <x:v>14</x:v>
      </x:c>
      <x:c r="K709" t="n">
        <x:v>7</x:v>
      </x:c>
      <x:c r="L709" t="str">
        <x:v>STORE-001</x:v>
      </x:c>
      <x:c r="M709" s="22" t="n">
        <x:v>46027</x:v>
      </x:c>
      <x:c r="N709" t="str">
        <x:v>SKU-019</x:v>
      </x:c>
      <x:c r="O709" t="n">
        <x:v>1</x:v>
      </x:c>
      <x:c r="P709" s="26" t="n">
        <x:f>F709/O709</x:f>
        <x:v>233.72</x:v>
      </x:c>
    </x:row>
    <x:row r="710">
      <x:c r="A710" t="n">
        <x:v>709</x:v>
      </x:c>
      <x:c r="B710" t="n">
        <x:v>53</x:v>
      </x:c>
      <x:c r="C710" t="str">
        <x:v>Male</x:v>
      </x:c>
      <x:c r="D710" t="str">
        <x:v>Electronics</x:v>
      </x:c>
      <x:c r="E710" t="str">
        <x:v>Headphones</x:v>
      </x:c>
      <x:c r="F710" s="24" t="n">
        <x:v>1792.88</x:v>
      </x:c>
      <x:c r="G710" t="str">
        <x:v>Winter</x:v>
      </x:c>
      <x:c r="H710" t="str">
        <x:v>Card</x:v>
      </x:c>
      <x:c r="I710" t="n">
        <x:v>3.6</x:v>
      </x:c>
      <x:c r="J710" t="n">
        <x:v>19</x:v>
      </x:c>
      <x:c r="K710" t="n">
        <x:v>7</x:v>
      </x:c>
      <x:c r="L710" t="str">
        <x:v>STORE-001</x:v>
      </x:c>
      <x:c r="M710" s="22" t="n">
        <x:v>46243</x:v>
      </x:c>
      <x:c r="N710" t="str">
        <x:v>SKU-009</x:v>
      </x:c>
      <x:c r="O710" t="n">
        <x:v>1</x:v>
      </x:c>
      <x:c r="P710" s="26" t="n">
        <x:f>F710/O710</x:f>
        <x:v>1792.88</x:v>
      </x:c>
    </x:row>
    <x:row r="711">
      <x:c r="A711" t="n">
        <x:v>710</x:v>
      </x:c>
      <x:c r="B711" t="n">
        <x:v>24</x:v>
      </x:c>
      <x:c r="C711" t="str">
        <x:v>Male</x:v>
      </x:c>
      <x:c r="D711" t="str">
        <x:v>Electronics</x:v>
      </x:c>
      <x:c r="E711" t="str">
        <x:v>Smart Watch</x:v>
      </x:c>
      <x:c r="F711" s="24" t="n">
        <x:v>1064.7</x:v>
      </x:c>
      <x:c r="G711" t="str">
        <x:v>Winter</x:v>
      </x:c>
      <x:c r="H711" t="str">
        <x:v>Card</x:v>
      </x:c>
      <x:c r="I711" t="n">
        <x:v>5</x:v>
      </x:c>
      <x:c r="J711" t="n">
        <x:v>18</x:v>
      </x:c>
      <x:c r="K711" t="n">
        <x:v>4</x:v>
      </x:c>
      <x:c r="L711" t="str">
        <x:v>STORE-001</x:v>
      </x:c>
      <x:c r="M711" s="22" t="n">
        <x:v>46230</x:v>
      </x:c>
      <x:c r="N711" t="str">
        <x:v>SKU-023</x:v>
      </x:c>
      <x:c r="O711" t="n">
        <x:v>1</x:v>
      </x:c>
      <x:c r="P711" s="26" t="n">
        <x:f>F711/O711</x:f>
        <x:v>1064.7</x:v>
      </x:c>
    </x:row>
    <x:row r="712">
      <x:c r="A712" t="n">
        <x:v>711</x:v>
      </x:c>
      <x:c r="B712" t="n">
        <x:v>44</x:v>
      </x:c>
      <x:c r="C712" t="str">
        <x:v>Female</x:v>
      </x:c>
      <x:c r="D712" t="str">
        <x:v>Accessories</x:v>
      </x:c>
      <x:c r="E712" t="str">
        <x:v>Sunglasses</x:v>
      </x:c>
      <x:c r="F712" s="24" t="n">
        <x:v>103.15</x:v>
      </x:c>
      <x:c r="G712" t="str">
        <x:v>Autumn</x:v>
      </x:c>
      <x:c r="H712" t="str">
        <x:v>Card</x:v>
      </x:c>
      <x:c r="I712" t="n">
        <x:v>3.6</x:v>
      </x:c>
      <x:c r="J712" t="n">
        <x:v>13</x:v>
      </x:c>
      <x:c r="K712" t="n">
        <x:v>4</x:v>
      </x:c>
      <x:c r="L712" t="str">
        <x:v>STORE-001</x:v>
      </x:c>
      <x:c r="M712" s="22" t="n">
        <x:v>46149</x:v>
      </x:c>
      <x:c r="N712" t="str">
        <x:v>SKU-026</x:v>
      </x:c>
      <x:c r="O712" t="n">
        <x:v>1</x:v>
      </x:c>
      <x:c r="P712" s="26" t="n">
        <x:f>F712/O712</x:f>
        <x:v>103.15</x:v>
      </x:c>
    </x:row>
    <x:row r="713">
      <x:c r="A713" t="n">
        <x:v>712</x:v>
      </x:c>
      <x:c r="B713" t="n">
        <x:v>69</x:v>
      </x:c>
      <x:c r="C713" t="str">
        <x:v>Male</x:v>
      </x:c>
      <x:c r="D713" t="str">
        <x:v>Footwear</x:v>
      </x:c>
      <x:c r="E713" t="str">
        <x:v>Sandals</x:v>
      </x:c>
      <x:c r="F713" s="24" t="n">
        <x:v>48.78</x:v>
      </x:c>
      <x:c r="G713" t="str">
        <x:v>Summer</x:v>
      </x:c>
      <x:c r="H713" t="str">
        <x:v>Card</x:v>
      </x:c>
      <x:c r="I713" t="n">
        <x:v>1.9</x:v>
      </x:c>
      <x:c r="J713" t="n">
        <x:v>17</x:v>
      </x:c>
      <x:c r="K713" t="n">
        <x:v>6</x:v>
      </x:c>
      <x:c r="L713" t="str">
        <x:v>STORE-001</x:v>
      </x:c>
      <x:c r="M713" s="22" t="n">
        <x:v>46046</x:v>
      </x:c>
      <x:c r="N713" t="str">
        <x:v>SKU-019</x:v>
      </x:c>
      <x:c r="O713" t="n">
        <x:v>3</x:v>
      </x:c>
      <x:c r="P713" s="26" t="n">
        <x:f>F713/O713</x:f>
        <x:v>16.26</x:v>
      </x:c>
    </x:row>
    <x:row r="714">
      <x:c r="A714" t="n">
        <x:v>713</x:v>
      </x:c>
      <x:c r="B714" t="n">
        <x:v>64</x:v>
      </x:c>
      <x:c r="C714" t="str">
        <x:v>Female</x:v>
      </x:c>
      <x:c r="D714" t="str">
        <x:v>Beauty</x:v>
      </x:c>
      <x:c r="E714" t="str">
        <x:v>Perfume</x:v>
      </x:c>
      <x:c r="F714" s="24" t="n">
        <x:v>74.05</x:v>
      </x:c>
      <x:c r="G714" t="str">
        <x:v>Spring</x:v>
      </x:c>
      <x:c r="H714" t="str">
        <x:v>Card</x:v>
      </x:c>
      <x:c r="I714" t="n">
        <x:v>4.9</x:v>
      </x:c>
      <x:c r="J714" t="n">
        <x:v>21</x:v>
      </x:c>
      <x:c r="K714" t="n">
        <x:v>8</x:v>
      </x:c>
      <x:c r="L714" t="str">
        <x:v>STORE-001</x:v>
      </x:c>
      <x:c r="M714" s="22" t="n">
        <x:v>45950</x:v>
      </x:c>
      <x:c r="N714" t="str">
        <x:v>SKU-017</x:v>
      </x:c>
      <x:c r="O714" t="n">
        <x:v>1</x:v>
      </x:c>
      <x:c r="P714" s="26" t="n">
        <x:f>F714/O714</x:f>
        <x:v>74.05</x:v>
      </x:c>
    </x:row>
    <x:row r="715">
      <x:c r="A715" t="n">
        <x:v>714</x:v>
      </x:c>
      <x:c r="B715" t="n">
        <x:v>59</x:v>
      </x:c>
      <x:c r="C715" t="str">
        <x:v>Female</x:v>
      </x:c>
      <x:c r="D715" t="str">
        <x:v>Womens Clothing</x:v>
      </x:c>
      <x:c r="E715" t="str">
        <x:v>Dress</x:v>
      </x:c>
      <x:c r="F715" s="24" t="n">
        <x:v>35.33</x:v>
      </x:c>
      <x:c r="G715" t="str">
        <x:v>Summer</x:v>
      </x:c>
      <x:c r="H715" t="str">
        <x:v>Cash on Delivery</x:v>
      </x:c>
      <x:c r="I715" t="n">
        <x:v>3.7</x:v>
      </x:c>
      <x:c r="J715" t="n">
        <x:v>13</x:v>
      </x:c>
      <x:c r="K715" t="n">
        <x:v>4</x:v>
      </x:c>
      <x:c r="L715" t="str">
        <x:v>STORE-001</x:v>
      </x:c>
      <x:c r="M715" s="22" t="n">
        <x:v>46053</x:v>
      </x:c>
      <x:c r="N715" t="str">
        <x:v>SKU-004</x:v>
      </x:c>
      <x:c r="O715" t="n">
        <x:v>2</x:v>
      </x:c>
      <x:c r="P715" s="26" t="n">
        <x:f>F715/O715</x:f>
        <x:v>17.665</x:v>
      </x:c>
    </x:row>
    <x:row r="716">
      <x:c r="A716" t="n">
        <x:v>715</x:v>
      </x:c>
      <x:c r="B716" t="n">
        <x:v>68</x:v>
      </x:c>
      <x:c r="C716" t="str">
        <x:v>Female</x:v>
      </x:c>
      <x:c r="D716" t="str">
        <x:v>Womens Clothing</x:v>
      </x:c>
      <x:c r="E716" t="str">
        <x:v>Jeans</x:v>
      </x:c>
      <x:c r="F716" s="24" t="n">
        <x:v>114.33</x:v>
      </x:c>
      <x:c r="G716" t="str">
        <x:v>Summer</x:v>
      </x:c>
      <x:c r="H716" t="str">
        <x:v>Card</x:v>
      </x:c>
      <x:c r="I716" t="n">
        <x:v>2.9</x:v>
      </x:c>
      <x:c r="J716" t="n">
        <x:v>10</x:v>
      </x:c>
      <x:c r="K716" t="n">
        <x:v>5</x:v>
      </x:c>
      <x:c r="L716" t="str">
        <x:v>STORE-001</x:v>
      </x:c>
      <x:c r="M716" s="22" t="n">
        <x:v>46074</x:v>
      </x:c>
      <x:c r="N716" t="str">
        <x:v>SKU-011</x:v>
      </x:c>
      <x:c r="O716" t="n">
        <x:v>1</x:v>
      </x:c>
      <x:c r="P716" s="26" t="n">
        <x:f>F716/O716</x:f>
        <x:v>114.33</x:v>
      </x:c>
    </x:row>
    <x:row r="717">
      <x:c r="A717" t="n">
        <x:v>716</x:v>
      </x:c>
      <x:c r="B717" t="n">
        <x:v>48</x:v>
      </x:c>
      <x:c r="C717" t="str">
        <x:v>Female</x:v>
      </x:c>
      <x:c r="D717" t="str">
        <x:v>Accessories</x:v>
      </x:c>
      <x:c r="E717" t="str">
        <x:v>Handbag</x:v>
      </x:c>
      <x:c r="F717" s="24" t="n">
        <x:v>41.13</x:v>
      </x:c>
      <x:c r="G717" t="str">
        <x:v>Winter</x:v>
      </x:c>
      <x:c r="H717" t="str">
        <x:v>Card</x:v>
      </x:c>
      <x:c r="I717" t="n">
        <x:v>3.2</x:v>
      </x:c>
      <x:c r="J717" t="n">
        <x:v>9</x:v>
      </x:c>
      <x:c r="K717" t="n">
        <x:v>2</x:v>
      </x:c>
      <x:c r="L717" t="str">
        <x:v>STORE-001</x:v>
      </x:c>
      <x:c r="M717" s="22" t="n">
        <x:v>46184</x:v>
      </x:c>
      <x:c r="N717" t="str">
        <x:v>SKU-008</x:v>
      </x:c>
      <x:c r="O717" t="n">
        <x:v>1</x:v>
      </x:c>
      <x:c r="P717" s="26" t="n">
        <x:f>F717/O717</x:f>
        <x:v>41.13</x:v>
      </x:c>
    </x:row>
    <x:row r="718">
      <x:c r="A718" t="n">
        <x:v>717</x:v>
      </x:c>
      <x:c r="B718" t="n">
        <x:v>56</x:v>
      </x:c>
      <x:c r="C718" t="str">
        <x:v>Female</x:v>
      </x:c>
      <x:c r="D718" t="str">
        <x:v>Home</x:v>
      </x:c>
      <x:c r="E718" t="str">
        <x:v>Kitchen Set</x:v>
      </x:c>
      <x:c r="F718" s="24" t="n">
        <x:v>245.44</x:v>
      </x:c>
      <x:c r="G718" t="str">
        <x:v>Spring</x:v>
      </x:c>
      <x:c r="H718" t="str">
        <x:v>Card</x:v>
      </x:c>
      <x:c r="I718" t="n">
        <x:v>3.2</x:v>
      </x:c>
      <x:c r="J718" t="n">
        <x:v>2</x:v>
      </x:c>
      <x:c r="K718" t="n">
        <x:v>1</x:v>
      </x:c>
      <x:c r="L718" t="str">
        <x:v>STORE-001</x:v>
      </x:c>
      <x:c r="M718" s="22" t="n">
        <x:v>46267</x:v>
      </x:c>
      <x:c r="N718" t="str">
        <x:v>SKU-012</x:v>
      </x:c>
      <x:c r="O718" t="n">
        <x:v>1</x:v>
      </x:c>
      <x:c r="P718" s="26" t="n">
        <x:f>F718/O718</x:f>
        <x:v>245.44</x:v>
      </x:c>
    </x:row>
    <x:row r="719">
      <x:c r="A719" t="n">
        <x:v>718</x:v>
      </x:c>
      <x:c r="B719" t="n">
        <x:v>36</x:v>
      </x:c>
      <x:c r="C719" t="str">
        <x:v>Female</x:v>
      </x:c>
      <x:c r="D719" t="str">
        <x:v>Womens Clothing</x:v>
      </x:c>
      <x:c r="E719" t="str">
        <x:v>Jeans</x:v>
      </x:c>
      <x:c r="F719" s="24" t="n">
        <x:v>153.84</x:v>
      </x:c>
      <x:c r="G719" t="str">
        <x:v>Winter</x:v>
      </x:c>
      <x:c r="H719" t="str">
        <x:v>Card</x:v>
      </x:c>
      <x:c r="I719" t="n">
        <x:v>3.2</x:v>
      </x:c>
      <x:c r="J719" t="n">
        <x:v>0</x:v>
      </x:c>
      <x:c r="K719" t="n">
        <x:v>0</x:v>
      </x:c>
      <x:c r="L719" t="str">
        <x:v>STORE-001</x:v>
      </x:c>
      <x:c r="M719" s="22" t="n">
        <x:v>46229</x:v>
      </x:c>
      <x:c r="N719" t="str">
        <x:v>SKU-011</x:v>
      </x:c>
      <x:c r="O719" t="n">
        <x:v>1</x:v>
      </x:c>
      <x:c r="P719" s="26" t="n">
        <x:f>F719/O719</x:f>
        <x:v>153.84</x:v>
      </x:c>
    </x:row>
    <x:row r="720">
      <x:c r="A720" t="n">
        <x:v>719</x:v>
      </x:c>
      <x:c r="B720" t="n">
        <x:v>44</x:v>
      </x:c>
      <x:c r="C720" t="str">
        <x:v>Female</x:v>
      </x:c>
      <x:c r="D720" t="str">
        <x:v>Footwear</x:v>
      </x:c>
      <x:c r="E720" t="str">
        <x:v>Sandals</x:v>
      </x:c>
      <x:c r="F720" s="24" t="n">
        <x:v>236.11</x:v>
      </x:c>
      <x:c r="G720" t="str">
        <x:v>Summer</x:v>
      </x:c>
      <x:c r="H720" t="str">
        <x:v>Card</x:v>
      </x:c>
      <x:c r="I720" t="n">
        <x:v>5</x:v>
      </x:c>
      <x:c r="J720" t="n">
        <x:v>23</x:v>
      </x:c>
      <x:c r="K720" t="n">
        <x:v>9</x:v>
      </x:c>
      <x:c r="L720" t="str">
        <x:v>STORE-001</x:v>
      </x:c>
      <x:c r="M720" s="22" t="n">
        <x:v>46034</x:v>
      </x:c>
      <x:c r="N720" t="str">
        <x:v>SKU-019</x:v>
      </x:c>
      <x:c r="O720" t="n">
        <x:v>1</x:v>
      </x:c>
      <x:c r="P720" s="26" t="n">
        <x:f>F720/O720</x:f>
        <x:v>236.11</x:v>
      </x:c>
    </x:row>
    <x:row r="721">
      <x:c r="A721" t="n">
        <x:v>720</x:v>
      </x:c>
      <x:c r="B721" t="n">
        <x:v>54</x:v>
      </x:c>
      <x:c r="C721" t="str">
        <x:v>Female</x:v>
      </x:c>
      <x:c r="D721" t="str">
        <x:v>Womens Clothing</x:v>
      </x:c>
      <x:c r="E721" t="str">
        <x:v>Dress</x:v>
      </x:c>
      <x:c r="F721" s="24" t="n">
        <x:v>165.35</x:v>
      </x:c>
      <x:c r="G721" t="str">
        <x:v>Autumn</x:v>
      </x:c>
      <x:c r="H721" t="str">
        <x:v>Card</x:v>
      </x:c>
      <x:c r="I721" t="n">
        <x:v>3.7</x:v>
      </x:c>
      <x:c r="J721" t="n">
        <x:v>10</x:v>
      </x:c>
      <x:c r="K721" t="n">
        <x:v>0</x:v>
      </x:c>
      <x:c r="L721" t="str">
        <x:v>STORE-001</x:v>
      </x:c>
      <x:c r="M721" s="22" t="n">
        <x:v>46171</x:v>
      </x:c>
      <x:c r="N721" t="str">
        <x:v>SKU-004</x:v>
      </x:c>
      <x:c r="O721" t="n">
        <x:v>1</x:v>
      </x:c>
      <x:c r="P721" s="26" t="n">
        <x:f>F721/O721</x:f>
        <x:v>165.35</x:v>
      </x:c>
    </x:row>
    <x:row r="722">
      <x:c r="A722" t="n">
        <x:v>721</x:v>
      </x:c>
      <x:c r="B722" t="n">
        <x:v>30</x:v>
      </x:c>
      <x:c r="C722" t="str">
        <x:v>Female</x:v>
      </x:c>
      <x:c r="D722" t="str">
        <x:v>Accessories</x:v>
      </x:c>
      <x:c r="E722" t="str">
        <x:v>Sunglasses</x:v>
      </x:c>
      <x:c r="F722" s="24" t="n">
        <x:v>59.51</x:v>
      </x:c>
      <x:c r="G722" t="str">
        <x:v>Winter</x:v>
      </x:c>
      <x:c r="H722" t="str">
        <x:v>Card</x:v>
      </x:c>
      <x:c r="I722" t="n">
        <x:v>3.8</x:v>
      </x:c>
      <x:c r="J722" t="n">
        <x:v>24</x:v>
      </x:c>
      <x:c r="K722" t="n">
        <x:v>7</x:v>
      </x:c>
      <x:c r="L722" t="str">
        <x:v>STORE-001</x:v>
      </x:c>
      <x:c r="M722" s="22" t="n">
        <x:v>46233</x:v>
      </x:c>
      <x:c r="N722" t="str">
        <x:v>SKU-026</x:v>
      </x:c>
      <x:c r="O722" t="n">
        <x:v>1</x:v>
      </x:c>
      <x:c r="P722" s="26" t="n">
        <x:f>F722/O722</x:f>
        <x:v>59.51</x:v>
      </x:c>
    </x:row>
    <x:row r="723">
      <x:c r="A723" t="n">
        <x:v>722</x:v>
      </x:c>
      <x:c r="B723" t="n">
        <x:v>61</x:v>
      </x:c>
      <x:c r="C723" t="str">
        <x:v>Male</x:v>
      </x:c>
      <x:c r="D723" t="str">
        <x:v>Sports</x:v>
      </x:c>
      <x:c r="E723" t="str">
        <x:v>Dumbbells</x:v>
      </x:c>
      <x:c r="F723" s="24" t="n">
        <x:v>190.26</x:v>
      </x:c>
      <x:c r="G723" t="str">
        <x:v>Winter</x:v>
      </x:c>
      <x:c r="H723" t="str">
        <x:v>Card</x:v>
      </x:c>
      <x:c r="I723" t="n">
        <x:v>4.4</x:v>
      </x:c>
      <x:c r="J723" t="n">
        <x:v>14</x:v>
      </x:c>
      <x:c r="K723" t="n">
        <x:v>2</x:v>
      </x:c>
      <x:c r="L723" t="str">
        <x:v>STORE-001</x:v>
      </x:c>
      <x:c r="M723" s="22" t="n">
        <x:v>46228</x:v>
      </x:c>
      <x:c r="N723" t="str">
        <x:v>SKU-005</x:v>
      </x:c>
      <x:c r="O723" t="n">
        <x:v>3</x:v>
      </x:c>
      <x:c r="P723" s="26" t="n">
        <x:f>F723/O723</x:f>
        <x:v>63.419999999999995</x:v>
      </x:c>
    </x:row>
    <x:row r="724">
      <x:c r="A724" t="n">
        <x:v>723</x:v>
      </x:c>
      <x:c r="B724" t="n">
        <x:v>63</x:v>
      </x:c>
      <x:c r="C724" t="str">
        <x:v>Female</x:v>
      </x:c>
      <x:c r="D724" t="str">
        <x:v>Home</x:v>
      </x:c>
      <x:c r="E724" t="str">
        <x:v>Kitchen Set</x:v>
      </x:c>
      <x:c r="F724" s="24" t="n">
        <x:v>168.64</x:v>
      </x:c>
      <x:c r="G724" t="str">
        <x:v>Autumn</x:v>
      </x:c>
      <x:c r="H724" t="str">
        <x:v>Card</x:v>
      </x:c>
      <x:c r="I724" t="n">
        <x:v>3.2</x:v>
      </x:c>
      <x:c r="J724" t="n">
        <x:v>6</x:v>
      </x:c>
      <x:c r="K724" t="n">
        <x:v>3</x:v>
      </x:c>
      <x:c r="L724" t="str">
        <x:v>STORE-001</x:v>
      </x:c>
      <x:c r="M724" s="22" t="n">
        <x:v>46155</x:v>
      </x:c>
      <x:c r="N724" t="str">
        <x:v>SKU-012</x:v>
      </x:c>
      <x:c r="O724" t="n">
        <x:v>2</x:v>
      </x:c>
      <x:c r="P724" s="26" t="n">
        <x:f>F724/O724</x:f>
        <x:v>84.32</x:v>
      </x:c>
    </x:row>
    <x:row r="725">
      <x:c r="A725" t="n">
        <x:v>724</x:v>
      </x:c>
      <x:c r="B725" t="n">
        <x:v>42</x:v>
      </x:c>
      <x:c r="C725" t="str">
        <x:v>Male</x:v>
      </x:c>
      <x:c r="D725" t="str">
        <x:v>Electronics</x:v>
      </x:c>
      <x:c r="E725" t="str">
        <x:v>Headphones</x:v>
      </x:c>
      <x:c r="F725" s="24" t="n">
        <x:v>2517.98</x:v>
      </x:c>
      <x:c r="G725" t="str">
        <x:v>Summer</x:v>
      </x:c>
      <x:c r="H725" t="str">
        <x:v>Card</x:v>
      </x:c>
      <x:c r="I725" t="n">
        <x:v>3.2</x:v>
      </x:c>
      <x:c r="J725" t="n">
        <x:v>17</x:v>
      </x:c>
      <x:c r="K725" t="n">
        <x:v>6</x:v>
      </x:c>
      <x:c r="L725" t="str">
        <x:v>STORE-001</x:v>
      </x:c>
      <x:c r="M725" s="22" t="n">
        <x:v>46071</x:v>
      </x:c>
      <x:c r="N725" t="str">
        <x:v>SKU-009</x:v>
      </x:c>
      <x:c r="O725" t="n">
        <x:v>1</x:v>
      </x:c>
      <x:c r="P725" s="26" t="n">
        <x:f>F725/O725</x:f>
        <x:v>2517.98</x:v>
      </x:c>
    </x:row>
    <x:row r="726">
      <x:c r="A726" t="n">
        <x:v>725</x:v>
      </x:c>
      <x:c r="B726" t="n">
        <x:v>35</x:v>
      </x:c>
      <x:c r="C726" t="str">
        <x:v>Male</x:v>
      </x:c>
      <x:c r="D726" t="str">
        <x:v>Sports</x:v>
      </x:c>
      <x:c r="E726" t="str">
        <x:v>Football</x:v>
      </x:c>
      <x:c r="F726" s="24" t="n">
        <x:v>240.4</x:v>
      </x:c>
      <x:c r="G726" t="str">
        <x:v>Winter</x:v>
      </x:c>
      <x:c r="H726" t="str">
        <x:v>Card</x:v>
      </x:c>
      <x:c r="I726" t="n">
        <x:v>3.7</x:v>
      </x:c>
      <x:c r="J726" t="n">
        <x:v>10</x:v>
      </x:c>
      <x:c r="K726" t="n">
        <x:v>5</x:v>
      </x:c>
      <x:c r="L726" t="str">
        <x:v>STORE-001</x:v>
      </x:c>
      <x:c r="M726" s="22" t="n">
        <x:v>46222</x:v>
      </x:c>
      <x:c r="N726" t="str">
        <x:v>SKU-006</x:v>
      </x:c>
      <x:c r="O726" t="n">
        <x:v>1</x:v>
      </x:c>
      <x:c r="P726" s="26" t="n">
        <x:f>F726/O726</x:f>
        <x:v>240.4</x:v>
      </x:c>
    </x:row>
    <x:row r="727">
      <x:c r="A727" t="n">
        <x:v>726</x:v>
      </x:c>
      <x:c r="B727" t="n">
        <x:v>66</x:v>
      </x:c>
      <x:c r="C727" t="str">
        <x:v>Female</x:v>
      </x:c>
      <x:c r="D727" t="str">
        <x:v>Groceries</x:v>
      </x:c>
      <x:c r="E727" t="str">
        <x:v>Beverages</x:v>
      </x:c>
      <x:c r="F727" s="24" t="n">
        <x:v>75.72</x:v>
      </x:c>
      <x:c r="G727" t="str">
        <x:v>Spring</x:v>
      </x:c>
      <x:c r="H727" t="str">
        <x:v>Card</x:v>
      </x:c>
      <x:c r="I727" t="n">
        <x:v>3.9</x:v>
      </x:c>
      <x:c r="J727" t="n">
        <x:v>14</x:v>
      </x:c>
      <x:c r="K727" t="n">
        <x:v>7</x:v>
      </x:c>
      <x:c r="L727" t="str">
        <x:v>STORE-001</x:v>
      </x:c>
      <x:c r="M727" s="22" t="n">
        <x:v>45980</x:v>
      </x:c>
      <x:c r="N727" t="str">
        <x:v>SKU-001</x:v>
      </x:c>
      <x:c r="O727" t="n">
        <x:v>3</x:v>
      </x:c>
      <x:c r="P727" s="26" t="n">
        <x:f>F727/O727</x:f>
        <x:v>25.24</x:v>
      </x:c>
    </x:row>
    <x:row r="728">
      <x:c r="A728" t="n">
        <x:v>727</x:v>
      </x:c>
      <x:c r="B728" t="n">
        <x:v>37</x:v>
      </x:c>
      <x:c r="C728" t="str">
        <x:v>Male</x:v>
      </x:c>
      <x:c r="D728" t="str">
        <x:v>Footwear</x:v>
      </x:c>
      <x:c r="E728" t="str">
        <x:v>Formal Shoes</x:v>
      </x:c>
      <x:c r="F728" s="24" t="n">
        <x:v>229.47</x:v>
      </x:c>
      <x:c r="G728" t="str">
        <x:v>Spring</x:v>
      </x:c>
      <x:c r="H728" t="str">
        <x:v>Card</x:v>
      </x:c>
      <x:c r="I728" t="n">
        <x:v>4.2</x:v>
      </x:c>
      <x:c r="J728" t="n">
        <x:v>14</x:v>
      </x:c>
      <x:c r="K728" t="n">
        <x:v>7</x:v>
      </x:c>
      <x:c r="L728" t="str">
        <x:v>STORE-001</x:v>
      </x:c>
      <x:c r="M728" s="22" t="n">
        <x:v>45942</x:v>
      </x:c>
      <x:c r="N728" t="str">
        <x:v>SKU-007</x:v>
      </x:c>
      <x:c r="O728" t="n">
        <x:v>2</x:v>
      </x:c>
      <x:c r="P728" s="26" t="n">
        <x:f>F728/O728</x:f>
        <x:v>114.735</x:v>
      </x:c>
    </x:row>
    <x:row r="729">
      <x:c r="A729" t="n">
        <x:v>728</x:v>
      </x:c>
      <x:c r="B729" t="n">
        <x:v>31</x:v>
      </x:c>
      <x:c r="C729" t="str">
        <x:v>Female</x:v>
      </x:c>
      <x:c r="D729" t="str">
        <x:v>Sports</x:v>
      </x:c>
      <x:c r="E729" t="str">
        <x:v>Football</x:v>
      </x:c>
      <x:c r="F729" s="24" t="n">
        <x:v>103.72</x:v>
      </x:c>
      <x:c r="G729" t="str">
        <x:v>Winter</x:v>
      </x:c>
      <x:c r="H729" t="str">
        <x:v>Card</x:v>
      </x:c>
      <x:c r="I729" t="n">
        <x:v>3.4</x:v>
      </x:c>
      <x:c r="J729" t="n">
        <x:v>20</x:v>
      </x:c>
      <x:c r="K729" t="n">
        <x:v>5</x:v>
      </x:c>
      <x:c r="L729" t="str">
        <x:v>STORE-001</x:v>
      </x:c>
      <x:c r="M729" s="22" t="n">
        <x:v>46235</x:v>
      </x:c>
      <x:c r="N729" t="str">
        <x:v>SKU-006</x:v>
      </x:c>
      <x:c r="O729" t="n">
        <x:v>1</x:v>
      </x:c>
      <x:c r="P729" s="26" t="n">
        <x:f>F729/O729</x:f>
        <x:v>103.72</x:v>
      </x:c>
    </x:row>
    <x:row r="730">
      <x:c r="A730" t="n">
        <x:v>729</x:v>
      </x:c>
      <x:c r="B730" t="n">
        <x:v>46</x:v>
      </x:c>
      <x:c r="C730" t="str">
        <x:v>Female</x:v>
      </x:c>
      <x:c r="D730" t="str">
        <x:v>Womens Clothing</x:v>
      </x:c>
      <x:c r="E730" t="str">
        <x:v>Jeans</x:v>
      </x:c>
      <x:c r="F730" s="24" t="n">
        <x:v>134.76</x:v>
      </x:c>
      <x:c r="G730" t="str">
        <x:v>Summer</x:v>
      </x:c>
      <x:c r="H730" t="str">
        <x:v>Card</x:v>
      </x:c>
      <x:c r="I730" t="n">
        <x:v>4.6</x:v>
      </x:c>
      <x:c r="J730" t="n">
        <x:v>20</x:v>
      </x:c>
      <x:c r="K730" t="n">
        <x:v>5</x:v>
      </x:c>
      <x:c r="L730" t="str">
        <x:v>STORE-001</x:v>
      </x:c>
      <x:c r="M730" s="22" t="n">
        <x:v>45994</x:v>
      </x:c>
      <x:c r="N730" t="str">
        <x:v>SKU-011</x:v>
      </x:c>
      <x:c r="O730" t="n">
        <x:v>1</x:v>
      </x:c>
      <x:c r="P730" s="26" t="n">
        <x:f>F730/O730</x:f>
        <x:v>134.76</x:v>
      </x:c>
    </x:row>
    <x:row r="731">
      <x:c r="A731" t="n">
        <x:v>730</x:v>
      </x:c>
      <x:c r="B731" t="n">
        <x:v>46</x:v>
      </x:c>
      <x:c r="C731" t="str">
        <x:v>Male</x:v>
      </x:c>
      <x:c r="D731" t="str">
        <x:v>Groceries</x:v>
      </x:c>
      <x:c r="E731" t="str">
        <x:v>Rice Pack</x:v>
      </x:c>
      <x:c r="F731" s="24" t="n">
        <x:v>59.16</x:v>
      </x:c>
      <x:c r="G731" t="str">
        <x:v>Autumn</x:v>
      </x:c>
      <x:c r="H731" t="str">
        <x:v>Card</x:v>
      </x:c>
      <x:c r="I731" t="n">
        <x:v>4.5</x:v>
      </x:c>
      <x:c r="J731" t="n">
        <x:v>24</x:v>
      </x:c>
      <x:c r="K731" t="n">
        <x:v>7</x:v>
      </x:c>
      <x:c r="L731" t="str">
        <x:v>STORE-001</x:v>
      </x:c>
      <x:c r="M731" s="22" t="n">
        <x:v>46093</x:v>
      </x:c>
      <x:c r="N731" t="str">
        <x:v>SKU-018</x:v>
      </x:c>
      <x:c r="O731" t="n">
        <x:v>1</x:v>
      </x:c>
      <x:c r="P731" s="26" t="n">
        <x:f>F731/O731</x:f>
        <x:v>59.16</x:v>
      </x:c>
    </x:row>
    <x:row r="732">
      <x:c r="A732" t="n">
        <x:v>731</x:v>
      </x:c>
      <x:c r="B732" t="n">
        <x:v>51</x:v>
      </x:c>
      <x:c r="C732" t="str">
        <x:v>Male</x:v>
      </x:c>
      <x:c r="D732" t="str">
        <x:v>Mens Clothing</x:v>
      </x:c>
      <x:c r="E732" t="str">
        <x:v>T-Shirt</x:v>
      </x:c>
      <x:c r="F732" s="24" t="n">
        <x:v>99.13</x:v>
      </x:c>
      <x:c r="G732" t="str">
        <x:v>Summer</x:v>
      </x:c>
      <x:c r="H732" t="str">
        <x:v>Card</x:v>
      </x:c>
      <x:c r="I732" t="n">
        <x:v>4.1</x:v>
      </x:c>
      <x:c r="J732" t="n">
        <x:v>17</x:v>
      </x:c>
      <x:c r="K732" t="n">
        <x:v>6</x:v>
      </x:c>
      <x:c r="L732" t="str">
        <x:v>STORE-001</x:v>
      </x:c>
      <x:c r="M732" s="22" t="n">
        <x:v>46053</x:v>
      </x:c>
      <x:c r="N732" t="str">
        <x:v>SKU-027</x:v>
      </x:c>
      <x:c r="O732" t="n">
        <x:v>1</x:v>
      </x:c>
      <x:c r="P732" s="26" t="n">
        <x:f>F732/O732</x:f>
        <x:v>99.13</x:v>
      </x:c>
    </x:row>
    <x:row r="733">
      <x:c r="A733" t="n">
        <x:v>732</x:v>
      </x:c>
      <x:c r="B733" t="n">
        <x:v>38</x:v>
      </x:c>
      <x:c r="C733" t="str">
        <x:v>Male</x:v>
      </x:c>
      <x:c r="D733" t="str">
        <x:v>Sports</x:v>
      </x:c>
      <x:c r="E733" t="str">
        <x:v>Dumbbells</x:v>
      </x:c>
      <x:c r="F733" s="24" t="n">
        <x:v>205.6</x:v>
      </x:c>
      <x:c r="G733" t="str">
        <x:v>Spring</x:v>
      </x:c>
      <x:c r="H733" t="str">
        <x:v>Card</x:v>
      </x:c>
      <x:c r="I733" t="n">
        <x:v>4.5</x:v>
      </x:c>
      <x:c r="J733" t="n">
        <x:v>22</x:v>
      </x:c>
      <x:c r="K733" t="n">
        <x:v>6</x:v>
      </x:c>
      <x:c r="L733" t="str">
        <x:v>STORE-001</x:v>
      </x:c>
      <x:c r="M733" s="22" t="n">
        <x:v>45956</x:v>
      </x:c>
      <x:c r="N733" t="str">
        <x:v>SKU-005</x:v>
      </x:c>
      <x:c r="O733" t="n">
        <x:v>1</x:v>
      </x:c>
      <x:c r="P733" s="26" t="n">
        <x:f>F733/O733</x:f>
        <x:v>205.6</x:v>
      </x:c>
    </x:row>
    <x:row r="734">
      <x:c r="A734" t="n">
        <x:v>733</x:v>
      </x:c>
      <x:c r="B734" t="n">
        <x:v>31</x:v>
      </x:c>
      <x:c r="C734" t="str">
        <x:v>Male</x:v>
      </x:c>
      <x:c r="D734" t="str">
        <x:v>Footwear</x:v>
      </x:c>
      <x:c r="E734" t="str">
        <x:v>Formal Shoes</x:v>
      </x:c>
      <x:c r="F734" s="24" t="n">
        <x:v>51.91</x:v>
      </x:c>
      <x:c r="G734" t="str">
        <x:v>Summer</x:v>
      </x:c>
      <x:c r="H734" t="str">
        <x:v>Cash on Delivery</x:v>
      </x:c>
      <x:c r="I734" t="n">
        <x:v>2.2</x:v>
      </x:c>
      <x:c r="J734" t="n">
        <x:v>2</x:v>
      </x:c>
      <x:c r="K734" t="n">
        <x:v>1</x:v>
      </x:c>
      <x:c r="L734" t="str">
        <x:v>STORE-001</x:v>
      </x:c>
      <x:c r="M734" s="22" t="n">
        <x:v>46069</x:v>
      </x:c>
      <x:c r="N734" t="str">
        <x:v>SKU-007</x:v>
      </x:c>
      <x:c r="O734" t="n">
        <x:v>2</x:v>
      </x:c>
      <x:c r="P734" s="26" t="n">
        <x:f>F734/O734</x:f>
        <x:v>25.955</x:v>
      </x:c>
    </x:row>
    <x:row r="735">
      <x:c r="A735" t="n">
        <x:v>734</x:v>
      </x:c>
      <x:c r="B735" t="n">
        <x:v>26</x:v>
      </x:c>
      <x:c r="C735" t="str">
        <x:v>Female</x:v>
      </x:c>
      <x:c r="D735" t="str">
        <x:v>Beauty</x:v>
      </x:c>
      <x:c r="E735" t="str">
        <x:v>Makeup Set</x:v>
      </x:c>
      <x:c r="F735" s="24" t="n">
        <x:v>64.09</x:v>
      </x:c>
      <x:c r="G735" t="str">
        <x:v>Winter</x:v>
      </x:c>
      <x:c r="H735" t="str">
        <x:v>Card</x:v>
      </x:c>
      <x:c r="I735" t="n">
        <x:v>4.5</x:v>
      </x:c>
      <x:c r="J735" t="n">
        <x:v>11</x:v>
      </x:c>
      <x:c r="K735" t="n">
        <x:v>3</x:v>
      </x:c>
      <x:c r="L735" t="str">
        <x:v>STORE-001</x:v>
      </x:c>
      <x:c r="M735" s="22" t="n">
        <x:v>46207</x:v>
      </x:c>
      <x:c r="N735" t="str">
        <x:v>SKU-015</x:v>
      </x:c>
      <x:c r="O735" t="n">
        <x:v>1</x:v>
      </x:c>
      <x:c r="P735" s="26" t="n">
        <x:f>F735/O735</x:f>
        <x:v>64.09</x:v>
      </x:c>
    </x:row>
    <x:row r="736">
      <x:c r="A736" t="n">
        <x:v>735</x:v>
      </x:c>
      <x:c r="B736" t="n">
        <x:v>46</x:v>
      </x:c>
      <x:c r="C736" t="str">
        <x:v>Female</x:v>
      </x:c>
      <x:c r="D736" t="str">
        <x:v>Footwear</x:v>
      </x:c>
      <x:c r="E736" t="str">
        <x:v>Sandals</x:v>
      </x:c>
      <x:c r="F736" s="24" t="n">
        <x:v>44.74</x:v>
      </x:c>
      <x:c r="G736" t="str">
        <x:v>Winter</x:v>
      </x:c>
      <x:c r="H736" t="str">
        <x:v>Cash on Delivery</x:v>
      </x:c>
      <x:c r="I736" t="n">
        <x:v>3.6</x:v>
      </x:c>
      <x:c r="J736" t="n">
        <x:v>13</x:v>
      </x:c>
      <x:c r="K736" t="n">
        <x:v>4</x:v>
      </x:c>
      <x:c r="L736" t="str">
        <x:v>STORE-001</x:v>
      </x:c>
      <x:c r="M736" s="22" t="n">
        <x:v>46227</x:v>
      </x:c>
      <x:c r="N736" t="str">
        <x:v>SKU-019</x:v>
      </x:c>
      <x:c r="O736" t="n">
        <x:v>1</x:v>
      </x:c>
      <x:c r="P736" s="26" t="n">
        <x:f>F736/O736</x:f>
        <x:v>44.74</x:v>
      </x:c>
    </x:row>
    <x:row r="737">
      <x:c r="A737" t="n">
        <x:v>736</x:v>
      </x:c>
      <x:c r="B737" t="n">
        <x:v>42</x:v>
      </x:c>
      <x:c r="C737" t="str">
        <x:v>Female</x:v>
      </x:c>
      <x:c r="D737" t="str">
        <x:v>Home</x:v>
      </x:c>
      <x:c r="E737" t="str">
        <x:v>Lamp</x:v>
      </x:c>
      <x:c r="F737" s="24" t="n">
        <x:v>44.21</x:v>
      </x:c>
      <x:c r="G737" t="str">
        <x:v>Summer</x:v>
      </x:c>
      <x:c r="H737" t="str">
        <x:v>Card</x:v>
      </x:c>
      <x:c r="I737" t="n">
        <x:v>3.4</x:v>
      </x:c>
      <x:c r="J737" t="n">
        <x:v>15</x:v>
      </x:c>
      <x:c r="K737" t="n">
        <x:v>5</x:v>
      </x:c>
      <x:c r="L737" t="str">
        <x:v>STORE-001</x:v>
      </x:c>
      <x:c r="M737" s="22" t="n">
        <x:v>46027</x:v>
      </x:c>
      <x:c r="N737" t="str">
        <x:v>SKU-013</x:v>
      </x:c>
      <x:c r="O737" t="n">
        <x:v>2</x:v>
      </x:c>
      <x:c r="P737" s="26" t="n">
        <x:f>F737/O737</x:f>
        <x:v>22.105</x:v>
      </x:c>
    </x:row>
    <x:row r="738">
      <x:c r="A738" t="n">
        <x:v>737</x:v>
      </x:c>
      <x:c r="B738" t="n">
        <x:v>24</x:v>
      </x:c>
      <x:c r="C738" t="str">
        <x:v>Female</x:v>
      </x:c>
      <x:c r="D738" t="str">
        <x:v>Accessories</x:v>
      </x:c>
      <x:c r="E738" t="str">
        <x:v>Handbag</x:v>
      </x:c>
      <x:c r="F738" s="24" t="n">
        <x:v>177.47</x:v>
      </x:c>
      <x:c r="G738" t="str">
        <x:v>Winter</x:v>
      </x:c>
      <x:c r="H738" t="str">
        <x:v>Card</x:v>
      </x:c>
      <x:c r="I738" t="n">
        <x:v>3.3</x:v>
      </x:c>
      <x:c r="J738" t="n">
        <x:v>8</x:v>
      </x:c>
      <x:c r="K738" t="n">
        <x:v>4</x:v>
      </x:c>
      <x:c r="L738" t="str">
        <x:v>STORE-001</x:v>
      </x:c>
      <x:c r="M738" s="22" t="n">
        <x:v>46241</x:v>
      </x:c>
      <x:c r="N738" t="str">
        <x:v>SKU-008</x:v>
      </x:c>
      <x:c r="O738" t="n">
        <x:v>2</x:v>
      </x:c>
      <x:c r="P738" s="26" t="n">
        <x:f>F738/O738</x:f>
        <x:v>88.735</x:v>
      </x:c>
    </x:row>
    <x:row r="739">
      <x:c r="A739" t="n">
        <x:v>738</x:v>
      </x:c>
      <x:c r="B739" t="n">
        <x:v>30</x:v>
      </x:c>
      <x:c r="C739" t="str">
        <x:v>Female</x:v>
      </x:c>
      <x:c r="D739" t="str">
        <x:v>Beauty</x:v>
      </x:c>
      <x:c r="E739" t="str">
        <x:v>Makeup Set</x:v>
      </x:c>
      <x:c r="F739" s="24" t="n">
        <x:v>114.32</x:v>
      </x:c>
      <x:c r="G739" t="str">
        <x:v>Spring</x:v>
      </x:c>
      <x:c r="H739" t="str">
        <x:v>Card</x:v>
      </x:c>
      <x:c r="I739" t="n">
        <x:v>4</x:v>
      </x:c>
      <x:c r="J739" t="n">
        <x:v>7</x:v>
      </x:c>
      <x:c r="K739" t="n">
        <x:v>1</x:v>
      </x:c>
      <x:c r="L739" t="str">
        <x:v>STORE-001</x:v>
      </x:c>
      <x:c r="M739" s="22" t="n">
        <x:v>45973</x:v>
      </x:c>
      <x:c r="N739" t="str">
        <x:v>SKU-015</x:v>
      </x:c>
      <x:c r="O739" t="n">
        <x:v>1</x:v>
      </x:c>
      <x:c r="P739" s="26" t="n">
        <x:f>F739/O739</x:f>
        <x:v>114.32</x:v>
      </x:c>
    </x:row>
    <x:row r="740">
      <x:c r="A740" t="n">
        <x:v>739</x:v>
      </x:c>
      <x:c r="B740" t="n">
        <x:v>53</x:v>
      </x:c>
      <x:c r="C740" t="str">
        <x:v>Male</x:v>
      </x:c>
      <x:c r="D740" t="str">
        <x:v>Footwear</x:v>
      </x:c>
      <x:c r="E740" t="str">
        <x:v>Formal Shoes</x:v>
      </x:c>
      <x:c r="F740" s="24" t="n">
        <x:v>139.94</x:v>
      </x:c>
      <x:c r="G740" t="str">
        <x:v>Autumn</x:v>
      </x:c>
      <x:c r="H740" t="str">
        <x:v>Card</x:v>
      </x:c>
      <x:c r="I740" t="n">
        <x:v>3.5</x:v>
      </x:c>
      <x:c r="J740" t="n">
        <x:v>13</x:v>
      </x:c>
      <x:c r="K740" t="n">
        <x:v>4</x:v>
      </x:c>
      <x:c r="L740" t="str">
        <x:v>STORE-001</x:v>
      </x:c>
      <x:c r="M740" s="22" t="n">
        <x:v>46173</x:v>
      </x:c>
      <x:c r="N740" t="str">
        <x:v>SKU-007</x:v>
      </x:c>
      <x:c r="O740" t="n">
        <x:v>1</x:v>
      </x:c>
      <x:c r="P740" s="26" t="n">
        <x:f>F740/O740</x:f>
        <x:v>139.94</x:v>
      </x:c>
    </x:row>
    <x:row r="741">
      <x:c r="A741" t="n">
        <x:v>740</x:v>
      </x:c>
      <x:c r="B741" t="n">
        <x:v>29</x:v>
      </x:c>
      <x:c r="C741" t="str">
        <x:v>Male</x:v>
      </x:c>
      <x:c r="D741" t="str">
        <x:v>Footwear</x:v>
      </x:c>
      <x:c r="E741" t="str">
        <x:v>Sneakers</x:v>
      </x:c>
      <x:c r="F741" s="24" t="n">
        <x:v>247.94</x:v>
      </x:c>
      <x:c r="G741" t="str">
        <x:v>Winter</x:v>
      </x:c>
      <x:c r="H741" t="str">
        <x:v>Card</x:v>
      </x:c>
      <x:c r="I741" t="n">
        <x:v>3.4</x:v>
      </x:c>
      <x:c r="J741" t="n">
        <x:v>8</x:v>
      </x:c>
      <x:c r="K741" t="n">
        <x:v>4</x:v>
      </x:c>
      <x:c r="L741" t="str">
        <x:v>STORE-001</x:v>
      </x:c>
      <x:c r="M741" s="22" t="n">
        <x:v>46258</x:v>
      </x:c>
      <x:c r="N741" t="str">
        <x:v>SKU-025</x:v>
      </x:c>
      <x:c r="O741" t="n">
        <x:v>1</x:v>
      </x:c>
      <x:c r="P741" s="26" t="n">
        <x:f>F741/O741</x:f>
        <x:v>247.94</x:v>
      </x:c>
    </x:row>
    <x:row r="742">
      <x:c r="A742" t="n">
        <x:v>741</x:v>
      </x:c>
      <x:c r="B742" t="n">
        <x:v>49</x:v>
      </x:c>
      <x:c r="C742" t="str">
        <x:v>Male</x:v>
      </x:c>
      <x:c r="D742" t="str">
        <x:v>Electronics</x:v>
      </x:c>
      <x:c r="E742" t="str">
        <x:v>Laptop</x:v>
      </x:c>
      <x:c r="F742" s="24" t="n">
        <x:v>2588.27</x:v>
      </x:c>
      <x:c r="G742" t="str">
        <x:v>Summer</x:v>
      </x:c>
      <x:c r="H742" t="str">
        <x:v>Card</x:v>
      </x:c>
      <x:c r="I742" t="n">
        <x:v>4.9</x:v>
      </x:c>
      <x:c r="J742" t="n">
        <x:v>11</x:v>
      </x:c>
      <x:c r="K742" t="n">
        <x:v>3</x:v>
      </x:c>
      <x:c r="L742" t="str">
        <x:v>STORE-001</x:v>
      </x:c>
      <x:c r="M742" s="22" t="n">
        <x:v>46018</x:v>
      </x:c>
      <x:c r="N742" t="str">
        <x:v>SKU-014</x:v>
      </x:c>
      <x:c r="O742" t="n">
        <x:v>1</x:v>
      </x:c>
      <x:c r="P742" s="26" t="n">
        <x:f>F742/O742</x:f>
        <x:v>2588.27</x:v>
      </x:c>
    </x:row>
    <x:row r="743">
      <x:c r="A743" t="n">
        <x:v>742</x:v>
      </x:c>
      <x:c r="B743" t="n">
        <x:v>70</x:v>
      </x:c>
      <x:c r="C743" t="str">
        <x:v>Male</x:v>
      </x:c>
      <x:c r="D743" t="str">
        <x:v>Electronics</x:v>
      </x:c>
      <x:c r="E743" t="str">
        <x:v>Mobile Phone</x:v>
      </x:c>
      <x:c r="F743" s="24" t="n">
        <x:v>780.6</x:v>
      </x:c>
      <x:c r="G743" t="str">
        <x:v>Autumn</x:v>
      </x:c>
      <x:c r="H743" t="str">
        <x:v>Card</x:v>
      </x:c>
      <x:c r="I743" t="n">
        <x:v>4.7</x:v>
      </x:c>
      <x:c r="J743" t="n">
        <x:v>20</x:v>
      </x:c>
      <x:c r="K743" t="n">
        <x:v>5</x:v>
      </x:c>
      <x:c r="L743" t="str">
        <x:v>STORE-001</x:v>
      </x:c>
      <x:c r="M743" s="22" t="n">
        <x:v>46120</x:v>
      </x:c>
      <x:c r="N743" t="str">
        <x:v>SKU-016</x:v>
      </x:c>
      <x:c r="O743" t="n">
        <x:v>1</x:v>
      </x:c>
      <x:c r="P743" s="26" t="n">
        <x:f>F743/O743</x:f>
        <x:v>780.6</x:v>
      </x:c>
    </x:row>
    <x:row r="744">
      <x:c r="A744" t="n">
        <x:v>743</x:v>
      </x:c>
      <x:c r="B744" t="n">
        <x:v>35</x:v>
      </x:c>
      <x:c r="C744" t="str">
        <x:v>Male</x:v>
      </x:c>
      <x:c r="D744" t="str">
        <x:v>Footwear</x:v>
      </x:c>
      <x:c r="E744" t="str">
        <x:v>Sandals</x:v>
      </x:c>
      <x:c r="F744" s="24" t="n">
        <x:v>113.18</x:v>
      </x:c>
      <x:c r="G744" t="str">
        <x:v>Spring</x:v>
      </x:c>
      <x:c r="H744" t="str">
        <x:v>Card</x:v>
      </x:c>
      <x:c r="I744" t="n">
        <x:v>3.8</x:v>
      </x:c>
      <x:c r="J744" t="n">
        <x:v>12</x:v>
      </x:c>
      <x:c r="K744" t="n">
        <x:v>6</x:v>
      </x:c>
      <x:c r="L744" t="str">
        <x:v>STORE-001</x:v>
      </x:c>
      <x:c r="M744" s="22" t="n">
        <x:v>45968</x:v>
      </x:c>
      <x:c r="N744" t="str">
        <x:v>SKU-019</x:v>
      </x:c>
      <x:c r="O744" t="n">
        <x:v>1</x:v>
      </x:c>
      <x:c r="P744" s="26" t="n">
        <x:f>F744/O744</x:f>
        <x:v>113.18</x:v>
      </x:c>
    </x:row>
    <x:row r="745">
      <x:c r="A745" t="n">
        <x:v>744</x:v>
      </x:c>
      <x:c r="B745" t="n">
        <x:v>57</x:v>
      </x:c>
      <x:c r="C745" t="str">
        <x:v>Male</x:v>
      </x:c>
      <x:c r="D745" t="str">
        <x:v>Home</x:v>
      </x:c>
      <x:c r="E745" t="str">
        <x:v>Lamp</x:v>
      </x:c>
      <x:c r="F745" s="24" t="n">
        <x:v>107.82</x:v>
      </x:c>
      <x:c r="G745" t="str">
        <x:v>Winter</x:v>
      </x:c>
      <x:c r="H745" t="str">
        <x:v>Card</x:v>
      </x:c>
      <x:c r="I745" t="n">
        <x:v>4.1</x:v>
      </x:c>
      <x:c r="J745" t="n">
        <x:v>16</x:v>
      </x:c>
      <x:c r="K745" t="n">
        <x:v>3</x:v>
      </x:c>
      <x:c r="L745" t="str">
        <x:v>STORE-001</x:v>
      </x:c>
      <x:c r="M745" s="22" t="n">
        <x:v>46207</x:v>
      </x:c>
      <x:c r="N745" t="str">
        <x:v>SKU-013</x:v>
      </x:c>
      <x:c r="O745" t="n">
        <x:v>2</x:v>
      </x:c>
      <x:c r="P745" s="26" t="n">
        <x:f>F745/O745</x:f>
        <x:v>53.91</x:v>
      </x:c>
    </x:row>
    <x:row r="746">
      <x:c r="A746" t="n">
        <x:v>745</x:v>
      </x:c>
      <x:c r="B746" t="n">
        <x:v>36</x:v>
      </x:c>
      <x:c r="C746" t="str">
        <x:v>Male</x:v>
      </x:c>
      <x:c r="D746" t="str">
        <x:v>Home</x:v>
      </x:c>
      <x:c r="E746" t="str">
        <x:v>Lamp</x:v>
      </x:c>
      <x:c r="F746" s="24" t="n">
        <x:v>224.49</x:v>
      </x:c>
      <x:c r="G746" t="str">
        <x:v>Autumn</x:v>
      </x:c>
      <x:c r="H746" t="str">
        <x:v>Card</x:v>
      </x:c>
      <x:c r="I746" t="n">
        <x:v>4.5</x:v>
      </x:c>
      <x:c r="J746" t="n">
        <x:v>12</x:v>
      </x:c>
      <x:c r="K746" t="n">
        <x:v>6</x:v>
      </x:c>
      <x:c r="L746" t="str">
        <x:v>STORE-001</x:v>
      </x:c>
      <x:c r="M746" s="22" t="n">
        <x:v>46155</x:v>
      </x:c>
      <x:c r="N746" t="str">
        <x:v>SKU-013</x:v>
      </x:c>
      <x:c r="O746" t="n">
        <x:v>1</x:v>
      </x:c>
      <x:c r="P746" s="26" t="n">
        <x:f>F746/O746</x:f>
        <x:v>224.49</x:v>
      </x:c>
    </x:row>
    <x:row r="747">
      <x:c r="A747" t="n">
        <x:v>746</x:v>
      </x:c>
      <x:c r="B747" t="n">
        <x:v>52</x:v>
      </x:c>
      <x:c r="C747" t="str">
        <x:v>Male</x:v>
      </x:c>
      <x:c r="D747" t="str">
        <x:v>Mens Clothing</x:v>
      </x:c>
      <x:c r="E747" t="str">
        <x:v>Jacket</x:v>
      </x:c>
      <x:c r="F747" s="24" t="n">
        <x:v>132.43</x:v>
      </x:c>
      <x:c r="G747" t="str">
        <x:v>Summer</x:v>
      </x:c>
      <x:c r="H747" t="str">
        <x:v>Card</x:v>
      </x:c>
      <x:c r="I747" t="n">
        <x:v>3.5</x:v>
      </x:c>
      <x:c r="J747" t="n">
        <x:v>12</x:v>
      </x:c>
      <x:c r="K747" t="n">
        <x:v>1</x:v>
      </x:c>
      <x:c r="L747" t="str">
        <x:v>STORE-001</x:v>
      </x:c>
      <x:c r="M747" s="22" t="n">
        <x:v>46025</x:v>
      </x:c>
      <x:c r="N747" t="str">
        <x:v>SKU-010</x:v>
      </x:c>
      <x:c r="O747" t="n">
        <x:v>1</x:v>
      </x:c>
      <x:c r="P747" s="26" t="n">
        <x:f>F747/O747</x:f>
        <x:v>132.43</x:v>
      </x:c>
    </x:row>
    <x:row r="748">
      <x:c r="A748" t="n">
        <x:v>747</x:v>
      </x:c>
      <x:c r="B748" t="n">
        <x:v>47</x:v>
      </x:c>
      <x:c r="C748" t="str">
        <x:v>Female</x:v>
      </x:c>
      <x:c r="D748" t="str">
        <x:v>Sports</x:v>
      </x:c>
      <x:c r="E748" t="str">
        <x:v>Football</x:v>
      </x:c>
      <x:c r="F748" s="24" t="n">
        <x:v>57.77</x:v>
      </x:c>
      <x:c r="G748" t="str">
        <x:v>Spring</x:v>
      </x:c>
      <x:c r="H748" t="str">
        <x:v>Cash on Delivery</x:v>
      </x:c>
      <x:c r="I748" t="n">
        <x:v>2.9</x:v>
      </x:c>
      <x:c r="J748" t="n">
        <x:v>16</x:v>
      </x:c>
      <x:c r="K748" t="n">
        <x:v>3</x:v>
      </x:c>
      <x:c r="L748" t="str">
        <x:v>STORE-001</x:v>
      </x:c>
      <x:c r="M748" s="22" t="n">
        <x:v>45977</x:v>
      </x:c>
      <x:c r="N748" t="str">
        <x:v>SKU-006</x:v>
      </x:c>
      <x:c r="O748" t="n">
        <x:v>2</x:v>
      </x:c>
      <x:c r="P748" s="26" t="n">
        <x:f>F748/O748</x:f>
        <x:v>28.885</x:v>
      </x:c>
    </x:row>
    <x:row r="749">
      <x:c r="A749" t="n">
        <x:v>748</x:v>
      </x:c>
      <x:c r="B749" t="n">
        <x:v>24</x:v>
      </x:c>
      <x:c r="C749" t="str">
        <x:v>Male</x:v>
      </x:c>
      <x:c r="D749" t="str">
        <x:v>Sports</x:v>
      </x:c>
      <x:c r="E749" t="str">
        <x:v>Yoga Mat</x:v>
      </x:c>
      <x:c r="F749" s="24" t="n">
        <x:v>139.11</x:v>
      </x:c>
      <x:c r="G749" t="str">
        <x:v>Spring</x:v>
      </x:c>
      <x:c r="H749" t="str">
        <x:v>Card</x:v>
      </x:c>
      <x:c r="I749" t="n">
        <x:v>3.1</x:v>
      </x:c>
      <x:c r="J749" t="n">
        <x:v>19</x:v>
      </x:c>
      <x:c r="K749" t="n">
        <x:v>7</x:v>
      </x:c>
      <x:c r="L749" t="str">
        <x:v>STORE-001</x:v>
      </x:c>
      <x:c r="M749" s="22" t="n">
        <x:v>46266</x:v>
      </x:c>
      <x:c r="N749" t="str">
        <x:v>SKU-030</x:v>
      </x:c>
      <x:c r="O749" t="n">
        <x:v>3</x:v>
      </x:c>
      <x:c r="P749" s="26" t="n">
        <x:f>F749/O749</x:f>
        <x:v>46.370000000000005</x:v>
      </x:c>
    </x:row>
    <x:row r="750">
      <x:c r="A750" t="n">
        <x:v>749</x:v>
      </x:c>
      <x:c r="B750" t="n">
        <x:v>55</x:v>
      </x:c>
      <x:c r="C750" t="str">
        <x:v>Female</x:v>
      </x:c>
      <x:c r="D750" t="str">
        <x:v>Accessories</x:v>
      </x:c>
      <x:c r="E750" t="str">
        <x:v>Wallet</x:v>
      </x:c>
      <x:c r="F750" s="24" t="n">
        <x:v>159.49</x:v>
      </x:c>
      <x:c r="G750" t="str">
        <x:v>Spring</x:v>
      </x:c>
      <x:c r="H750" t="str">
        <x:v>Card</x:v>
      </x:c>
      <x:c r="I750" t="n">
        <x:v>3.4</x:v>
      </x:c>
      <x:c r="J750" t="n">
        <x:v>18</x:v>
      </x:c>
      <x:c r="K750" t="n">
        <x:v>4</x:v>
      </x:c>
      <x:c r="L750" t="str">
        <x:v>STORE-001</x:v>
      </x:c>
      <x:c r="M750" s="22" t="n">
        <x:v>46270</x:v>
      </x:c>
      <x:c r="N750" t="str">
        <x:v>SKU-029</x:v>
      </x:c>
      <x:c r="O750" t="n">
        <x:v>1</x:v>
      </x:c>
      <x:c r="P750" s="26" t="n">
        <x:f>F750/O750</x:f>
        <x:v>159.49</x:v>
      </x:c>
    </x:row>
    <x:row r="751">
      <x:c r="A751" t="n">
        <x:v>750</x:v>
      </x:c>
      <x:c r="B751" t="n">
        <x:v>22</x:v>
      </x:c>
      <x:c r="C751" t="str">
        <x:v>Male</x:v>
      </x:c>
      <x:c r="D751" t="str">
        <x:v>Groceries</x:v>
      </x:c>
      <x:c r="E751" t="str">
        <x:v>Cooking Oil</x:v>
      </x:c>
      <x:c r="F751" s="24" t="n">
        <x:v>36.59</x:v>
      </x:c>
      <x:c r="G751" t="str">
        <x:v>Spring</x:v>
      </x:c>
      <x:c r="H751" t="str">
        <x:v>Cash on Delivery</x:v>
      </x:c>
      <x:c r="I751" t="n">
        <x:v>3.2</x:v>
      </x:c>
      <x:c r="J751" t="n">
        <x:v>15</x:v>
      </x:c>
      <x:c r="K751" t="n">
        <x:v>5</x:v>
      </x:c>
      <x:c r="L751" t="str">
        <x:v>STORE-001</x:v>
      </x:c>
      <x:c r="M751" s="22" t="n">
        <x:v>45983</x:v>
      </x:c>
      <x:c r="N751" t="str">
        <x:v>SKU-002</x:v>
      </x:c>
      <x:c r="O751" t="n">
        <x:v>4</x:v>
      </x:c>
      <x:c r="P751" s="26" t="n">
        <x:f>F751/O751</x:f>
        <x:v>9.1475</x:v>
      </x:c>
    </x:row>
    <x:row r="752">
      <x:c r="A752" t="n">
        <x:v>751</x:v>
      </x:c>
      <x:c r="B752" t="n">
        <x:v>36</x:v>
      </x:c>
      <x:c r="C752" t="str">
        <x:v>Female</x:v>
      </x:c>
      <x:c r="D752" t="str">
        <x:v>Womens Clothing</x:v>
      </x:c>
      <x:c r="E752" t="str">
        <x:v>Top</x:v>
      </x:c>
      <x:c r="F752" s="24" t="n">
        <x:v>114.62</x:v>
      </x:c>
      <x:c r="G752" t="str">
        <x:v>Summer</x:v>
      </x:c>
      <x:c r="H752" t="str">
        <x:v>Card</x:v>
      </x:c>
      <x:c r="I752" t="n">
        <x:v>3.4</x:v>
      </x:c>
      <x:c r="J752" t="n">
        <x:v>16</x:v>
      </x:c>
      <x:c r="K752" t="n">
        <x:v>3</x:v>
      </x:c>
      <x:c r="L752" t="str">
        <x:v>STORE-001</x:v>
      </x:c>
      <x:c r="M752" s="22" t="n">
        <x:v>46014</x:v>
      </x:c>
      <x:c r="N752" t="str">
        <x:v>SKU-028</x:v>
      </x:c>
      <x:c r="O752" t="n">
        <x:v>2</x:v>
      </x:c>
      <x:c r="P752" s="26" t="n">
        <x:f>F752/O752</x:f>
        <x:v>57.31</x:v>
      </x:c>
    </x:row>
    <x:row r="753">
      <x:c r="A753" t="n">
        <x:v>752</x:v>
      </x:c>
      <x:c r="B753" t="n">
        <x:v>60</x:v>
      </x:c>
      <x:c r="C753" t="str">
        <x:v>Male</x:v>
      </x:c>
      <x:c r="D753" t="str">
        <x:v>Sports</x:v>
      </x:c>
      <x:c r="E753" t="str">
        <x:v>Dumbbells</x:v>
      </x:c>
      <x:c r="F753" s="24" t="n">
        <x:v>79.86</x:v>
      </x:c>
      <x:c r="G753" t="str">
        <x:v>Spring</x:v>
      </x:c>
      <x:c r="H753" t="str">
        <x:v>Cash on Delivery</x:v>
      </x:c>
      <x:c r="I753" t="n">
        <x:v>4.4</x:v>
      </x:c>
      <x:c r="J753" t="n">
        <x:v>19</x:v>
      </x:c>
      <x:c r="K753" t="n">
        <x:v>7</x:v>
      </x:c>
      <x:c r="L753" t="str">
        <x:v>STORE-001</x:v>
      </x:c>
      <x:c r="M753" s="22" t="n">
        <x:v>45951</x:v>
      </x:c>
      <x:c r="N753" t="str">
        <x:v>SKU-005</x:v>
      </x:c>
      <x:c r="O753" t="n">
        <x:v>2</x:v>
      </x:c>
      <x:c r="P753" s="26" t="n">
        <x:f>F753/O753</x:f>
        <x:v>39.93</x:v>
      </x:c>
    </x:row>
    <x:row r="754">
      <x:c r="A754" t="n">
        <x:v>753</x:v>
      </x:c>
      <x:c r="B754" t="n">
        <x:v>43</x:v>
      </x:c>
      <x:c r="C754" t="str">
        <x:v>Male</x:v>
      </x:c>
      <x:c r="D754" t="str">
        <x:v>Mens Clothing</x:v>
      </x:c>
      <x:c r="E754" t="str">
        <x:v>Jacket</x:v>
      </x:c>
      <x:c r="F754" s="24" t="n">
        <x:v>110.06</x:v>
      </x:c>
      <x:c r="G754" t="str">
        <x:v>Summer</x:v>
      </x:c>
      <x:c r="H754" t="str">
        <x:v>Card</x:v>
      </x:c>
      <x:c r="I754" t="n">
        <x:v>3.3</x:v>
      </x:c>
      <x:c r="J754" t="n">
        <x:v>20</x:v>
      </x:c>
      <x:c r="K754" t="n">
        <x:v>10</x:v>
      </x:c>
      <x:c r="L754" t="str">
        <x:v>STORE-001</x:v>
      </x:c>
      <x:c r="M754" s="22" t="n">
        <x:v>46077</x:v>
      </x:c>
      <x:c r="N754" t="str">
        <x:v>SKU-010</x:v>
      </x:c>
      <x:c r="O754" t="n">
        <x:v>2</x:v>
      </x:c>
      <x:c r="P754" s="26" t="n">
        <x:f>F754/O754</x:f>
        <x:v>55.03</x:v>
      </x:c>
    </x:row>
    <x:row r="755">
      <x:c r="A755" t="n">
        <x:v>754</x:v>
      </x:c>
      <x:c r="B755" t="n">
        <x:v>57</x:v>
      </x:c>
      <x:c r="C755" t="str">
        <x:v>Male</x:v>
      </x:c>
      <x:c r="D755" t="str">
        <x:v>Sports</x:v>
      </x:c>
      <x:c r="E755" t="str">
        <x:v>Yoga Mat</x:v>
      </x:c>
      <x:c r="F755" s="24" t="n">
        <x:v>203.13</x:v>
      </x:c>
      <x:c r="G755" t="str">
        <x:v>Winter</x:v>
      </x:c>
      <x:c r="H755" t="str">
        <x:v>Card</x:v>
      </x:c>
      <x:c r="I755" t="n">
        <x:v>3.3</x:v>
      </x:c>
      <x:c r="J755" t="n">
        <x:v>11</x:v>
      </x:c>
      <x:c r="K755" t="n">
        <x:v>3</x:v>
      </x:c>
      <x:c r="L755" t="str">
        <x:v>STORE-001</x:v>
      </x:c>
      <x:c r="M755" s="22" t="n">
        <x:v>46203</x:v>
      </x:c>
      <x:c r="N755" t="str">
        <x:v>SKU-030</x:v>
      </x:c>
      <x:c r="O755" t="n">
        <x:v>2</x:v>
      </x:c>
      <x:c r="P755" s="26" t="n">
        <x:f>F755/O755</x:f>
        <x:v>101.565</x:v>
      </x:c>
    </x:row>
    <x:row r="756">
      <x:c r="A756" t="n">
        <x:v>755</x:v>
      </x:c>
      <x:c r="B756" t="n">
        <x:v>54</x:v>
      </x:c>
      <x:c r="C756" t="str">
        <x:v>Male</x:v>
      </x:c>
      <x:c r="D756" t="str">
        <x:v>Electronics</x:v>
      </x:c>
      <x:c r="E756" t="str">
        <x:v>Laptop</x:v>
      </x:c>
      <x:c r="F756" s="24" t="n">
        <x:v>1829.89</x:v>
      </x:c>
      <x:c r="G756" t="str">
        <x:v>Winter</x:v>
      </x:c>
      <x:c r="H756" t="str">
        <x:v>Card</x:v>
      </x:c>
      <x:c r="I756" t="n">
        <x:v>4.9</x:v>
      </x:c>
      <x:c r="J756" t="n">
        <x:v>30</x:v>
      </x:c>
      <x:c r="K756" t="n">
        <x:v>10</x:v>
      </x:c>
      <x:c r="L756" t="str">
        <x:v>STORE-001</x:v>
      </x:c>
      <x:c r="M756" s="22" t="n">
        <x:v>46222</x:v>
      </x:c>
      <x:c r="N756" t="str">
        <x:v>SKU-014</x:v>
      </x:c>
      <x:c r="O756" t="n">
        <x:v>1</x:v>
      </x:c>
      <x:c r="P756" s="26" t="n">
        <x:f>F756/O756</x:f>
        <x:v>1829.89</x:v>
      </x:c>
    </x:row>
    <x:row r="757">
      <x:c r="A757" t="n">
        <x:v>756</x:v>
      </x:c>
      <x:c r="B757" t="n">
        <x:v>33</x:v>
      </x:c>
      <x:c r="C757" t="str">
        <x:v>Female</x:v>
      </x:c>
      <x:c r="D757" t="str">
        <x:v>Sports</x:v>
      </x:c>
      <x:c r="E757" t="str">
        <x:v>Football</x:v>
      </x:c>
      <x:c r="F757" s="24" t="n">
        <x:v>183.9</x:v>
      </x:c>
      <x:c r="G757" t="str">
        <x:v>Summer</x:v>
      </x:c>
      <x:c r="H757" t="str">
        <x:v>Card</x:v>
      </x:c>
      <x:c r="I757" t="n">
        <x:v>2.6</x:v>
      </x:c>
      <x:c r="J757" t="n">
        <x:v>15</x:v>
      </x:c>
      <x:c r="K757" t="n">
        <x:v>5</x:v>
      </x:c>
      <x:c r="L757" t="str">
        <x:v>STORE-001</x:v>
      </x:c>
      <x:c r="M757" s="22" t="n">
        <x:v>46076</x:v>
      </x:c>
      <x:c r="N757" t="str">
        <x:v>SKU-006</x:v>
      </x:c>
      <x:c r="O757" t="n">
        <x:v>1</x:v>
      </x:c>
      <x:c r="P757" s="26" t="n">
        <x:f>F757/O757</x:f>
        <x:v>183.9</x:v>
      </x:c>
    </x:row>
    <x:row r="758">
      <x:c r="A758" t="n">
        <x:v>757</x:v>
      </x:c>
      <x:c r="B758" t="n">
        <x:v>63</x:v>
      </x:c>
      <x:c r="C758" t="str">
        <x:v>Female</x:v>
      </x:c>
      <x:c r="D758" t="str">
        <x:v>Footwear</x:v>
      </x:c>
      <x:c r="E758" t="str">
        <x:v>Formal Shoes</x:v>
      </x:c>
      <x:c r="F758" s="24" t="n">
        <x:v>108.4</x:v>
      </x:c>
      <x:c r="G758" t="str">
        <x:v>Spring</x:v>
      </x:c>
      <x:c r="H758" t="str">
        <x:v>Card</x:v>
      </x:c>
      <x:c r="I758" t="n">
        <x:v>2.6</x:v>
      </x:c>
      <x:c r="J758" t="n">
        <x:v>16</x:v>
      </x:c>
      <x:c r="K758" t="n">
        <x:v>3</x:v>
      </x:c>
      <x:c r="L758" t="str">
        <x:v>STORE-001</x:v>
      </x:c>
      <x:c r="M758" s="22" t="n">
        <x:v>45944</x:v>
      </x:c>
      <x:c r="N758" t="str">
        <x:v>SKU-007</x:v>
      </x:c>
      <x:c r="O758" t="n">
        <x:v>1</x:v>
      </x:c>
      <x:c r="P758" s="26" t="n">
        <x:f>F758/O758</x:f>
        <x:v>108.4</x:v>
      </x:c>
    </x:row>
    <x:row r="759">
      <x:c r="A759" t="n">
        <x:v>758</x:v>
      </x:c>
      <x:c r="B759" t="n">
        <x:v>66</x:v>
      </x:c>
      <x:c r="C759" t="str">
        <x:v>Male</x:v>
      </x:c>
      <x:c r="D759" t="str">
        <x:v>Groceries</x:v>
      </x:c>
      <x:c r="E759" t="str">
        <x:v>Snacks</x:v>
      </x:c>
      <x:c r="F759" s="24" t="n">
        <x:v>37.9</x:v>
      </x:c>
      <x:c r="G759" t="str">
        <x:v>Winter</x:v>
      </x:c>
      <x:c r="H759" t="str">
        <x:v>Card</x:v>
      </x:c>
      <x:c r="I759" t="n">
        <x:v>3.5</x:v>
      </x:c>
      <x:c r="J759" t="n">
        <x:v>14</x:v>
      </x:c>
      <x:c r="K759" t="n">
        <x:v>7</x:v>
      </x:c>
      <x:c r="L759" t="str">
        <x:v>STORE-001</x:v>
      </x:c>
      <x:c r="M759" s="22" t="n">
        <x:v>46257</x:v>
      </x:c>
      <x:c r="N759" t="str">
        <x:v>SKU-024</x:v>
      </x:c>
      <x:c r="O759" t="n">
        <x:v>1</x:v>
      </x:c>
      <x:c r="P759" s="26" t="n">
        <x:f>F759/O759</x:f>
        <x:v>37.9</x:v>
      </x:c>
    </x:row>
    <x:row r="760">
      <x:c r="A760" t="n">
        <x:v>759</x:v>
      </x:c>
      <x:c r="B760" t="n">
        <x:v>30</x:v>
      </x:c>
      <x:c r="C760" t="str">
        <x:v>Male</x:v>
      </x:c>
      <x:c r="D760" t="str">
        <x:v>Mens Clothing</x:v>
      </x:c>
      <x:c r="E760" t="str">
        <x:v>T-Shirt</x:v>
      </x:c>
      <x:c r="F760" s="24" t="n">
        <x:v>30.45</x:v>
      </x:c>
      <x:c r="G760" t="str">
        <x:v>Summer</x:v>
      </x:c>
      <x:c r="H760" t="str">
        <x:v>Card</x:v>
      </x:c>
      <x:c r="I760" t="n">
        <x:v>3.6</x:v>
      </x:c>
      <x:c r="J760" t="n">
        <x:v>15</x:v>
      </x:c>
      <x:c r="K760" t="n">
        <x:v>5</x:v>
      </x:c>
      <x:c r="L760" t="str">
        <x:v>STORE-001</x:v>
      </x:c>
      <x:c r="M760" s="22" t="n">
        <x:v>46065</x:v>
      </x:c>
      <x:c r="N760" t="str">
        <x:v>SKU-027</x:v>
      </x:c>
      <x:c r="O760" t="n">
        <x:v>1</x:v>
      </x:c>
      <x:c r="P760" s="26" t="n">
        <x:f>F760/O760</x:f>
        <x:v>30.45</x:v>
      </x:c>
    </x:row>
    <x:row r="761">
      <x:c r="A761" t="n">
        <x:v>760</x:v>
      </x:c>
      <x:c r="B761" t="n">
        <x:v>55</x:v>
      </x:c>
      <x:c r="C761" t="str">
        <x:v>Male</x:v>
      </x:c>
      <x:c r="D761" t="str">
        <x:v>Sports</x:v>
      </x:c>
      <x:c r="E761" t="str">
        <x:v>Yoga Mat</x:v>
      </x:c>
      <x:c r="F761" s="24" t="n">
        <x:v>54.84</x:v>
      </x:c>
      <x:c r="G761" t="str">
        <x:v>Spring</x:v>
      </x:c>
      <x:c r="H761" t="str">
        <x:v>Cash on Delivery</x:v>
      </x:c>
      <x:c r="I761" t="n">
        <x:v>1.1</x:v>
      </x:c>
      <x:c r="J761" t="n">
        <x:v>8</x:v>
      </x:c>
      <x:c r="K761" t="n">
        <x:v>4</x:v>
      </x:c>
      <x:c r="L761" t="str">
        <x:v>STORE-001</x:v>
      </x:c>
      <x:c r="M761" s="22" t="n">
        <x:v>45982</x:v>
      </x:c>
      <x:c r="N761" t="str">
        <x:v>SKU-030</x:v>
      </x:c>
      <x:c r="O761" t="n">
        <x:v>1</x:v>
      </x:c>
      <x:c r="P761" s="26" t="n">
        <x:f>F761/O761</x:f>
        <x:v>54.84</x:v>
      </x:c>
    </x:row>
    <x:row r="762">
      <x:c r="A762" t="n">
        <x:v>761</x:v>
      </x:c>
      <x:c r="B762" t="n">
        <x:v>35</x:v>
      </x:c>
      <x:c r="C762" t="str">
        <x:v>Female</x:v>
      </x:c>
      <x:c r="D762" t="str">
        <x:v>Accessories</x:v>
      </x:c>
      <x:c r="E762" t="str">
        <x:v>Sunglasses</x:v>
      </x:c>
      <x:c r="F762" s="24" t="n">
        <x:v>154.72</x:v>
      </x:c>
      <x:c r="G762" t="str">
        <x:v>Spring</x:v>
      </x:c>
      <x:c r="H762" t="str">
        <x:v>Card</x:v>
      </x:c>
      <x:c r="I762" t="n">
        <x:v>3.2</x:v>
      </x:c>
      <x:c r="J762" t="n">
        <x:v>26</x:v>
      </x:c>
      <x:c r="K762" t="n">
        <x:v>8</x:v>
      </x:c>
      <x:c r="L762" t="str">
        <x:v>STORE-001</x:v>
      </x:c>
      <x:c r="M762" s="22" t="n">
        <x:v>46283</x:v>
      </x:c>
      <x:c r="N762" t="str">
        <x:v>SKU-026</x:v>
      </x:c>
      <x:c r="O762" t="n">
        <x:v>1</x:v>
      </x:c>
      <x:c r="P762" s="26" t="n">
        <x:f>F762/O762</x:f>
        <x:v>154.72</x:v>
      </x:c>
    </x:row>
    <x:row r="763">
      <x:c r="A763" t="n">
        <x:v>762</x:v>
      </x:c>
      <x:c r="B763" t="n">
        <x:v>33</x:v>
      </x:c>
      <x:c r="C763" t="str">
        <x:v>Male</x:v>
      </x:c>
      <x:c r="D763" t="str">
        <x:v>Electronics</x:v>
      </x:c>
      <x:c r="E763" t="str">
        <x:v>Headphones</x:v>
      </x:c>
      <x:c r="F763" s="24" t="n">
        <x:v>2603.54</x:v>
      </x:c>
      <x:c r="G763" t="str">
        <x:v>Autumn</x:v>
      </x:c>
      <x:c r="H763" t="str">
        <x:v>Card</x:v>
      </x:c>
      <x:c r="I763" t="n">
        <x:v>4.4</x:v>
      </x:c>
      <x:c r="J763" t="n">
        <x:v>12</x:v>
      </x:c>
      <x:c r="K763" t="n">
        <x:v>6</x:v>
      </x:c>
      <x:c r="L763" t="str">
        <x:v>STORE-001</x:v>
      </x:c>
      <x:c r="M763" s="22" t="n">
        <x:v>46137</x:v>
      </x:c>
      <x:c r="N763" t="str">
        <x:v>SKU-009</x:v>
      </x:c>
      <x:c r="O763" t="n">
        <x:v>1</x:v>
      </x:c>
      <x:c r="P763" s="26" t="n">
        <x:f>F763/O763</x:f>
        <x:v>2603.54</x:v>
      </x:c>
    </x:row>
    <x:row r="764">
      <x:c r="A764" t="n">
        <x:v>763</x:v>
      </x:c>
      <x:c r="B764" t="n">
        <x:v>28</x:v>
      </x:c>
      <x:c r="C764" t="str">
        <x:v>Male</x:v>
      </x:c>
      <x:c r="D764" t="str">
        <x:v>Footwear</x:v>
      </x:c>
      <x:c r="E764" t="str">
        <x:v>Sandals</x:v>
      </x:c>
      <x:c r="F764" s="24" t="n">
        <x:v>192.41</x:v>
      </x:c>
      <x:c r="G764" t="str">
        <x:v>Winter</x:v>
      </x:c>
      <x:c r="H764" t="str">
        <x:v>Card</x:v>
      </x:c>
      <x:c r="I764" t="n">
        <x:v>3.2</x:v>
      </x:c>
      <x:c r="J764" t="n">
        <x:v>8</x:v>
      </x:c>
      <x:c r="K764" t="n">
        <x:v>4</x:v>
      </x:c>
      <x:c r="L764" t="str">
        <x:v>STORE-001</x:v>
      </x:c>
      <x:c r="M764" s="22" t="n">
        <x:v>46245</x:v>
      </x:c>
      <x:c r="N764" t="str">
        <x:v>SKU-019</x:v>
      </x:c>
      <x:c r="O764" t="n">
        <x:v>1</x:v>
      </x:c>
      <x:c r="P764" s="26" t="n">
        <x:f>F764/O764</x:f>
        <x:v>192.41</x:v>
      </x:c>
    </x:row>
    <x:row r="765">
      <x:c r="A765" t="n">
        <x:v>764</x:v>
      </x:c>
      <x:c r="B765" t="n">
        <x:v>38</x:v>
      </x:c>
      <x:c r="C765" t="str">
        <x:v>Male</x:v>
      </x:c>
      <x:c r="D765" t="str">
        <x:v>Sports</x:v>
      </x:c>
      <x:c r="E765" t="str">
        <x:v>Yoga Mat</x:v>
      </x:c>
      <x:c r="F765" s="24" t="n">
        <x:v>248.91</x:v>
      </x:c>
      <x:c r="G765" t="str">
        <x:v>Autumn</x:v>
      </x:c>
      <x:c r="H765" t="str">
        <x:v>Card</x:v>
      </x:c>
      <x:c r="I765" t="n">
        <x:v>4.8</x:v>
      </x:c>
      <x:c r="J765" t="n">
        <x:v>26</x:v>
      </x:c>
      <x:c r="K765" t="n">
        <x:v>8</x:v>
      </x:c>
      <x:c r="L765" t="str">
        <x:v>STORE-001</x:v>
      </x:c>
      <x:c r="M765" s="22" t="n">
        <x:v>46149</x:v>
      </x:c>
      <x:c r="N765" t="str">
        <x:v>SKU-030</x:v>
      </x:c>
      <x:c r="O765" t="n">
        <x:v>1</x:v>
      </x:c>
      <x:c r="P765" s="26" t="n">
        <x:f>F765/O765</x:f>
        <x:v>248.91</x:v>
      </x:c>
    </x:row>
    <x:row r="766">
      <x:c r="A766" t="n">
        <x:v>765</x:v>
      </x:c>
      <x:c r="B766" t="n">
        <x:v>51</x:v>
      </x:c>
      <x:c r="C766" t="str">
        <x:v>Male</x:v>
      </x:c>
      <x:c r="D766" t="str">
        <x:v>Groceries</x:v>
      </x:c>
      <x:c r="E766" t="str">
        <x:v>Beverages</x:v>
      </x:c>
      <x:c r="F766" s="24" t="n">
        <x:v>43.81</x:v>
      </x:c>
      <x:c r="G766" t="str">
        <x:v>Winter</x:v>
      </x:c>
      <x:c r="H766" t="str">
        <x:v>Cash on Delivery</x:v>
      </x:c>
      <x:c r="I766" t="n">
        <x:v>4.1</x:v>
      </x:c>
      <x:c r="J766" t="n">
        <x:v>7</x:v>
      </x:c>
      <x:c r="K766" t="n">
        <x:v>1</x:v>
      </x:c>
      <x:c r="L766" t="str">
        <x:v>STORE-001</x:v>
      </x:c>
      <x:c r="M766" s="22" t="n">
        <x:v>46243</x:v>
      </x:c>
      <x:c r="N766" t="str">
        <x:v>SKU-001</x:v>
      </x:c>
      <x:c r="O766" t="n">
        <x:v>2</x:v>
      </x:c>
      <x:c r="P766" s="26" t="n">
        <x:f>F766/O766</x:f>
        <x:v>21.905</x:v>
      </x:c>
    </x:row>
    <x:row r="767">
      <x:c r="A767" t="n">
        <x:v>766</x:v>
      </x:c>
      <x:c r="B767" t="n">
        <x:v>24</x:v>
      </x:c>
      <x:c r="C767" t="str">
        <x:v>Male</x:v>
      </x:c>
      <x:c r="D767" t="str">
        <x:v>Groceries</x:v>
      </x:c>
      <x:c r="E767" t="str">
        <x:v>Cooking Oil</x:v>
      </x:c>
      <x:c r="F767" s="24" t="n">
        <x:v>63.21</x:v>
      </x:c>
      <x:c r="G767" t="str">
        <x:v>Spring</x:v>
      </x:c>
      <x:c r="H767" t="str">
        <x:v>Cash on Delivery</x:v>
      </x:c>
      <x:c r="I767" t="n">
        <x:v>4</x:v>
      </x:c>
      <x:c r="J767" t="n">
        <x:v>10</x:v>
      </x:c>
      <x:c r="K767" t="n">
        <x:v>5</x:v>
      </x:c>
      <x:c r="L767" t="str">
        <x:v>STORE-001</x:v>
      </x:c>
      <x:c r="M767" s="22" t="n">
        <x:v>46273</x:v>
      </x:c>
      <x:c r="N767" t="str">
        <x:v>SKU-002</x:v>
      </x:c>
      <x:c r="O767" t="n">
        <x:v>1</x:v>
      </x:c>
      <x:c r="P767" s="26" t="n">
        <x:f>F767/O767</x:f>
        <x:v>63.21</x:v>
      </x:c>
    </x:row>
    <x:row r="768">
      <x:c r="A768" t="n">
        <x:v>767</x:v>
      </x:c>
      <x:c r="B768" t="n">
        <x:v>62</x:v>
      </x:c>
      <x:c r="C768" t="str">
        <x:v>Male</x:v>
      </x:c>
      <x:c r="D768" t="str">
        <x:v>Home</x:v>
      </x:c>
      <x:c r="E768" t="str">
        <x:v>Curtains</x:v>
      </x:c>
      <x:c r="F768" s="24" t="n">
        <x:v>98</x:v>
      </x:c>
      <x:c r="G768" t="str">
        <x:v>Spring</x:v>
      </x:c>
      <x:c r="H768" t="str">
        <x:v>Cash on Delivery</x:v>
      </x:c>
      <x:c r="I768" t="n">
        <x:v>5</x:v>
      </x:c>
      <x:c r="J768" t="n">
        <x:v>28</x:v>
      </x:c>
      <x:c r="K768" t="n">
        <x:v>9</x:v>
      </x:c>
      <x:c r="L768" t="str">
        <x:v>STORE-001</x:v>
      </x:c>
      <x:c r="M768" s="22" t="n">
        <x:v>45991</x:v>
      </x:c>
      <x:c r="N768" t="str">
        <x:v>SKU-003</x:v>
      </x:c>
      <x:c r="O768" t="n">
        <x:v>2</x:v>
      </x:c>
      <x:c r="P768" s="26" t="n">
        <x:f>F768/O768</x:f>
        <x:v>49</x:v>
      </x:c>
    </x:row>
    <x:row r="769">
      <x:c r="A769" t="n">
        <x:v>768</x:v>
      </x:c>
      <x:c r="B769" t="n">
        <x:v>63</x:v>
      </x:c>
      <x:c r="C769" t="str">
        <x:v>Male</x:v>
      </x:c>
      <x:c r="D769" t="str">
        <x:v>Sports</x:v>
      </x:c>
      <x:c r="E769" t="str">
        <x:v>Yoga Mat</x:v>
      </x:c>
      <x:c r="F769" s="24" t="n">
        <x:v>117.1</x:v>
      </x:c>
      <x:c r="G769" t="str">
        <x:v>Autumn</x:v>
      </x:c>
      <x:c r="H769" t="str">
        <x:v>Card</x:v>
      </x:c>
      <x:c r="I769" t="n">
        <x:v>3.6</x:v>
      </x:c>
      <x:c r="J769" t="n">
        <x:v>8</x:v>
      </x:c>
      <x:c r="K769" t="n">
        <x:v>4</x:v>
      </x:c>
      <x:c r="L769" t="str">
        <x:v>STORE-001</x:v>
      </x:c>
      <x:c r="M769" s="22" t="n">
        <x:v>46135</x:v>
      </x:c>
      <x:c r="N769" t="str">
        <x:v>SKU-030</x:v>
      </x:c>
      <x:c r="O769" t="n">
        <x:v>1</x:v>
      </x:c>
      <x:c r="P769" s="26" t="n">
        <x:f>F769/O769</x:f>
        <x:v>117.1</x:v>
      </x:c>
    </x:row>
    <x:row r="770">
      <x:c r="A770" t="n">
        <x:v>769</x:v>
      </x:c>
      <x:c r="B770" t="n">
        <x:v>60</x:v>
      </x:c>
      <x:c r="C770" t="str">
        <x:v>Female</x:v>
      </x:c>
      <x:c r="D770" t="str">
        <x:v>Sports</x:v>
      </x:c>
      <x:c r="E770" t="str">
        <x:v>Dumbbells</x:v>
      </x:c>
      <x:c r="F770" s="24" t="n">
        <x:v>248.11</x:v>
      </x:c>
      <x:c r="G770" t="str">
        <x:v>Autumn</x:v>
      </x:c>
      <x:c r="H770" t="str">
        <x:v>Card</x:v>
      </x:c>
      <x:c r="I770" t="n">
        <x:v>3.9</x:v>
      </x:c>
      <x:c r="J770" t="n">
        <x:v>20</x:v>
      </x:c>
      <x:c r="K770" t="n">
        <x:v>5</x:v>
      </x:c>
      <x:c r="L770" t="str">
        <x:v>STORE-001</x:v>
      </x:c>
      <x:c r="M770" s="22" t="n">
        <x:v>46150</x:v>
      </x:c>
      <x:c r="N770" t="str">
        <x:v>SKU-005</x:v>
      </x:c>
      <x:c r="O770" t="n">
        <x:v>1</x:v>
      </x:c>
      <x:c r="P770" s="26" t="n">
        <x:f>F770/O770</x:f>
        <x:v>248.11</x:v>
      </x:c>
    </x:row>
    <x:row r="771">
      <x:c r="A771" t="n">
        <x:v>770</x:v>
      </x:c>
      <x:c r="B771" t="n">
        <x:v>26</x:v>
      </x:c>
      <x:c r="C771" t="str">
        <x:v>Female</x:v>
      </x:c>
      <x:c r="D771" t="str">
        <x:v>Womens Clothing</x:v>
      </x:c>
      <x:c r="E771" t="str">
        <x:v>Dress</x:v>
      </x:c>
      <x:c r="F771" s="24" t="n">
        <x:v>43.35</x:v>
      </x:c>
      <x:c r="G771" t="str">
        <x:v>Spring</x:v>
      </x:c>
      <x:c r="H771" t="str">
        <x:v>Card</x:v>
      </x:c>
      <x:c r="I771" t="n">
        <x:v>4.4</x:v>
      </x:c>
      <x:c r="J771" t="n">
        <x:v>14</x:v>
      </x:c>
      <x:c r="K771" t="n">
        <x:v>7</x:v>
      </x:c>
      <x:c r="L771" t="str">
        <x:v>STORE-001</x:v>
      </x:c>
      <x:c r="M771" s="22" t="n">
        <x:v>45945</x:v>
      </x:c>
      <x:c r="N771" t="str">
        <x:v>SKU-004</x:v>
      </x:c>
      <x:c r="O771" t="n">
        <x:v>1</x:v>
      </x:c>
      <x:c r="P771" s="26" t="n">
        <x:f>F771/O771</x:f>
        <x:v>43.35</x:v>
      </x:c>
    </x:row>
    <x:row r="772">
      <x:c r="A772" t="n">
        <x:v>771</x:v>
      </x:c>
      <x:c r="B772" t="n">
        <x:v>56</x:v>
      </x:c>
      <x:c r="C772" t="str">
        <x:v>Female</x:v>
      </x:c>
      <x:c r="D772" t="str">
        <x:v>Groceries</x:v>
      </x:c>
      <x:c r="E772" t="str">
        <x:v>Beverages</x:v>
      </x:c>
      <x:c r="F772" s="24" t="n">
        <x:v>62.63</x:v>
      </x:c>
      <x:c r="G772" t="str">
        <x:v>Autumn</x:v>
      </x:c>
      <x:c r="H772" t="str">
        <x:v>Card</x:v>
      </x:c>
      <x:c r="I772" t="n">
        <x:v>3.7</x:v>
      </x:c>
      <x:c r="J772" t="n">
        <x:v>18</x:v>
      </x:c>
      <x:c r="K772" t="n">
        <x:v>4</x:v>
      </x:c>
      <x:c r="L772" t="str">
        <x:v>STORE-001</x:v>
      </x:c>
      <x:c r="M772" s="22" t="n">
        <x:v>46108</x:v>
      </x:c>
      <x:c r="N772" t="str">
        <x:v>SKU-001</x:v>
      </x:c>
      <x:c r="O772" t="n">
        <x:v>1</x:v>
      </x:c>
      <x:c r="P772" s="26" t="n">
        <x:f>F772/O772</x:f>
        <x:v>62.63</x:v>
      </x:c>
    </x:row>
    <x:row r="773">
      <x:c r="A773" t="n">
        <x:v>772</x:v>
      </x:c>
      <x:c r="B773" t="n">
        <x:v>21</x:v>
      </x:c>
      <x:c r="C773" t="str">
        <x:v>Female</x:v>
      </x:c>
      <x:c r="D773" t="str">
        <x:v>Womens Clothing</x:v>
      </x:c>
      <x:c r="E773" t="str">
        <x:v>Top</x:v>
      </x:c>
      <x:c r="F773" s="24" t="n">
        <x:v>92.13</x:v>
      </x:c>
      <x:c r="G773" t="str">
        <x:v>Winter</x:v>
      </x:c>
      <x:c r="H773" t="str">
        <x:v>Cash on Delivery</x:v>
      </x:c>
      <x:c r="I773" t="n">
        <x:v>3.5</x:v>
      </x:c>
      <x:c r="J773" t="n">
        <x:v>20</x:v>
      </x:c>
      <x:c r="K773" t="n">
        <x:v>5</x:v>
      </x:c>
      <x:c r="L773" t="str">
        <x:v>STORE-001</x:v>
      </x:c>
      <x:c r="M773" s="22" t="n">
        <x:v>46199</x:v>
      </x:c>
      <x:c r="N773" t="str">
        <x:v>SKU-028</x:v>
      </x:c>
      <x:c r="O773" t="n">
        <x:v>2</x:v>
      </x:c>
      <x:c r="P773" s="26" t="n">
        <x:f>F773/O773</x:f>
        <x:v>46.065</x:v>
      </x:c>
    </x:row>
    <x:row r="774">
      <x:c r="A774" t="n">
        <x:v>773</x:v>
      </x:c>
      <x:c r="B774" t="n">
        <x:v>31</x:v>
      </x:c>
      <x:c r="C774" t="str">
        <x:v>Female</x:v>
      </x:c>
      <x:c r="D774" t="str">
        <x:v>Accessories</x:v>
      </x:c>
      <x:c r="E774" t="str">
        <x:v>Wallet</x:v>
      </x:c>
      <x:c r="F774" s="24" t="n">
        <x:v>136.74</x:v>
      </x:c>
      <x:c r="G774" t="str">
        <x:v>Winter</x:v>
      </x:c>
      <x:c r="H774" t="str">
        <x:v>Card</x:v>
      </x:c>
      <x:c r="I774" t="n">
        <x:v>2.9</x:v>
      </x:c>
      <x:c r="J774" t="n">
        <x:v>8</x:v>
      </x:c>
      <x:c r="K774" t="n">
        <x:v>4</x:v>
      </x:c>
      <x:c r="L774" t="str">
        <x:v>STORE-001</x:v>
      </x:c>
      <x:c r="M774" s="22" t="n">
        <x:v>46212</x:v>
      </x:c>
      <x:c r="N774" t="str">
        <x:v>SKU-029</x:v>
      </x:c>
      <x:c r="O774" t="n">
        <x:v>2</x:v>
      </x:c>
      <x:c r="P774" s="26" t="n">
        <x:f>F774/O774</x:f>
        <x:v>68.37</x:v>
      </x:c>
    </x:row>
    <x:row r="775">
      <x:c r="A775" t="n">
        <x:v>774</x:v>
      </x:c>
      <x:c r="B775" t="n">
        <x:v>51</x:v>
      </x:c>
      <x:c r="C775" t="str">
        <x:v>Female</x:v>
      </x:c>
      <x:c r="D775" t="str">
        <x:v>Beauty</x:v>
      </x:c>
      <x:c r="E775" t="str">
        <x:v>Makeup Set</x:v>
      </x:c>
      <x:c r="F775" s="24" t="n">
        <x:v>101.97</x:v>
      </x:c>
      <x:c r="G775" t="str">
        <x:v>Autumn</x:v>
      </x:c>
      <x:c r="H775" t="str">
        <x:v>Card</x:v>
      </x:c>
      <x:c r="I775" t="n">
        <x:v>3.4</x:v>
      </x:c>
      <x:c r="J775" t="n">
        <x:v>9</x:v>
      </x:c>
      <x:c r="K775" t="n">
        <x:v>2</x:v>
      </x:c>
      <x:c r="L775" t="str">
        <x:v>STORE-001</x:v>
      </x:c>
      <x:c r="M775" s="22" t="n">
        <x:v>46149</x:v>
      </x:c>
      <x:c r="N775" t="str">
        <x:v>SKU-015</x:v>
      </x:c>
      <x:c r="O775" t="n">
        <x:v>1</x:v>
      </x:c>
      <x:c r="P775" s="26" t="n">
        <x:f>F775/O775</x:f>
        <x:v>101.97</x:v>
      </x:c>
    </x:row>
    <x:row r="776">
      <x:c r="A776" t="n">
        <x:v>775</x:v>
      </x:c>
      <x:c r="B776" t="n">
        <x:v>38</x:v>
      </x:c>
      <x:c r="C776" t="str">
        <x:v>Female</x:v>
      </x:c>
      <x:c r="D776" t="str">
        <x:v>Womens Clothing</x:v>
      </x:c>
      <x:c r="E776" t="str">
        <x:v>Top</x:v>
      </x:c>
      <x:c r="F776" s="24" t="n">
        <x:v>50.83</x:v>
      </x:c>
      <x:c r="G776" t="str">
        <x:v>Autumn</x:v>
      </x:c>
      <x:c r="H776" t="str">
        <x:v>Card</x:v>
      </x:c>
      <x:c r="I776" t="n">
        <x:v>3.9</x:v>
      </x:c>
      <x:c r="J776" t="n">
        <x:v>7</x:v>
      </x:c>
      <x:c r="K776" t="n">
        <x:v>1</x:v>
      </x:c>
      <x:c r="L776" t="str">
        <x:v>STORE-001</x:v>
      </x:c>
      <x:c r="M776" s="22" t="n">
        <x:v>46102</x:v>
      </x:c>
      <x:c r="N776" t="str">
        <x:v>SKU-028</x:v>
      </x:c>
      <x:c r="O776" t="n">
        <x:v>2</x:v>
      </x:c>
      <x:c r="P776" s="26" t="n">
        <x:f>F776/O776</x:f>
        <x:v>25.415</x:v>
      </x:c>
    </x:row>
    <x:row r="777">
      <x:c r="A777" t="n">
        <x:v>776</x:v>
      </x:c>
      <x:c r="B777" t="n">
        <x:v>52</x:v>
      </x:c>
      <x:c r="C777" t="str">
        <x:v>Male</x:v>
      </x:c>
      <x:c r="D777" t="str">
        <x:v>Footwear</x:v>
      </x:c>
      <x:c r="E777" t="str">
        <x:v>Sandals</x:v>
      </x:c>
      <x:c r="F777" s="24" t="n">
        <x:v>161.58</x:v>
      </x:c>
      <x:c r="G777" t="str">
        <x:v>Spring</x:v>
      </x:c>
      <x:c r="H777" t="str">
        <x:v>Card</x:v>
      </x:c>
      <x:c r="I777" t="n">
        <x:v>2.6</x:v>
      </x:c>
      <x:c r="J777" t="n">
        <x:v>22</x:v>
      </x:c>
      <x:c r="K777" t="n">
        <x:v>11</x:v>
      </x:c>
      <x:c r="L777" t="str">
        <x:v>STORE-001</x:v>
      </x:c>
      <x:c r="M777" s="22" t="n">
        <x:v>46277</x:v>
      </x:c>
      <x:c r="N777" t="str">
        <x:v>SKU-019</x:v>
      </x:c>
      <x:c r="O777" t="n">
        <x:v>1</x:v>
      </x:c>
      <x:c r="P777" s="26" t="n">
        <x:f>F777/O777</x:f>
        <x:v>161.58</x:v>
      </x:c>
    </x:row>
    <x:row r="778">
      <x:c r="A778" t="n">
        <x:v>777</x:v>
      </x:c>
      <x:c r="B778" t="n">
        <x:v>36</x:v>
      </x:c>
      <x:c r="C778" t="str">
        <x:v>Female</x:v>
      </x:c>
      <x:c r="D778" t="str">
        <x:v>Groceries</x:v>
      </x:c>
      <x:c r="E778" t="str">
        <x:v>Beverages</x:v>
      </x:c>
      <x:c r="F778" s="24" t="n">
        <x:v>11.85</x:v>
      </x:c>
      <x:c r="G778" t="str">
        <x:v>Spring</x:v>
      </x:c>
      <x:c r="H778" t="str">
        <x:v>Cash on Delivery</x:v>
      </x:c>
      <x:c r="I778" t="n">
        <x:v>3.6</x:v>
      </x:c>
      <x:c r="J778" t="n">
        <x:v>19</x:v>
      </x:c>
      <x:c r="K778" t="n">
        <x:v>7</x:v>
      </x:c>
      <x:c r="L778" t="str">
        <x:v>STORE-001</x:v>
      </x:c>
      <x:c r="M778" s="22" t="n">
        <x:v>46268</x:v>
      </x:c>
      <x:c r="N778" t="str">
        <x:v>SKU-001</x:v>
      </x:c>
      <x:c r="O778" t="n">
        <x:v>3</x:v>
      </x:c>
      <x:c r="P778" s="26" t="n">
        <x:f>F778/O778</x:f>
        <x:v>3.9499999999999997</x:v>
      </x:c>
    </x:row>
    <x:row r="779">
      <x:c r="A779" t="n">
        <x:v>778</x:v>
      </x:c>
      <x:c r="B779" t="n">
        <x:v>42</x:v>
      </x:c>
      <x:c r="C779" t="str">
        <x:v>Male</x:v>
      </x:c>
      <x:c r="D779" t="str">
        <x:v>Footwear</x:v>
      </x:c>
      <x:c r="E779" t="str">
        <x:v>Sneakers</x:v>
      </x:c>
      <x:c r="F779" s="24" t="n">
        <x:v>205.2</x:v>
      </x:c>
      <x:c r="G779" t="str">
        <x:v>Winter</x:v>
      </x:c>
      <x:c r="H779" t="str">
        <x:v>Card</x:v>
      </x:c>
      <x:c r="I779" t="n">
        <x:v>2.9</x:v>
      </x:c>
      <x:c r="J779" t="n">
        <x:v>4</x:v>
      </x:c>
      <x:c r="K779" t="n">
        <x:v>2</x:v>
      </x:c>
      <x:c r="L779" t="str">
        <x:v>STORE-001</x:v>
      </x:c>
      <x:c r="M779" s="22" t="n">
        <x:v>46250</x:v>
      </x:c>
      <x:c r="N779" t="str">
        <x:v>SKU-025</x:v>
      </x:c>
      <x:c r="O779" t="n">
        <x:v>1</x:v>
      </x:c>
      <x:c r="P779" s="26" t="n">
        <x:f>F779/O779</x:f>
        <x:v>205.2</x:v>
      </x:c>
    </x:row>
    <x:row r="780">
      <x:c r="A780" t="n">
        <x:v>779</x:v>
      </x:c>
      <x:c r="B780" t="n">
        <x:v>69</x:v>
      </x:c>
      <x:c r="C780" t="str">
        <x:v>Male</x:v>
      </x:c>
      <x:c r="D780" t="str">
        <x:v>Home</x:v>
      </x:c>
      <x:c r="E780" t="str">
        <x:v>Lamp</x:v>
      </x:c>
      <x:c r="F780" s="24" t="n">
        <x:v>120.93</x:v>
      </x:c>
      <x:c r="G780" t="str">
        <x:v>Summer</x:v>
      </x:c>
      <x:c r="H780" t="str">
        <x:v>Card</x:v>
      </x:c>
      <x:c r="I780" t="n">
        <x:v>4.5</x:v>
      </x:c>
      <x:c r="J780" t="n">
        <x:v>28</x:v>
      </x:c>
      <x:c r="K780" t="n">
        <x:v>9</x:v>
      </x:c>
      <x:c r="L780" t="str">
        <x:v>STORE-001</x:v>
      </x:c>
      <x:c r="M780" s="22" t="n">
        <x:v>46009</x:v>
      </x:c>
      <x:c r="N780" t="str">
        <x:v>SKU-013</x:v>
      </x:c>
      <x:c r="O780" t="n">
        <x:v>3</x:v>
      </x:c>
      <x:c r="P780" s="26" t="n">
        <x:f>F780/O780</x:f>
        <x:v>40.31</x:v>
      </x:c>
    </x:row>
    <x:row r="781">
      <x:c r="A781" t="n">
        <x:v>780</x:v>
      </x:c>
      <x:c r="B781" t="n">
        <x:v>67</x:v>
      </x:c>
      <x:c r="C781" t="str">
        <x:v>Male</x:v>
      </x:c>
      <x:c r="D781" t="str">
        <x:v>Mens Clothing</x:v>
      </x:c>
      <x:c r="E781" t="str">
        <x:v>Jacket</x:v>
      </x:c>
      <x:c r="F781" s="24" t="n">
        <x:v>35.68</x:v>
      </x:c>
      <x:c r="G781" t="str">
        <x:v>Autumn</x:v>
      </x:c>
      <x:c r="H781" t="str">
        <x:v>Cash on Delivery</x:v>
      </x:c>
      <x:c r="I781" t="n">
        <x:v>3.5</x:v>
      </x:c>
      <x:c r="J781" t="n">
        <x:v>10</x:v>
      </x:c>
      <x:c r="K781" t="n">
        <x:v>5</x:v>
      </x:c>
      <x:c r="L781" t="str">
        <x:v>STORE-001</x:v>
      </x:c>
      <x:c r="M781" s="22" t="n">
        <x:v>46160</x:v>
      </x:c>
      <x:c r="N781" t="str">
        <x:v>SKU-010</x:v>
      </x:c>
      <x:c r="O781" t="n">
        <x:v>2</x:v>
      </x:c>
      <x:c r="P781" s="26" t="n">
        <x:f>F781/O781</x:f>
        <x:v>17.84</x:v>
      </x:c>
    </x:row>
    <x:row r="782">
      <x:c r="A782" t="n">
        <x:v>781</x:v>
      </x:c>
      <x:c r="B782" t="n">
        <x:v>69</x:v>
      </x:c>
      <x:c r="C782" t="str">
        <x:v>Male</x:v>
      </x:c>
      <x:c r="D782" t="str">
        <x:v>Sports</x:v>
      </x:c>
      <x:c r="E782" t="str">
        <x:v>Dumbbells</x:v>
      </x:c>
      <x:c r="F782" s="24" t="n">
        <x:v>109.07</x:v>
      </x:c>
      <x:c r="G782" t="str">
        <x:v>Winter</x:v>
      </x:c>
      <x:c r="H782" t="str">
        <x:v>Card</x:v>
      </x:c>
      <x:c r="I782" t="n">
        <x:v>3.3</x:v>
      </x:c>
      <x:c r="J782" t="n">
        <x:v>10</x:v>
      </x:c>
      <x:c r="K782" t="n">
        <x:v>5</x:v>
      </x:c>
      <x:c r="L782" t="str">
        <x:v>STORE-001</x:v>
      </x:c>
      <x:c r="M782" s="22" t="n">
        <x:v>46259</x:v>
      </x:c>
      <x:c r="N782" t="str">
        <x:v>SKU-005</x:v>
      </x:c>
      <x:c r="O782" t="n">
        <x:v>1</x:v>
      </x:c>
      <x:c r="P782" s="26" t="n">
        <x:f>F782/O782</x:f>
        <x:v>109.07</x:v>
      </x:c>
    </x:row>
    <x:row r="783">
      <x:c r="A783" t="n">
        <x:v>782</x:v>
      </x:c>
      <x:c r="B783" t="n">
        <x:v>30</x:v>
      </x:c>
      <x:c r="C783" t="str">
        <x:v>Female</x:v>
      </x:c>
      <x:c r="D783" t="str">
        <x:v>Footwear</x:v>
      </x:c>
      <x:c r="E783" t="str">
        <x:v>Formal Shoes</x:v>
      </x:c>
      <x:c r="F783" s="24" t="n">
        <x:v>109.86</x:v>
      </x:c>
      <x:c r="G783" t="str">
        <x:v>Winter</x:v>
      </x:c>
      <x:c r="H783" t="str">
        <x:v>Card</x:v>
      </x:c>
      <x:c r="I783" t="n">
        <x:v>3.6</x:v>
      </x:c>
      <x:c r="J783" t="n">
        <x:v>9</x:v>
      </x:c>
      <x:c r="K783" t="n">
        <x:v>2</x:v>
      </x:c>
      <x:c r="L783" t="str">
        <x:v>STORE-001</x:v>
      </x:c>
      <x:c r="M783" s="22" t="n">
        <x:v>46253</x:v>
      </x:c>
      <x:c r="N783" t="str">
        <x:v>SKU-007</x:v>
      </x:c>
      <x:c r="O783" t="n">
        <x:v>2</x:v>
      </x:c>
      <x:c r="P783" s="26" t="n">
        <x:f>F783/O783</x:f>
        <x:v>54.93</x:v>
      </x:c>
    </x:row>
    <x:row r="784">
      <x:c r="A784" t="n">
        <x:v>783</x:v>
      </x:c>
      <x:c r="B784" t="n">
        <x:v>40</x:v>
      </x:c>
      <x:c r="C784" t="str">
        <x:v>Female</x:v>
      </x:c>
      <x:c r="D784" t="str">
        <x:v>Womens Clothing</x:v>
      </x:c>
      <x:c r="E784" t="str">
        <x:v>Skirt</x:v>
      </x:c>
      <x:c r="F784" s="24" t="n">
        <x:v>34.85</x:v>
      </x:c>
      <x:c r="G784" t="str">
        <x:v>Summer</x:v>
      </x:c>
      <x:c r="H784" t="str">
        <x:v>Cash on Delivery</x:v>
      </x:c>
      <x:c r="I784" t="n">
        <x:v>3</x:v>
      </x:c>
      <x:c r="J784" t="n">
        <x:v>14</x:v>
      </x:c>
      <x:c r="K784" t="n">
        <x:v>2</x:v>
      </x:c>
      <x:c r="L784" t="str">
        <x:v>STORE-001</x:v>
      </x:c>
      <x:c r="M784" s="22" t="n">
        <x:v>46053</x:v>
      </x:c>
      <x:c r="N784" t="str">
        <x:v>SKU-022</x:v>
      </x:c>
      <x:c r="O784" t="n">
        <x:v>1</x:v>
      </x:c>
      <x:c r="P784" s="26" t="n">
        <x:f>F784/O784</x:f>
        <x:v>34.85</x:v>
      </x:c>
    </x:row>
    <x:row r="785">
      <x:c r="A785" t="n">
        <x:v>784</x:v>
      </x:c>
      <x:c r="B785" t="n">
        <x:v>41</x:v>
      </x:c>
      <x:c r="C785" t="str">
        <x:v>Female</x:v>
      </x:c>
      <x:c r="D785" t="str">
        <x:v>Groceries</x:v>
      </x:c>
      <x:c r="E785" t="str">
        <x:v>Snacks</x:v>
      </x:c>
      <x:c r="F785" s="24" t="n">
        <x:v>70.84</x:v>
      </x:c>
      <x:c r="G785" t="str">
        <x:v>Autumn</x:v>
      </x:c>
      <x:c r="H785" t="str">
        <x:v>Card</x:v>
      </x:c>
      <x:c r="I785" t="n">
        <x:v>4.4</x:v>
      </x:c>
      <x:c r="J785" t="n">
        <x:v>12</x:v>
      </x:c>
      <x:c r="K785" t="n">
        <x:v>6</x:v>
      </x:c>
      <x:c r="L785" t="str">
        <x:v>STORE-001</x:v>
      </x:c>
      <x:c r="M785" s="22" t="n">
        <x:v>46166</x:v>
      </x:c>
      <x:c r="N785" t="str">
        <x:v>SKU-024</x:v>
      </x:c>
      <x:c r="O785" t="n">
        <x:v>1</x:v>
      </x:c>
      <x:c r="P785" s="26" t="n">
        <x:f>F785/O785</x:f>
        <x:v>70.84</x:v>
      </x:c>
    </x:row>
    <x:row r="786">
      <x:c r="A786" t="n">
        <x:v>785</x:v>
      </x:c>
      <x:c r="B786" t="n">
        <x:v>20</x:v>
      </x:c>
      <x:c r="C786" t="str">
        <x:v>Male</x:v>
      </x:c>
      <x:c r="D786" t="str">
        <x:v>Footwear</x:v>
      </x:c>
      <x:c r="E786" t="str">
        <x:v>Sandals</x:v>
      </x:c>
      <x:c r="F786" s="24" t="n">
        <x:v>170.06</x:v>
      </x:c>
      <x:c r="G786" t="str">
        <x:v>Winter</x:v>
      </x:c>
      <x:c r="H786" t="str">
        <x:v>Card</x:v>
      </x:c>
      <x:c r="I786" t="n">
        <x:v>4.4</x:v>
      </x:c>
      <x:c r="J786" t="n">
        <x:v>12</x:v>
      </x:c>
      <x:c r="K786" t="n">
        <x:v>1</x:v>
      </x:c>
      <x:c r="L786" t="str">
        <x:v>STORE-001</x:v>
      </x:c>
      <x:c r="M786" s="22" t="n">
        <x:v>46206</x:v>
      </x:c>
      <x:c r="N786" t="str">
        <x:v>SKU-019</x:v>
      </x:c>
      <x:c r="O786" t="n">
        <x:v>1</x:v>
      </x:c>
      <x:c r="P786" s="26" t="n">
        <x:f>F786/O786</x:f>
        <x:v>170.06</x:v>
      </x:c>
    </x:row>
    <x:row r="787">
      <x:c r="A787" t="n">
        <x:v>786</x:v>
      </x:c>
      <x:c r="B787" t="n">
        <x:v>39</x:v>
      </x:c>
      <x:c r="C787" t="str">
        <x:v>Female</x:v>
      </x:c>
      <x:c r="D787" t="str">
        <x:v>Home</x:v>
      </x:c>
      <x:c r="E787" t="str">
        <x:v>Lamp</x:v>
      </x:c>
      <x:c r="F787" s="24" t="n">
        <x:v>80.69</x:v>
      </x:c>
      <x:c r="G787" t="str">
        <x:v>Spring</x:v>
      </x:c>
      <x:c r="H787" t="str">
        <x:v>Cash on Delivery</x:v>
      </x:c>
      <x:c r="I787" t="n">
        <x:v>3.8</x:v>
      </x:c>
      <x:c r="J787" t="n">
        <x:v>16</x:v>
      </x:c>
      <x:c r="K787" t="n">
        <x:v>8</x:v>
      </x:c>
      <x:c r="L787" t="str">
        <x:v>STORE-001</x:v>
      </x:c>
      <x:c r="M787" s="22" t="n">
        <x:v>46274</x:v>
      </x:c>
      <x:c r="N787" t="str">
        <x:v>SKU-013</x:v>
      </x:c>
      <x:c r="O787" t="n">
        <x:v>1</x:v>
      </x:c>
      <x:c r="P787" s="26" t="n">
        <x:f>F787/O787</x:f>
        <x:v>80.69</x:v>
      </x:c>
    </x:row>
    <x:row r="788">
      <x:c r="A788" t="n">
        <x:v>787</x:v>
      </x:c>
      <x:c r="B788" t="n">
        <x:v>54</x:v>
      </x:c>
      <x:c r="C788" t="str">
        <x:v>Male</x:v>
      </x:c>
      <x:c r="D788" t="str">
        <x:v>Electronics</x:v>
      </x:c>
      <x:c r="E788" t="str">
        <x:v>Laptop</x:v>
      </x:c>
      <x:c r="F788" s="24" t="n">
        <x:v>980.43</x:v>
      </x:c>
      <x:c r="G788" t="str">
        <x:v>Summer</x:v>
      </x:c>
      <x:c r="H788" t="str">
        <x:v>Card</x:v>
      </x:c>
      <x:c r="I788" t="n">
        <x:v>3.6</x:v>
      </x:c>
      <x:c r="J788" t="n">
        <x:v>14</x:v>
      </x:c>
      <x:c r="K788" t="n">
        <x:v>2</x:v>
      </x:c>
      <x:c r="L788" t="str">
        <x:v>STORE-001</x:v>
      </x:c>
      <x:c r="M788" s="22" t="n">
        <x:v>46012</x:v>
      </x:c>
      <x:c r="N788" t="str">
        <x:v>SKU-014</x:v>
      </x:c>
      <x:c r="O788" t="n">
        <x:v>1</x:v>
      </x:c>
      <x:c r="P788" s="26" t="n">
        <x:f>F788/O788</x:f>
        <x:v>980.43</x:v>
      </x:c>
    </x:row>
    <x:row r="789">
      <x:c r="A789" t="n">
        <x:v>788</x:v>
      </x:c>
      <x:c r="B789" t="n">
        <x:v>66</x:v>
      </x:c>
      <x:c r="C789" t="str">
        <x:v>Male</x:v>
      </x:c>
      <x:c r="D789" t="str">
        <x:v>Sports</x:v>
      </x:c>
      <x:c r="E789" t="str">
        <x:v>Football</x:v>
      </x:c>
      <x:c r="F789" s="24" t="n">
        <x:v>103.3</x:v>
      </x:c>
      <x:c r="G789" t="str">
        <x:v>Spring</x:v>
      </x:c>
      <x:c r="H789" t="str">
        <x:v>Card</x:v>
      </x:c>
      <x:c r="I789" t="n">
        <x:v>2.6</x:v>
      </x:c>
      <x:c r="J789" t="n">
        <x:v>6</x:v>
      </x:c>
      <x:c r="K789" t="n">
        <x:v>3</x:v>
      </x:c>
      <x:c r="L789" t="str">
        <x:v>STORE-001</x:v>
      </x:c>
      <x:c r="M789" s="22" t="n">
        <x:v>46290</x:v>
      </x:c>
      <x:c r="N789" t="str">
        <x:v>SKU-006</x:v>
      </x:c>
      <x:c r="O789" t="n">
        <x:v>1</x:v>
      </x:c>
      <x:c r="P789" s="26" t="n">
        <x:f>F789/O789</x:f>
        <x:v>103.3</x:v>
      </x:c>
    </x:row>
    <x:row r="790">
      <x:c r="A790" t="n">
        <x:v>789</x:v>
      </x:c>
      <x:c r="B790" t="n">
        <x:v>39</x:v>
      </x:c>
      <x:c r="C790" t="str">
        <x:v>Male</x:v>
      </x:c>
      <x:c r="D790" t="str">
        <x:v>Sports</x:v>
      </x:c>
      <x:c r="E790" t="str">
        <x:v>Football</x:v>
      </x:c>
      <x:c r="F790" s="24" t="n">
        <x:v>245.18</x:v>
      </x:c>
      <x:c r="G790" t="str">
        <x:v>Winter</x:v>
      </x:c>
      <x:c r="H790" t="str">
        <x:v>Card</x:v>
      </x:c>
      <x:c r="I790" t="n">
        <x:v>4</x:v>
      </x:c>
      <x:c r="J790" t="n">
        <x:v>20</x:v>
      </x:c>
      <x:c r="K790" t="n">
        <x:v>5</x:v>
      </x:c>
      <x:c r="L790" t="str">
        <x:v>STORE-001</x:v>
      </x:c>
      <x:c r="M790" s="22" t="n">
        <x:v>46243</x:v>
      </x:c>
      <x:c r="N790" t="str">
        <x:v>SKU-006</x:v>
      </x:c>
      <x:c r="O790" t="n">
        <x:v>1</x:v>
      </x:c>
      <x:c r="P790" s="26" t="n">
        <x:f>F790/O790</x:f>
        <x:v>245.18</x:v>
      </x:c>
    </x:row>
    <x:row r="791">
      <x:c r="A791" t="n">
        <x:v>790</x:v>
      </x:c>
      <x:c r="B791" t="n">
        <x:v>39</x:v>
      </x:c>
      <x:c r="C791" t="str">
        <x:v>Female</x:v>
      </x:c>
      <x:c r="D791" t="str">
        <x:v>Accessories</x:v>
      </x:c>
      <x:c r="E791" t="str">
        <x:v>Handbag</x:v>
      </x:c>
      <x:c r="F791" s="24" t="n">
        <x:v>128.03</x:v>
      </x:c>
      <x:c r="G791" t="str">
        <x:v>Spring</x:v>
      </x:c>
      <x:c r="H791" t="str">
        <x:v>Card</x:v>
      </x:c>
      <x:c r="I791" t="n">
        <x:v>3.7</x:v>
      </x:c>
      <x:c r="J791" t="n">
        <x:v>8</x:v>
      </x:c>
      <x:c r="K791" t="n">
        <x:v>4</x:v>
      </x:c>
      <x:c r="L791" t="str">
        <x:v>STORE-001</x:v>
      </x:c>
      <x:c r="M791" s="22" t="n">
        <x:v>45981</x:v>
      </x:c>
      <x:c r="N791" t="str">
        <x:v>SKU-008</x:v>
      </x:c>
      <x:c r="O791" t="n">
        <x:v>2</x:v>
      </x:c>
      <x:c r="P791" s="26" t="n">
        <x:f>F791/O791</x:f>
        <x:v>64.015</x:v>
      </x:c>
    </x:row>
    <x:row r="792">
      <x:c r="A792" t="n">
        <x:v>791</x:v>
      </x:c>
      <x:c r="B792" t="n">
        <x:v>21</x:v>
      </x:c>
      <x:c r="C792" t="str">
        <x:v>Male</x:v>
      </x:c>
      <x:c r="D792" t="str">
        <x:v>Sports</x:v>
      </x:c>
      <x:c r="E792" t="str">
        <x:v>Yoga Mat</x:v>
      </x:c>
      <x:c r="F792" s="24" t="n">
        <x:v>231.08</x:v>
      </x:c>
      <x:c r="G792" t="str">
        <x:v>Spring</x:v>
      </x:c>
      <x:c r="H792" t="str">
        <x:v>Card</x:v>
      </x:c>
      <x:c r="I792" t="n">
        <x:v>4.7</x:v>
      </x:c>
      <x:c r="J792" t="n">
        <x:v>18</x:v>
      </x:c>
      <x:c r="K792" t="n">
        <x:v>4</x:v>
      </x:c>
      <x:c r="L792" t="str">
        <x:v>STORE-001</x:v>
      </x:c>
      <x:c r="M792" s="22" t="n">
        <x:v>45946</x:v>
      </x:c>
      <x:c r="N792" t="str">
        <x:v>SKU-030</x:v>
      </x:c>
      <x:c r="O792" t="n">
        <x:v>4</x:v>
      </x:c>
      <x:c r="P792" s="26" t="n">
        <x:f>F792/O792</x:f>
        <x:v>57.77</x:v>
      </x:c>
    </x:row>
    <x:row r="793">
      <x:c r="A793" t="n">
        <x:v>792</x:v>
      </x:c>
      <x:c r="B793" t="n">
        <x:v>60</x:v>
      </x:c>
      <x:c r="C793" t="str">
        <x:v>Female</x:v>
      </x:c>
      <x:c r="D793" t="str">
        <x:v>Womens Clothing</x:v>
      </x:c>
      <x:c r="E793" t="str">
        <x:v>Jeans</x:v>
      </x:c>
      <x:c r="F793" s="24" t="n">
        <x:v>48.29</x:v>
      </x:c>
      <x:c r="G793" t="str">
        <x:v>Winter</x:v>
      </x:c>
      <x:c r="H793" t="str">
        <x:v>Cash on Delivery</x:v>
      </x:c>
      <x:c r="I793" t="n">
        <x:v>3.9</x:v>
      </x:c>
      <x:c r="J793" t="n">
        <x:v>22</x:v>
      </x:c>
      <x:c r="K793" t="n">
        <x:v>6</x:v>
      </x:c>
      <x:c r="L793" t="str">
        <x:v>STORE-001</x:v>
      </x:c>
      <x:c r="M793" s="22" t="n">
        <x:v>46213</x:v>
      </x:c>
      <x:c r="N793" t="str">
        <x:v>SKU-011</x:v>
      </x:c>
      <x:c r="O793" t="n">
        <x:v>1</x:v>
      </x:c>
      <x:c r="P793" s="26" t="n">
        <x:f>F793/O793</x:f>
        <x:v>48.29</x:v>
      </x:c>
    </x:row>
    <x:row r="794">
      <x:c r="A794" t="n">
        <x:v>793</x:v>
      </x:c>
      <x:c r="B794" t="n">
        <x:v>27</x:v>
      </x:c>
      <x:c r="C794" t="str">
        <x:v>Male</x:v>
      </x:c>
      <x:c r="D794" t="str">
        <x:v>Electronics</x:v>
      </x:c>
      <x:c r="E794" t="str">
        <x:v>Laptop</x:v>
      </x:c>
      <x:c r="F794" s="24" t="n">
        <x:v>677.89</x:v>
      </x:c>
      <x:c r="G794" t="str">
        <x:v>Summer</x:v>
      </x:c>
      <x:c r="H794" t="str">
        <x:v>Card</x:v>
      </x:c>
      <x:c r="I794" t="n">
        <x:v>3.3</x:v>
      </x:c>
      <x:c r="J794" t="n">
        <x:v>16</x:v>
      </x:c>
      <x:c r="K794" t="n">
        <x:v>8</x:v>
      </x:c>
      <x:c r="L794" t="str">
        <x:v>STORE-001</x:v>
      </x:c>
      <x:c r="M794" s="22" t="n">
        <x:v>46060</x:v>
      </x:c>
      <x:c r="N794" t="str">
        <x:v>SKU-014</x:v>
      </x:c>
      <x:c r="O794" t="n">
        <x:v>1</x:v>
      </x:c>
      <x:c r="P794" s="26" t="n">
        <x:f>F794/O794</x:f>
        <x:v>677.89</x:v>
      </x:c>
    </x:row>
    <x:row r="795">
      <x:c r="A795" t="n">
        <x:v>794</x:v>
      </x:c>
      <x:c r="B795" t="n">
        <x:v>36</x:v>
      </x:c>
      <x:c r="C795" t="str">
        <x:v>Male</x:v>
      </x:c>
      <x:c r="D795" t="str">
        <x:v>Sports</x:v>
      </x:c>
      <x:c r="E795" t="str">
        <x:v>Football</x:v>
      </x:c>
      <x:c r="F795" s="24" t="n">
        <x:v>163.62</x:v>
      </x:c>
      <x:c r="G795" t="str">
        <x:v>Winter</x:v>
      </x:c>
      <x:c r="H795" t="str">
        <x:v>Card</x:v>
      </x:c>
      <x:c r="I795" t="n">
        <x:v>2.9</x:v>
      </x:c>
      <x:c r="J795" t="n">
        <x:v>15</x:v>
      </x:c>
      <x:c r="K795" t="n">
        <x:v>5</x:v>
      </x:c>
      <x:c r="L795" t="str">
        <x:v>STORE-001</x:v>
      </x:c>
      <x:c r="M795" s="22" t="n">
        <x:v>46213</x:v>
      </x:c>
      <x:c r="N795" t="str">
        <x:v>SKU-006</x:v>
      </x:c>
      <x:c r="O795" t="n">
        <x:v>1</x:v>
      </x:c>
      <x:c r="P795" s="26" t="n">
        <x:f>F795/O795</x:f>
        <x:v>163.62</x:v>
      </x:c>
    </x:row>
    <x:row r="796">
      <x:c r="A796" t="n">
        <x:v>795</x:v>
      </x:c>
      <x:c r="B796" t="n">
        <x:v>21</x:v>
      </x:c>
      <x:c r="C796" t="str">
        <x:v>Female</x:v>
      </x:c>
      <x:c r="D796" t="str">
        <x:v>Groceries</x:v>
      </x:c>
      <x:c r="E796" t="str">
        <x:v>Rice Pack</x:v>
      </x:c>
      <x:c r="F796" s="24" t="n">
        <x:v>23.18</x:v>
      </x:c>
      <x:c r="G796" t="str">
        <x:v>Spring</x:v>
      </x:c>
      <x:c r="H796" t="str">
        <x:v>Card</x:v>
      </x:c>
      <x:c r="I796" t="n">
        <x:v>4.4</x:v>
      </x:c>
      <x:c r="J796" t="n">
        <x:v>11</x:v>
      </x:c>
      <x:c r="K796" t="n">
        <x:v>3</x:v>
      </x:c>
      <x:c r="L796" t="str">
        <x:v>STORE-001</x:v>
      </x:c>
      <x:c r="M796" s="22" t="n">
        <x:v>46280</x:v>
      </x:c>
      <x:c r="N796" t="str">
        <x:v>SKU-018</x:v>
      </x:c>
      <x:c r="O796" t="n">
        <x:v>2</x:v>
      </x:c>
      <x:c r="P796" s="26" t="n">
        <x:f>F796/O796</x:f>
        <x:v>11.59</x:v>
      </x:c>
    </x:row>
    <x:row r="797">
      <x:c r="A797" t="n">
        <x:v>796</x:v>
      </x:c>
      <x:c r="B797" t="n">
        <x:v>63</x:v>
      </x:c>
      <x:c r="C797" t="str">
        <x:v>Male</x:v>
      </x:c>
      <x:c r="D797" t="str">
        <x:v>Sports</x:v>
      </x:c>
      <x:c r="E797" t="str">
        <x:v>Dumbbells</x:v>
      </x:c>
      <x:c r="F797" s="24" t="n">
        <x:v>136.33</x:v>
      </x:c>
      <x:c r="G797" t="str">
        <x:v>Autumn</x:v>
      </x:c>
      <x:c r="H797" t="str">
        <x:v>Card</x:v>
      </x:c>
      <x:c r="I797" t="n">
        <x:v>4.6</x:v>
      </x:c>
      <x:c r="J797" t="n">
        <x:v>15</x:v>
      </x:c>
      <x:c r="K797" t="n">
        <x:v>5</x:v>
      </x:c>
      <x:c r="L797" t="str">
        <x:v>STORE-001</x:v>
      </x:c>
      <x:c r="M797" s="22" t="n">
        <x:v>46111</x:v>
      </x:c>
      <x:c r="N797" t="str">
        <x:v>SKU-005</x:v>
      </x:c>
      <x:c r="O797" t="n">
        <x:v>1</x:v>
      </x:c>
      <x:c r="P797" s="26" t="n">
        <x:f>F797/O797</x:f>
        <x:v>136.33</x:v>
      </x:c>
    </x:row>
    <x:row r="798">
      <x:c r="A798" t="n">
        <x:v>797</x:v>
      </x:c>
      <x:c r="B798" t="n">
        <x:v>67</x:v>
      </x:c>
      <x:c r="C798" t="str">
        <x:v>Male</x:v>
      </x:c>
      <x:c r="D798" t="str">
        <x:v>Electronics</x:v>
      </x:c>
      <x:c r="E798" t="str">
        <x:v>Laptop</x:v>
      </x:c>
      <x:c r="F798" s="24" t="n">
        <x:v>2406.63</x:v>
      </x:c>
      <x:c r="G798" t="str">
        <x:v>Winter</x:v>
      </x:c>
      <x:c r="H798" t="str">
        <x:v>Card</x:v>
      </x:c>
      <x:c r="I798" t="n">
        <x:v>3.2</x:v>
      </x:c>
      <x:c r="J798" t="n">
        <x:v>16</x:v>
      </x:c>
      <x:c r="K798" t="n">
        <x:v>3</x:v>
      </x:c>
      <x:c r="L798" t="str">
        <x:v>STORE-001</x:v>
      </x:c>
      <x:c r="M798" s="22" t="n">
        <x:v>46255</x:v>
      </x:c>
      <x:c r="N798" t="str">
        <x:v>SKU-014</x:v>
      </x:c>
      <x:c r="O798" t="n">
        <x:v>1</x:v>
      </x:c>
      <x:c r="P798" s="26" t="n">
        <x:f>F798/O798</x:f>
        <x:v>2406.63</x:v>
      </x:c>
    </x:row>
    <x:row r="799">
      <x:c r="A799" t="n">
        <x:v>798</x:v>
      </x:c>
      <x:c r="B799" t="n">
        <x:v>27</x:v>
      </x:c>
      <x:c r="C799" t="str">
        <x:v>Male</x:v>
      </x:c>
      <x:c r="D799" t="str">
        <x:v>Footwear</x:v>
      </x:c>
      <x:c r="E799" t="str">
        <x:v>Sneakers</x:v>
      </x:c>
      <x:c r="F799" s="24" t="n">
        <x:v>172.16</x:v>
      </x:c>
      <x:c r="G799" t="str">
        <x:v>Winter</x:v>
      </x:c>
      <x:c r="H799" t="str">
        <x:v>Card</x:v>
      </x:c>
      <x:c r="I799" t="n">
        <x:v>3.4</x:v>
      </x:c>
      <x:c r="J799" t="n">
        <x:v>14</x:v>
      </x:c>
      <x:c r="K799" t="n">
        <x:v>7</x:v>
      </x:c>
      <x:c r="L799" t="str">
        <x:v>STORE-001</x:v>
      </x:c>
      <x:c r="M799" s="22" t="n">
        <x:v>46233</x:v>
      </x:c>
      <x:c r="N799" t="str">
        <x:v>SKU-025</x:v>
      </x:c>
      <x:c r="O799" t="n">
        <x:v>1</x:v>
      </x:c>
      <x:c r="P799" s="26" t="n">
        <x:f>F799/O799</x:f>
        <x:v>172.16</x:v>
      </x:c>
    </x:row>
    <x:row r="800">
      <x:c r="A800" t="n">
        <x:v>799</x:v>
      </x:c>
      <x:c r="B800" t="n">
        <x:v>69</x:v>
      </x:c>
      <x:c r="C800" t="str">
        <x:v>Male</x:v>
      </x:c>
      <x:c r="D800" t="str">
        <x:v>Footwear</x:v>
      </x:c>
      <x:c r="E800" t="str">
        <x:v>Sneakers</x:v>
      </x:c>
      <x:c r="F800" s="24" t="n">
        <x:v>242.66</x:v>
      </x:c>
      <x:c r="G800" t="str">
        <x:v>Spring</x:v>
      </x:c>
      <x:c r="H800" t="str">
        <x:v>Card</x:v>
      </x:c>
      <x:c r="I800" t="n">
        <x:v>5</x:v>
      </x:c>
      <x:c r="J800" t="n">
        <x:v>2</x:v>
      </x:c>
      <x:c r="K800" t="n">
        <x:v>1</x:v>
      </x:c>
      <x:c r="L800" t="str">
        <x:v>STORE-001</x:v>
      </x:c>
      <x:c r="M800" s="22" t="n">
        <x:v>46281</x:v>
      </x:c>
      <x:c r="N800" t="str">
        <x:v>SKU-025</x:v>
      </x:c>
      <x:c r="O800" t="n">
        <x:v>1</x:v>
      </x:c>
      <x:c r="P800" s="26" t="n">
        <x:f>F800/O800</x:f>
        <x:v>242.66</x:v>
      </x:c>
    </x:row>
    <x:row r="801">
      <x:c r="A801" t="n">
        <x:v>800</x:v>
      </x:c>
      <x:c r="B801" t="n">
        <x:v>64</x:v>
      </x:c>
      <x:c r="C801" t="str">
        <x:v>Male</x:v>
      </x:c>
      <x:c r="D801" t="str">
        <x:v>Sports</x:v>
      </x:c>
      <x:c r="E801" t="str">
        <x:v>Football</x:v>
      </x:c>
      <x:c r="F801" s="24" t="n">
        <x:v>99.39</x:v>
      </x:c>
      <x:c r="G801" t="str">
        <x:v>Autumn</x:v>
      </x:c>
      <x:c r="H801" t="str">
        <x:v>Card</x:v>
      </x:c>
      <x:c r="I801" t="n">
        <x:v>3.6</x:v>
      </x:c>
      <x:c r="J801" t="n">
        <x:v>16</x:v>
      </x:c>
      <x:c r="K801" t="n">
        <x:v>8</x:v>
      </x:c>
      <x:c r="L801" t="str">
        <x:v>STORE-001</x:v>
      </x:c>
      <x:c r="M801" s="22" t="n">
        <x:v>46172</x:v>
      </x:c>
      <x:c r="N801" t="str">
        <x:v>SKU-006</x:v>
      </x:c>
      <x:c r="O801" t="n">
        <x:v>1</x:v>
      </x:c>
      <x:c r="P801" s="26" t="n">
        <x:f>F801/O801</x:f>
        <x:v>99.39</x:v>
      </x:c>
    </x:row>
    <x:row r="802">
      <x:c r="A802" t="n">
        <x:v>801</x:v>
      </x:c>
      <x:c r="B802" t="n">
        <x:v>62</x:v>
      </x:c>
      <x:c r="C802" t="str">
        <x:v>Female</x:v>
      </x:c>
      <x:c r="D802" t="str">
        <x:v>Beauty</x:v>
      </x:c>
      <x:c r="E802" t="str">
        <x:v>Perfume</x:v>
      </x:c>
      <x:c r="F802" s="24" t="n">
        <x:v>36.87</x:v>
      </x:c>
      <x:c r="G802" t="str">
        <x:v>Winter</x:v>
      </x:c>
      <x:c r="H802" t="str">
        <x:v>Card</x:v>
      </x:c>
      <x:c r="I802" t="n">
        <x:v>4.7</x:v>
      </x:c>
      <x:c r="J802" t="n">
        <x:v>23</x:v>
      </x:c>
      <x:c r="K802" t="n">
        <x:v>9</x:v>
      </x:c>
      <x:c r="L802" t="str">
        <x:v>STORE-001</x:v>
      </x:c>
      <x:c r="M802" s="22" t="n">
        <x:v>46190</x:v>
      </x:c>
      <x:c r="N802" t="str">
        <x:v>SKU-017</x:v>
      </x:c>
      <x:c r="O802" t="n">
        <x:v>1</x:v>
      </x:c>
      <x:c r="P802" s="26" t="n">
        <x:f>F802/O802</x:f>
        <x:v>36.87</x:v>
      </x:c>
    </x:row>
    <x:row r="803">
      <x:c r="A803" t="n">
        <x:v>802</x:v>
      </x:c>
      <x:c r="B803" t="n">
        <x:v>55</x:v>
      </x:c>
      <x:c r="C803" t="str">
        <x:v>Male</x:v>
      </x:c>
      <x:c r="D803" t="str">
        <x:v>Electronics</x:v>
      </x:c>
      <x:c r="E803" t="str">
        <x:v>Laptop</x:v>
      </x:c>
      <x:c r="F803" s="24" t="n">
        <x:v>2855.84</x:v>
      </x:c>
      <x:c r="G803" t="str">
        <x:v>Autumn</x:v>
      </x:c>
      <x:c r="H803" t="str">
        <x:v>Card</x:v>
      </x:c>
      <x:c r="I803" t="n">
        <x:v>3.7</x:v>
      </x:c>
      <x:c r="J803" t="n">
        <x:v>11</x:v>
      </x:c>
      <x:c r="K803" t="n">
        <x:v>3</x:v>
      </x:c>
      <x:c r="L803" t="str">
        <x:v>STORE-001</x:v>
      </x:c>
      <x:c r="M803" s="22" t="n">
        <x:v>46105</x:v>
      </x:c>
      <x:c r="N803" t="str">
        <x:v>SKU-014</x:v>
      </x:c>
      <x:c r="O803" t="n">
        <x:v>2</x:v>
      </x:c>
      <x:c r="P803" s="26" t="n">
        <x:f>F803/O803</x:f>
        <x:v>1427.92</x:v>
      </x:c>
    </x:row>
    <x:row r="804">
      <x:c r="A804" t="n">
        <x:v>803</x:v>
      </x:c>
      <x:c r="B804" t="n">
        <x:v>49</x:v>
      </x:c>
      <x:c r="C804" t="str">
        <x:v>Female</x:v>
      </x:c>
      <x:c r="D804" t="str">
        <x:v>Accessories</x:v>
      </x:c>
      <x:c r="E804" t="str">
        <x:v>Handbag</x:v>
      </x:c>
      <x:c r="F804" s="24" t="n">
        <x:v>135.05</x:v>
      </x:c>
      <x:c r="G804" t="str">
        <x:v>Spring</x:v>
      </x:c>
      <x:c r="H804" t="str">
        <x:v>Card</x:v>
      </x:c>
      <x:c r="I804" t="n">
        <x:v>2.9</x:v>
      </x:c>
      <x:c r="J804" t="n">
        <x:v>6</x:v>
      </x:c>
      <x:c r="K804" t="n">
        <x:v>3</x:v>
      </x:c>
      <x:c r="L804" t="str">
        <x:v>STORE-001</x:v>
      </x:c>
      <x:c r="M804" s="22" t="n">
        <x:v>46281</x:v>
      </x:c>
      <x:c r="N804" t="str">
        <x:v>SKU-008</x:v>
      </x:c>
      <x:c r="O804" t="n">
        <x:v>2</x:v>
      </x:c>
      <x:c r="P804" s="26" t="n">
        <x:f>F804/O804</x:f>
        <x:v>67.525</x:v>
      </x:c>
    </x:row>
    <x:row r="805">
      <x:c r="A805" t="n">
        <x:v>804</x:v>
      </x:c>
      <x:c r="B805" t="n">
        <x:v>34</x:v>
      </x:c>
      <x:c r="C805" t="str">
        <x:v>Male</x:v>
      </x:c>
      <x:c r="D805" t="str">
        <x:v>Sports</x:v>
      </x:c>
      <x:c r="E805" t="str">
        <x:v>Football</x:v>
      </x:c>
      <x:c r="F805" s="24" t="n">
        <x:v>49.52</x:v>
      </x:c>
      <x:c r="G805" t="str">
        <x:v>Spring</x:v>
      </x:c>
      <x:c r="H805" t="str">
        <x:v>Cash on Delivery</x:v>
      </x:c>
      <x:c r="I805" t="n">
        <x:v>2.3</x:v>
      </x:c>
      <x:c r="J805" t="n">
        <x:v>9</x:v>
      </x:c>
      <x:c r="K805" t="n">
        <x:v>2</x:v>
      </x:c>
      <x:c r="L805" t="str">
        <x:v>STORE-001</x:v>
      </x:c>
      <x:c r="M805" s="22" t="n">
        <x:v>46278</x:v>
      </x:c>
      <x:c r="N805" t="str">
        <x:v>SKU-006</x:v>
      </x:c>
      <x:c r="O805" t="n">
        <x:v>1</x:v>
      </x:c>
      <x:c r="P805" s="26" t="n">
        <x:f>F805/O805</x:f>
        <x:v>49.52</x:v>
      </x:c>
    </x:row>
    <x:row r="806">
      <x:c r="A806" t="n">
        <x:v>805</x:v>
      </x:c>
      <x:c r="B806" t="n">
        <x:v>42</x:v>
      </x:c>
      <x:c r="C806" t="str">
        <x:v>Male</x:v>
      </x:c>
      <x:c r="D806" t="str">
        <x:v>Footwear</x:v>
      </x:c>
      <x:c r="E806" t="str">
        <x:v>Sneakers</x:v>
      </x:c>
      <x:c r="F806" s="24" t="n">
        <x:v>161.18</x:v>
      </x:c>
      <x:c r="G806" t="str">
        <x:v>Spring</x:v>
      </x:c>
      <x:c r="H806" t="str">
        <x:v>Card</x:v>
      </x:c>
      <x:c r="I806" t="n">
        <x:v>4.5</x:v>
      </x:c>
      <x:c r="J806" t="n">
        <x:v>20</x:v>
      </x:c>
      <x:c r="K806" t="n">
        <x:v>5</x:v>
      </x:c>
      <x:c r="L806" t="str">
        <x:v>STORE-001</x:v>
      </x:c>
      <x:c r="M806" s="22" t="n">
        <x:v>46275</x:v>
      </x:c>
      <x:c r="N806" t="str">
        <x:v>SKU-025</x:v>
      </x:c>
      <x:c r="O806" t="n">
        <x:v>2</x:v>
      </x:c>
      <x:c r="P806" s="26" t="n">
        <x:f>F806/O806</x:f>
        <x:v>80.59</x:v>
      </x:c>
    </x:row>
    <x:row r="807">
      <x:c r="A807" t="n">
        <x:v>806</x:v>
      </x:c>
      <x:c r="B807" t="n">
        <x:v>70</x:v>
      </x:c>
      <x:c r="C807" t="str">
        <x:v>Female</x:v>
      </x:c>
      <x:c r="D807" t="str">
        <x:v>Groceries</x:v>
      </x:c>
      <x:c r="E807" t="str">
        <x:v>Cooking Oil</x:v>
      </x:c>
      <x:c r="F807" s="24" t="n">
        <x:v>36.3</x:v>
      </x:c>
      <x:c r="G807" t="str">
        <x:v>Winter</x:v>
      </x:c>
      <x:c r="H807" t="str">
        <x:v>Card</x:v>
      </x:c>
      <x:c r="I807" t="n">
        <x:v>3.1</x:v>
      </x:c>
      <x:c r="J807" t="n">
        <x:v>12</x:v>
      </x:c>
      <x:c r="K807" t="n">
        <x:v>6</x:v>
      </x:c>
      <x:c r="L807" t="str">
        <x:v>STORE-001</x:v>
      </x:c>
      <x:c r="M807" s="22" t="n">
        <x:v>46188</x:v>
      </x:c>
      <x:c r="N807" t="str">
        <x:v>SKU-002</x:v>
      </x:c>
      <x:c r="O807" t="n">
        <x:v>2</x:v>
      </x:c>
      <x:c r="P807" s="26" t="n">
        <x:f>F807/O807</x:f>
        <x:v>18.15</x:v>
      </x:c>
    </x:row>
    <x:row r="808">
      <x:c r="A808" t="n">
        <x:v>807</x:v>
      </x:c>
      <x:c r="B808" t="n">
        <x:v>42</x:v>
      </x:c>
      <x:c r="C808" t="str">
        <x:v>Male</x:v>
      </x:c>
      <x:c r="D808" t="str">
        <x:v>Electronics</x:v>
      </x:c>
      <x:c r="E808" t="str">
        <x:v>Mobile Phone</x:v>
      </x:c>
      <x:c r="F808" s="24" t="n">
        <x:v>2889.05</x:v>
      </x:c>
      <x:c r="G808" t="str">
        <x:v>Spring</x:v>
      </x:c>
      <x:c r="H808" t="str">
        <x:v>Card</x:v>
      </x:c>
      <x:c r="I808" t="n">
        <x:v>4.1</x:v>
      </x:c>
      <x:c r="J808" t="n">
        <x:v>12</x:v>
      </x:c>
      <x:c r="K808" t="n">
        <x:v>1</x:v>
      </x:c>
      <x:c r="L808" t="str">
        <x:v>STORE-001</x:v>
      </x:c>
      <x:c r="M808" s="22" t="n">
        <x:v>46294</x:v>
      </x:c>
      <x:c r="N808" t="str">
        <x:v>SKU-016</x:v>
      </x:c>
      <x:c r="O808" t="n">
        <x:v>1</x:v>
      </x:c>
      <x:c r="P808" s="26" t="n">
        <x:f>F808/O808</x:f>
        <x:v>2889.05</x:v>
      </x:c>
    </x:row>
    <x:row r="809">
      <x:c r="A809" t="n">
        <x:v>808</x:v>
      </x:c>
      <x:c r="B809" t="n">
        <x:v>49</x:v>
      </x:c>
      <x:c r="C809" t="str">
        <x:v>Female</x:v>
      </x:c>
      <x:c r="D809" t="str">
        <x:v>Footwear</x:v>
      </x:c>
      <x:c r="E809" t="str">
        <x:v>Formal Shoes</x:v>
      </x:c>
      <x:c r="F809" s="24" t="n">
        <x:v>185.74</x:v>
      </x:c>
      <x:c r="G809" t="str">
        <x:v>Spring</x:v>
      </x:c>
      <x:c r="H809" t="str">
        <x:v>Card</x:v>
      </x:c>
      <x:c r="I809" t="n">
        <x:v>2.5</x:v>
      </x:c>
      <x:c r="J809" t="n">
        <x:v>13</x:v>
      </x:c>
      <x:c r="K809" t="n">
        <x:v>4</x:v>
      </x:c>
      <x:c r="L809" t="str">
        <x:v>STORE-001</x:v>
      </x:c>
      <x:c r="M809" s="22" t="n">
        <x:v>46290</x:v>
      </x:c>
      <x:c r="N809" t="str">
        <x:v>SKU-007</x:v>
      </x:c>
      <x:c r="O809" t="n">
        <x:v>1</x:v>
      </x:c>
      <x:c r="P809" s="26" t="n">
        <x:f>F809/O809</x:f>
        <x:v>185.74</x:v>
      </x:c>
    </x:row>
    <x:row r="810">
      <x:c r="A810" t="n">
        <x:v>809</x:v>
      </x:c>
      <x:c r="B810" t="n">
        <x:v>57</x:v>
      </x:c>
      <x:c r="C810" t="str">
        <x:v>Female</x:v>
      </x:c>
      <x:c r="D810" t="str">
        <x:v>Womens Clothing</x:v>
      </x:c>
      <x:c r="E810" t="str">
        <x:v>Dress</x:v>
      </x:c>
      <x:c r="F810" s="24" t="n">
        <x:v>149.82</x:v>
      </x:c>
      <x:c r="G810" t="str">
        <x:v>Spring</x:v>
      </x:c>
      <x:c r="H810" t="str">
        <x:v>Card</x:v>
      </x:c>
      <x:c r="I810" t="n">
        <x:v>3.3</x:v>
      </x:c>
      <x:c r="J810" t="n">
        <x:v>16</x:v>
      </x:c>
      <x:c r="K810" t="n">
        <x:v>8</x:v>
      </x:c>
      <x:c r="L810" t="str">
        <x:v>STORE-001</x:v>
      </x:c>
      <x:c r="M810" s="22" t="n">
        <x:v>46291</x:v>
      </x:c>
      <x:c r="N810" t="str">
        <x:v>SKU-004</x:v>
      </x:c>
      <x:c r="O810" t="n">
        <x:v>1</x:v>
      </x:c>
      <x:c r="P810" s="26" t="n">
        <x:f>F810/O810</x:f>
        <x:v>149.82</x:v>
      </x:c>
    </x:row>
    <x:row r="811">
      <x:c r="A811" t="n">
        <x:v>810</x:v>
      </x:c>
      <x:c r="B811" t="n">
        <x:v>45</x:v>
      </x:c>
      <x:c r="C811" t="str">
        <x:v>Female</x:v>
      </x:c>
      <x:c r="D811" t="str">
        <x:v>Sports</x:v>
      </x:c>
      <x:c r="E811" t="str">
        <x:v>Yoga Mat</x:v>
      </x:c>
      <x:c r="F811" s="24" t="n">
        <x:v>159.87</x:v>
      </x:c>
      <x:c r="G811" t="str">
        <x:v>Winter</x:v>
      </x:c>
      <x:c r="H811" t="str">
        <x:v>Card</x:v>
      </x:c>
      <x:c r="I811" t="n">
        <x:v>3.6</x:v>
      </x:c>
      <x:c r="J811" t="n">
        <x:v>11</x:v>
      </x:c>
      <x:c r="K811" t="n">
        <x:v>3</x:v>
      </x:c>
      <x:c r="L811" t="str">
        <x:v>STORE-001</x:v>
      </x:c>
      <x:c r="M811" s="22" t="n">
        <x:v>46211</x:v>
      </x:c>
      <x:c r="N811" t="str">
        <x:v>SKU-030</x:v>
      </x:c>
      <x:c r="O811" t="n">
        <x:v>1</x:v>
      </x:c>
      <x:c r="P811" s="26" t="n">
        <x:f>F811/O811</x:f>
        <x:v>159.87</x:v>
      </x:c>
    </x:row>
    <x:row r="812">
      <x:c r="A812" t="n">
        <x:v>811</x:v>
      </x:c>
      <x:c r="B812" t="n">
        <x:v>47</x:v>
      </x:c>
      <x:c r="C812" t="str">
        <x:v>Female</x:v>
      </x:c>
      <x:c r="D812" t="str">
        <x:v>Footwear</x:v>
      </x:c>
      <x:c r="E812" t="str">
        <x:v>Sneakers</x:v>
      </x:c>
      <x:c r="F812" s="24" t="n">
        <x:v>116.66</x:v>
      </x:c>
      <x:c r="G812" t="str">
        <x:v>Spring</x:v>
      </x:c>
      <x:c r="H812" t="str">
        <x:v>Card</x:v>
      </x:c>
      <x:c r="I812" t="n">
        <x:v>4.1</x:v>
      </x:c>
      <x:c r="J812" t="n">
        <x:v>16</x:v>
      </x:c>
      <x:c r="K812" t="n">
        <x:v>8</x:v>
      </x:c>
      <x:c r="L812" t="str">
        <x:v>STORE-001</x:v>
      </x:c>
      <x:c r="M812" s="22" t="n">
        <x:v>45974</x:v>
      </x:c>
      <x:c r="N812" t="str">
        <x:v>SKU-025</x:v>
      </x:c>
      <x:c r="O812" t="n">
        <x:v>1</x:v>
      </x:c>
      <x:c r="P812" s="26" t="n">
        <x:f>F812/O812</x:f>
        <x:v>116.66</x:v>
      </x:c>
    </x:row>
    <x:row r="813">
      <x:c r="A813" t="n">
        <x:v>812</x:v>
      </x:c>
      <x:c r="B813" t="n">
        <x:v>60</x:v>
      </x:c>
      <x:c r="C813" t="str">
        <x:v>Male</x:v>
      </x:c>
      <x:c r="D813" t="str">
        <x:v>Footwear</x:v>
      </x:c>
      <x:c r="E813" t="str">
        <x:v>Formal Shoes</x:v>
      </x:c>
      <x:c r="F813" s="24" t="n">
        <x:v>69.97</x:v>
      </x:c>
      <x:c r="G813" t="str">
        <x:v>Winter</x:v>
      </x:c>
      <x:c r="H813" t="str">
        <x:v>Card</x:v>
      </x:c>
      <x:c r="I813" t="n">
        <x:v>4.6</x:v>
      </x:c>
      <x:c r="J813" t="n">
        <x:v>24</x:v>
      </x:c>
      <x:c r="K813" t="n">
        <x:v>7</x:v>
      </x:c>
      <x:c r="L813" t="str">
        <x:v>STORE-001</x:v>
      </x:c>
      <x:c r="M813" s="22" t="n">
        <x:v>46250</x:v>
      </x:c>
      <x:c r="N813" t="str">
        <x:v>SKU-007</x:v>
      </x:c>
      <x:c r="O813" t="n">
        <x:v>1</x:v>
      </x:c>
      <x:c r="P813" s="26" t="n">
        <x:f>F813/O813</x:f>
        <x:v>69.97</x:v>
      </x:c>
    </x:row>
    <x:row r="814">
      <x:c r="A814" t="n">
        <x:v>813</x:v>
      </x:c>
      <x:c r="B814" t="n">
        <x:v>43</x:v>
      </x:c>
      <x:c r="C814" t="str">
        <x:v>Female</x:v>
      </x:c>
      <x:c r="D814" t="str">
        <x:v>Footwear</x:v>
      </x:c>
      <x:c r="E814" t="str">
        <x:v>Sneakers</x:v>
      </x:c>
      <x:c r="F814" s="24" t="n">
        <x:v>243.54</x:v>
      </x:c>
      <x:c r="G814" t="str">
        <x:v>Winter</x:v>
      </x:c>
      <x:c r="H814" t="str">
        <x:v>Card</x:v>
      </x:c>
      <x:c r="I814" t="n">
        <x:v>4.1</x:v>
      </x:c>
      <x:c r="J814" t="n">
        <x:v>22</x:v>
      </x:c>
      <x:c r="K814" t="n">
        <x:v>6</x:v>
      </x:c>
      <x:c r="L814" t="str">
        <x:v>STORE-001</x:v>
      </x:c>
      <x:c r="M814" s="22" t="n">
        <x:v>46225</x:v>
      </x:c>
      <x:c r="N814" t="str">
        <x:v>SKU-025</x:v>
      </x:c>
      <x:c r="O814" t="n">
        <x:v>1</x:v>
      </x:c>
      <x:c r="P814" s="26" t="n">
        <x:f>F814/O814</x:f>
        <x:v>243.54</x:v>
      </x:c>
    </x:row>
    <x:row r="815">
      <x:c r="A815" t="n">
        <x:v>814</x:v>
      </x:c>
      <x:c r="B815" t="n">
        <x:v>64</x:v>
      </x:c>
      <x:c r="C815" t="str">
        <x:v>Male</x:v>
      </x:c>
      <x:c r="D815" t="str">
        <x:v>Sports</x:v>
      </x:c>
      <x:c r="E815" t="str">
        <x:v>Football</x:v>
      </x:c>
      <x:c r="F815" s="24" t="n">
        <x:v>182</x:v>
      </x:c>
      <x:c r="G815" t="str">
        <x:v>Summer</x:v>
      </x:c>
      <x:c r="H815" t="str">
        <x:v>Card</x:v>
      </x:c>
      <x:c r="I815" t="n">
        <x:v>4.5</x:v>
      </x:c>
      <x:c r="J815" t="n">
        <x:v>11</x:v>
      </x:c>
      <x:c r="K815" t="n">
        <x:v>3</x:v>
      </x:c>
      <x:c r="L815" t="str">
        <x:v>STORE-001</x:v>
      </x:c>
      <x:c r="M815" s="22" t="n">
        <x:v>46020</x:v>
      </x:c>
      <x:c r="N815" t="str">
        <x:v>SKU-006</x:v>
      </x:c>
      <x:c r="O815" t="n">
        <x:v>1</x:v>
      </x:c>
      <x:c r="P815" s="26" t="n">
        <x:f>F815/O815</x:f>
        <x:v>182</x:v>
      </x:c>
    </x:row>
    <x:row r="816">
      <x:c r="A816" t="n">
        <x:v>815</x:v>
      </x:c>
      <x:c r="B816" t="n">
        <x:v>55</x:v>
      </x:c>
      <x:c r="C816" t="str">
        <x:v>Female</x:v>
      </x:c>
      <x:c r="D816" t="str">
        <x:v>Beauty</x:v>
      </x:c>
      <x:c r="E816" t="str">
        <x:v>Makeup Set</x:v>
      </x:c>
      <x:c r="F816" s="24" t="n">
        <x:v>129.26</x:v>
      </x:c>
      <x:c r="G816" t="str">
        <x:v>Spring</x:v>
      </x:c>
      <x:c r="H816" t="str">
        <x:v>Card</x:v>
      </x:c>
      <x:c r="I816" t="n">
        <x:v>3.2</x:v>
      </x:c>
      <x:c r="J816" t="n">
        <x:v>8</x:v>
      </x:c>
      <x:c r="K816" t="n">
        <x:v>4</x:v>
      </x:c>
      <x:c r="L816" t="str">
        <x:v>STORE-001</x:v>
      </x:c>
      <x:c r="M816" s="22" t="n">
        <x:v>45990</x:v>
      </x:c>
      <x:c r="N816" t="str">
        <x:v>SKU-015</x:v>
      </x:c>
      <x:c r="O816" t="n">
        <x:v>2</x:v>
      </x:c>
      <x:c r="P816" s="26" t="n">
        <x:f>F816/O816</x:f>
        <x:v>64.63</x:v>
      </x:c>
    </x:row>
    <x:row r="817">
      <x:c r="A817" t="n">
        <x:v>816</x:v>
      </x:c>
      <x:c r="B817" t="n">
        <x:v>62</x:v>
      </x:c>
      <x:c r="C817" t="str">
        <x:v>Female</x:v>
      </x:c>
      <x:c r="D817" t="str">
        <x:v>Footwear</x:v>
      </x:c>
      <x:c r="E817" t="str">
        <x:v>Formal Shoes</x:v>
      </x:c>
      <x:c r="F817" s="24" t="n">
        <x:v>199.51</x:v>
      </x:c>
      <x:c r="G817" t="str">
        <x:v>Spring</x:v>
      </x:c>
      <x:c r="H817" t="str">
        <x:v>Card</x:v>
      </x:c>
      <x:c r="I817" t="n">
        <x:v>5</x:v>
      </x:c>
      <x:c r="J817" t="n">
        <x:v>26</x:v>
      </x:c>
      <x:c r="K817" t="n">
        <x:v>13</x:v>
      </x:c>
      <x:c r="L817" t="str">
        <x:v>STORE-001</x:v>
      </x:c>
      <x:c r="M817" s="22" t="n">
        <x:v>45991</x:v>
      </x:c>
      <x:c r="N817" t="str">
        <x:v>SKU-007</x:v>
      </x:c>
      <x:c r="O817" t="n">
        <x:v>1</x:v>
      </x:c>
      <x:c r="P817" s="26" t="n">
        <x:f>F817/O817</x:f>
        <x:v>199.51</x:v>
      </x:c>
    </x:row>
    <x:row r="818">
      <x:c r="A818" t="n">
        <x:v>817</x:v>
      </x:c>
      <x:c r="B818" t="n">
        <x:v>48</x:v>
      </x:c>
      <x:c r="C818" t="str">
        <x:v>Female</x:v>
      </x:c>
      <x:c r="D818" t="str">
        <x:v>Groceries</x:v>
      </x:c>
      <x:c r="E818" t="str">
        <x:v>Snacks</x:v>
      </x:c>
      <x:c r="F818" s="24" t="n">
        <x:v>42.88</x:v>
      </x:c>
      <x:c r="G818" t="str">
        <x:v>Summer</x:v>
      </x:c>
      <x:c r="H818" t="str">
        <x:v>Cash on Delivery</x:v>
      </x:c>
      <x:c r="I818" t="n">
        <x:v>3.9</x:v>
      </x:c>
      <x:c r="J818" t="n">
        <x:v>22</x:v>
      </x:c>
      <x:c r="K818" t="n">
        <x:v>6</x:v>
      </x:c>
      <x:c r="L818" t="str">
        <x:v>STORE-001</x:v>
      </x:c>
      <x:c r="M818" s="22" t="n">
        <x:v>46005</x:v>
      </x:c>
      <x:c r="N818" t="str">
        <x:v>SKU-024</x:v>
      </x:c>
      <x:c r="O818" t="n">
        <x:v>2</x:v>
      </x:c>
      <x:c r="P818" s="26" t="n">
        <x:f>F818/O818</x:f>
        <x:v>21.44</x:v>
      </x:c>
    </x:row>
    <x:row r="819">
      <x:c r="A819" t="n">
        <x:v>818</x:v>
      </x:c>
      <x:c r="B819" t="n">
        <x:v>65</x:v>
      </x:c>
      <x:c r="C819" t="str">
        <x:v>Female</x:v>
      </x:c>
      <x:c r="D819" t="str">
        <x:v>Womens Clothing</x:v>
      </x:c>
      <x:c r="E819" t="str">
        <x:v>Skirt</x:v>
      </x:c>
      <x:c r="F819" s="24" t="n">
        <x:v>108.5</x:v>
      </x:c>
      <x:c r="G819" t="str">
        <x:v>Summer</x:v>
      </x:c>
      <x:c r="H819" t="str">
        <x:v>Card</x:v>
      </x:c>
      <x:c r="I819" t="n">
        <x:v>3.4</x:v>
      </x:c>
      <x:c r="J819" t="n">
        <x:v>16</x:v>
      </x:c>
      <x:c r="K819" t="n">
        <x:v>8</x:v>
      </x:c>
      <x:c r="L819" t="str">
        <x:v>STORE-001</x:v>
      </x:c>
      <x:c r="M819" s="22" t="n">
        <x:v>45994</x:v>
      </x:c>
      <x:c r="N819" t="str">
        <x:v>SKU-022</x:v>
      </x:c>
      <x:c r="O819" t="n">
        <x:v>2</x:v>
      </x:c>
      <x:c r="P819" s="26" t="n">
        <x:f>F819/O819</x:f>
        <x:v>54.25</x:v>
      </x:c>
    </x:row>
    <x:row r="820">
      <x:c r="A820" t="n">
        <x:v>819</x:v>
      </x:c>
      <x:c r="B820" t="n">
        <x:v>27</x:v>
      </x:c>
      <x:c r="C820" t="str">
        <x:v>Female</x:v>
      </x:c>
      <x:c r="D820" t="str">
        <x:v>Beauty</x:v>
      </x:c>
      <x:c r="E820" t="str">
        <x:v>Makeup Set</x:v>
      </x:c>
      <x:c r="F820" s="24" t="n">
        <x:v>38.35</x:v>
      </x:c>
      <x:c r="G820" t="str">
        <x:v>Summer</x:v>
      </x:c>
      <x:c r="H820" t="str">
        <x:v>Cash on Delivery</x:v>
      </x:c>
      <x:c r="I820" t="n">
        <x:v>5</x:v>
      </x:c>
      <x:c r="J820" t="n">
        <x:v>13</x:v>
      </x:c>
      <x:c r="K820" t="n">
        <x:v>4</x:v>
      </x:c>
      <x:c r="L820" t="str">
        <x:v>STORE-001</x:v>
      </x:c>
      <x:c r="M820" s="22" t="n">
        <x:v>46031</x:v>
      </x:c>
      <x:c r="N820" t="str">
        <x:v>SKU-015</x:v>
      </x:c>
      <x:c r="O820" t="n">
        <x:v>1</x:v>
      </x:c>
      <x:c r="P820" s="26" t="n">
        <x:f>F820/O820</x:f>
        <x:v>38.35</x:v>
      </x:c>
    </x:row>
    <x:row r="821">
      <x:c r="A821" t="n">
        <x:v>820</x:v>
      </x:c>
      <x:c r="B821" t="n">
        <x:v>68</x:v>
      </x:c>
      <x:c r="C821" t="str">
        <x:v>Female</x:v>
      </x:c>
      <x:c r="D821" t="str">
        <x:v>Groceries</x:v>
      </x:c>
      <x:c r="E821" t="str">
        <x:v>Rice Pack</x:v>
      </x:c>
      <x:c r="F821" s="24" t="n">
        <x:v>28.85</x:v>
      </x:c>
      <x:c r="G821" t="str">
        <x:v>Summer</x:v>
      </x:c>
      <x:c r="H821" t="str">
        <x:v>Card</x:v>
      </x:c>
      <x:c r="I821" t="n">
        <x:v>4.4</x:v>
      </x:c>
      <x:c r="J821" t="n">
        <x:v>17</x:v>
      </x:c>
      <x:c r="K821" t="n">
        <x:v>6</x:v>
      </x:c>
      <x:c r="L821" t="str">
        <x:v>STORE-001</x:v>
      </x:c>
      <x:c r="M821" s="22" t="n">
        <x:v>46065</x:v>
      </x:c>
      <x:c r="N821" t="str">
        <x:v>SKU-018</x:v>
      </x:c>
      <x:c r="O821" t="n">
        <x:v>5</x:v>
      </x:c>
      <x:c r="P821" s="26" t="n">
        <x:f>F821/O821</x:f>
        <x:v>5.7700000000000005</x:v>
      </x:c>
    </x:row>
    <x:row r="822">
      <x:c r="A822" t="n">
        <x:v>821</x:v>
      </x:c>
      <x:c r="B822" t="n">
        <x:v>64</x:v>
      </x:c>
      <x:c r="C822" t="str">
        <x:v>Male</x:v>
      </x:c>
      <x:c r="D822" t="str">
        <x:v>Electronics</x:v>
      </x:c>
      <x:c r="E822" t="str">
        <x:v>Laptop</x:v>
      </x:c>
      <x:c r="F822" s="24" t="n">
        <x:v>1305.74</x:v>
      </x:c>
      <x:c r="G822" t="str">
        <x:v>Summer</x:v>
      </x:c>
      <x:c r="H822" t="str">
        <x:v>Card</x:v>
      </x:c>
      <x:c r="I822" t="n">
        <x:v>4.8</x:v>
      </x:c>
      <x:c r="J822" t="n">
        <x:v>12</x:v>
      </x:c>
      <x:c r="K822" t="n">
        <x:v>6</x:v>
      </x:c>
      <x:c r="L822" t="str">
        <x:v>STORE-001</x:v>
      </x:c>
      <x:c r="M822" s="22" t="n">
        <x:v>46002</x:v>
      </x:c>
      <x:c r="N822" t="str">
        <x:v>SKU-014</x:v>
      </x:c>
      <x:c r="O822" t="n">
        <x:v>1</x:v>
      </x:c>
      <x:c r="P822" s="26" t="n">
        <x:f>F822/O822</x:f>
        <x:v>1305.74</x:v>
      </x:c>
    </x:row>
    <x:row r="823">
      <x:c r="A823" t="n">
        <x:v>822</x:v>
      </x:c>
      <x:c r="B823" t="n">
        <x:v>31</x:v>
      </x:c>
      <x:c r="C823" t="str">
        <x:v>Male</x:v>
      </x:c>
      <x:c r="D823" t="str">
        <x:v>Electronics</x:v>
      </x:c>
      <x:c r="E823" t="str">
        <x:v>Mobile Phone</x:v>
      </x:c>
      <x:c r="F823" s="24" t="n">
        <x:v>2370.99</x:v>
      </x:c>
      <x:c r="G823" t="str">
        <x:v>Spring</x:v>
      </x:c>
      <x:c r="H823" t="str">
        <x:v>Card</x:v>
      </x:c>
      <x:c r="I823" t="n">
        <x:v>3.6</x:v>
      </x:c>
      <x:c r="J823" t="n">
        <x:v>20</x:v>
      </x:c>
      <x:c r="K823" t="n">
        <x:v>5</x:v>
      </x:c>
      <x:c r="L823" t="str">
        <x:v>STORE-001</x:v>
      </x:c>
      <x:c r="M823" s="22" t="n">
        <x:v>46294</x:v>
      </x:c>
      <x:c r="N823" t="str">
        <x:v>SKU-016</x:v>
      </x:c>
      <x:c r="O823" t="n">
        <x:v>2</x:v>
      </x:c>
      <x:c r="P823" s="26" t="n">
        <x:f>F823/O823</x:f>
        <x:v>1185.495</x:v>
      </x:c>
    </x:row>
    <x:row r="824">
      <x:c r="A824" t="n">
        <x:v>823</x:v>
      </x:c>
      <x:c r="B824" t="n">
        <x:v>56</x:v>
      </x:c>
      <x:c r="C824" t="str">
        <x:v>Female</x:v>
      </x:c>
      <x:c r="D824" t="str">
        <x:v>Sports</x:v>
      </x:c>
      <x:c r="E824" t="str">
        <x:v>Football</x:v>
      </x:c>
      <x:c r="F824" s="24" t="n">
        <x:v>197.64</x:v>
      </x:c>
      <x:c r="G824" t="str">
        <x:v>Summer</x:v>
      </x:c>
      <x:c r="H824" t="str">
        <x:v>Card</x:v>
      </x:c>
      <x:c r="I824" t="n">
        <x:v>5</x:v>
      </x:c>
      <x:c r="J824" t="n">
        <x:v>22</x:v>
      </x:c>
      <x:c r="K824" t="n">
        <x:v>6</x:v>
      </x:c>
      <x:c r="L824" t="str">
        <x:v>STORE-001</x:v>
      </x:c>
      <x:c r="M824" s="22" t="n">
        <x:v>46066</x:v>
      </x:c>
      <x:c r="N824" t="str">
        <x:v>SKU-006</x:v>
      </x:c>
      <x:c r="O824" t="n">
        <x:v>1</x:v>
      </x:c>
      <x:c r="P824" s="26" t="n">
        <x:f>F824/O824</x:f>
        <x:v>197.64</x:v>
      </x:c>
    </x:row>
    <x:row r="825">
      <x:c r="A825" t="n">
        <x:v>824</x:v>
      </x:c>
      <x:c r="B825" t="n">
        <x:v>55</x:v>
      </x:c>
      <x:c r="C825" t="str">
        <x:v>Female</x:v>
      </x:c>
      <x:c r="D825" t="str">
        <x:v>Womens Clothing</x:v>
      </x:c>
      <x:c r="E825" t="str">
        <x:v>Top</x:v>
      </x:c>
      <x:c r="F825" s="24" t="n">
        <x:v>33.4</x:v>
      </x:c>
      <x:c r="G825" t="str">
        <x:v>Summer</x:v>
      </x:c>
      <x:c r="H825" t="str">
        <x:v>Cash on Delivery</x:v>
      </x:c>
      <x:c r="I825" t="n">
        <x:v>4.9</x:v>
      </x:c>
      <x:c r="J825" t="n">
        <x:v>14</x:v>
      </x:c>
      <x:c r="K825" t="n">
        <x:v>2</x:v>
      </x:c>
      <x:c r="L825" t="str">
        <x:v>STORE-001</x:v>
      </x:c>
      <x:c r="M825" s="22" t="n">
        <x:v>46055</x:v>
      </x:c>
      <x:c r="N825" t="str">
        <x:v>SKU-028</x:v>
      </x:c>
      <x:c r="O825" t="n">
        <x:v>1</x:v>
      </x:c>
      <x:c r="P825" s="26" t="n">
        <x:f>F825/O825</x:f>
        <x:v>33.4</x:v>
      </x:c>
    </x:row>
    <x:row r="826">
      <x:c r="A826" t="n">
        <x:v>825</x:v>
      </x:c>
      <x:c r="B826" t="n">
        <x:v>57</x:v>
      </x:c>
      <x:c r="C826" t="str">
        <x:v>Female</x:v>
      </x:c>
      <x:c r="D826" t="str">
        <x:v>Groceries</x:v>
      </x:c>
      <x:c r="E826" t="str">
        <x:v>Beverages</x:v>
      </x:c>
      <x:c r="F826" s="24" t="n">
        <x:v>68.77</x:v>
      </x:c>
      <x:c r="G826" t="str">
        <x:v>Spring</x:v>
      </x:c>
      <x:c r="H826" t="str">
        <x:v>Card</x:v>
      </x:c>
      <x:c r="I826" t="n">
        <x:v>4.2</x:v>
      </x:c>
      <x:c r="J826" t="n">
        <x:v>32</x:v>
      </x:c>
      <x:c r="K826" t="n">
        <x:v>11</x:v>
      </x:c>
      <x:c r="L826" t="str">
        <x:v>STORE-001</x:v>
      </x:c>
      <x:c r="M826" s="22" t="n">
        <x:v>45942</x:v>
      </x:c>
      <x:c r="N826" t="str">
        <x:v>SKU-001</x:v>
      </x:c>
      <x:c r="O826" t="n">
        <x:v>1</x:v>
      </x:c>
      <x:c r="P826" s="26" t="n">
        <x:f>F826/O826</x:f>
        <x:v>68.77</x:v>
      </x:c>
    </x:row>
    <x:row r="827">
      <x:c r="A827" t="n">
        <x:v>826</x:v>
      </x:c>
      <x:c r="B827" t="n">
        <x:v>36</x:v>
      </x:c>
      <x:c r="C827" t="str">
        <x:v>Female</x:v>
      </x:c>
      <x:c r="D827" t="str">
        <x:v>Womens Clothing</x:v>
      </x:c>
      <x:c r="E827" t="str">
        <x:v>Jeans</x:v>
      </x:c>
      <x:c r="F827" s="24" t="n">
        <x:v>42.75</x:v>
      </x:c>
      <x:c r="G827" t="str">
        <x:v>Summer</x:v>
      </x:c>
      <x:c r="H827" t="str">
        <x:v>Card</x:v>
      </x:c>
      <x:c r="I827" t="n">
        <x:v>3.8</x:v>
      </x:c>
      <x:c r="J827" t="n">
        <x:v>17</x:v>
      </x:c>
      <x:c r="K827" t="n">
        <x:v>6</x:v>
      </x:c>
      <x:c r="L827" t="str">
        <x:v>STORE-001</x:v>
      </x:c>
      <x:c r="M827" s="22" t="n">
        <x:v>46038</x:v>
      </x:c>
      <x:c r="N827" t="str">
        <x:v>SKU-011</x:v>
      </x:c>
      <x:c r="O827" t="n">
        <x:v>2</x:v>
      </x:c>
      <x:c r="P827" s="26" t="n">
        <x:f>F827/O827</x:f>
        <x:v>21.375</x:v>
      </x:c>
    </x:row>
    <x:row r="828">
      <x:c r="A828" t="n">
        <x:v>827</x:v>
      </x:c>
      <x:c r="B828" t="n">
        <x:v>41</x:v>
      </x:c>
      <x:c r="C828" t="str">
        <x:v>Female</x:v>
      </x:c>
      <x:c r="D828" t="str">
        <x:v>Home</x:v>
      </x:c>
      <x:c r="E828" t="str">
        <x:v>Curtains</x:v>
      </x:c>
      <x:c r="F828" s="24" t="n">
        <x:v>157.96</x:v>
      </x:c>
      <x:c r="G828" t="str">
        <x:v>Summer</x:v>
      </x:c>
      <x:c r="H828" t="str">
        <x:v>Card</x:v>
      </x:c>
      <x:c r="I828" t="n">
        <x:v>4.4</x:v>
      </x:c>
      <x:c r="J828" t="n">
        <x:v>10</x:v>
      </x:c>
      <x:c r="K828" t="n">
        <x:v>5</x:v>
      </x:c>
      <x:c r="L828" t="str">
        <x:v>STORE-001</x:v>
      </x:c>
      <x:c r="M828" s="22" t="n">
        <x:v>46049</x:v>
      </x:c>
      <x:c r="N828" t="str">
        <x:v>SKU-003</x:v>
      </x:c>
      <x:c r="O828" t="n">
        <x:v>2</x:v>
      </x:c>
      <x:c r="P828" s="26" t="n">
        <x:f>F828/O828</x:f>
        <x:v>78.98</x:v>
      </x:c>
    </x:row>
    <x:row r="829">
      <x:c r="A829" t="n">
        <x:v>828</x:v>
      </x:c>
      <x:c r="B829" t="n">
        <x:v>38</x:v>
      </x:c>
      <x:c r="C829" t="str">
        <x:v>Male</x:v>
      </x:c>
      <x:c r="D829" t="str">
        <x:v>Electronics</x:v>
      </x:c>
      <x:c r="E829" t="str">
        <x:v>Headphones</x:v>
      </x:c>
      <x:c r="F829" s="24" t="n">
        <x:v>2502.52</x:v>
      </x:c>
      <x:c r="G829" t="str">
        <x:v>Autumn</x:v>
      </x:c>
      <x:c r="H829" t="str">
        <x:v>Card</x:v>
      </x:c>
      <x:c r="I829" t="n">
        <x:v>2.9</x:v>
      </x:c>
      <x:c r="J829" t="n">
        <x:v>15</x:v>
      </x:c>
      <x:c r="K829" t="n">
        <x:v>5</x:v>
      </x:c>
      <x:c r="L829" t="str">
        <x:v>STORE-001</x:v>
      </x:c>
      <x:c r="M829" s="22" t="n">
        <x:v>46090</x:v>
      </x:c>
      <x:c r="N829" t="str">
        <x:v>SKU-009</x:v>
      </x:c>
      <x:c r="O829" t="n">
        <x:v>1</x:v>
      </x:c>
      <x:c r="P829" s="26" t="n">
        <x:f>F829/O829</x:f>
        <x:v>2502.52</x:v>
      </x:c>
    </x:row>
    <x:row r="830">
      <x:c r="A830" t="n">
        <x:v>829</x:v>
      </x:c>
      <x:c r="B830" t="n">
        <x:v>43</x:v>
      </x:c>
      <x:c r="C830" t="str">
        <x:v>Female</x:v>
      </x:c>
      <x:c r="D830" t="str">
        <x:v>Sports</x:v>
      </x:c>
      <x:c r="E830" t="str">
        <x:v>Yoga Mat</x:v>
      </x:c>
      <x:c r="F830" s="24" t="n">
        <x:v>93.26</x:v>
      </x:c>
      <x:c r="G830" t="str">
        <x:v>Winter</x:v>
      </x:c>
      <x:c r="H830" t="str">
        <x:v>Card</x:v>
      </x:c>
      <x:c r="I830" t="n">
        <x:v>4.3</x:v>
      </x:c>
      <x:c r="J830" t="n">
        <x:v>10</x:v>
      </x:c>
      <x:c r="K830" t="n">
        <x:v>5</x:v>
      </x:c>
      <x:c r="L830" t="str">
        <x:v>STORE-001</x:v>
      </x:c>
      <x:c r="M830" s="22" t="n">
        <x:v>46202</x:v>
      </x:c>
      <x:c r="N830" t="str">
        <x:v>SKU-030</x:v>
      </x:c>
      <x:c r="O830" t="n">
        <x:v>1</x:v>
      </x:c>
      <x:c r="P830" s="26" t="n">
        <x:f>F830/O830</x:f>
        <x:v>93.26</x:v>
      </x:c>
    </x:row>
    <x:row r="831">
      <x:c r="A831" t="n">
        <x:v>830</x:v>
      </x:c>
      <x:c r="B831" t="n">
        <x:v>46</x:v>
      </x:c>
      <x:c r="C831" t="str">
        <x:v>Male</x:v>
      </x:c>
      <x:c r="D831" t="str">
        <x:v>Footwear</x:v>
      </x:c>
      <x:c r="E831" t="str">
        <x:v>Sandals</x:v>
      </x:c>
      <x:c r="F831" s="24" t="n">
        <x:v>160.09</x:v>
      </x:c>
      <x:c r="G831" t="str">
        <x:v>Autumn</x:v>
      </x:c>
      <x:c r="H831" t="str">
        <x:v>Card</x:v>
      </x:c>
      <x:c r="I831" t="n">
        <x:v>4</x:v>
      </x:c>
      <x:c r="J831" t="n">
        <x:v>8</x:v>
      </x:c>
      <x:c r="K831" t="n">
        <x:v>4</x:v>
      </x:c>
      <x:c r="L831" t="str">
        <x:v>STORE-001</x:v>
      </x:c>
      <x:c r="M831" s="22" t="n">
        <x:v>46084</x:v>
      </x:c>
      <x:c r="N831" t="str">
        <x:v>SKU-019</x:v>
      </x:c>
      <x:c r="O831" t="n">
        <x:v>1</x:v>
      </x:c>
      <x:c r="P831" s="26" t="n">
        <x:f>F831/O831</x:f>
        <x:v>160.09</x:v>
      </x:c>
    </x:row>
    <x:row r="832">
      <x:c r="A832" t="n">
        <x:v>831</x:v>
      </x:c>
      <x:c r="B832" t="n">
        <x:v>38</x:v>
      </x:c>
      <x:c r="C832" t="str">
        <x:v>Male</x:v>
      </x:c>
      <x:c r="D832" t="str">
        <x:v>Electronics</x:v>
      </x:c>
      <x:c r="E832" t="str">
        <x:v>Headphones</x:v>
      </x:c>
      <x:c r="F832" s="24" t="n">
        <x:v>2841.72</x:v>
      </x:c>
      <x:c r="G832" t="str">
        <x:v>Autumn</x:v>
      </x:c>
      <x:c r="H832" t="str">
        <x:v>Card</x:v>
      </x:c>
      <x:c r="I832" t="n">
        <x:v>4</x:v>
      </x:c>
      <x:c r="J832" t="n">
        <x:v>23</x:v>
      </x:c>
      <x:c r="K832" t="n">
        <x:v>9</x:v>
      </x:c>
      <x:c r="L832" t="str">
        <x:v>STORE-001</x:v>
      </x:c>
      <x:c r="M832" s="22" t="n">
        <x:v>46107</x:v>
      </x:c>
      <x:c r="N832" t="str">
        <x:v>SKU-009</x:v>
      </x:c>
      <x:c r="O832" t="n">
        <x:v>1</x:v>
      </x:c>
      <x:c r="P832" s="26" t="n">
        <x:f>F832/O832</x:f>
        <x:v>2841.72</x:v>
      </x:c>
    </x:row>
    <x:row r="833">
      <x:c r="A833" t="n">
        <x:v>832</x:v>
      </x:c>
      <x:c r="B833" t="n">
        <x:v>32</x:v>
      </x:c>
      <x:c r="C833" t="str">
        <x:v>Male</x:v>
      </x:c>
      <x:c r="D833" t="str">
        <x:v>Home</x:v>
      </x:c>
      <x:c r="E833" t="str">
        <x:v>Curtains</x:v>
      </x:c>
      <x:c r="F833" s="24" t="n">
        <x:v>220.24</x:v>
      </x:c>
      <x:c r="G833" t="str">
        <x:v>Summer</x:v>
      </x:c>
      <x:c r="H833" t="str">
        <x:v>Card</x:v>
      </x:c>
      <x:c r="I833" t="n">
        <x:v>5</x:v>
      </x:c>
      <x:c r="J833" t="n">
        <x:v>16</x:v>
      </x:c>
      <x:c r="K833" t="n">
        <x:v>3</x:v>
      </x:c>
      <x:c r="L833" t="str">
        <x:v>STORE-001</x:v>
      </x:c>
      <x:c r="M833" s="22" t="n">
        <x:v>46001</x:v>
      </x:c>
      <x:c r="N833" t="str">
        <x:v>SKU-003</x:v>
      </x:c>
      <x:c r="O833" t="n">
        <x:v>2</x:v>
      </x:c>
      <x:c r="P833" s="26" t="n">
        <x:f>F833/O833</x:f>
        <x:v>110.12</x:v>
      </x:c>
    </x:row>
    <x:row r="834">
      <x:c r="A834" t="n">
        <x:v>833</x:v>
      </x:c>
      <x:c r="B834" t="n">
        <x:v>59</x:v>
      </x:c>
      <x:c r="C834" t="str">
        <x:v>Male</x:v>
      </x:c>
      <x:c r="D834" t="str">
        <x:v>Footwear</x:v>
      </x:c>
      <x:c r="E834" t="str">
        <x:v>Sandals</x:v>
      </x:c>
      <x:c r="F834" s="24" t="n">
        <x:v>239.65</x:v>
      </x:c>
      <x:c r="G834" t="str">
        <x:v>Winter</x:v>
      </x:c>
      <x:c r="H834" t="str">
        <x:v>Card</x:v>
      </x:c>
      <x:c r="I834" t="n">
        <x:v>2.7</x:v>
      </x:c>
      <x:c r="J834" t="n">
        <x:v>9</x:v>
      </x:c>
      <x:c r="K834" t="n">
        <x:v>2</x:v>
      </x:c>
      <x:c r="L834" t="str">
        <x:v>STORE-001</x:v>
      </x:c>
      <x:c r="M834" s="22" t="n">
        <x:v>46176</x:v>
      </x:c>
      <x:c r="N834" t="str">
        <x:v>SKU-019</x:v>
      </x:c>
      <x:c r="O834" t="n">
        <x:v>1</x:v>
      </x:c>
      <x:c r="P834" s="26" t="n">
        <x:f>F834/O834</x:f>
        <x:v>239.65</x:v>
      </x:c>
    </x:row>
    <x:row r="835">
      <x:c r="A835" t="n">
        <x:v>834</x:v>
      </x:c>
      <x:c r="B835" t="n">
        <x:v>37</x:v>
      </x:c>
      <x:c r="C835" t="str">
        <x:v>Female</x:v>
      </x:c>
      <x:c r="D835" t="str">
        <x:v>Womens Clothing</x:v>
      </x:c>
      <x:c r="E835" t="str">
        <x:v>Jeans</x:v>
      </x:c>
      <x:c r="F835" s="24" t="n">
        <x:v>41.62</x:v>
      </x:c>
      <x:c r="G835" t="str">
        <x:v>Winter</x:v>
      </x:c>
      <x:c r="H835" t="str">
        <x:v>Card</x:v>
      </x:c>
      <x:c r="I835" t="n">
        <x:v>3.5</x:v>
      </x:c>
      <x:c r="J835" t="n">
        <x:v>21</x:v>
      </x:c>
      <x:c r="K835" t="n">
        <x:v>8</x:v>
      </x:c>
      <x:c r="L835" t="str">
        <x:v>STORE-001</x:v>
      </x:c>
      <x:c r="M835" s="22" t="n">
        <x:v>46263</x:v>
      </x:c>
      <x:c r="N835" t="str">
        <x:v>SKU-011</x:v>
      </x:c>
      <x:c r="O835" t="n">
        <x:v>1</x:v>
      </x:c>
      <x:c r="P835" s="26" t="n">
        <x:f>F835/O835</x:f>
        <x:v>41.62</x:v>
      </x:c>
    </x:row>
    <x:row r="836">
      <x:c r="A836" t="n">
        <x:v>835</x:v>
      </x:c>
      <x:c r="B836" t="n">
        <x:v>36</x:v>
      </x:c>
      <x:c r="C836" t="str">
        <x:v>Male</x:v>
      </x:c>
      <x:c r="D836" t="str">
        <x:v>Home</x:v>
      </x:c>
      <x:c r="E836" t="str">
        <x:v>Lamp</x:v>
      </x:c>
      <x:c r="F836" s="24" t="n">
        <x:v>254.85</x:v>
      </x:c>
      <x:c r="G836" t="str">
        <x:v>Summer</x:v>
      </x:c>
      <x:c r="H836" t="str">
        <x:v>Card</x:v>
      </x:c>
      <x:c r="I836" t="n">
        <x:v>3</x:v>
      </x:c>
      <x:c r="J836" t="n">
        <x:v>8</x:v>
      </x:c>
      <x:c r="K836" t="n">
        <x:v>4</x:v>
      </x:c>
      <x:c r="L836" t="str">
        <x:v>STORE-001</x:v>
      </x:c>
      <x:c r="M836" s="22" t="n">
        <x:v>46055</x:v>
      </x:c>
      <x:c r="N836" t="str">
        <x:v>SKU-013</x:v>
      </x:c>
      <x:c r="O836" t="n">
        <x:v>2</x:v>
      </x:c>
      <x:c r="P836" s="26" t="n">
        <x:f>F836/O836</x:f>
        <x:v>127.425</x:v>
      </x:c>
    </x:row>
    <x:row r="837">
      <x:c r="A837" t="n">
        <x:v>836</x:v>
      </x:c>
      <x:c r="B837" t="n">
        <x:v>34</x:v>
      </x:c>
      <x:c r="C837" t="str">
        <x:v>Female</x:v>
      </x:c>
      <x:c r="D837" t="str">
        <x:v>Womens Clothing</x:v>
      </x:c>
      <x:c r="E837" t="str">
        <x:v>Dress</x:v>
      </x:c>
      <x:c r="F837" s="24" t="n">
        <x:v>46.13</x:v>
      </x:c>
      <x:c r="G837" t="str">
        <x:v>Summer</x:v>
      </x:c>
      <x:c r="H837" t="str">
        <x:v>Cash on Delivery</x:v>
      </x:c>
      <x:c r="I837" t="n">
        <x:v>3.5</x:v>
      </x:c>
      <x:c r="J837" t="n">
        <x:v>21</x:v>
      </x:c>
      <x:c r="K837" t="n">
        <x:v>8</x:v>
      </x:c>
      <x:c r="L837" t="str">
        <x:v>STORE-001</x:v>
      </x:c>
      <x:c r="M837" s="22" t="n">
        <x:v>45994</x:v>
      </x:c>
      <x:c r="N837" t="str">
        <x:v>SKU-004</x:v>
      </x:c>
      <x:c r="O837" t="n">
        <x:v>1</x:v>
      </x:c>
      <x:c r="P837" s="26" t="n">
        <x:f>F837/O837</x:f>
        <x:v>46.13</x:v>
      </x:c>
    </x:row>
    <x:row r="838">
      <x:c r="A838" t="n">
        <x:v>837</x:v>
      </x:c>
      <x:c r="B838" t="n">
        <x:v>62</x:v>
      </x:c>
      <x:c r="C838" t="str">
        <x:v>Female</x:v>
      </x:c>
      <x:c r="D838" t="str">
        <x:v>Accessories</x:v>
      </x:c>
      <x:c r="E838" t="str">
        <x:v>Handbag</x:v>
      </x:c>
      <x:c r="F838" s="24" t="n">
        <x:v>144.18</x:v>
      </x:c>
      <x:c r="G838" t="str">
        <x:v>Winter</x:v>
      </x:c>
      <x:c r="H838" t="str">
        <x:v>Card</x:v>
      </x:c>
      <x:c r="I838" t="n">
        <x:v>3.7</x:v>
      </x:c>
      <x:c r="J838" t="n">
        <x:v>6</x:v>
      </x:c>
      <x:c r="K838" t="n">
        <x:v>3</x:v>
      </x:c>
      <x:c r="L838" t="str">
        <x:v>STORE-001</x:v>
      </x:c>
      <x:c r="M838" s="22" t="n">
        <x:v>46239</x:v>
      </x:c>
      <x:c r="N838" t="str">
        <x:v>SKU-008</x:v>
      </x:c>
      <x:c r="O838" t="n">
        <x:v>2</x:v>
      </x:c>
      <x:c r="P838" s="26" t="n">
        <x:f>F838/O838</x:f>
        <x:v>72.09</x:v>
      </x:c>
    </x:row>
    <x:row r="839">
      <x:c r="A839" t="n">
        <x:v>838</x:v>
      </x:c>
      <x:c r="B839" t="n">
        <x:v>59</x:v>
      </x:c>
      <x:c r="C839" t="str">
        <x:v>Male</x:v>
      </x:c>
      <x:c r="D839" t="str">
        <x:v>Sports</x:v>
      </x:c>
      <x:c r="E839" t="str">
        <x:v>Football</x:v>
      </x:c>
      <x:c r="F839" s="24" t="n">
        <x:v>140.99</x:v>
      </x:c>
      <x:c r="G839" t="str">
        <x:v>Spring</x:v>
      </x:c>
      <x:c r="H839" t="str">
        <x:v>Card</x:v>
      </x:c>
      <x:c r="I839" t="n">
        <x:v>2.7</x:v>
      </x:c>
      <x:c r="J839" t="n">
        <x:v>12</x:v>
      </x:c>
      <x:c r="K839" t="n">
        <x:v>6</x:v>
      </x:c>
      <x:c r="L839" t="str">
        <x:v>STORE-001</x:v>
      </x:c>
      <x:c r="M839" s="22" t="n">
        <x:v>45939</x:v>
      </x:c>
      <x:c r="N839" t="str">
        <x:v>SKU-006</x:v>
      </x:c>
      <x:c r="O839" t="n">
        <x:v>3</x:v>
      </x:c>
      <x:c r="P839" s="26" t="n">
        <x:f>F839/O839</x:f>
        <x:v>46.99666666666667</x:v>
      </x:c>
    </x:row>
    <x:row r="840">
      <x:c r="A840" t="n">
        <x:v>839</x:v>
      </x:c>
      <x:c r="B840" t="n">
        <x:v>38</x:v>
      </x:c>
      <x:c r="C840" t="str">
        <x:v>Male</x:v>
      </x:c>
      <x:c r="D840" t="str">
        <x:v>Home</x:v>
      </x:c>
      <x:c r="E840" t="str">
        <x:v>Lamp</x:v>
      </x:c>
      <x:c r="F840" s="24" t="n">
        <x:v>140.12</x:v>
      </x:c>
      <x:c r="G840" t="str">
        <x:v>Summer</x:v>
      </x:c>
      <x:c r="H840" t="str">
        <x:v>Card</x:v>
      </x:c>
      <x:c r="I840" t="n">
        <x:v>4.9</x:v>
      </x:c>
      <x:c r="J840" t="n">
        <x:v>14</x:v>
      </x:c>
      <x:c r="K840" t="n">
        <x:v>7</x:v>
      </x:c>
      <x:c r="L840" t="str">
        <x:v>STORE-001</x:v>
      </x:c>
      <x:c r="M840" s="22" t="n">
        <x:v>46028</x:v>
      </x:c>
      <x:c r="N840" t="str">
        <x:v>SKU-013</x:v>
      </x:c>
      <x:c r="O840" t="n">
        <x:v>1</x:v>
      </x:c>
      <x:c r="P840" s="26" t="n">
        <x:f>F840/O840</x:f>
        <x:v>140.12</x:v>
      </x:c>
    </x:row>
    <x:row r="841">
      <x:c r="A841" t="n">
        <x:v>840</x:v>
      </x:c>
      <x:c r="B841" t="n">
        <x:v>31</x:v>
      </x:c>
      <x:c r="C841" t="str">
        <x:v>Male</x:v>
      </x:c>
      <x:c r="D841" t="str">
        <x:v>Mens Clothing</x:v>
      </x:c>
      <x:c r="E841" t="str">
        <x:v>Jacket</x:v>
      </x:c>
      <x:c r="F841" s="24" t="n">
        <x:v>81.16</x:v>
      </x:c>
      <x:c r="G841" t="str">
        <x:v>Autumn</x:v>
      </x:c>
      <x:c r="H841" t="str">
        <x:v>Card</x:v>
      </x:c>
      <x:c r="I841" t="n">
        <x:v>3.9</x:v>
      </x:c>
      <x:c r="J841" t="n">
        <x:v>21</x:v>
      </x:c>
      <x:c r="K841" t="n">
        <x:v>8</x:v>
      </x:c>
      <x:c r="L841" t="str">
        <x:v>STORE-001</x:v>
      </x:c>
      <x:c r="M841" s="22" t="n">
        <x:v>46111</x:v>
      </x:c>
      <x:c r="N841" t="str">
        <x:v>SKU-010</x:v>
      </x:c>
      <x:c r="O841" t="n">
        <x:v>1</x:v>
      </x:c>
      <x:c r="P841" s="26" t="n">
        <x:f>F841/O841</x:f>
        <x:v>81.16</x:v>
      </x:c>
    </x:row>
    <x:row r="842">
      <x:c r="A842" t="n">
        <x:v>841</x:v>
      </x:c>
      <x:c r="B842" t="n">
        <x:v>40</x:v>
      </x:c>
      <x:c r="C842" t="str">
        <x:v>Female</x:v>
      </x:c>
      <x:c r="D842" t="str">
        <x:v>Accessories</x:v>
      </x:c>
      <x:c r="E842" t="str">
        <x:v>Handbag</x:v>
      </x:c>
      <x:c r="F842" s="24" t="n">
        <x:v>74.23</x:v>
      </x:c>
      <x:c r="G842" t="str">
        <x:v>Spring</x:v>
      </x:c>
      <x:c r="H842" t="str">
        <x:v>Card</x:v>
      </x:c>
      <x:c r="I842" t="n">
        <x:v>4.4</x:v>
      </x:c>
      <x:c r="J842" t="n">
        <x:v>11</x:v>
      </x:c>
      <x:c r="K842" t="n">
        <x:v>3</x:v>
      </x:c>
      <x:c r="L842" t="str">
        <x:v>STORE-001</x:v>
      </x:c>
      <x:c r="M842" s="22" t="n">
        <x:v>46280</x:v>
      </x:c>
      <x:c r="N842" t="str">
        <x:v>SKU-008</x:v>
      </x:c>
      <x:c r="O842" t="n">
        <x:v>1</x:v>
      </x:c>
      <x:c r="P842" s="26" t="n">
        <x:f>F842/O842</x:f>
        <x:v>74.23</x:v>
      </x:c>
    </x:row>
    <x:row r="843">
      <x:c r="A843" t="n">
        <x:v>842</x:v>
      </x:c>
      <x:c r="B843" t="n">
        <x:v>51</x:v>
      </x:c>
      <x:c r="C843" t="str">
        <x:v>Female</x:v>
      </x:c>
      <x:c r="D843" t="str">
        <x:v>Accessories</x:v>
      </x:c>
      <x:c r="E843" t="str">
        <x:v>Sunglasses</x:v>
      </x:c>
      <x:c r="F843" s="24" t="n">
        <x:v>125.26</x:v>
      </x:c>
      <x:c r="G843" t="str">
        <x:v>Spring</x:v>
      </x:c>
      <x:c r="H843" t="str">
        <x:v>Card</x:v>
      </x:c>
      <x:c r="I843" t="n">
        <x:v>4.7</x:v>
      </x:c>
      <x:c r="J843" t="n">
        <x:v>14</x:v>
      </x:c>
      <x:c r="K843" t="n">
        <x:v>2</x:v>
      </x:c>
      <x:c r="L843" t="str">
        <x:v>STORE-001</x:v>
      </x:c>
      <x:c r="M843" s="22" t="n">
        <x:v>45956</x:v>
      </x:c>
      <x:c r="N843" t="str">
        <x:v>SKU-026</x:v>
      </x:c>
      <x:c r="O843" t="n">
        <x:v>3</x:v>
      </x:c>
      <x:c r="P843" s="26" t="n">
        <x:f>F843/O843</x:f>
        <x:v>41.75333333333334</x:v>
      </x:c>
    </x:row>
    <x:row r="844">
      <x:c r="A844" t="n">
        <x:v>843</x:v>
      </x:c>
      <x:c r="B844" t="n">
        <x:v>24</x:v>
      </x:c>
      <x:c r="C844" t="str">
        <x:v>Male</x:v>
      </x:c>
      <x:c r="D844" t="str">
        <x:v>Footwear</x:v>
      </x:c>
      <x:c r="E844" t="str">
        <x:v>Sandals</x:v>
      </x:c>
      <x:c r="F844" s="24" t="n">
        <x:v>214.97</x:v>
      </x:c>
      <x:c r="G844" t="str">
        <x:v>Winter</x:v>
      </x:c>
      <x:c r="H844" t="str">
        <x:v>Card</x:v>
      </x:c>
      <x:c r="I844" t="n">
        <x:v>4.2</x:v>
      </x:c>
      <x:c r="J844" t="n">
        <x:v>19</x:v>
      </x:c>
      <x:c r="K844" t="n">
        <x:v>7</x:v>
      </x:c>
      <x:c r="L844" t="str">
        <x:v>STORE-001</x:v>
      </x:c>
      <x:c r="M844" s="22" t="n">
        <x:v>46199</x:v>
      </x:c>
      <x:c r="N844" t="str">
        <x:v>SKU-019</x:v>
      </x:c>
      <x:c r="O844" t="n">
        <x:v>1</x:v>
      </x:c>
      <x:c r="P844" s="26" t="n">
        <x:f>F844/O844</x:f>
        <x:v>214.97</x:v>
      </x:c>
    </x:row>
    <x:row r="845">
      <x:c r="A845" t="n">
        <x:v>844</x:v>
      </x:c>
      <x:c r="B845" t="n">
        <x:v>23</x:v>
      </x:c>
      <x:c r="C845" t="str">
        <x:v>Male</x:v>
      </x:c>
      <x:c r="D845" t="str">
        <x:v>Electronics</x:v>
      </x:c>
      <x:c r="E845" t="str">
        <x:v>Mobile Phone</x:v>
      </x:c>
      <x:c r="F845" s="24" t="n">
        <x:v>1810.64</x:v>
      </x:c>
      <x:c r="G845" t="str">
        <x:v>Autumn</x:v>
      </x:c>
      <x:c r="H845" t="str">
        <x:v>Card</x:v>
      </x:c>
      <x:c r="I845" t="n">
        <x:v>4.5</x:v>
      </x:c>
      <x:c r="J845" t="n">
        <x:v>11</x:v>
      </x:c>
      <x:c r="K845" t="n">
        <x:v>3</x:v>
      </x:c>
      <x:c r="L845" t="str">
        <x:v>STORE-001</x:v>
      </x:c>
      <x:c r="M845" s="22" t="n">
        <x:v>46102</x:v>
      </x:c>
      <x:c r="N845" t="str">
        <x:v>SKU-016</x:v>
      </x:c>
      <x:c r="O845" t="n">
        <x:v>1</x:v>
      </x:c>
      <x:c r="P845" s="26" t="n">
        <x:f>F845/O845</x:f>
        <x:v>1810.64</x:v>
      </x:c>
    </x:row>
    <x:row r="846">
      <x:c r="A846" t="n">
        <x:v>845</x:v>
      </x:c>
      <x:c r="B846" t="n">
        <x:v>33</x:v>
      </x:c>
      <x:c r="C846" t="str">
        <x:v>Male</x:v>
      </x:c>
      <x:c r="D846" t="str">
        <x:v>Mens Clothing</x:v>
      </x:c>
      <x:c r="E846" t="str">
        <x:v>Jeans</x:v>
      </x:c>
      <x:c r="F846" s="24" t="n">
        <x:v>140.65</x:v>
      </x:c>
      <x:c r="G846" t="str">
        <x:v>Summer</x:v>
      </x:c>
      <x:c r="H846" t="str">
        <x:v>Card</x:v>
      </x:c>
      <x:c r="I846" t="n">
        <x:v>4.7</x:v>
      </x:c>
      <x:c r="J846" t="n">
        <x:v>20</x:v>
      </x:c>
      <x:c r="K846" t="n">
        <x:v>5</x:v>
      </x:c>
      <x:c r="L846" t="str">
        <x:v>STORE-001</x:v>
      </x:c>
      <x:c r="M846" s="22" t="n">
        <x:v>46075</x:v>
      </x:c>
      <x:c r="N846" t="str">
        <x:v>SKU-011</x:v>
      </x:c>
      <x:c r="O846" t="n">
        <x:v>1</x:v>
      </x:c>
      <x:c r="P846" s="26" t="n">
        <x:f>F846/O846</x:f>
        <x:v>140.65</x:v>
      </x:c>
    </x:row>
    <x:row r="847">
      <x:c r="A847" t="n">
        <x:v>846</x:v>
      </x:c>
      <x:c r="B847" t="n">
        <x:v>33</x:v>
      </x:c>
      <x:c r="C847" t="str">
        <x:v>Male</x:v>
      </x:c>
      <x:c r="D847" t="str">
        <x:v>Electronics</x:v>
      </x:c>
      <x:c r="E847" t="str">
        <x:v>Mobile Phone</x:v>
      </x:c>
      <x:c r="F847" s="24" t="n">
        <x:v>2064.65</x:v>
      </x:c>
      <x:c r="G847" t="str">
        <x:v>Autumn</x:v>
      </x:c>
      <x:c r="H847" t="str">
        <x:v>Card</x:v>
      </x:c>
      <x:c r="I847" t="n">
        <x:v>4.7</x:v>
      </x:c>
      <x:c r="J847" t="n">
        <x:v>17</x:v>
      </x:c>
      <x:c r="K847" t="n">
        <x:v>6</x:v>
      </x:c>
      <x:c r="L847" t="str">
        <x:v>STORE-001</x:v>
      </x:c>
      <x:c r="M847" s="22" t="n">
        <x:v>46085</x:v>
      </x:c>
      <x:c r="N847" t="str">
        <x:v>SKU-016</x:v>
      </x:c>
      <x:c r="O847" t="n">
        <x:v>1</x:v>
      </x:c>
      <x:c r="P847" s="26" t="n">
        <x:f>F847/O847</x:f>
        <x:v>2064.65</x:v>
      </x:c>
    </x:row>
    <x:row r="848">
      <x:c r="A848" t="n">
        <x:v>847</x:v>
      </x:c>
      <x:c r="B848" t="n">
        <x:v>36</x:v>
      </x:c>
      <x:c r="C848" t="str">
        <x:v>Female</x:v>
      </x:c>
      <x:c r="D848" t="str">
        <x:v>Groceries</x:v>
      </x:c>
      <x:c r="E848" t="str">
        <x:v>Cooking Oil</x:v>
      </x:c>
      <x:c r="F848" s="24" t="n">
        <x:v>11.44</x:v>
      </x:c>
      <x:c r="G848" t="str">
        <x:v>Autumn</x:v>
      </x:c>
      <x:c r="H848" t="str">
        <x:v>Card</x:v>
      </x:c>
      <x:c r="I848" t="n">
        <x:v>3.1</x:v>
      </x:c>
      <x:c r="J848" t="n">
        <x:v>13</x:v>
      </x:c>
      <x:c r="K848" t="n">
        <x:v>4</x:v>
      </x:c>
      <x:c r="L848" t="str">
        <x:v>STORE-001</x:v>
      </x:c>
      <x:c r="M848" s="22" t="n">
        <x:v>46171</x:v>
      </x:c>
      <x:c r="N848" t="str">
        <x:v>SKU-002</x:v>
      </x:c>
      <x:c r="O848" t="n">
        <x:v>5</x:v>
      </x:c>
      <x:c r="P848" s="26" t="n">
        <x:f>F848/O848</x:f>
        <x:v>2.288</x:v>
      </x:c>
    </x:row>
    <x:row r="849">
      <x:c r="A849" t="n">
        <x:v>848</x:v>
      </x:c>
      <x:c r="B849" t="n">
        <x:v>54</x:v>
      </x:c>
      <x:c r="C849" t="str">
        <x:v>Female</x:v>
      </x:c>
      <x:c r="D849" t="str">
        <x:v>Beauty</x:v>
      </x:c>
      <x:c r="E849" t="str">
        <x:v>Perfume</x:v>
      </x:c>
      <x:c r="F849" s="24" t="n">
        <x:v>76.66</x:v>
      </x:c>
      <x:c r="G849" t="str">
        <x:v>Spring</x:v>
      </x:c>
      <x:c r="H849" t="str">
        <x:v>Cash on Delivery</x:v>
      </x:c>
      <x:c r="I849" t="n">
        <x:v>4.3</x:v>
      </x:c>
      <x:c r="J849" t="n">
        <x:v>12</x:v>
      </x:c>
      <x:c r="K849" t="n">
        <x:v>6</x:v>
      </x:c>
      <x:c r="L849" t="str">
        <x:v>STORE-001</x:v>
      </x:c>
      <x:c r="M849" s="22" t="n">
        <x:v>46285</x:v>
      </x:c>
      <x:c r="N849" t="str">
        <x:v>SKU-017</x:v>
      </x:c>
      <x:c r="O849" t="n">
        <x:v>1</x:v>
      </x:c>
      <x:c r="P849" s="26" t="n">
        <x:f>F849/O849</x:f>
        <x:v>76.66</x:v>
      </x:c>
    </x:row>
    <x:row r="850">
      <x:c r="A850" t="n">
        <x:v>849</x:v>
      </x:c>
      <x:c r="B850" t="n">
        <x:v>64</x:v>
      </x:c>
      <x:c r="C850" t="str">
        <x:v>Female</x:v>
      </x:c>
      <x:c r="D850" t="str">
        <x:v>Accessories</x:v>
      </x:c>
      <x:c r="E850" t="str">
        <x:v>Wallet</x:v>
      </x:c>
      <x:c r="F850" s="24" t="n">
        <x:v>97.05</x:v>
      </x:c>
      <x:c r="G850" t="str">
        <x:v>Autumn</x:v>
      </x:c>
      <x:c r="H850" t="str">
        <x:v>Cash on Delivery</x:v>
      </x:c>
      <x:c r="I850" t="n">
        <x:v>4.3</x:v>
      </x:c>
      <x:c r="J850" t="n">
        <x:v>17</x:v>
      </x:c>
      <x:c r="K850" t="n">
        <x:v>6</x:v>
      </x:c>
      <x:c r="L850" t="str">
        <x:v>STORE-001</x:v>
      </x:c>
      <x:c r="M850" s="22" t="n">
        <x:v>46167</x:v>
      </x:c>
      <x:c r="N850" t="str">
        <x:v>SKU-029</x:v>
      </x:c>
      <x:c r="O850" t="n">
        <x:v>2</x:v>
      </x:c>
      <x:c r="P850" s="26" t="n">
        <x:f>F850/O850</x:f>
        <x:v>48.525</x:v>
      </x:c>
    </x:row>
    <x:row r="851">
      <x:c r="A851" t="n">
        <x:v>850</x:v>
      </x:c>
      <x:c r="B851" t="n">
        <x:v>24</x:v>
      </x:c>
      <x:c r="C851" t="str">
        <x:v>Male</x:v>
      </x:c>
      <x:c r="D851" t="str">
        <x:v>Sports</x:v>
      </x:c>
      <x:c r="E851" t="str">
        <x:v>Football</x:v>
      </x:c>
      <x:c r="F851" s="24" t="n">
        <x:v>214.49</x:v>
      </x:c>
      <x:c r="G851" t="str">
        <x:v>Autumn</x:v>
      </x:c>
      <x:c r="H851" t="str">
        <x:v>Card</x:v>
      </x:c>
      <x:c r="I851" t="n">
        <x:v>4.4</x:v>
      </x:c>
      <x:c r="J851" t="n">
        <x:v>7</x:v>
      </x:c>
      <x:c r="K851" t="n">
        <x:v>1</x:v>
      </x:c>
      <x:c r="L851" t="str">
        <x:v>STORE-001</x:v>
      </x:c>
      <x:c r="M851" s="22" t="n">
        <x:v>46149</x:v>
      </x:c>
      <x:c r="N851" t="str">
        <x:v>SKU-006</x:v>
      </x:c>
      <x:c r="O851" t="n">
        <x:v>1</x:v>
      </x:c>
      <x:c r="P851" s="26" t="n">
        <x:f>F851/O851</x:f>
        <x:v>214.49</x:v>
      </x:c>
    </x:row>
    <x:row r="852">
      <x:c r="A852" t="n">
        <x:v>851</x:v>
      </x:c>
      <x:c r="B852" t="n">
        <x:v>27</x:v>
      </x:c>
      <x:c r="C852" t="str">
        <x:v>Male</x:v>
      </x:c>
      <x:c r="D852" t="str">
        <x:v>Mens Clothing</x:v>
      </x:c>
      <x:c r="E852" t="str">
        <x:v>Jacket</x:v>
      </x:c>
      <x:c r="F852" s="24" t="n">
        <x:v>43.04</x:v>
      </x:c>
      <x:c r="G852" t="str">
        <x:v>Summer</x:v>
      </x:c>
      <x:c r="H852" t="str">
        <x:v>Cash on Delivery</x:v>
      </x:c>
      <x:c r="I852" t="n">
        <x:v>2</x:v>
      </x:c>
      <x:c r="J852" t="n">
        <x:v>13</x:v>
      </x:c>
      <x:c r="K852" t="n">
        <x:v>4</x:v>
      </x:c>
      <x:c r="L852" t="str">
        <x:v>STORE-001</x:v>
      </x:c>
      <x:c r="M852" s="22" t="n">
        <x:v>46041</x:v>
      </x:c>
      <x:c r="N852" t="str">
        <x:v>SKU-010</x:v>
      </x:c>
      <x:c r="O852" t="n">
        <x:v>1</x:v>
      </x:c>
      <x:c r="P852" s="26" t="n">
        <x:f>F852/O852</x:f>
        <x:v>43.04</x:v>
      </x:c>
    </x:row>
    <x:row r="853">
      <x:c r="A853" t="n">
        <x:v>852</x:v>
      </x:c>
      <x:c r="B853" t="n">
        <x:v>42</x:v>
      </x:c>
      <x:c r="C853" t="str">
        <x:v>Female</x:v>
      </x:c>
      <x:c r="D853" t="str">
        <x:v>Accessories</x:v>
      </x:c>
      <x:c r="E853" t="str">
        <x:v>Sunglasses</x:v>
      </x:c>
      <x:c r="F853" s="24" t="n">
        <x:v>60.96</x:v>
      </x:c>
      <x:c r="G853" t="str">
        <x:v>Spring</x:v>
      </x:c>
      <x:c r="H853" t="str">
        <x:v>Card</x:v>
      </x:c>
      <x:c r="I853" t="n">
        <x:v>3.2</x:v>
      </x:c>
      <x:c r="J853" t="n">
        <x:v>4</x:v>
      </x:c>
      <x:c r="K853" t="n">
        <x:v>2</x:v>
      </x:c>
      <x:c r="L853" t="str">
        <x:v>STORE-001</x:v>
      </x:c>
      <x:c r="M853" s="22" t="n">
        <x:v>46294</x:v>
      </x:c>
      <x:c r="N853" t="str">
        <x:v>SKU-026</x:v>
      </x:c>
      <x:c r="O853" t="n">
        <x:v>1</x:v>
      </x:c>
      <x:c r="P853" s="26" t="n">
        <x:f>F853/O853</x:f>
        <x:v>60.96</x:v>
      </x:c>
    </x:row>
    <x:row r="854">
      <x:c r="A854" t="n">
        <x:v>853</x:v>
      </x:c>
      <x:c r="B854" t="n">
        <x:v>40</x:v>
      </x:c>
      <x:c r="C854" t="str">
        <x:v>Female</x:v>
      </x:c>
      <x:c r="D854" t="str">
        <x:v>Home</x:v>
      </x:c>
      <x:c r="E854" t="str">
        <x:v>Lamp</x:v>
      </x:c>
      <x:c r="F854" s="24" t="n">
        <x:v>198.03</x:v>
      </x:c>
      <x:c r="G854" t="str">
        <x:v>Autumn</x:v>
      </x:c>
      <x:c r="H854" t="str">
        <x:v>Card</x:v>
      </x:c>
      <x:c r="I854" t="n">
        <x:v>3</x:v>
      </x:c>
      <x:c r="J854" t="n">
        <x:v>20</x:v>
      </x:c>
      <x:c r="K854" t="n">
        <x:v>5</x:v>
      </x:c>
      <x:c r="L854" t="str">
        <x:v>STORE-001</x:v>
      </x:c>
      <x:c r="M854" s="22" t="n">
        <x:v>46102</x:v>
      </x:c>
      <x:c r="N854" t="str">
        <x:v>SKU-013</x:v>
      </x:c>
      <x:c r="O854" t="n">
        <x:v>1</x:v>
      </x:c>
      <x:c r="P854" s="26" t="n">
        <x:f>F854/O854</x:f>
        <x:v>198.03</x:v>
      </x:c>
    </x:row>
    <x:row r="855">
      <x:c r="A855" t="n">
        <x:v>854</x:v>
      </x:c>
      <x:c r="B855" t="n">
        <x:v>44</x:v>
      </x:c>
      <x:c r="C855" t="str">
        <x:v>Female</x:v>
      </x:c>
      <x:c r="D855" t="str">
        <x:v>Sports</x:v>
      </x:c>
      <x:c r="E855" t="str">
        <x:v>Dumbbells</x:v>
      </x:c>
      <x:c r="F855" s="24" t="n">
        <x:v>218.22</x:v>
      </x:c>
      <x:c r="G855" t="str">
        <x:v>Spring</x:v>
      </x:c>
      <x:c r="H855" t="str">
        <x:v>Card</x:v>
      </x:c>
      <x:c r="I855" t="n">
        <x:v>3.3</x:v>
      </x:c>
      <x:c r="J855" t="n">
        <x:v>19</x:v>
      </x:c>
      <x:c r="K855" t="n">
        <x:v>7</x:v>
      </x:c>
      <x:c r="L855" t="str">
        <x:v>STORE-001</x:v>
      </x:c>
      <x:c r="M855" s="22" t="n">
        <x:v>46266</x:v>
      </x:c>
      <x:c r="N855" t="str">
        <x:v>SKU-005</x:v>
      </x:c>
      <x:c r="O855" t="n">
        <x:v>1</x:v>
      </x:c>
      <x:c r="P855" s="26" t="n">
        <x:f>F855/O855</x:f>
        <x:v>218.22</x:v>
      </x:c>
    </x:row>
    <x:row r="856">
      <x:c r="A856" t="n">
        <x:v>855</x:v>
      </x:c>
      <x:c r="B856" t="n">
        <x:v>51</x:v>
      </x:c>
      <x:c r="C856" t="str">
        <x:v>Female</x:v>
      </x:c>
      <x:c r="D856" t="str">
        <x:v>Home</x:v>
      </x:c>
      <x:c r="E856" t="str">
        <x:v>Curtains</x:v>
      </x:c>
      <x:c r="F856" s="24" t="n">
        <x:v>207.52</x:v>
      </x:c>
      <x:c r="G856" t="str">
        <x:v>Spring</x:v>
      </x:c>
      <x:c r="H856" t="str">
        <x:v>Card</x:v>
      </x:c>
      <x:c r="I856" t="n">
        <x:v>3.6</x:v>
      </x:c>
      <x:c r="J856" t="n">
        <x:v>17</x:v>
      </x:c>
      <x:c r="K856" t="n">
        <x:v>6</x:v>
      </x:c>
      <x:c r="L856" t="str">
        <x:v>STORE-001</x:v>
      </x:c>
      <x:c r="M856" s="22" t="n">
        <x:v>45987</x:v>
      </x:c>
      <x:c r="N856" t="str">
        <x:v>SKU-003</x:v>
      </x:c>
      <x:c r="O856" t="n">
        <x:v>1</x:v>
      </x:c>
      <x:c r="P856" s="26" t="n">
        <x:f>F856/O856</x:f>
        <x:v>207.52</x:v>
      </x:c>
    </x:row>
    <x:row r="857">
      <x:c r="A857" t="n">
        <x:v>856</x:v>
      </x:c>
      <x:c r="B857" t="n">
        <x:v>55</x:v>
      </x:c>
      <x:c r="C857" t="str">
        <x:v>Female</x:v>
      </x:c>
      <x:c r="D857" t="str">
        <x:v>Beauty</x:v>
      </x:c>
      <x:c r="E857" t="str">
        <x:v>Skincare Kit</x:v>
      </x:c>
      <x:c r="F857" s="24" t="n">
        <x:v>72.03</x:v>
      </x:c>
      <x:c r="G857" t="str">
        <x:v>Autumn</x:v>
      </x:c>
      <x:c r="H857" t="str">
        <x:v>Card</x:v>
      </x:c>
      <x:c r="I857" t="n">
        <x:v>4.2</x:v>
      </x:c>
      <x:c r="J857" t="n">
        <x:v>12</x:v>
      </x:c>
      <x:c r="K857" t="n">
        <x:v>6</x:v>
      </x:c>
      <x:c r="L857" t="str">
        <x:v>STORE-001</x:v>
      </x:c>
      <x:c r="M857" s="22" t="n">
        <x:v>46165</x:v>
      </x:c>
      <x:c r="N857" t="str">
        <x:v>SKU-021</x:v>
      </x:c>
      <x:c r="O857" t="n">
        <x:v>1</x:v>
      </x:c>
      <x:c r="P857" s="26" t="n">
        <x:f>F857/O857</x:f>
        <x:v>72.03</x:v>
      </x:c>
    </x:row>
    <x:row r="858">
      <x:c r="A858" t="n">
        <x:v>857</x:v>
      </x:c>
      <x:c r="B858" t="n">
        <x:v>60</x:v>
      </x:c>
      <x:c r="C858" t="str">
        <x:v>Male</x:v>
      </x:c>
      <x:c r="D858" t="str">
        <x:v>Footwear</x:v>
      </x:c>
      <x:c r="E858" t="str">
        <x:v>Sandals</x:v>
      </x:c>
      <x:c r="F858" s="24" t="n">
        <x:v>186.72</x:v>
      </x:c>
      <x:c r="G858" t="str">
        <x:v>Spring</x:v>
      </x:c>
      <x:c r="H858" t="str">
        <x:v>Card</x:v>
      </x:c>
      <x:c r="I858" t="n">
        <x:v>4</x:v>
      </x:c>
      <x:c r="J858" t="n">
        <x:v>18</x:v>
      </x:c>
      <x:c r="K858" t="n">
        <x:v>4</x:v>
      </x:c>
      <x:c r="L858" t="str">
        <x:v>STORE-001</x:v>
      </x:c>
      <x:c r="M858" s="22" t="n">
        <x:v>46269</x:v>
      </x:c>
      <x:c r="N858" t="str">
        <x:v>SKU-019</x:v>
      </x:c>
      <x:c r="O858" t="n">
        <x:v>1</x:v>
      </x:c>
      <x:c r="P858" s="26" t="n">
        <x:f>F858/O858</x:f>
        <x:v>186.72</x:v>
      </x:c>
    </x:row>
    <x:row r="859">
      <x:c r="A859" t="n">
        <x:v>858</x:v>
      </x:c>
      <x:c r="B859" t="n">
        <x:v>62</x:v>
      </x:c>
      <x:c r="C859" t="str">
        <x:v>Male</x:v>
      </x:c>
      <x:c r="D859" t="str">
        <x:v>Footwear</x:v>
      </x:c>
      <x:c r="E859" t="str">
        <x:v>Formal Shoes</x:v>
      </x:c>
      <x:c r="F859" s="24" t="n">
        <x:v>114.97</x:v>
      </x:c>
      <x:c r="G859" t="str">
        <x:v>Autumn</x:v>
      </x:c>
      <x:c r="H859" t="str">
        <x:v>Card</x:v>
      </x:c>
      <x:c r="I859" t="n">
        <x:v>2.9</x:v>
      </x:c>
      <x:c r="J859" t="n">
        <x:v>22</x:v>
      </x:c>
      <x:c r="K859" t="n">
        <x:v>11</x:v>
      </x:c>
      <x:c r="L859" t="str">
        <x:v>STORE-001</x:v>
      </x:c>
      <x:c r="M859" s="22" t="n">
        <x:v>46136</x:v>
      </x:c>
      <x:c r="N859" t="str">
        <x:v>SKU-007</x:v>
      </x:c>
      <x:c r="O859" t="n">
        <x:v>1</x:v>
      </x:c>
      <x:c r="P859" s="26" t="n">
        <x:f>F859/O859</x:f>
        <x:v>114.97</x:v>
      </x:c>
    </x:row>
    <x:row r="860">
      <x:c r="A860" t="n">
        <x:v>859</x:v>
      </x:c>
      <x:c r="B860" t="n">
        <x:v>22</x:v>
      </x:c>
      <x:c r="C860" t="str">
        <x:v>Male</x:v>
      </x:c>
      <x:c r="D860" t="str">
        <x:v>Groceries</x:v>
      </x:c>
      <x:c r="E860" t="str">
        <x:v>Snacks</x:v>
      </x:c>
      <x:c r="F860" s="24" t="n">
        <x:v>40.19</x:v>
      </x:c>
      <x:c r="G860" t="str">
        <x:v>Spring</x:v>
      </x:c>
      <x:c r="H860" t="str">
        <x:v>Cash on Delivery</x:v>
      </x:c>
      <x:c r="I860" t="n">
        <x:v>3.7</x:v>
      </x:c>
      <x:c r="J860" t="n">
        <x:v>14</x:v>
      </x:c>
      <x:c r="K860" t="n">
        <x:v>2</x:v>
      </x:c>
      <x:c r="L860" t="str">
        <x:v>STORE-001</x:v>
      </x:c>
      <x:c r="M860" s="22" t="n">
        <x:v>45944</x:v>
      </x:c>
      <x:c r="N860" t="str">
        <x:v>SKU-024</x:v>
      </x:c>
      <x:c r="O860" t="n">
        <x:v>4</x:v>
      </x:c>
      <x:c r="P860" s="26" t="n">
        <x:f>F860/O860</x:f>
        <x:v>10.0475</x:v>
      </x:c>
    </x:row>
    <x:row r="861">
      <x:c r="A861" t="n">
        <x:v>860</x:v>
      </x:c>
      <x:c r="B861" t="n">
        <x:v>32</x:v>
      </x:c>
      <x:c r="C861" t="str">
        <x:v>Female</x:v>
      </x:c>
      <x:c r="D861" t="str">
        <x:v>Womens Clothing</x:v>
      </x:c>
      <x:c r="E861" t="str">
        <x:v>Jeans</x:v>
      </x:c>
      <x:c r="F861" s="24" t="n">
        <x:v>120.08</x:v>
      </x:c>
      <x:c r="G861" t="str">
        <x:v>Spring</x:v>
      </x:c>
      <x:c r="H861" t="str">
        <x:v>Card</x:v>
      </x:c>
      <x:c r="I861" t="n">
        <x:v>3.5</x:v>
      </x:c>
      <x:c r="J861" t="n">
        <x:v>8</x:v>
      </x:c>
      <x:c r="K861" t="n">
        <x:v>4</x:v>
      </x:c>
      <x:c r="L861" t="str">
        <x:v>STORE-001</x:v>
      </x:c>
      <x:c r="M861" s="22" t="n">
        <x:v>46293</x:v>
      </x:c>
      <x:c r="N861" t="str">
        <x:v>SKU-011</x:v>
      </x:c>
      <x:c r="O861" t="n">
        <x:v>2</x:v>
      </x:c>
      <x:c r="P861" s="26" t="n">
        <x:f>F861/O861</x:f>
        <x:v>60.04</x:v>
      </x:c>
    </x:row>
    <x:row r="862">
      <x:c r="A862" t="n">
        <x:v>861</x:v>
      </x:c>
      <x:c r="B862" t="n">
        <x:v>58</x:v>
      </x:c>
      <x:c r="C862" t="str">
        <x:v>Male</x:v>
      </x:c>
      <x:c r="D862" t="str">
        <x:v>Electronics</x:v>
      </x:c>
      <x:c r="E862" t="str">
        <x:v>Laptop</x:v>
      </x:c>
      <x:c r="F862" s="24" t="n">
        <x:v>2431.86</x:v>
      </x:c>
      <x:c r="G862" t="str">
        <x:v>Summer</x:v>
      </x:c>
      <x:c r="H862" t="str">
        <x:v>Card</x:v>
      </x:c>
      <x:c r="I862" t="n">
        <x:v>4.6</x:v>
      </x:c>
      <x:c r="J862" t="n">
        <x:v>15</x:v>
      </x:c>
      <x:c r="K862" t="n">
        <x:v>5</x:v>
      </x:c>
      <x:c r="L862" t="str">
        <x:v>STORE-001</x:v>
      </x:c>
      <x:c r="M862" s="22" t="n">
        <x:v>46034</x:v>
      </x:c>
      <x:c r="N862" t="str">
        <x:v>SKU-014</x:v>
      </x:c>
      <x:c r="O862" t="n">
        <x:v>1</x:v>
      </x:c>
      <x:c r="P862" s="26" t="n">
        <x:f>F862/O862</x:f>
        <x:v>2431.86</x:v>
      </x:c>
    </x:row>
    <x:row r="863">
      <x:c r="A863" t="n">
        <x:v>862</x:v>
      </x:c>
      <x:c r="B863" t="n">
        <x:v>59</x:v>
      </x:c>
      <x:c r="C863" t="str">
        <x:v>Male</x:v>
      </x:c>
      <x:c r="D863" t="str">
        <x:v>Electronics</x:v>
      </x:c>
      <x:c r="E863" t="str">
        <x:v>Headphones</x:v>
      </x:c>
      <x:c r="F863" s="24" t="n">
        <x:v>1129</x:v>
      </x:c>
      <x:c r="G863" t="str">
        <x:v>Winter</x:v>
      </x:c>
      <x:c r="H863" t="str">
        <x:v>Card</x:v>
      </x:c>
      <x:c r="I863" t="n">
        <x:v>2.5</x:v>
      </x:c>
      <x:c r="J863" t="n">
        <x:v>11</x:v>
      </x:c>
      <x:c r="K863" t="n">
        <x:v>3</x:v>
      </x:c>
      <x:c r="L863" t="str">
        <x:v>STORE-001</x:v>
      </x:c>
      <x:c r="M863" s="22" t="n">
        <x:v>46254</x:v>
      </x:c>
      <x:c r="N863" t="str">
        <x:v>SKU-009</x:v>
      </x:c>
      <x:c r="O863" t="n">
        <x:v>1</x:v>
      </x:c>
      <x:c r="P863" s="26" t="n">
        <x:f>F863/O863</x:f>
        <x:v>1129</x:v>
      </x:c>
    </x:row>
    <x:row r="864">
      <x:c r="A864" t="n">
        <x:v>863</x:v>
      </x:c>
      <x:c r="B864" t="n">
        <x:v>40</x:v>
      </x:c>
      <x:c r="C864" t="str">
        <x:v>Male</x:v>
      </x:c>
      <x:c r="D864" t="str">
        <x:v>Footwear</x:v>
      </x:c>
      <x:c r="E864" t="str">
        <x:v>Sneakers</x:v>
      </x:c>
      <x:c r="F864" s="24" t="n">
        <x:v>96.21</x:v>
      </x:c>
      <x:c r="G864" t="str">
        <x:v>Winter</x:v>
      </x:c>
      <x:c r="H864" t="str">
        <x:v>Cash on Delivery</x:v>
      </x:c>
      <x:c r="I864" t="n">
        <x:v>2.6</x:v>
      </x:c>
      <x:c r="J864" t="n">
        <x:v>11</x:v>
      </x:c>
      <x:c r="K864" t="n">
        <x:v>3</x:v>
      </x:c>
      <x:c r="L864" t="str">
        <x:v>STORE-001</x:v>
      </x:c>
      <x:c r="M864" s="22" t="n">
        <x:v>46208</x:v>
      </x:c>
      <x:c r="N864" t="str">
        <x:v>SKU-025</x:v>
      </x:c>
      <x:c r="O864" t="n">
        <x:v>1</x:v>
      </x:c>
      <x:c r="P864" s="26" t="n">
        <x:f>F864/O864</x:f>
        <x:v>96.21</x:v>
      </x:c>
    </x:row>
    <x:row r="865">
      <x:c r="A865" t="n">
        <x:v>864</x:v>
      </x:c>
      <x:c r="B865" t="n">
        <x:v>46</x:v>
      </x:c>
      <x:c r="C865" t="str">
        <x:v>Male</x:v>
      </x:c>
      <x:c r="D865" t="str">
        <x:v>Electronics</x:v>
      </x:c>
      <x:c r="E865" t="str">
        <x:v>Headphones</x:v>
      </x:c>
      <x:c r="F865" s="24" t="n">
        <x:v>1454.05</x:v>
      </x:c>
      <x:c r="G865" t="str">
        <x:v>Summer</x:v>
      </x:c>
      <x:c r="H865" t="str">
        <x:v>Card</x:v>
      </x:c>
      <x:c r="I865" t="n">
        <x:v>3.5</x:v>
      </x:c>
      <x:c r="J865" t="n">
        <x:v>23</x:v>
      </x:c>
      <x:c r="K865" t="n">
        <x:v>9</x:v>
      </x:c>
      <x:c r="L865" t="str">
        <x:v>STORE-001</x:v>
      </x:c>
      <x:c r="M865" s="22" t="n">
        <x:v>46047</x:v>
      </x:c>
      <x:c r="N865" t="str">
        <x:v>SKU-009</x:v>
      </x:c>
      <x:c r="O865" t="n">
        <x:v>2</x:v>
      </x:c>
      <x:c r="P865" s="26" t="n">
        <x:f>F865/O865</x:f>
        <x:v>727.025</x:v>
      </x:c>
    </x:row>
    <x:row r="866">
      <x:c r="A866" t="n">
        <x:v>865</x:v>
      </x:c>
      <x:c r="B866" t="n">
        <x:v>22</x:v>
      </x:c>
      <x:c r="C866" t="str">
        <x:v>Male</x:v>
      </x:c>
      <x:c r="D866" t="str">
        <x:v>Sports</x:v>
      </x:c>
      <x:c r="E866" t="str">
        <x:v>Yoga Mat</x:v>
      </x:c>
      <x:c r="F866" s="24" t="n">
        <x:v>210.91</x:v>
      </x:c>
      <x:c r="G866" t="str">
        <x:v>Spring</x:v>
      </x:c>
      <x:c r="H866" t="str">
        <x:v>Card</x:v>
      </x:c>
      <x:c r="I866" t="n">
        <x:v>3.8</x:v>
      </x:c>
      <x:c r="J866" t="n">
        <x:v>24</x:v>
      </x:c>
      <x:c r="K866" t="n">
        <x:v>7</x:v>
      </x:c>
      <x:c r="L866" t="str">
        <x:v>STORE-001</x:v>
      </x:c>
      <x:c r="M866" s="22" t="n">
        <x:v>45952</x:v>
      </x:c>
      <x:c r="N866" t="str">
        <x:v>SKU-030</x:v>
      </x:c>
      <x:c r="O866" t="n">
        <x:v>2</x:v>
      </x:c>
      <x:c r="P866" s="26" t="n">
        <x:f>F866/O866</x:f>
        <x:v>105.455</x:v>
      </x:c>
    </x:row>
    <x:row r="867">
      <x:c r="A867" t="n">
        <x:v>866</x:v>
      </x:c>
      <x:c r="B867" t="n">
        <x:v>52</x:v>
      </x:c>
      <x:c r="C867" t="str">
        <x:v>Female</x:v>
      </x:c>
      <x:c r="D867" t="str">
        <x:v>Womens Clothing</x:v>
      </x:c>
      <x:c r="E867" t="str">
        <x:v>Dress</x:v>
      </x:c>
      <x:c r="F867" s="24" t="n">
        <x:v>35.17</x:v>
      </x:c>
      <x:c r="G867" t="str">
        <x:v>Autumn</x:v>
      </x:c>
      <x:c r="H867" t="str">
        <x:v>Card</x:v>
      </x:c>
      <x:c r="I867" t="n">
        <x:v>4.1</x:v>
      </x:c>
      <x:c r="J867" t="n">
        <x:v>26</x:v>
      </x:c>
      <x:c r="K867" t="n">
        <x:v>8</x:v>
      </x:c>
      <x:c r="L867" t="str">
        <x:v>STORE-001</x:v>
      </x:c>
      <x:c r="M867" s="22" t="n">
        <x:v>46136</x:v>
      </x:c>
      <x:c r="N867" t="str">
        <x:v>SKU-004</x:v>
      </x:c>
      <x:c r="O867" t="n">
        <x:v>2</x:v>
      </x:c>
      <x:c r="P867" s="26" t="n">
        <x:f>F867/O867</x:f>
        <x:v>17.585</x:v>
      </x:c>
    </x:row>
    <x:row r="868">
      <x:c r="A868" t="n">
        <x:v>867</x:v>
      </x:c>
      <x:c r="B868" t="n">
        <x:v>70</x:v>
      </x:c>
      <x:c r="C868" t="str">
        <x:v>Male</x:v>
      </x:c>
      <x:c r="D868" t="str">
        <x:v>Electronics</x:v>
      </x:c>
      <x:c r="E868" t="str">
        <x:v>Mobile Phone</x:v>
      </x:c>
      <x:c r="F868" s="24" t="n">
        <x:v>2108.89</x:v>
      </x:c>
      <x:c r="G868" t="str">
        <x:v>Winter</x:v>
      </x:c>
      <x:c r="H868" t="str">
        <x:v>Card</x:v>
      </x:c>
      <x:c r="I868" t="n">
        <x:v>4.4</x:v>
      </x:c>
      <x:c r="J868" t="n">
        <x:v>23</x:v>
      </x:c>
      <x:c r="K868" t="n">
        <x:v>9</x:v>
      </x:c>
      <x:c r="L868" t="str">
        <x:v>STORE-001</x:v>
      </x:c>
      <x:c r="M868" s="22" t="n">
        <x:v>46223</x:v>
      </x:c>
      <x:c r="N868" t="str">
        <x:v>SKU-016</x:v>
      </x:c>
      <x:c r="O868" t="n">
        <x:v>1</x:v>
      </x:c>
      <x:c r="P868" s="26" t="n">
        <x:f>F868/O868</x:f>
        <x:v>2108.89</x:v>
      </x:c>
    </x:row>
    <x:row r="869">
      <x:c r="A869" t="n">
        <x:v>868</x:v>
      </x:c>
      <x:c r="B869" t="n">
        <x:v>51</x:v>
      </x:c>
      <x:c r="C869" t="str">
        <x:v>Male</x:v>
      </x:c>
      <x:c r="D869" t="str">
        <x:v>Sports</x:v>
      </x:c>
      <x:c r="E869" t="str">
        <x:v>Dumbbells</x:v>
      </x:c>
      <x:c r="F869" s="24" t="n">
        <x:v>219.04</x:v>
      </x:c>
      <x:c r="G869" t="str">
        <x:v>Summer</x:v>
      </x:c>
      <x:c r="H869" t="str">
        <x:v>Card</x:v>
      </x:c>
      <x:c r="I869" t="n">
        <x:v>3.2</x:v>
      </x:c>
      <x:c r="J869" t="n">
        <x:v>11</x:v>
      </x:c>
      <x:c r="K869" t="n">
        <x:v>3</x:v>
      </x:c>
      <x:c r="L869" t="str">
        <x:v>STORE-001</x:v>
      </x:c>
      <x:c r="M869" s="22" t="n">
        <x:v>46073</x:v>
      </x:c>
      <x:c r="N869" t="str">
        <x:v>SKU-005</x:v>
      </x:c>
      <x:c r="O869" t="n">
        <x:v>1</x:v>
      </x:c>
      <x:c r="P869" s="26" t="n">
        <x:f>F869/O869</x:f>
        <x:v>219.04</x:v>
      </x:c>
    </x:row>
    <x:row r="870">
      <x:c r="A870" t="n">
        <x:v>869</x:v>
      </x:c>
      <x:c r="B870" t="n">
        <x:v>67</x:v>
      </x:c>
      <x:c r="C870" t="str">
        <x:v>Female</x:v>
      </x:c>
      <x:c r="D870" t="str">
        <x:v>Accessories</x:v>
      </x:c>
      <x:c r="E870" t="str">
        <x:v>Sunglasses</x:v>
      </x:c>
      <x:c r="F870" s="24" t="n">
        <x:v>48.74</x:v>
      </x:c>
      <x:c r="G870" t="str">
        <x:v>Autumn</x:v>
      </x:c>
      <x:c r="H870" t="str">
        <x:v>Card</x:v>
      </x:c>
      <x:c r="I870" t="n">
        <x:v>3.1</x:v>
      </x:c>
      <x:c r="J870" t="n">
        <x:v>24</x:v>
      </x:c>
      <x:c r="K870" t="n">
        <x:v>7</x:v>
      </x:c>
      <x:c r="L870" t="str">
        <x:v>STORE-001</x:v>
      </x:c>
      <x:c r="M870" s="22" t="n">
        <x:v>46109</x:v>
      </x:c>
      <x:c r="N870" t="str">
        <x:v>SKU-026</x:v>
      </x:c>
      <x:c r="O870" t="n">
        <x:v>1</x:v>
      </x:c>
      <x:c r="P870" s="26" t="n">
        <x:f>F870/O870</x:f>
        <x:v>48.74</x:v>
      </x:c>
    </x:row>
    <x:row r="871">
      <x:c r="A871" t="n">
        <x:v>870</x:v>
      </x:c>
      <x:c r="B871" t="n">
        <x:v>31</x:v>
      </x:c>
      <x:c r="C871" t="str">
        <x:v>Female</x:v>
      </x:c>
      <x:c r="D871" t="str">
        <x:v>Womens Clothing</x:v>
      </x:c>
      <x:c r="E871" t="str">
        <x:v>Jeans</x:v>
      </x:c>
      <x:c r="F871" s="24" t="n">
        <x:v>93.29</x:v>
      </x:c>
      <x:c r="G871" t="str">
        <x:v>Autumn</x:v>
      </x:c>
      <x:c r="H871" t="str">
        <x:v>Card</x:v>
      </x:c>
      <x:c r="I871" t="n">
        <x:v>5</x:v>
      </x:c>
      <x:c r="J871" t="n">
        <x:v>16</x:v>
      </x:c>
      <x:c r="K871" t="n">
        <x:v>3</x:v>
      </x:c>
      <x:c r="L871" t="str">
        <x:v>STORE-001</x:v>
      </x:c>
      <x:c r="M871" s="22" t="n">
        <x:v>46171</x:v>
      </x:c>
      <x:c r="N871" t="str">
        <x:v>SKU-011</x:v>
      </x:c>
      <x:c r="O871" t="n">
        <x:v>1</x:v>
      </x:c>
      <x:c r="P871" s="26" t="n">
        <x:f>F871/O871</x:f>
        <x:v>93.29</x:v>
      </x:c>
    </x:row>
    <x:row r="872">
      <x:c r="A872" t="n">
        <x:v>871</x:v>
      </x:c>
      <x:c r="B872" t="n">
        <x:v>58</x:v>
      </x:c>
      <x:c r="C872" t="str">
        <x:v>Female</x:v>
      </x:c>
      <x:c r="D872" t="str">
        <x:v>Footwear</x:v>
      </x:c>
      <x:c r="E872" t="str">
        <x:v>Sandals</x:v>
      </x:c>
      <x:c r="F872" s="24" t="n">
        <x:v>59.04</x:v>
      </x:c>
      <x:c r="G872" t="str">
        <x:v>Autumn</x:v>
      </x:c>
      <x:c r="H872" t="str">
        <x:v>Card</x:v>
      </x:c>
      <x:c r="I872" t="n">
        <x:v>2.9</x:v>
      </x:c>
      <x:c r="J872" t="n">
        <x:v>10</x:v>
      </x:c>
      <x:c r="K872" t="n">
        <x:v>5</x:v>
      </x:c>
      <x:c r="L872" t="str">
        <x:v>STORE-001</x:v>
      </x:c>
      <x:c r="M872" s="22" t="n">
        <x:v>46168</x:v>
      </x:c>
      <x:c r="N872" t="str">
        <x:v>SKU-019</x:v>
      </x:c>
      <x:c r="O872" t="n">
        <x:v>1</x:v>
      </x:c>
      <x:c r="P872" s="26" t="n">
        <x:f>F872/O872</x:f>
        <x:v>59.04</x:v>
      </x:c>
    </x:row>
    <x:row r="873">
      <x:c r="A873" t="n">
        <x:v>872</x:v>
      </x:c>
      <x:c r="B873" t="n">
        <x:v>30</x:v>
      </x:c>
      <x:c r="C873" t="str">
        <x:v>Male</x:v>
      </x:c>
      <x:c r="D873" t="str">
        <x:v>Footwear</x:v>
      </x:c>
      <x:c r="E873" t="str">
        <x:v>Formal Shoes</x:v>
      </x:c>
      <x:c r="F873" s="24" t="n">
        <x:v>87.7</x:v>
      </x:c>
      <x:c r="G873" t="str">
        <x:v>Autumn</x:v>
      </x:c>
      <x:c r="H873" t="str">
        <x:v>Card</x:v>
      </x:c>
      <x:c r="I873" t="n">
        <x:v>4.2</x:v>
      </x:c>
      <x:c r="J873" t="n">
        <x:v>19</x:v>
      </x:c>
      <x:c r="K873" t="n">
        <x:v>7</x:v>
      </x:c>
      <x:c r="L873" t="str">
        <x:v>STORE-001</x:v>
      </x:c>
      <x:c r="M873" s="22" t="n">
        <x:v>46123</x:v>
      </x:c>
      <x:c r="N873" t="str">
        <x:v>SKU-007</x:v>
      </x:c>
      <x:c r="O873" t="n">
        <x:v>1</x:v>
      </x:c>
      <x:c r="P873" s="26" t="n">
        <x:f>F873/O873</x:f>
        <x:v>87.7</x:v>
      </x:c>
    </x:row>
    <x:row r="874">
      <x:c r="A874" t="n">
        <x:v>873</x:v>
      </x:c>
      <x:c r="B874" t="n">
        <x:v>39</x:v>
      </x:c>
      <x:c r="C874" t="str">
        <x:v>Female</x:v>
      </x:c>
      <x:c r="D874" t="str">
        <x:v>Beauty</x:v>
      </x:c>
      <x:c r="E874" t="str">
        <x:v>Perfume</x:v>
      </x:c>
      <x:c r="F874" s="24" t="n">
        <x:v>58.21</x:v>
      </x:c>
      <x:c r="G874" t="str">
        <x:v>Winter</x:v>
      </x:c>
      <x:c r="H874" t="str">
        <x:v>Card</x:v>
      </x:c>
      <x:c r="I874" t="n">
        <x:v>2.5</x:v>
      </x:c>
      <x:c r="J874" t="n">
        <x:v>7</x:v>
      </x:c>
      <x:c r="K874" t="n">
        <x:v>1</x:v>
      </x:c>
      <x:c r="L874" t="str">
        <x:v>STORE-001</x:v>
      </x:c>
      <x:c r="M874" s="22" t="n">
        <x:v>46214</x:v>
      </x:c>
      <x:c r="N874" t="str">
        <x:v>SKU-017</x:v>
      </x:c>
      <x:c r="O874" t="n">
        <x:v>3</x:v>
      </x:c>
      <x:c r="P874" s="26" t="n">
        <x:f>F874/O874</x:f>
        <x:v>19.403333333333332</x:v>
      </x:c>
    </x:row>
    <x:row r="875">
      <x:c r="A875" t="n">
        <x:v>874</x:v>
      </x:c>
      <x:c r="B875" t="n">
        <x:v>69</x:v>
      </x:c>
      <x:c r="C875" t="str">
        <x:v>Female</x:v>
      </x:c>
      <x:c r="D875" t="str">
        <x:v>Womens Clothing</x:v>
      </x:c>
      <x:c r="E875" t="str">
        <x:v>Jeans</x:v>
      </x:c>
      <x:c r="F875" s="24" t="n">
        <x:v>100.29</x:v>
      </x:c>
      <x:c r="G875" t="str">
        <x:v>Winter</x:v>
      </x:c>
      <x:c r="H875" t="str">
        <x:v>Card</x:v>
      </x:c>
      <x:c r="I875" t="n">
        <x:v>2.6</x:v>
      </x:c>
      <x:c r="J875" t="n">
        <x:v>24</x:v>
      </x:c>
      <x:c r="K875" t="n">
        <x:v>7</x:v>
      </x:c>
      <x:c r="L875" t="str">
        <x:v>STORE-001</x:v>
      </x:c>
      <x:c r="M875" s="22" t="n">
        <x:v>46187</x:v>
      </x:c>
      <x:c r="N875" t="str">
        <x:v>SKU-011</x:v>
      </x:c>
      <x:c r="O875" t="n">
        <x:v>1</x:v>
      </x:c>
      <x:c r="P875" s="26" t="n">
        <x:f>F875/O875</x:f>
        <x:v>100.29</x:v>
      </x:c>
    </x:row>
    <x:row r="876">
      <x:c r="A876" t="n">
        <x:v>875</x:v>
      </x:c>
      <x:c r="B876" t="n">
        <x:v>22</x:v>
      </x:c>
      <x:c r="C876" t="str">
        <x:v>Male</x:v>
      </x:c>
      <x:c r="D876" t="str">
        <x:v>Footwear</x:v>
      </x:c>
      <x:c r="E876" t="str">
        <x:v>Sandals</x:v>
      </x:c>
      <x:c r="F876" s="24" t="n">
        <x:v>154.2</x:v>
      </x:c>
      <x:c r="G876" t="str">
        <x:v>Summer</x:v>
      </x:c>
      <x:c r="H876" t="str">
        <x:v>Card</x:v>
      </x:c>
      <x:c r="I876" t="n">
        <x:v>3.4</x:v>
      </x:c>
      <x:c r="J876" t="n">
        <x:v>4</x:v>
      </x:c>
      <x:c r="K876" t="n">
        <x:v>2</x:v>
      </x:c>
      <x:c r="L876" t="str">
        <x:v>STORE-001</x:v>
      </x:c>
      <x:c r="M876" s="22" t="n">
        <x:v>46011</x:v>
      </x:c>
      <x:c r="N876" t="str">
        <x:v>SKU-019</x:v>
      </x:c>
      <x:c r="O876" t="n">
        <x:v>2</x:v>
      </x:c>
      <x:c r="P876" s="26" t="n">
        <x:f>F876/O876</x:f>
        <x:v>77.1</x:v>
      </x:c>
    </x:row>
    <x:row r="877">
      <x:c r="A877" t="n">
        <x:v>876</x:v>
      </x:c>
      <x:c r="B877" t="n">
        <x:v>32</x:v>
      </x:c>
      <x:c r="C877" t="str">
        <x:v>Male</x:v>
      </x:c>
      <x:c r="D877" t="str">
        <x:v>Electronics</x:v>
      </x:c>
      <x:c r="E877" t="str">
        <x:v>Laptop</x:v>
      </x:c>
      <x:c r="F877" s="24" t="n">
        <x:v>1370.18</x:v>
      </x:c>
      <x:c r="G877" t="str">
        <x:v>Spring</x:v>
      </x:c>
      <x:c r="H877" t="str">
        <x:v>Card</x:v>
      </x:c>
      <x:c r="I877" t="n">
        <x:v>3</x:v>
      </x:c>
      <x:c r="J877" t="n">
        <x:v>20</x:v>
      </x:c>
      <x:c r="K877" t="n">
        <x:v>5</x:v>
      </x:c>
      <x:c r="L877" t="str">
        <x:v>STORE-001</x:v>
      </x:c>
      <x:c r="M877" s="22" t="n">
        <x:v>45938</x:v>
      </x:c>
      <x:c r="N877" t="str">
        <x:v>SKU-014</x:v>
      </x:c>
      <x:c r="O877" t="n">
        <x:v>1</x:v>
      </x:c>
      <x:c r="P877" s="26" t="n">
        <x:f>F877/O877</x:f>
        <x:v>1370.18</x:v>
      </x:c>
    </x:row>
    <x:row r="878">
      <x:c r="A878" t="n">
        <x:v>877</x:v>
      </x:c>
      <x:c r="B878" t="n">
        <x:v>40</x:v>
      </x:c>
      <x:c r="C878" t="str">
        <x:v>Male</x:v>
      </x:c>
      <x:c r="D878" t="str">
        <x:v>Footwear</x:v>
      </x:c>
      <x:c r="E878" t="str">
        <x:v>Sneakers</x:v>
      </x:c>
      <x:c r="F878" s="24" t="n">
        <x:v>123.96</x:v>
      </x:c>
      <x:c r="G878" t="str">
        <x:v>Summer</x:v>
      </x:c>
      <x:c r="H878" t="str">
        <x:v>Card</x:v>
      </x:c>
      <x:c r="I878" t="n">
        <x:v>4.1</x:v>
      </x:c>
      <x:c r="J878" t="n">
        <x:v>11</x:v>
      </x:c>
      <x:c r="K878" t="n">
        <x:v>3</x:v>
      </x:c>
      <x:c r="L878" t="str">
        <x:v>STORE-001</x:v>
      </x:c>
      <x:c r="M878" s="22" t="n">
        <x:v>46009</x:v>
      </x:c>
      <x:c r="N878" t="str">
        <x:v>SKU-025</x:v>
      </x:c>
      <x:c r="O878" t="n">
        <x:v>1</x:v>
      </x:c>
      <x:c r="P878" s="26" t="n">
        <x:f>F878/O878</x:f>
        <x:v>123.96</x:v>
      </x:c>
    </x:row>
    <x:row r="879">
      <x:c r="A879" t="n">
        <x:v>878</x:v>
      </x:c>
      <x:c r="B879" t="n">
        <x:v>32</x:v>
      </x:c>
      <x:c r="C879" t="str">
        <x:v>Female</x:v>
      </x:c>
      <x:c r="D879" t="str">
        <x:v>Footwear</x:v>
      </x:c>
      <x:c r="E879" t="str">
        <x:v>Formal Shoes</x:v>
      </x:c>
      <x:c r="F879" s="24" t="n">
        <x:v>151.91</x:v>
      </x:c>
      <x:c r="G879" t="str">
        <x:v>Summer</x:v>
      </x:c>
      <x:c r="H879" t="str">
        <x:v>Card</x:v>
      </x:c>
      <x:c r="I879" t="n">
        <x:v>4.2</x:v>
      </x:c>
      <x:c r="J879" t="n">
        <x:v>22</x:v>
      </x:c>
      <x:c r="K879" t="n">
        <x:v>6</x:v>
      </x:c>
      <x:c r="L879" t="str">
        <x:v>STORE-001</x:v>
      </x:c>
      <x:c r="M879" s="22" t="n">
        <x:v>46000</x:v>
      </x:c>
      <x:c r="N879" t="str">
        <x:v>SKU-007</x:v>
      </x:c>
      <x:c r="O879" t="n">
        <x:v>1</x:v>
      </x:c>
      <x:c r="P879" s="26" t="n">
        <x:f>F879/O879</x:f>
        <x:v>151.91</x:v>
      </x:c>
    </x:row>
    <x:row r="880">
      <x:c r="A880" t="n">
        <x:v>879</x:v>
      </x:c>
      <x:c r="B880" t="n">
        <x:v>69</x:v>
      </x:c>
      <x:c r="C880" t="str">
        <x:v>Female</x:v>
      </x:c>
      <x:c r="D880" t="str">
        <x:v>Home</x:v>
      </x:c>
      <x:c r="E880" t="str">
        <x:v>Curtains</x:v>
      </x:c>
      <x:c r="F880" s="24" t="n">
        <x:v>201.11</x:v>
      </x:c>
      <x:c r="G880" t="str">
        <x:v>Spring</x:v>
      </x:c>
      <x:c r="H880" t="str">
        <x:v>Card</x:v>
      </x:c>
      <x:c r="I880" t="n">
        <x:v>3.9</x:v>
      </x:c>
      <x:c r="J880" t="n">
        <x:v>11</x:v>
      </x:c>
      <x:c r="K880" t="n">
        <x:v>3</x:v>
      </x:c>
      <x:c r="L880" t="str">
        <x:v>STORE-001</x:v>
      </x:c>
      <x:c r="M880" s="22" t="n">
        <x:v>46266</x:v>
      </x:c>
      <x:c r="N880" t="str">
        <x:v>SKU-003</x:v>
      </x:c>
      <x:c r="O880" t="n">
        <x:v>1</x:v>
      </x:c>
      <x:c r="P880" s="26" t="n">
        <x:f>F880/O880</x:f>
        <x:v>201.11</x:v>
      </x:c>
    </x:row>
    <x:row r="881">
      <x:c r="A881" t="n">
        <x:v>880</x:v>
      </x:c>
      <x:c r="B881" t="n">
        <x:v>59</x:v>
      </x:c>
      <x:c r="C881" t="str">
        <x:v>Male</x:v>
      </x:c>
      <x:c r="D881" t="str">
        <x:v>Footwear</x:v>
      </x:c>
      <x:c r="E881" t="str">
        <x:v>Sneakers</x:v>
      </x:c>
      <x:c r="F881" s="24" t="n">
        <x:v>42.35</x:v>
      </x:c>
      <x:c r="G881" t="str">
        <x:v>Spring</x:v>
      </x:c>
      <x:c r="H881" t="str">
        <x:v>Cash on Delivery</x:v>
      </x:c>
      <x:c r="I881" t="n">
        <x:v>3.6</x:v>
      </x:c>
      <x:c r="J881" t="n">
        <x:v>13</x:v>
      </x:c>
      <x:c r="K881" t="n">
        <x:v>4</x:v>
      </x:c>
      <x:c r="L881" t="str">
        <x:v>STORE-001</x:v>
      </x:c>
      <x:c r="M881" s="22" t="n">
        <x:v>46268</x:v>
      </x:c>
      <x:c r="N881" t="str">
        <x:v>SKU-025</x:v>
      </x:c>
      <x:c r="O881" t="n">
        <x:v>1</x:v>
      </x:c>
      <x:c r="P881" s="26" t="n">
        <x:f>F881/O881</x:f>
        <x:v>42.35</x:v>
      </x:c>
    </x:row>
    <x:row r="882">
      <x:c r="A882" t="n">
        <x:v>881</x:v>
      </x:c>
      <x:c r="B882" t="n">
        <x:v>70</x:v>
      </x:c>
      <x:c r="C882" t="str">
        <x:v>Female</x:v>
      </x:c>
      <x:c r="D882" t="str">
        <x:v>Beauty</x:v>
      </x:c>
      <x:c r="E882" t="str">
        <x:v>Makeup Set</x:v>
      </x:c>
      <x:c r="F882" s="24" t="n">
        <x:v>142.85</x:v>
      </x:c>
      <x:c r="G882" t="str">
        <x:v>Winter</x:v>
      </x:c>
      <x:c r="H882" t="str">
        <x:v>Card</x:v>
      </x:c>
      <x:c r="I882" t="n">
        <x:v>3.2</x:v>
      </x:c>
      <x:c r="J882" t="n">
        <x:v>20</x:v>
      </x:c>
      <x:c r="K882" t="n">
        <x:v>5</x:v>
      </x:c>
      <x:c r="L882" t="str">
        <x:v>STORE-001</x:v>
      </x:c>
      <x:c r="M882" s="22" t="n">
        <x:v>46182</x:v>
      </x:c>
      <x:c r="N882" t="str">
        <x:v>SKU-015</x:v>
      </x:c>
      <x:c r="O882" t="n">
        <x:v>1</x:v>
      </x:c>
      <x:c r="P882" s="26" t="n">
        <x:f>F882/O882</x:f>
        <x:v>142.85</x:v>
      </x:c>
    </x:row>
    <x:row r="883">
      <x:c r="A883" t="n">
        <x:v>882</x:v>
      </x:c>
      <x:c r="B883" t="n">
        <x:v>46</x:v>
      </x:c>
      <x:c r="C883" t="str">
        <x:v>Male</x:v>
      </x:c>
      <x:c r="D883" t="str">
        <x:v>Electronics</x:v>
      </x:c>
      <x:c r="E883" t="str">
        <x:v>Mobile Phone</x:v>
      </x:c>
      <x:c r="F883" s="24" t="n">
        <x:v>533.08</x:v>
      </x:c>
      <x:c r="G883" t="str">
        <x:v>Summer</x:v>
      </x:c>
      <x:c r="H883" t="str">
        <x:v>Card</x:v>
      </x:c>
      <x:c r="I883" t="n">
        <x:v>5</x:v>
      </x:c>
      <x:c r="J883" t="n">
        <x:v>16</x:v>
      </x:c>
      <x:c r="K883" t="n">
        <x:v>3</x:v>
      </x:c>
      <x:c r="L883" t="str">
        <x:v>STORE-001</x:v>
      </x:c>
      <x:c r="M883" s="22" t="n">
        <x:v>46068</x:v>
      </x:c>
      <x:c r="N883" t="str">
        <x:v>SKU-016</x:v>
      </x:c>
      <x:c r="O883" t="n">
        <x:v>2</x:v>
      </x:c>
      <x:c r="P883" s="26" t="n">
        <x:f>F883/O883</x:f>
        <x:v>266.54</x:v>
      </x:c>
    </x:row>
    <x:row r="884">
      <x:c r="A884" t="n">
        <x:v>883</x:v>
      </x:c>
      <x:c r="B884" t="n">
        <x:v>36</x:v>
      </x:c>
      <x:c r="C884" t="str">
        <x:v>Female</x:v>
      </x:c>
      <x:c r="D884" t="str">
        <x:v>Home</x:v>
      </x:c>
      <x:c r="E884" t="str">
        <x:v>Kitchen Set</x:v>
      </x:c>
      <x:c r="F884" s="24" t="n">
        <x:v>100.72</x:v>
      </x:c>
      <x:c r="G884" t="str">
        <x:v>Autumn</x:v>
      </x:c>
      <x:c r="H884" t="str">
        <x:v>Card</x:v>
      </x:c>
      <x:c r="I884" t="n">
        <x:v>2.8</x:v>
      </x:c>
      <x:c r="J884" t="n">
        <x:v>22</x:v>
      </x:c>
      <x:c r="K884" t="n">
        <x:v>6</x:v>
      </x:c>
      <x:c r="L884" t="str">
        <x:v>STORE-001</x:v>
      </x:c>
      <x:c r="M884" s="22" t="n">
        <x:v>46094</x:v>
      </x:c>
      <x:c r="N884" t="str">
        <x:v>SKU-012</x:v>
      </x:c>
      <x:c r="O884" t="n">
        <x:v>1</x:v>
      </x:c>
      <x:c r="P884" s="26" t="n">
        <x:f>F884/O884</x:f>
        <x:v>100.72</x:v>
      </x:c>
    </x:row>
    <x:row r="885">
      <x:c r="A885" t="n">
        <x:v>884</x:v>
      </x:c>
      <x:c r="B885" t="n">
        <x:v>31</x:v>
      </x:c>
      <x:c r="C885" t="str">
        <x:v>Female</x:v>
      </x:c>
      <x:c r="D885" t="str">
        <x:v>Accessories</x:v>
      </x:c>
      <x:c r="E885" t="str">
        <x:v>Sunglasses</x:v>
      </x:c>
      <x:c r="F885" s="24" t="n">
        <x:v>172.26</x:v>
      </x:c>
      <x:c r="G885" t="str">
        <x:v>Summer</x:v>
      </x:c>
      <x:c r="H885" t="str">
        <x:v>Card</x:v>
      </x:c>
      <x:c r="I885" t="n">
        <x:v>2.8</x:v>
      </x:c>
      <x:c r="J885" t="n">
        <x:v>20</x:v>
      </x:c>
      <x:c r="K885" t="n">
        <x:v>5</x:v>
      </x:c>
      <x:c r="L885" t="str">
        <x:v>STORE-001</x:v>
      </x:c>
      <x:c r="M885" s="22" t="n">
        <x:v>46005</x:v>
      </x:c>
      <x:c r="N885" t="str">
        <x:v>SKU-026</x:v>
      </x:c>
      <x:c r="O885" t="n">
        <x:v>1</x:v>
      </x:c>
      <x:c r="P885" s="26" t="n">
        <x:f>F885/O885</x:f>
        <x:v>172.26</x:v>
      </x:c>
    </x:row>
    <x:row r="886">
      <x:c r="A886" t="n">
        <x:v>885</x:v>
      </x:c>
      <x:c r="B886" t="n">
        <x:v>46</x:v>
      </x:c>
      <x:c r="C886" t="str">
        <x:v>Female</x:v>
      </x:c>
      <x:c r="D886" t="str">
        <x:v>Sports</x:v>
      </x:c>
      <x:c r="E886" t="str">
        <x:v>Dumbbells</x:v>
      </x:c>
      <x:c r="F886" s="24" t="n">
        <x:v>200.96</x:v>
      </x:c>
      <x:c r="G886" t="str">
        <x:v>Summer</x:v>
      </x:c>
      <x:c r="H886" t="str">
        <x:v>Card</x:v>
      </x:c>
      <x:c r="I886" t="n">
        <x:v>4.2</x:v>
      </x:c>
      <x:c r="J886" t="n">
        <x:v>16</x:v>
      </x:c>
      <x:c r="K886" t="n">
        <x:v>3</x:v>
      </x:c>
      <x:c r="L886" t="str">
        <x:v>STORE-001</x:v>
      </x:c>
      <x:c r="M886" s="22" t="n">
        <x:v>46012</x:v>
      </x:c>
      <x:c r="N886" t="str">
        <x:v>SKU-005</x:v>
      </x:c>
      <x:c r="O886" t="n">
        <x:v>4</x:v>
      </x:c>
      <x:c r="P886" s="26" t="n">
        <x:f>F886/O886</x:f>
        <x:v>50.24</x:v>
      </x:c>
    </x:row>
    <x:row r="887">
      <x:c r="A887" t="n">
        <x:v>886</x:v>
      </x:c>
      <x:c r="B887" t="n">
        <x:v>66</x:v>
      </x:c>
      <x:c r="C887" t="str">
        <x:v>Female</x:v>
      </x:c>
      <x:c r="D887" t="str">
        <x:v>Footwear</x:v>
      </x:c>
      <x:c r="E887" t="str">
        <x:v>Sneakers</x:v>
      </x:c>
      <x:c r="F887" s="24" t="n">
        <x:v>113.39</x:v>
      </x:c>
      <x:c r="G887" t="str">
        <x:v>Spring</x:v>
      </x:c>
      <x:c r="H887" t="str">
        <x:v>Card</x:v>
      </x:c>
      <x:c r="I887" t="n">
        <x:v>3.4</x:v>
      </x:c>
      <x:c r="J887" t="n">
        <x:v>23</x:v>
      </x:c>
      <x:c r="K887" t="n">
        <x:v>9</x:v>
      </x:c>
      <x:c r="L887" t="str">
        <x:v>STORE-001</x:v>
      </x:c>
      <x:c r="M887" s="22" t="n">
        <x:v>45937</x:v>
      </x:c>
      <x:c r="N887" t="str">
        <x:v>SKU-025</x:v>
      </x:c>
      <x:c r="O887" t="n">
        <x:v>1</x:v>
      </x:c>
      <x:c r="P887" s="26" t="n">
        <x:f>F887/O887</x:f>
        <x:v>113.39</x:v>
      </x:c>
    </x:row>
    <x:row r="888">
      <x:c r="A888" t="n">
        <x:v>887</x:v>
      </x:c>
      <x:c r="B888" t="n">
        <x:v>36</x:v>
      </x:c>
      <x:c r="C888" t="str">
        <x:v>Female</x:v>
      </x:c>
      <x:c r="D888" t="str">
        <x:v>Accessories</x:v>
      </x:c>
      <x:c r="E888" t="str">
        <x:v>Wallet</x:v>
      </x:c>
      <x:c r="F888" s="24" t="n">
        <x:v>65.17</x:v>
      </x:c>
      <x:c r="G888" t="str">
        <x:v>Summer</x:v>
      </x:c>
      <x:c r="H888" t="str">
        <x:v>Cash on Delivery</x:v>
      </x:c>
      <x:c r="I888" t="n">
        <x:v>4.6</x:v>
      </x:c>
      <x:c r="J888" t="n">
        <x:v>15</x:v>
      </x:c>
      <x:c r="K888" t="n">
        <x:v>5</x:v>
      </x:c>
      <x:c r="L888" t="str">
        <x:v>STORE-001</x:v>
      </x:c>
      <x:c r="M888" s="22" t="n">
        <x:v>46012</x:v>
      </x:c>
      <x:c r="N888" t="str">
        <x:v>SKU-029</x:v>
      </x:c>
      <x:c r="O888" t="n">
        <x:v>1</x:v>
      </x:c>
      <x:c r="P888" s="26" t="n">
        <x:f>F888/O888</x:f>
        <x:v>65.17</x:v>
      </x:c>
    </x:row>
    <x:row r="889">
      <x:c r="A889" t="n">
        <x:v>888</x:v>
      </x:c>
      <x:c r="B889" t="n">
        <x:v>42</x:v>
      </x:c>
      <x:c r="C889" t="str">
        <x:v>Male</x:v>
      </x:c>
      <x:c r="D889" t="str">
        <x:v>Footwear</x:v>
      </x:c>
      <x:c r="E889" t="str">
        <x:v>Sneakers</x:v>
      </x:c>
      <x:c r="F889" s="24" t="n">
        <x:v>154.55</x:v>
      </x:c>
      <x:c r="G889" t="str">
        <x:v>Winter</x:v>
      </x:c>
      <x:c r="H889" t="str">
        <x:v>Card</x:v>
      </x:c>
      <x:c r="I889" t="n">
        <x:v>5</x:v>
      </x:c>
      <x:c r="J889" t="n">
        <x:v>17</x:v>
      </x:c>
      <x:c r="K889" t="n">
        <x:v>6</x:v>
      </x:c>
      <x:c r="L889" t="str">
        <x:v>STORE-001</x:v>
      </x:c>
      <x:c r="M889" s="22" t="n">
        <x:v>46255</x:v>
      </x:c>
      <x:c r="N889" t="str">
        <x:v>SKU-025</x:v>
      </x:c>
      <x:c r="O889" t="n">
        <x:v>1</x:v>
      </x:c>
      <x:c r="P889" s="26" t="n">
        <x:f>F889/O889</x:f>
        <x:v>154.55</x:v>
      </x:c>
    </x:row>
    <x:row r="890">
      <x:c r="A890" t="n">
        <x:v>889</x:v>
      </x:c>
      <x:c r="B890" t="n">
        <x:v>26</x:v>
      </x:c>
      <x:c r="C890" t="str">
        <x:v>Male</x:v>
      </x:c>
      <x:c r="D890" t="str">
        <x:v>Mens Clothing</x:v>
      </x:c>
      <x:c r="E890" t="str">
        <x:v>Jeans</x:v>
      </x:c>
      <x:c r="F890" s="24" t="n">
        <x:v>100.84</x:v>
      </x:c>
      <x:c r="G890" t="str">
        <x:v>Spring</x:v>
      </x:c>
      <x:c r="H890" t="str">
        <x:v>Card</x:v>
      </x:c>
      <x:c r="I890" t="n">
        <x:v>3.6</x:v>
      </x:c>
      <x:c r="J890" t="n">
        <x:v>14</x:v>
      </x:c>
      <x:c r="K890" t="n">
        <x:v>2</x:v>
      </x:c>
      <x:c r="L890" t="str">
        <x:v>STORE-001</x:v>
      </x:c>
      <x:c r="M890" s="22" t="n">
        <x:v>46282</x:v>
      </x:c>
      <x:c r="N890" t="str">
        <x:v>SKU-011</x:v>
      </x:c>
      <x:c r="O890" t="n">
        <x:v>2</x:v>
      </x:c>
      <x:c r="P890" s="26" t="n">
        <x:f>F890/O890</x:f>
        <x:v>50.42</x:v>
      </x:c>
    </x:row>
    <x:row r="891">
      <x:c r="A891" t="n">
        <x:v>890</x:v>
      </x:c>
      <x:c r="B891" t="n">
        <x:v>31</x:v>
      </x:c>
      <x:c r="C891" t="str">
        <x:v>Male</x:v>
      </x:c>
      <x:c r="D891" t="str">
        <x:v>Electronics</x:v>
      </x:c>
      <x:c r="E891" t="str">
        <x:v>Mobile Phone</x:v>
      </x:c>
      <x:c r="F891" s="24" t="n">
        <x:v>1142.03</x:v>
      </x:c>
      <x:c r="G891" t="str">
        <x:v>Winter</x:v>
      </x:c>
      <x:c r="H891" t="str">
        <x:v>Card</x:v>
      </x:c>
      <x:c r="I891" t="n">
        <x:v>4.2</x:v>
      </x:c>
      <x:c r="J891" t="n">
        <x:v>10</x:v>
      </x:c>
      <x:c r="K891" t="n">
        <x:v>5</x:v>
      </x:c>
      <x:c r="L891" t="str">
        <x:v>STORE-001</x:v>
      </x:c>
      <x:c r="M891" s="22" t="n">
        <x:v>46226</x:v>
      </x:c>
      <x:c r="N891" t="str">
        <x:v>SKU-016</x:v>
      </x:c>
      <x:c r="O891" t="n">
        <x:v>1</x:v>
      </x:c>
      <x:c r="P891" s="26" t="n">
        <x:f>F891/O891</x:f>
        <x:v>1142.03</x:v>
      </x:c>
    </x:row>
    <x:row r="892">
      <x:c r="A892" t="n">
        <x:v>891</x:v>
      </x:c>
      <x:c r="B892" t="n">
        <x:v>39</x:v>
      </x:c>
      <x:c r="C892" t="str">
        <x:v>Male</x:v>
      </x:c>
      <x:c r="D892" t="str">
        <x:v>Mens Clothing</x:v>
      </x:c>
      <x:c r="E892" t="str">
        <x:v>Shirt</x:v>
      </x:c>
      <x:c r="F892" s="24" t="n">
        <x:v>168.97</x:v>
      </x:c>
      <x:c r="G892" t="str">
        <x:v>Summer</x:v>
      </x:c>
      <x:c r="H892" t="str">
        <x:v>Card</x:v>
      </x:c>
      <x:c r="I892" t="n">
        <x:v>4.6</x:v>
      </x:c>
      <x:c r="J892" t="n">
        <x:v>24</x:v>
      </x:c>
      <x:c r="K892" t="n">
        <x:v>7</x:v>
      </x:c>
      <x:c r="L892" t="str">
        <x:v>STORE-001</x:v>
      </x:c>
      <x:c r="M892" s="22" t="n">
        <x:v>45992</x:v>
      </x:c>
      <x:c r="N892" t="str">
        <x:v>SKU-020</x:v>
      </x:c>
      <x:c r="O892" t="n">
        <x:v>2</x:v>
      </x:c>
      <x:c r="P892" s="26" t="n">
        <x:f>F892/O892</x:f>
        <x:v>84.485</x:v>
      </x:c>
    </x:row>
    <x:row r="893">
      <x:c r="A893" t="n">
        <x:v>892</x:v>
      </x:c>
      <x:c r="B893" t="n">
        <x:v>64</x:v>
      </x:c>
      <x:c r="C893" t="str">
        <x:v>Male</x:v>
      </x:c>
      <x:c r="D893" t="str">
        <x:v>Footwear</x:v>
      </x:c>
      <x:c r="E893" t="str">
        <x:v>Sandals</x:v>
      </x:c>
      <x:c r="F893" s="24" t="n">
        <x:v>220.97</x:v>
      </x:c>
      <x:c r="G893" t="str">
        <x:v>Autumn</x:v>
      </x:c>
      <x:c r="H893" t="str">
        <x:v>Card</x:v>
      </x:c>
      <x:c r="I893" t="n">
        <x:v>5</x:v>
      </x:c>
      <x:c r="J893" t="n">
        <x:v>4</x:v>
      </x:c>
      <x:c r="K893" t="n">
        <x:v>2</x:v>
      </x:c>
      <x:c r="L893" t="str">
        <x:v>STORE-001</x:v>
      </x:c>
      <x:c r="M893" s="22" t="n">
        <x:v>46151</x:v>
      </x:c>
      <x:c r="N893" t="str">
        <x:v>SKU-019</x:v>
      </x:c>
      <x:c r="O893" t="n">
        <x:v>1</x:v>
      </x:c>
      <x:c r="P893" s="26" t="n">
        <x:f>F893/O893</x:f>
        <x:v>220.97</x:v>
      </x:c>
    </x:row>
    <x:row r="894">
      <x:c r="A894" t="n">
        <x:v>893</x:v>
      </x:c>
      <x:c r="B894" t="n">
        <x:v>59</x:v>
      </x:c>
      <x:c r="C894" t="str">
        <x:v>Female</x:v>
      </x:c>
      <x:c r="D894" t="str">
        <x:v>Home</x:v>
      </x:c>
      <x:c r="E894" t="str">
        <x:v>Curtains</x:v>
      </x:c>
      <x:c r="F894" s="24" t="n">
        <x:v>181.46</x:v>
      </x:c>
      <x:c r="G894" t="str">
        <x:v>Autumn</x:v>
      </x:c>
      <x:c r="H894" t="str">
        <x:v>Card</x:v>
      </x:c>
      <x:c r="I894" t="n">
        <x:v>3.1</x:v>
      </x:c>
      <x:c r="J894" t="n">
        <x:v>18</x:v>
      </x:c>
      <x:c r="K894" t="n">
        <x:v>4</x:v>
      </x:c>
      <x:c r="L894" t="str">
        <x:v>STORE-001</x:v>
      </x:c>
      <x:c r="M894" s="22" t="n">
        <x:v>46124</x:v>
      </x:c>
      <x:c r="N894" t="str">
        <x:v>SKU-003</x:v>
      </x:c>
      <x:c r="O894" t="n">
        <x:v>1</x:v>
      </x:c>
      <x:c r="P894" s="26" t="n">
        <x:f>F894/O894</x:f>
        <x:v>181.46</x:v>
      </x:c>
    </x:row>
    <x:row r="895">
      <x:c r="A895" t="n">
        <x:v>894</x:v>
      </x:c>
      <x:c r="B895" t="n">
        <x:v>30</x:v>
      </x:c>
      <x:c r="C895" t="str">
        <x:v>Female</x:v>
      </x:c>
      <x:c r="D895" t="str">
        <x:v>Footwear</x:v>
      </x:c>
      <x:c r="E895" t="str">
        <x:v>Sneakers</x:v>
      </x:c>
      <x:c r="F895" s="24" t="n">
        <x:v>212.78</x:v>
      </x:c>
      <x:c r="G895" t="str">
        <x:v>Spring</x:v>
      </x:c>
      <x:c r="H895" t="str">
        <x:v>Card</x:v>
      </x:c>
      <x:c r="I895" t="n">
        <x:v>4.4</x:v>
      </x:c>
      <x:c r="J895" t="n">
        <x:v>22</x:v>
      </x:c>
      <x:c r="K895" t="n">
        <x:v>6</x:v>
      </x:c>
      <x:c r="L895" t="str">
        <x:v>STORE-001</x:v>
      </x:c>
      <x:c r="M895" s="22" t="n">
        <x:v>46285</x:v>
      </x:c>
      <x:c r="N895" t="str">
        <x:v>SKU-025</x:v>
      </x:c>
      <x:c r="O895" t="n">
        <x:v>2</x:v>
      </x:c>
      <x:c r="P895" s="26" t="n">
        <x:f>F895/O895</x:f>
        <x:v>106.39</x:v>
      </x:c>
    </x:row>
    <x:row r="896">
      <x:c r="A896" t="n">
        <x:v>895</x:v>
      </x:c>
      <x:c r="B896" t="n">
        <x:v>30</x:v>
      </x:c>
      <x:c r="C896" t="str">
        <x:v>Female</x:v>
      </x:c>
      <x:c r="D896" t="str">
        <x:v>Sports</x:v>
      </x:c>
      <x:c r="E896" t="str">
        <x:v>Yoga Mat</x:v>
      </x:c>
      <x:c r="F896" s="24" t="n">
        <x:v>102.27</x:v>
      </x:c>
      <x:c r="G896" t="str">
        <x:v>Spring</x:v>
      </x:c>
      <x:c r="H896" t="str">
        <x:v>Card</x:v>
      </x:c>
      <x:c r="I896" t="n">
        <x:v>3.1</x:v>
      </x:c>
      <x:c r="J896" t="n">
        <x:v>16</x:v>
      </x:c>
      <x:c r="K896" t="n">
        <x:v>8</x:v>
      </x:c>
      <x:c r="L896" t="str">
        <x:v>STORE-001</x:v>
      </x:c>
      <x:c r="M896" s="22" t="n">
        <x:v>45934</x:v>
      </x:c>
      <x:c r="N896" t="str">
        <x:v>SKU-030</x:v>
      </x:c>
      <x:c r="O896" t="n">
        <x:v>2</x:v>
      </x:c>
      <x:c r="P896" s="26" t="n">
        <x:f>F896/O896</x:f>
        <x:v>51.135</x:v>
      </x:c>
    </x:row>
    <x:row r="897">
      <x:c r="A897" t="n">
        <x:v>896</x:v>
      </x:c>
      <x:c r="B897" t="n">
        <x:v>40</x:v>
      </x:c>
      <x:c r="C897" t="str">
        <x:v>Male</x:v>
      </x:c>
      <x:c r="D897" t="str">
        <x:v>Sports</x:v>
      </x:c>
      <x:c r="E897" t="str">
        <x:v>Dumbbells</x:v>
      </x:c>
      <x:c r="F897" s="24" t="n">
        <x:v>101.71</x:v>
      </x:c>
      <x:c r="G897" t="str">
        <x:v>Spring</x:v>
      </x:c>
      <x:c r="H897" t="str">
        <x:v>Card</x:v>
      </x:c>
      <x:c r="I897" t="n">
        <x:v>3.8</x:v>
      </x:c>
      <x:c r="J897" t="n">
        <x:v>17</x:v>
      </x:c>
      <x:c r="K897" t="n">
        <x:v>6</x:v>
      </x:c>
      <x:c r="L897" t="str">
        <x:v>STORE-001</x:v>
      </x:c>
      <x:c r="M897" s="22" t="n">
        <x:v>45956</x:v>
      </x:c>
      <x:c r="N897" t="str">
        <x:v>SKU-005</x:v>
      </x:c>
      <x:c r="O897" t="n">
        <x:v>1</x:v>
      </x:c>
      <x:c r="P897" s="26" t="n">
        <x:f>F897/O897</x:f>
        <x:v>101.71</x:v>
      </x:c>
    </x:row>
    <x:row r="898">
      <x:c r="A898" t="n">
        <x:v>897</x:v>
      </x:c>
      <x:c r="B898" t="n">
        <x:v>57</x:v>
      </x:c>
      <x:c r="C898" t="str">
        <x:v>Male</x:v>
      </x:c>
      <x:c r="D898" t="str">
        <x:v>Sports</x:v>
      </x:c>
      <x:c r="E898" t="str">
        <x:v>Yoga Mat</x:v>
      </x:c>
      <x:c r="F898" s="24" t="n">
        <x:v>166.23</x:v>
      </x:c>
      <x:c r="G898" t="str">
        <x:v>Spring</x:v>
      </x:c>
      <x:c r="H898" t="str">
        <x:v>Card</x:v>
      </x:c>
      <x:c r="I898" t="n">
        <x:v>4</x:v>
      </x:c>
      <x:c r="J898" t="n">
        <x:v>20</x:v>
      </x:c>
      <x:c r="K898" t="n">
        <x:v>5</x:v>
      </x:c>
      <x:c r="L898" t="str">
        <x:v>STORE-001</x:v>
      </x:c>
      <x:c r="M898" s="22" t="n">
        <x:v>46285</x:v>
      </x:c>
      <x:c r="N898" t="str">
        <x:v>SKU-030</x:v>
      </x:c>
      <x:c r="O898" t="n">
        <x:v>1</x:v>
      </x:c>
      <x:c r="P898" s="26" t="n">
        <x:f>F898/O898</x:f>
        <x:v>166.23</x:v>
      </x:c>
    </x:row>
    <x:row r="899">
      <x:c r="A899" t="n">
        <x:v>898</x:v>
      </x:c>
      <x:c r="B899" t="n">
        <x:v>59</x:v>
      </x:c>
      <x:c r="C899" t="str">
        <x:v>Male</x:v>
      </x:c>
      <x:c r="D899" t="str">
        <x:v>Footwear</x:v>
      </x:c>
      <x:c r="E899" t="str">
        <x:v>Sneakers</x:v>
      </x:c>
      <x:c r="F899" s="24" t="n">
        <x:v>82.01</x:v>
      </x:c>
      <x:c r="G899" t="str">
        <x:v>Spring</x:v>
      </x:c>
      <x:c r="H899" t="str">
        <x:v>Cash on Delivery</x:v>
      </x:c>
      <x:c r="I899" t="n">
        <x:v>3.3</x:v>
      </x:c>
      <x:c r="J899" t="n">
        <x:v>16</x:v>
      </x:c>
      <x:c r="K899" t="n">
        <x:v>3</x:v>
      </x:c>
      <x:c r="L899" t="str">
        <x:v>STORE-001</x:v>
      </x:c>
      <x:c r="M899" s="22" t="n">
        <x:v>46285</x:v>
      </x:c>
      <x:c r="N899" t="str">
        <x:v>SKU-025</x:v>
      </x:c>
      <x:c r="O899" t="n">
        <x:v>1</x:v>
      </x:c>
      <x:c r="P899" s="26" t="n">
        <x:f>F899/O899</x:f>
        <x:v>82.01</x:v>
      </x:c>
    </x:row>
    <x:row r="900">
      <x:c r="A900" t="n">
        <x:v>899</x:v>
      </x:c>
      <x:c r="B900" t="n">
        <x:v>23</x:v>
      </x:c>
      <x:c r="C900" t="str">
        <x:v>Female</x:v>
      </x:c>
      <x:c r="D900" t="str">
        <x:v>Footwear</x:v>
      </x:c>
      <x:c r="E900" t="str">
        <x:v>Sandals</x:v>
      </x:c>
      <x:c r="F900" s="24" t="n">
        <x:v>214.88</x:v>
      </x:c>
      <x:c r="G900" t="str">
        <x:v>Winter</x:v>
      </x:c>
      <x:c r="H900" t="str">
        <x:v>Card</x:v>
      </x:c>
      <x:c r="I900" t="n">
        <x:v>5</x:v>
      </x:c>
      <x:c r="J900" t="n">
        <x:v>20</x:v>
      </x:c>
      <x:c r="K900" t="n">
        <x:v>5</x:v>
      </x:c>
      <x:c r="L900" t="str">
        <x:v>STORE-001</x:v>
      </x:c>
      <x:c r="M900" s="22" t="n">
        <x:v>46192</x:v>
      </x:c>
      <x:c r="N900" t="str">
        <x:v>SKU-019</x:v>
      </x:c>
      <x:c r="O900" t="n">
        <x:v>1</x:v>
      </x:c>
      <x:c r="P900" s="26" t="n">
        <x:f>F900/O900</x:f>
        <x:v>214.88</x:v>
      </x:c>
    </x:row>
    <x:row r="901">
      <x:c r="A901" t="n">
        <x:v>900</x:v>
      </x:c>
      <x:c r="B901" t="n">
        <x:v>64</x:v>
      </x:c>
      <x:c r="C901" t="str">
        <x:v>Female</x:v>
      </x:c>
      <x:c r="D901" t="str">
        <x:v>Accessories</x:v>
      </x:c>
      <x:c r="E901" t="str">
        <x:v>Handbag</x:v>
      </x:c>
      <x:c r="F901" s="24" t="n">
        <x:v>110.37</x:v>
      </x:c>
      <x:c r="G901" t="str">
        <x:v>Spring</x:v>
      </x:c>
      <x:c r="H901" t="str">
        <x:v>Card</x:v>
      </x:c>
      <x:c r="I901" t="n">
        <x:v>4.2</x:v>
      </x:c>
      <x:c r="J901" t="n">
        <x:v>17</x:v>
      </x:c>
      <x:c r="K901" t="n">
        <x:v>6</x:v>
      </x:c>
      <x:c r="L901" t="str">
        <x:v>STORE-001</x:v>
      </x:c>
      <x:c r="M901" s="22" t="n">
        <x:v>45944</x:v>
      </x:c>
      <x:c r="N901" t="str">
        <x:v>SKU-008</x:v>
      </x:c>
      <x:c r="O901" t="n">
        <x:v>1</x:v>
      </x:c>
      <x:c r="P901" s="26" t="n">
        <x:f>F901/O901</x:f>
        <x:v>110.37</x:v>
      </x:c>
    </x:row>
    <x:row r="902">
      <x:c r="A902" t="n">
        <x:v>901</x:v>
      </x:c>
      <x:c r="B902" t="n">
        <x:v>23</x:v>
      </x:c>
      <x:c r="C902" t="str">
        <x:v>Male</x:v>
      </x:c>
      <x:c r="D902" t="str">
        <x:v>Footwear</x:v>
      </x:c>
      <x:c r="E902" t="str">
        <x:v>Sneakers</x:v>
      </x:c>
      <x:c r="F902" s="24" t="n">
        <x:v>144.05</x:v>
      </x:c>
      <x:c r="G902" t="str">
        <x:v>Summer</x:v>
      </x:c>
      <x:c r="H902" t="str">
        <x:v>Card</x:v>
      </x:c>
      <x:c r="I902" t="n">
        <x:v>2.6</x:v>
      </x:c>
      <x:c r="J902" t="n">
        <x:v>18</x:v>
      </x:c>
      <x:c r="K902" t="n">
        <x:v>4</x:v>
      </x:c>
      <x:c r="L902" t="str">
        <x:v>STORE-001</x:v>
      </x:c>
      <x:c r="M902" s="22" t="n">
        <x:v>46009</x:v>
      </x:c>
      <x:c r="N902" t="str">
        <x:v>SKU-025</x:v>
      </x:c>
      <x:c r="O902" t="n">
        <x:v>2</x:v>
      </x:c>
      <x:c r="P902" s="26" t="n">
        <x:f>F902/O902</x:f>
        <x:v>72.025</x:v>
      </x:c>
    </x:row>
    <x:row r="903">
      <x:c r="A903" t="n">
        <x:v>902</x:v>
      </x:c>
      <x:c r="B903" t="n">
        <x:v>47</x:v>
      </x:c>
      <x:c r="C903" t="str">
        <x:v>Female</x:v>
      </x:c>
      <x:c r="D903" t="str">
        <x:v>Accessories</x:v>
      </x:c>
      <x:c r="E903" t="str">
        <x:v>Sunglasses</x:v>
      </x:c>
      <x:c r="F903" s="24" t="n">
        <x:v>134.42</x:v>
      </x:c>
      <x:c r="G903" t="str">
        <x:v>Winter</x:v>
      </x:c>
      <x:c r="H903" t="str">
        <x:v>Card</x:v>
      </x:c>
      <x:c r="I903" t="n">
        <x:v>4.1</x:v>
      </x:c>
      <x:c r="J903" t="n">
        <x:v>8</x:v>
      </x:c>
      <x:c r="K903" t="n">
        <x:v>4</x:v>
      </x:c>
      <x:c r="L903" t="str">
        <x:v>STORE-001</x:v>
      </x:c>
      <x:c r="M903" s="22" t="n">
        <x:v>46261</x:v>
      </x:c>
      <x:c r="N903" t="str">
        <x:v>SKU-026</x:v>
      </x:c>
      <x:c r="O903" t="n">
        <x:v>2</x:v>
      </x:c>
      <x:c r="P903" s="26" t="n">
        <x:f>F903/O903</x:f>
        <x:v>67.21</x:v>
      </x:c>
    </x:row>
    <x:row r="904">
      <x:c r="A904" t="n">
        <x:v>903</x:v>
      </x:c>
      <x:c r="B904" t="n">
        <x:v>64</x:v>
      </x:c>
      <x:c r="C904" t="str">
        <x:v>Female</x:v>
      </x:c>
      <x:c r="D904" t="str">
        <x:v>Beauty</x:v>
      </x:c>
      <x:c r="E904" t="str">
        <x:v>Skincare Kit</x:v>
      </x:c>
      <x:c r="F904" s="24" t="n">
        <x:v>133.46</x:v>
      </x:c>
      <x:c r="G904" t="str">
        <x:v>Winter</x:v>
      </x:c>
      <x:c r="H904" t="str">
        <x:v>Card</x:v>
      </x:c>
      <x:c r="I904" t="n">
        <x:v>4.6</x:v>
      </x:c>
      <x:c r="J904" t="n">
        <x:v>10</x:v>
      </x:c>
      <x:c r="K904" t="n">
        <x:v>5</x:v>
      </x:c>
      <x:c r="L904" t="str">
        <x:v>STORE-001</x:v>
      </x:c>
      <x:c r="M904" s="22" t="n">
        <x:v>46239</x:v>
      </x:c>
      <x:c r="N904" t="str">
        <x:v>SKU-021</x:v>
      </x:c>
      <x:c r="O904" t="n">
        <x:v>3</x:v>
      </x:c>
      <x:c r="P904" s="26" t="n">
        <x:f>F904/O904</x:f>
        <x:v>44.48666666666667</x:v>
      </x:c>
    </x:row>
    <x:row r="905">
      <x:c r="A905" t="n">
        <x:v>904</x:v>
      </x:c>
      <x:c r="B905" t="n">
        <x:v>70</x:v>
      </x:c>
      <x:c r="C905" t="str">
        <x:v>Female</x:v>
      </x:c>
      <x:c r="D905" t="str">
        <x:v>Home</x:v>
      </x:c>
      <x:c r="E905" t="str">
        <x:v>Lamp</x:v>
      </x:c>
      <x:c r="F905" s="24" t="n">
        <x:v>256.37</x:v>
      </x:c>
      <x:c r="G905" t="str">
        <x:v>Summer</x:v>
      </x:c>
      <x:c r="H905" t="str">
        <x:v>Card</x:v>
      </x:c>
      <x:c r="I905" t="n">
        <x:v>3.6</x:v>
      </x:c>
      <x:c r="J905" t="n">
        <x:v>24</x:v>
      </x:c>
      <x:c r="K905" t="n">
        <x:v>7</x:v>
      </x:c>
      <x:c r="L905" t="str">
        <x:v>STORE-001</x:v>
      </x:c>
      <x:c r="M905" s="22" t="n">
        <x:v>46007</x:v>
      </x:c>
      <x:c r="N905" t="str">
        <x:v>SKU-013</x:v>
      </x:c>
      <x:c r="O905" t="n">
        <x:v>1</x:v>
      </x:c>
      <x:c r="P905" s="26" t="n">
        <x:f>F905/O905</x:f>
        <x:v>256.37</x:v>
      </x:c>
    </x:row>
    <x:row r="906">
      <x:c r="A906" t="n">
        <x:v>905</x:v>
      </x:c>
      <x:c r="B906" t="n">
        <x:v>59</x:v>
      </x:c>
      <x:c r="C906" t="str">
        <x:v>Male</x:v>
      </x:c>
      <x:c r="D906" t="str">
        <x:v>Sports</x:v>
      </x:c>
      <x:c r="E906" t="str">
        <x:v>Dumbbells</x:v>
      </x:c>
      <x:c r="F906" s="24" t="n">
        <x:v>160.42</x:v>
      </x:c>
      <x:c r="G906" t="str">
        <x:v>Spring</x:v>
      </x:c>
      <x:c r="H906" t="str">
        <x:v>Card</x:v>
      </x:c>
      <x:c r="I906" t="n">
        <x:v>4.3</x:v>
      </x:c>
      <x:c r="J906" t="n">
        <x:v>22</x:v>
      </x:c>
      <x:c r="K906" t="n">
        <x:v>6</x:v>
      </x:c>
      <x:c r="L906" t="str">
        <x:v>STORE-001</x:v>
      </x:c>
      <x:c r="M906" s="22" t="n">
        <x:v>46277</x:v>
      </x:c>
      <x:c r="N906" t="str">
        <x:v>SKU-005</x:v>
      </x:c>
      <x:c r="O906" t="n">
        <x:v>2</x:v>
      </x:c>
      <x:c r="P906" s="26" t="n">
        <x:f>F906/O906</x:f>
        <x:v>80.21</x:v>
      </x:c>
    </x:row>
    <x:row r="907">
      <x:c r="A907" t="n">
        <x:v>906</x:v>
      </x:c>
      <x:c r="B907" t="n">
        <x:v>31</x:v>
      </x:c>
      <x:c r="C907" t="str">
        <x:v>Male</x:v>
      </x:c>
      <x:c r="D907" t="str">
        <x:v>Electronics</x:v>
      </x:c>
      <x:c r="E907" t="str">
        <x:v>Mobile Phone</x:v>
      </x:c>
      <x:c r="F907" s="24" t="n">
        <x:v>1501.64</x:v>
      </x:c>
      <x:c r="G907" t="str">
        <x:v>Autumn</x:v>
      </x:c>
      <x:c r="H907" t="str">
        <x:v>Card</x:v>
      </x:c>
      <x:c r="I907" t="n">
        <x:v>3.2</x:v>
      </x:c>
      <x:c r="J907" t="n">
        <x:v>12</x:v>
      </x:c>
      <x:c r="K907" t="n">
        <x:v>6</x:v>
      </x:c>
      <x:c r="L907" t="str">
        <x:v>STORE-001</x:v>
      </x:c>
      <x:c r="M907" s="22" t="n">
        <x:v>46136</x:v>
      </x:c>
      <x:c r="N907" t="str">
        <x:v>SKU-016</x:v>
      </x:c>
      <x:c r="O907" t="n">
        <x:v>2</x:v>
      </x:c>
      <x:c r="P907" s="26" t="n">
        <x:f>F907/O907</x:f>
        <x:v>750.82</x:v>
      </x:c>
    </x:row>
    <x:row r="908">
      <x:c r="A908" t="n">
        <x:v>907</x:v>
      </x:c>
      <x:c r="B908" t="n">
        <x:v>69</x:v>
      </x:c>
      <x:c r="C908" t="str">
        <x:v>Male</x:v>
      </x:c>
      <x:c r="D908" t="str">
        <x:v>Footwear</x:v>
      </x:c>
      <x:c r="E908" t="str">
        <x:v>Formal Shoes</x:v>
      </x:c>
      <x:c r="F908" s="24" t="n">
        <x:v>145.2</x:v>
      </x:c>
      <x:c r="G908" t="str">
        <x:v>Autumn</x:v>
      </x:c>
      <x:c r="H908" t="str">
        <x:v>Card</x:v>
      </x:c>
      <x:c r="I908" t="n">
        <x:v>2.8</x:v>
      </x:c>
      <x:c r="J908" t="n">
        <x:v>18</x:v>
      </x:c>
      <x:c r="K908" t="n">
        <x:v>4</x:v>
      </x:c>
      <x:c r="L908" t="str">
        <x:v>STORE-001</x:v>
      </x:c>
      <x:c r="M908" s="22" t="n">
        <x:v>46099</x:v>
      </x:c>
      <x:c r="N908" t="str">
        <x:v>SKU-007</x:v>
      </x:c>
      <x:c r="O908" t="n">
        <x:v>3</x:v>
      </x:c>
      <x:c r="P908" s="26" t="n">
        <x:f>F908/O908</x:f>
        <x:v>48.4</x:v>
      </x:c>
    </x:row>
    <x:row r="909">
      <x:c r="A909" t="n">
        <x:v>908</x:v>
      </x:c>
      <x:c r="B909" t="n">
        <x:v>50</x:v>
      </x:c>
      <x:c r="C909" t="str">
        <x:v>Male</x:v>
      </x:c>
      <x:c r="D909" t="str">
        <x:v>Mens Clothing</x:v>
      </x:c>
      <x:c r="E909" t="str">
        <x:v>Shirt</x:v>
      </x:c>
      <x:c r="F909" s="24" t="n">
        <x:v>66.68</x:v>
      </x:c>
      <x:c r="G909" t="str">
        <x:v>Winter</x:v>
      </x:c>
      <x:c r="H909" t="str">
        <x:v>Card</x:v>
      </x:c>
      <x:c r="I909" t="n">
        <x:v>3.1</x:v>
      </x:c>
      <x:c r="J909" t="n">
        <x:v>13</x:v>
      </x:c>
      <x:c r="K909" t="n">
        <x:v>4</x:v>
      </x:c>
      <x:c r="L909" t="str">
        <x:v>STORE-001</x:v>
      </x:c>
      <x:c r="M909" s="22" t="n">
        <x:v>46239</x:v>
      </x:c>
      <x:c r="N909" t="str">
        <x:v>SKU-020</x:v>
      </x:c>
      <x:c r="O909" t="n">
        <x:v>2</x:v>
      </x:c>
      <x:c r="P909" s="26" t="n">
        <x:f>F909/O909</x:f>
        <x:v>33.34</x:v>
      </x:c>
    </x:row>
    <x:row r="910">
      <x:c r="A910" t="n">
        <x:v>909</x:v>
      </x:c>
      <x:c r="B910" t="n">
        <x:v>60</x:v>
      </x:c>
      <x:c r="C910" t="str">
        <x:v>Male</x:v>
      </x:c>
      <x:c r="D910" t="str">
        <x:v>Electronics</x:v>
      </x:c>
      <x:c r="E910" t="str">
        <x:v>Smart Watch</x:v>
      </x:c>
      <x:c r="F910" s="24" t="n">
        <x:v>592.23</x:v>
      </x:c>
      <x:c r="G910" t="str">
        <x:v>Spring</x:v>
      </x:c>
      <x:c r="H910" t="str">
        <x:v>Card</x:v>
      </x:c>
      <x:c r="I910" t="n">
        <x:v>3.6</x:v>
      </x:c>
      <x:c r="J910" t="n">
        <x:v>13</x:v>
      </x:c>
      <x:c r="K910" t="n">
        <x:v>4</x:v>
      </x:c>
      <x:c r="L910" t="str">
        <x:v>STORE-001</x:v>
      </x:c>
      <x:c r="M910" s="22" t="n">
        <x:v>46287</x:v>
      </x:c>
      <x:c r="N910" t="str">
        <x:v>SKU-023</x:v>
      </x:c>
      <x:c r="O910" t="n">
        <x:v>1</x:v>
      </x:c>
      <x:c r="P910" s="26" t="n">
        <x:f>F910/O910</x:f>
        <x:v>592.23</x:v>
      </x:c>
    </x:row>
    <x:row r="911">
      <x:c r="A911" t="n">
        <x:v>910</x:v>
      </x:c>
      <x:c r="B911" t="n">
        <x:v>39</x:v>
      </x:c>
      <x:c r="C911" t="str">
        <x:v>Male</x:v>
      </x:c>
      <x:c r="D911" t="str">
        <x:v>Electronics</x:v>
      </x:c>
      <x:c r="E911" t="str">
        <x:v>Mobile Phone</x:v>
      </x:c>
      <x:c r="F911" s="24" t="n">
        <x:v>646.99</x:v>
      </x:c>
      <x:c r="G911" t="str">
        <x:v>Winter</x:v>
      </x:c>
      <x:c r="H911" t="str">
        <x:v>Card</x:v>
      </x:c>
      <x:c r="I911" t="n">
        <x:v>4.1</x:v>
      </x:c>
      <x:c r="J911" t="n">
        <x:v>24</x:v>
      </x:c>
      <x:c r="K911" t="n">
        <x:v>7</x:v>
      </x:c>
      <x:c r="L911" t="str">
        <x:v>STORE-001</x:v>
      </x:c>
      <x:c r="M911" s="22" t="n">
        <x:v>46181</x:v>
      </x:c>
      <x:c r="N911" t="str">
        <x:v>SKU-016</x:v>
      </x:c>
      <x:c r="O911" t="n">
        <x:v>1</x:v>
      </x:c>
      <x:c r="P911" s="26" t="n">
        <x:f>F911/O911</x:f>
        <x:v>646.99</x:v>
      </x:c>
    </x:row>
    <x:row r="912">
      <x:c r="A912" t="n">
        <x:v>911</x:v>
      </x:c>
      <x:c r="B912" t="n">
        <x:v>50</x:v>
      </x:c>
      <x:c r="C912" t="str">
        <x:v>Male</x:v>
      </x:c>
      <x:c r="D912" t="str">
        <x:v>Footwear</x:v>
      </x:c>
      <x:c r="E912" t="str">
        <x:v>Sandals</x:v>
      </x:c>
      <x:c r="F912" s="24" t="n">
        <x:v>58.87</x:v>
      </x:c>
      <x:c r="G912" t="str">
        <x:v>Spring</x:v>
      </x:c>
      <x:c r="H912" t="str">
        <x:v>Cash on Delivery</x:v>
      </x:c>
      <x:c r="I912" t="n">
        <x:v>3.1</x:v>
      </x:c>
      <x:c r="J912" t="n">
        <x:v>16</x:v>
      </x:c>
      <x:c r="K912" t="n">
        <x:v>3</x:v>
      </x:c>
      <x:c r="L912" t="str">
        <x:v>STORE-001</x:v>
      </x:c>
      <x:c r="M912" s="22" t="n">
        <x:v>46272</x:v>
      </x:c>
      <x:c r="N912" t="str">
        <x:v>SKU-019</x:v>
      </x:c>
      <x:c r="O912" t="n">
        <x:v>2</x:v>
      </x:c>
      <x:c r="P912" s="26" t="n">
        <x:f>F912/O912</x:f>
        <x:v>29.435</x:v>
      </x:c>
    </x:row>
    <x:row r="913">
      <x:c r="A913" t="n">
        <x:v>912</x:v>
      </x:c>
      <x:c r="B913" t="n">
        <x:v>42</x:v>
      </x:c>
      <x:c r="C913" t="str">
        <x:v>Male</x:v>
      </x:c>
      <x:c r="D913" t="str">
        <x:v>Sports</x:v>
      </x:c>
      <x:c r="E913" t="str">
        <x:v>Dumbbells</x:v>
      </x:c>
      <x:c r="F913" s="24" t="n">
        <x:v>51.43</x:v>
      </x:c>
      <x:c r="G913" t="str">
        <x:v>Winter</x:v>
      </x:c>
      <x:c r="H913" t="str">
        <x:v>Card</x:v>
      </x:c>
      <x:c r="I913" t="n">
        <x:v>2.7</x:v>
      </x:c>
      <x:c r="J913" t="n">
        <x:v>13</x:v>
      </x:c>
      <x:c r="K913" t="n">
        <x:v>4</x:v>
      </x:c>
      <x:c r="L913" t="str">
        <x:v>STORE-001</x:v>
      </x:c>
      <x:c r="M913" s="22" t="n">
        <x:v>46196</x:v>
      </x:c>
      <x:c r="N913" t="str">
        <x:v>SKU-005</x:v>
      </x:c>
      <x:c r="O913" t="n">
        <x:v>1</x:v>
      </x:c>
      <x:c r="P913" s="26" t="n">
        <x:f>F913/O913</x:f>
        <x:v>51.43</x:v>
      </x:c>
    </x:row>
    <x:row r="914">
      <x:c r="A914" t="n">
        <x:v>913</x:v>
      </x:c>
      <x:c r="B914" t="n">
        <x:v>56</x:v>
      </x:c>
      <x:c r="C914" t="str">
        <x:v>Female</x:v>
      </x:c>
      <x:c r="D914" t="str">
        <x:v>Home</x:v>
      </x:c>
      <x:c r="E914" t="str">
        <x:v>Lamp</x:v>
      </x:c>
      <x:c r="F914" s="24" t="n">
        <x:v>235.41</x:v>
      </x:c>
      <x:c r="G914" t="str">
        <x:v>Summer</x:v>
      </x:c>
      <x:c r="H914" t="str">
        <x:v>Card</x:v>
      </x:c>
      <x:c r="I914" t="n">
        <x:v>2.6</x:v>
      </x:c>
      <x:c r="J914" t="n">
        <x:v>2</x:v>
      </x:c>
      <x:c r="K914" t="n">
        <x:v>1</x:v>
      </x:c>
      <x:c r="L914" t="str">
        <x:v>STORE-001</x:v>
      </x:c>
      <x:c r="M914" s="22" t="n">
        <x:v>46034</x:v>
      </x:c>
      <x:c r="N914" t="str">
        <x:v>SKU-013</x:v>
      </x:c>
      <x:c r="O914" t="n">
        <x:v>2</x:v>
      </x:c>
      <x:c r="P914" s="26" t="n">
        <x:f>F914/O914</x:f>
        <x:v>117.705</x:v>
      </x:c>
    </x:row>
    <x:row r="915">
      <x:c r="A915" t="n">
        <x:v>914</x:v>
      </x:c>
      <x:c r="B915" t="n">
        <x:v>46</x:v>
      </x:c>
      <x:c r="C915" t="str">
        <x:v>Female</x:v>
      </x:c>
      <x:c r="D915" t="str">
        <x:v>Accessories</x:v>
      </x:c>
      <x:c r="E915" t="str">
        <x:v>Wallet</x:v>
      </x:c>
      <x:c r="F915" s="24" t="n">
        <x:v>99.47</x:v>
      </x:c>
      <x:c r="G915" t="str">
        <x:v>Winter</x:v>
      </x:c>
      <x:c r="H915" t="str">
        <x:v>Cash on Delivery</x:v>
      </x:c>
      <x:c r="I915" t="n">
        <x:v>3.7</x:v>
      </x:c>
      <x:c r="J915" t="n">
        <x:v>22</x:v>
      </x:c>
      <x:c r="K915" t="n">
        <x:v>11</x:v>
      </x:c>
      <x:c r="L915" t="str">
        <x:v>STORE-001</x:v>
      </x:c>
      <x:c r="M915" s="22" t="n">
        <x:v>46181</x:v>
      </x:c>
      <x:c r="N915" t="str">
        <x:v>SKU-029</x:v>
      </x:c>
      <x:c r="O915" t="n">
        <x:v>1</x:v>
      </x:c>
      <x:c r="P915" s="26" t="n">
        <x:f>F915/O915</x:f>
        <x:v>99.47</x:v>
      </x:c>
    </x:row>
    <x:row r="916">
      <x:c r="A916" t="n">
        <x:v>915</x:v>
      </x:c>
      <x:c r="B916" t="n">
        <x:v>40</x:v>
      </x:c>
      <x:c r="C916" t="str">
        <x:v>Female</x:v>
      </x:c>
      <x:c r="D916" t="str">
        <x:v>Accessories</x:v>
      </x:c>
      <x:c r="E916" t="str">
        <x:v>Sunglasses</x:v>
      </x:c>
      <x:c r="F916" s="24" t="n">
        <x:v>38.29</x:v>
      </x:c>
      <x:c r="G916" t="str">
        <x:v>Autumn</x:v>
      </x:c>
      <x:c r="H916" t="str">
        <x:v>Card</x:v>
      </x:c>
      <x:c r="I916" t="n">
        <x:v>4.1</x:v>
      </x:c>
      <x:c r="J916" t="n">
        <x:v>18</x:v>
      </x:c>
      <x:c r="K916" t="n">
        <x:v>9</x:v>
      </x:c>
      <x:c r="L916" t="str">
        <x:v>STORE-001</x:v>
      </x:c>
      <x:c r="M916" s="22" t="n">
        <x:v>46120</x:v>
      </x:c>
      <x:c r="N916" t="str">
        <x:v>SKU-026</x:v>
      </x:c>
      <x:c r="O916" t="n">
        <x:v>3</x:v>
      </x:c>
      <x:c r="P916" s="26" t="n">
        <x:f>F916/O916</x:f>
        <x:v>12.763333333333334</x:v>
      </x:c>
    </x:row>
    <x:row r="917">
      <x:c r="A917" t="n">
        <x:v>916</x:v>
      </x:c>
      <x:c r="B917" t="n">
        <x:v>54</x:v>
      </x:c>
      <x:c r="C917" t="str">
        <x:v>Male</x:v>
      </x:c>
      <x:c r="D917" t="str">
        <x:v>Footwear</x:v>
      </x:c>
      <x:c r="E917" t="str">
        <x:v>Sandals</x:v>
      </x:c>
      <x:c r="F917" s="24" t="n">
        <x:v>240.73</x:v>
      </x:c>
      <x:c r="G917" t="str">
        <x:v>Spring</x:v>
      </x:c>
      <x:c r="H917" t="str">
        <x:v>Card</x:v>
      </x:c>
      <x:c r="I917" t="n">
        <x:v>4.5</x:v>
      </x:c>
      <x:c r="J917" t="n">
        <x:v>18</x:v>
      </x:c>
      <x:c r="K917" t="n">
        <x:v>4</x:v>
      </x:c>
      <x:c r="L917" t="str">
        <x:v>STORE-001</x:v>
      </x:c>
      <x:c r="M917" s="22" t="n">
        <x:v>46295</x:v>
      </x:c>
      <x:c r="N917" t="str">
        <x:v>SKU-019</x:v>
      </x:c>
      <x:c r="O917" t="n">
        <x:v>2</x:v>
      </x:c>
      <x:c r="P917" s="26" t="n">
        <x:f>F917/O917</x:f>
        <x:v>120.365</x:v>
      </x:c>
    </x:row>
    <x:row r="918">
      <x:c r="A918" t="n">
        <x:v>917</x:v>
      </x:c>
      <x:c r="B918" t="n">
        <x:v>24</x:v>
      </x:c>
      <x:c r="C918" t="str">
        <x:v>Female</x:v>
      </x:c>
      <x:c r="D918" t="str">
        <x:v>Womens Clothing</x:v>
      </x:c>
      <x:c r="E918" t="str">
        <x:v>Top</x:v>
      </x:c>
      <x:c r="F918" s="24" t="n">
        <x:v>145.27</x:v>
      </x:c>
      <x:c r="G918" t="str">
        <x:v>Summer</x:v>
      </x:c>
      <x:c r="H918" t="str">
        <x:v>Card</x:v>
      </x:c>
      <x:c r="I918" t="n">
        <x:v>4.7</x:v>
      </x:c>
      <x:c r="J918" t="n">
        <x:v>20</x:v>
      </x:c>
      <x:c r="K918" t="n">
        <x:v>10</x:v>
      </x:c>
      <x:c r="L918" t="str">
        <x:v>STORE-001</x:v>
      </x:c>
      <x:c r="M918" s="22" t="n">
        <x:v>45997</x:v>
      </x:c>
      <x:c r="N918" t="str">
        <x:v>SKU-028</x:v>
      </x:c>
      <x:c r="O918" t="n">
        <x:v>1</x:v>
      </x:c>
      <x:c r="P918" s="26" t="n">
        <x:f>F918/O918</x:f>
        <x:v>145.27</x:v>
      </x:c>
    </x:row>
    <x:row r="919">
      <x:c r="A919" t="n">
        <x:v>918</x:v>
      </x:c>
      <x:c r="B919" t="n">
        <x:v>22</x:v>
      </x:c>
      <x:c r="C919" t="str">
        <x:v>Male</x:v>
      </x:c>
      <x:c r="D919" t="str">
        <x:v>Footwear</x:v>
      </x:c>
      <x:c r="E919" t="str">
        <x:v>Sandals</x:v>
      </x:c>
      <x:c r="F919" s="24" t="n">
        <x:v>140.13</x:v>
      </x:c>
      <x:c r="G919" t="str">
        <x:v>Spring</x:v>
      </x:c>
      <x:c r="H919" t="str">
        <x:v>Card</x:v>
      </x:c>
      <x:c r="I919" t="n">
        <x:v>4.4</x:v>
      </x:c>
      <x:c r="J919" t="n">
        <x:v>16</x:v>
      </x:c>
      <x:c r="K919" t="n">
        <x:v>3</x:v>
      </x:c>
      <x:c r="L919" t="str">
        <x:v>STORE-001</x:v>
      </x:c>
      <x:c r="M919" s="22" t="n">
        <x:v>46292</x:v>
      </x:c>
      <x:c r="N919" t="str">
        <x:v>SKU-019</x:v>
      </x:c>
      <x:c r="O919" t="n">
        <x:v>1</x:v>
      </x:c>
      <x:c r="P919" s="26" t="n">
        <x:f>F919/O919</x:f>
        <x:v>140.13</x:v>
      </x:c>
    </x:row>
    <x:row r="920">
      <x:c r="A920" t="n">
        <x:v>919</x:v>
      </x:c>
      <x:c r="B920" t="n">
        <x:v>43</x:v>
      </x:c>
      <x:c r="C920" t="str">
        <x:v>Male</x:v>
      </x:c>
      <x:c r="D920" t="str">
        <x:v>Footwear</x:v>
      </x:c>
      <x:c r="E920" t="str">
        <x:v>Sneakers</x:v>
      </x:c>
      <x:c r="F920" s="24" t="n">
        <x:v>192.45</x:v>
      </x:c>
      <x:c r="G920" t="str">
        <x:v>Autumn</x:v>
      </x:c>
      <x:c r="H920" t="str">
        <x:v>Card</x:v>
      </x:c>
      <x:c r="I920" t="n">
        <x:v>3.3</x:v>
      </x:c>
      <x:c r="J920" t="n">
        <x:v>7</x:v>
      </x:c>
      <x:c r="K920" t="n">
        <x:v>1</x:v>
      </x:c>
      <x:c r="L920" t="str">
        <x:v>STORE-001</x:v>
      </x:c>
      <x:c r="M920" s="22" t="n">
        <x:v>46101</x:v>
      </x:c>
      <x:c r="N920" t="str">
        <x:v>SKU-025</x:v>
      </x:c>
      <x:c r="O920" t="n">
        <x:v>1</x:v>
      </x:c>
      <x:c r="P920" s="26" t="n">
        <x:f>F920/O920</x:f>
        <x:v>192.45</x:v>
      </x:c>
    </x:row>
    <x:row r="921">
      <x:c r="A921" t="n">
        <x:v>920</x:v>
      </x:c>
      <x:c r="B921" t="n">
        <x:v>21</x:v>
      </x:c>
      <x:c r="C921" t="str">
        <x:v>Male</x:v>
      </x:c>
      <x:c r="D921" t="str">
        <x:v>Electronics</x:v>
      </x:c>
      <x:c r="E921" t="str">
        <x:v>Headphones</x:v>
      </x:c>
      <x:c r="F921" s="24" t="n">
        <x:v>2391.56</x:v>
      </x:c>
      <x:c r="G921" t="str">
        <x:v>Spring</x:v>
      </x:c>
      <x:c r="H921" t="str">
        <x:v>Card</x:v>
      </x:c>
      <x:c r="I921" t="n">
        <x:v>3.7</x:v>
      </x:c>
      <x:c r="J921" t="n">
        <x:v>24</x:v>
      </x:c>
      <x:c r="K921" t="n">
        <x:v>7</x:v>
      </x:c>
      <x:c r="L921" t="str">
        <x:v>STORE-001</x:v>
      </x:c>
      <x:c r="M921" s="22" t="n">
        <x:v>45969</x:v>
      </x:c>
      <x:c r="N921" t="str">
        <x:v>SKU-009</x:v>
      </x:c>
      <x:c r="O921" t="n">
        <x:v>1</x:v>
      </x:c>
      <x:c r="P921" s="26" t="n">
        <x:f>F921/O921</x:f>
        <x:v>2391.56</x:v>
      </x:c>
    </x:row>
    <x:row r="922">
      <x:c r="A922" t="n">
        <x:v>921</x:v>
      </x:c>
      <x:c r="B922" t="n">
        <x:v>58</x:v>
      </x:c>
      <x:c r="C922" t="str">
        <x:v>Female</x:v>
      </x:c>
      <x:c r="D922" t="str">
        <x:v>Home</x:v>
      </x:c>
      <x:c r="E922" t="str">
        <x:v>Curtains</x:v>
      </x:c>
      <x:c r="F922" s="24" t="n">
        <x:v>246.33</x:v>
      </x:c>
      <x:c r="G922" t="str">
        <x:v>Winter</x:v>
      </x:c>
      <x:c r="H922" t="str">
        <x:v>Card</x:v>
      </x:c>
      <x:c r="I922" t="n">
        <x:v>3.9</x:v>
      </x:c>
      <x:c r="J922" t="n">
        <x:v>12</x:v>
      </x:c>
      <x:c r="K922" t="n">
        <x:v>6</x:v>
      </x:c>
      <x:c r="L922" t="str">
        <x:v>STORE-001</x:v>
      </x:c>
      <x:c r="M922" s="22" t="n">
        <x:v>46238</x:v>
      </x:c>
      <x:c r="N922" t="str">
        <x:v>SKU-003</x:v>
      </x:c>
      <x:c r="O922" t="n">
        <x:v>2</x:v>
      </x:c>
      <x:c r="P922" s="26" t="n">
        <x:f>F922/O922</x:f>
        <x:v>123.165</x:v>
      </x:c>
    </x:row>
    <x:row r="923">
      <x:c r="A923" t="n">
        <x:v>922</x:v>
      </x:c>
      <x:c r="B923" t="n">
        <x:v>57</x:v>
      </x:c>
      <x:c r="C923" t="str">
        <x:v>Male</x:v>
      </x:c>
      <x:c r="D923" t="str">
        <x:v>Sports</x:v>
      </x:c>
      <x:c r="E923" t="str">
        <x:v>Dumbbells</x:v>
      </x:c>
      <x:c r="F923" s="24" t="n">
        <x:v>39.18</x:v>
      </x:c>
      <x:c r="G923" t="str">
        <x:v>Summer</x:v>
      </x:c>
      <x:c r="H923" t="str">
        <x:v>Cash on Delivery</x:v>
      </x:c>
      <x:c r="I923" t="n">
        <x:v>3.4</x:v>
      </x:c>
      <x:c r="J923" t="n">
        <x:v>23</x:v>
      </x:c>
      <x:c r="K923" t="n">
        <x:v>9</x:v>
      </x:c>
      <x:c r="L923" t="str">
        <x:v>STORE-001</x:v>
      </x:c>
      <x:c r="M923" s="22" t="n">
        <x:v>46053</x:v>
      </x:c>
      <x:c r="N923" t="str">
        <x:v>SKU-005</x:v>
      </x:c>
      <x:c r="O923" t="n">
        <x:v>2</x:v>
      </x:c>
      <x:c r="P923" s="26" t="n">
        <x:f>F923/O923</x:f>
        <x:v>19.59</x:v>
      </x:c>
    </x:row>
    <x:row r="924">
      <x:c r="A924" t="n">
        <x:v>923</x:v>
      </x:c>
      <x:c r="B924" t="n">
        <x:v>25</x:v>
      </x:c>
      <x:c r="C924" t="str">
        <x:v>Female</x:v>
      </x:c>
      <x:c r="D924" t="str">
        <x:v>Beauty</x:v>
      </x:c>
      <x:c r="E924" t="str">
        <x:v>Skincare Kit</x:v>
      </x:c>
      <x:c r="F924" s="24" t="n">
        <x:v>21.93</x:v>
      </x:c>
      <x:c r="G924" t="str">
        <x:v>Autumn</x:v>
      </x:c>
      <x:c r="H924" t="str">
        <x:v>Cash on Delivery</x:v>
      </x:c>
      <x:c r="I924" t="n">
        <x:v>4.5</x:v>
      </x:c>
      <x:c r="J924" t="n">
        <x:v>18</x:v>
      </x:c>
      <x:c r="K924" t="n">
        <x:v>4</x:v>
      </x:c>
      <x:c r="L924" t="str">
        <x:v>STORE-001</x:v>
      </x:c>
      <x:c r="M924" s="22" t="n">
        <x:v>46147</x:v>
      </x:c>
      <x:c r="N924" t="str">
        <x:v>SKU-021</x:v>
      </x:c>
      <x:c r="O924" t="n">
        <x:v>2</x:v>
      </x:c>
      <x:c r="P924" s="26" t="n">
        <x:f>F924/O924</x:f>
        <x:v>10.965</x:v>
      </x:c>
    </x:row>
    <x:row r="925">
      <x:c r="A925" t="n">
        <x:v>924</x:v>
      </x:c>
      <x:c r="B925" t="n">
        <x:v>35</x:v>
      </x:c>
      <x:c r="C925" t="str">
        <x:v>Male</x:v>
      </x:c>
      <x:c r="D925" t="str">
        <x:v>Mens Clothing</x:v>
      </x:c>
      <x:c r="E925" t="str">
        <x:v>T-Shirt</x:v>
      </x:c>
      <x:c r="F925" s="24" t="n">
        <x:v>35.65</x:v>
      </x:c>
      <x:c r="G925" t="str">
        <x:v>Autumn</x:v>
      </x:c>
      <x:c r="H925" t="str">
        <x:v>Card</x:v>
      </x:c>
      <x:c r="I925" t="n">
        <x:v>4.5</x:v>
      </x:c>
      <x:c r="J925" t="n">
        <x:v>13</x:v>
      </x:c>
      <x:c r="K925" t="n">
        <x:v>4</x:v>
      </x:c>
      <x:c r="L925" t="str">
        <x:v>STORE-001</x:v>
      </x:c>
      <x:c r="M925" s="22" t="n">
        <x:v>46146</x:v>
      </x:c>
      <x:c r="N925" t="str">
        <x:v>SKU-027</x:v>
      </x:c>
      <x:c r="O925" t="n">
        <x:v>2</x:v>
      </x:c>
      <x:c r="P925" s="26" t="n">
        <x:f>F925/O925</x:f>
        <x:v>17.825</x:v>
      </x:c>
    </x:row>
    <x:row r="926">
      <x:c r="A926" t="n">
        <x:v>925</x:v>
      </x:c>
      <x:c r="B926" t="n">
        <x:v>23</x:v>
      </x:c>
      <x:c r="C926" t="str">
        <x:v>Male</x:v>
      </x:c>
      <x:c r="D926" t="str">
        <x:v>Mens Clothing</x:v>
      </x:c>
      <x:c r="E926" t="str">
        <x:v>Jacket</x:v>
      </x:c>
      <x:c r="F926" s="24" t="n">
        <x:v>174.44</x:v>
      </x:c>
      <x:c r="G926" t="str">
        <x:v>Summer</x:v>
      </x:c>
      <x:c r="H926" t="str">
        <x:v>Card</x:v>
      </x:c>
      <x:c r="I926" t="n">
        <x:v>2.9</x:v>
      </x:c>
      <x:c r="J926" t="n">
        <x:v>14</x:v>
      </x:c>
      <x:c r="K926" t="n">
        <x:v>7</x:v>
      </x:c>
      <x:c r="L926" t="str">
        <x:v>STORE-001</x:v>
      </x:c>
      <x:c r="M926" s="22" t="n">
        <x:v>46016</x:v>
      </x:c>
      <x:c r="N926" t="str">
        <x:v>SKU-010</x:v>
      </x:c>
      <x:c r="O926" t="n">
        <x:v>1</x:v>
      </x:c>
      <x:c r="P926" s="26" t="n">
        <x:f>F926/O926</x:f>
        <x:v>174.44</x:v>
      </x:c>
    </x:row>
    <x:row r="927">
      <x:c r="A927" t="n">
        <x:v>926</x:v>
      </x:c>
      <x:c r="B927" t="n">
        <x:v>23</x:v>
      </x:c>
      <x:c r="C927" t="str">
        <x:v>Female</x:v>
      </x:c>
      <x:c r="D927" t="str">
        <x:v>Accessories</x:v>
      </x:c>
      <x:c r="E927" t="str">
        <x:v>Wallet</x:v>
      </x:c>
      <x:c r="F927" s="24" t="n">
        <x:v>130.7</x:v>
      </x:c>
      <x:c r="G927" t="str">
        <x:v>Spring</x:v>
      </x:c>
      <x:c r="H927" t="str">
        <x:v>Card</x:v>
      </x:c>
      <x:c r="I927" t="n">
        <x:v>3.2</x:v>
      </x:c>
      <x:c r="J927" t="n">
        <x:v>19</x:v>
      </x:c>
      <x:c r="K927" t="n">
        <x:v>7</x:v>
      </x:c>
      <x:c r="L927" t="str">
        <x:v>STORE-001</x:v>
      </x:c>
      <x:c r="M927" s="22" t="n">
        <x:v>46266</x:v>
      </x:c>
      <x:c r="N927" t="str">
        <x:v>SKU-029</x:v>
      </x:c>
      <x:c r="O927" t="n">
        <x:v>2</x:v>
      </x:c>
      <x:c r="P927" s="26" t="n">
        <x:f>F927/O927</x:f>
        <x:v>65.35</x:v>
      </x:c>
    </x:row>
    <x:row r="928">
      <x:c r="A928" t="n">
        <x:v>927</x:v>
      </x:c>
      <x:c r="B928" t="n">
        <x:v>31</x:v>
      </x:c>
      <x:c r="C928" t="str">
        <x:v>Male</x:v>
      </x:c>
      <x:c r="D928" t="str">
        <x:v>Sports</x:v>
      </x:c>
      <x:c r="E928" t="str">
        <x:v>Football</x:v>
      </x:c>
      <x:c r="F928" s="24" t="n">
        <x:v>231.91</x:v>
      </x:c>
      <x:c r="G928" t="str">
        <x:v>Winter</x:v>
      </x:c>
      <x:c r="H928" t="str">
        <x:v>Card</x:v>
      </x:c>
      <x:c r="I928" t="n">
        <x:v>4.4</x:v>
      </x:c>
      <x:c r="J928" t="n">
        <x:v>21</x:v>
      </x:c>
      <x:c r="K928" t="n">
        <x:v>8</x:v>
      </x:c>
      <x:c r="L928" t="str">
        <x:v>STORE-001</x:v>
      </x:c>
      <x:c r="M928" s="22" t="n">
        <x:v>46225</x:v>
      </x:c>
      <x:c r="N928" t="str">
        <x:v>SKU-006</x:v>
      </x:c>
      <x:c r="O928" t="n">
        <x:v>1</x:v>
      </x:c>
      <x:c r="P928" s="26" t="n">
        <x:f>F928/O928</x:f>
        <x:v>231.91</x:v>
      </x:c>
    </x:row>
    <x:row r="929">
      <x:c r="A929" t="n">
        <x:v>928</x:v>
      </x:c>
      <x:c r="B929" t="n">
        <x:v>33</x:v>
      </x:c>
      <x:c r="C929" t="str">
        <x:v>Female</x:v>
      </x:c>
      <x:c r="D929" t="str">
        <x:v>Accessories</x:v>
      </x:c>
      <x:c r="E929" t="str">
        <x:v>Wallet</x:v>
      </x:c>
      <x:c r="F929" s="24" t="n">
        <x:v>130.37</x:v>
      </x:c>
      <x:c r="G929" t="str">
        <x:v>Autumn</x:v>
      </x:c>
      <x:c r="H929" t="str">
        <x:v>Card</x:v>
      </x:c>
      <x:c r="I929" t="n">
        <x:v>3.3</x:v>
      </x:c>
      <x:c r="J929" t="n">
        <x:v>6</x:v>
      </x:c>
      <x:c r="K929" t="n">
        <x:v>3</x:v>
      </x:c>
      <x:c r="L929" t="str">
        <x:v>STORE-001</x:v>
      </x:c>
      <x:c r="M929" s="22" t="n">
        <x:v>46128</x:v>
      </x:c>
      <x:c r="N929" t="str">
        <x:v>SKU-029</x:v>
      </x:c>
      <x:c r="O929" t="n">
        <x:v>2</x:v>
      </x:c>
      <x:c r="P929" s="26" t="n">
        <x:f>F929/O929</x:f>
        <x:v>65.185</x:v>
      </x:c>
    </x:row>
    <x:row r="930">
      <x:c r="A930" t="n">
        <x:v>929</x:v>
      </x:c>
      <x:c r="B930" t="n">
        <x:v>45</x:v>
      </x:c>
      <x:c r="C930" t="str">
        <x:v>Female</x:v>
      </x:c>
      <x:c r="D930" t="str">
        <x:v>Womens Clothing</x:v>
      </x:c>
      <x:c r="E930" t="str">
        <x:v>Top</x:v>
      </x:c>
      <x:c r="F930" s="24" t="n">
        <x:v>185.7</x:v>
      </x:c>
      <x:c r="G930" t="str">
        <x:v>Autumn</x:v>
      </x:c>
      <x:c r="H930" t="str">
        <x:v>Card</x:v>
      </x:c>
      <x:c r="I930" t="n">
        <x:v>2.8</x:v>
      </x:c>
      <x:c r="J930" t="n">
        <x:v>8</x:v>
      </x:c>
      <x:c r="K930" t="n">
        <x:v>4</x:v>
      </x:c>
      <x:c r="L930" t="str">
        <x:v>STORE-001</x:v>
      </x:c>
      <x:c r="M930" s="22" t="n">
        <x:v>46095</x:v>
      </x:c>
      <x:c r="N930" t="str">
        <x:v>SKU-028</x:v>
      </x:c>
      <x:c r="O930" t="n">
        <x:v>1</x:v>
      </x:c>
      <x:c r="P930" s="26" t="n">
        <x:f>F930/O930</x:f>
        <x:v>185.7</x:v>
      </x:c>
    </x:row>
    <x:row r="931">
      <x:c r="A931" t="n">
        <x:v>930</x:v>
      </x:c>
      <x:c r="B931" t="n">
        <x:v>59</x:v>
      </x:c>
      <x:c r="C931" t="str">
        <x:v>Male</x:v>
      </x:c>
      <x:c r="D931" t="str">
        <x:v>Groceries</x:v>
      </x:c>
      <x:c r="E931" t="str">
        <x:v>Snacks</x:v>
      </x:c>
      <x:c r="F931" s="24" t="n">
        <x:v>8.7</x:v>
      </x:c>
      <x:c r="G931" t="str">
        <x:v>Autumn</x:v>
      </x:c>
      <x:c r="H931" t="str">
        <x:v>Cash on Delivery</x:v>
      </x:c>
      <x:c r="I931" t="n">
        <x:v>3.5</x:v>
      </x:c>
      <x:c r="J931" t="n">
        <x:v>32</x:v>
      </x:c>
      <x:c r="K931" t="n">
        <x:v>11</x:v>
      </x:c>
      <x:c r="L931" t="str">
        <x:v>STORE-001</x:v>
      </x:c>
      <x:c r="M931" s="22" t="n">
        <x:v>46093</x:v>
      </x:c>
      <x:c r="N931" t="str">
        <x:v>SKU-024</x:v>
      </x:c>
      <x:c r="O931" t="n">
        <x:v>3</x:v>
      </x:c>
      <x:c r="P931" s="26" t="n">
        <x:f>F931/O931</x:f>
        <x:v>2.9</x:v>
      </x:c>
    </x:row>
    <x:row r="932">
      <x:c r="A932" t="n">
        <x:v>931</x:v>
      </x:c>
      <x:c r="B932" t="n">
        <x:v>43</x:v>
      </x:c>
      <x:c r="C932" t="str">
        <x:v>Male</x:v>
      </x:c>
      <x:c r="D932" t="str">
        <x:v>Electronics</x:v>
      </x:c>
      <x:c r="E932" t="str">
        <x:v>Laptop</x:v>
      </x:c>
      <x:c r="F932" s="24" t="n">
        <x:v>2197.99</x:v>
      </x:c>
      <x:c r="G932" t="str">
        <x:v>Summer</x:v>
      </x:c>
      <x:c r="H932" t="str">
        <x:v>Card</x:v>
      </x:c>
      <x:c r="I932" t="n">
        <x:v>4.1</x:v>
      </x:c>
      <x:c r="J932" t="n">
        <x:v>10</x:v>
      </x:c>
      <x:c r="K932" t="n">
        <x:v>5</x:v>
      </x:c>
      <x:c r="L932" t="str">
        <x:v>STORE-001</x:v>
      </x:c>
      <x:c r="M932" s="22" t="n">
        <x:v>45992</x:v>
      </x:c>
      <x:c r="N932" t="str">
        <x:v>SKU-014</x:v>
      </x:c>
      <x:c r="O932" t="n">
        <x:v>1</x:v>
      </x:c>
      <x:c r="P932" s="26" t="n">
        <x:f>F932/O932</x:f>
        <x:v>2197.99</x:v>
      </x:c>
    </x:row>
    <x:row r="933">
      <x:c r="A933" t="n">
        <x:v>932</x:v>
      </x:c>
      <x:c r="B933" t="n">
        <x:v>27</x:v>
      </x:c>
      <x:c r="C933" t="str">
        <x:v>Male</x:v>
      </x:c>
      <x:c r="D933" t="str">
        <x:v>Sports</x:v>
      </x:c>
      <x:c r="E933" t="str">
        <x:v>Yoga Mat</x:v>
      </x:c>
      <x:c r="F933" s="24" t="n">
        <x:v>113.14</x:v>
      </x:c>
      <x:c r="G933" t="str">
        <x:v>Summer</x:v>
      </x:c>
      <x:c r="H933" t="str">
        <x:v>Card</x:v>
      </x:c>
      <x:c r="I933" t="n">
        <x:v>4.4</x:v>
      </x:c>
      <x:c r="J933" t="n">
        <x:v>10</x:v>
      </x:c>
      <x:c r="K933" t="n">
        <x:v>5</x:v>
      </x:c>
      <x:c r="L933" t="str">
        <x:v>STORE-001</x:v>
      </x:c>
      <x:c r="M933" s="22" t="n">
        <x:v>46007</x:v>
      </x:c>
      <x:c r="N933" t="str">
        <x:v>SKU-030</x:v>
      </x:c>
      <x:c r="O933" t="n">
        <x:v>2</x:v>
      </x:c>
      <x:c r="P933" s="26" t="n">
        <x:f>F933/O933</x:f>
        <x:v>56.57</x:v>
      </x:c>
    </x:row>
    <x:row r="934">
      <x:c r="A934" t="n">
        <x:v>933</x:v>
      </x:c>
      <x:c r="B934" t="n">
        <x:v>53</x:v>
      </x:c>
      <x:c r="C934" t="str">
        <x:v>Male</x:v>
      </x:c>
      <x:c r="D934" t="str">
        <x:v>Footwear</x:v>
      </x:c>
      <x:c r="E934" t="str">
        <x:v>Formal Shoes</x:v>
      </x:c>
      <x:c r="F934" s="24" t="n">
        <x:v>223.47</x:v>
      </x:c>
      <x:c r="G934" t="str">
        <x:v>Autumn</x:v>
      </x:c>
      <x:c r="H934" t="str">
        <x:v>Card</x:v>
      </x:c>
      <x:c r="I934" t="n">
        <x:v>3.4</x:v>
      </x:c>
      <x:c r="J934" t="n">
        <x:v>8</x:v>
      </x:c>
      <x:c r="K934" t="n">
        <x:v>4</x:v>
      </x:c>
      <x:c r="L934" t="str">
        <x:v>STORE-001</x:v>
      </x:c>
      <x:c r="M934" s="22" t="n">
        <x:v>46112</x:v>
      </x:c>
      <x:c r="N934" t="str">
        <x:v>SKU-007</x:v>
      </x:c>
      <x:c r="O934" t="n">
        <x:v>1</x:v>
      </x:c>
      <x:c r="P934" s="26" t="n">
        <x:f>F934/O934</x:f>
        <x:v>223.47</x:v>
      </x:c>
    </x:row>
    <x:row r="935">
      <x:c r="A935" t="n">
        <x:v>934</x:v>
      </x:c>
      <x:c r="B935" t="n">
        <x:v>60</x:v>
      </x:c>
      <x:c r="C935" t="str">
        <x:v>Male</x:v>
      </x:c>
      <x:c r="D935" t="str">
        <x:v>Sports</x:v>
      </x:c>
      <x:c r="E935" t="str">
        <x:v>Football</x:v>
      </x:c>
      <x:c r="F935" s="24" t="n">
        <x:v>203.1</x:v>
      </x:c>
      <x:c r="G935" t="str">
        <x:v>Autumn</x:v>
      </x:c>
      <x:c r="H935" t="str">
        <x:v>Card</x:v>
      </x:c>
      <x:c r="I935" t="n">
        <x:v>3.9</x:v>
      </x:c>
      <x:c r="J935" t="n">
        <x:v>10</x:v>
      </x:c>
      <x:c r="K935" t="n">
        <x:v>5</x:v>
      </x:c>
      <x:c r="L935" t="str">
        <x:v>STORE-001</x:v>
      </x:c>
      <x:c r="M935" s="22" t="n">
        <x:v>46129</x:v>
      </x:c>
      <x:c r="N935" t="str">
        <x:v>SKU-006</x:v>
      </x:c>
      <x:c r="O935" t="n">
        <x:v>1</x:v>
      </x:c>
      <x:c r="P935" s="26" t="n">
        <x:f>F935/O935</x:f>
        <x:v>203.1</x:v>
      </x:c>
    </x:row>
    <x:row r="936">
      <x:c r="A936" t="n">
        <x:v>935</x:v>
      </x:c>
      <x:c r="B936" t="n">
        <x:v>42</x:v>
      </x:c>
      <x:c r="C936" t="str">
        <x:v>Male</x:v>
      </x:c>
      <x:c r="D936" t="str">
        <x:v>Mens Clothing</x:v>
      </x:c>
      <x:c r="E936" t="str">
        <x:v>Jeans</x:v>
      </x:c>
      <x:c r="F936" s="24" t="n">
        <x:v>85.93</x:v>
      </x:c>
      <x:c r="G936" t="str">
        <x:v>Winter</x:v>
      </x:c>
      <x:c r="H936" t="str">
        <x:v>Card</x:v>
      </x:c>
      <x:c r="I936" t="n">
        <x:v>2.6</x:v>
      </x:c>
      <x:c r="J936" t="n">
        <x:v>22</x:v>
      </x:c>
      <x:c r="K936" t="n">
        <x:v>6</x:v>
      </x:c>
      <x:c r="L936" t="str">
        <x:v>STORE-001</x:v>
      </x:c>
      <x:c r="M936" s="22" t="n">
        <x:v>46247</x:v>
      </x:c>
      <x:c r="N936" t="str">
        <x:v>SKU-011</x:v>
      </x:c>
      <x:c r="O936" t="n">
        <x:v>1</x:v>
      </x:c>
      <x:c r="P936" s="26" t="n">
        <x:f>F936/O936</x:f>
        <x:v>85.93</x:v>
      </x:c>
    </x:row>
    <x:row r="937">
      <x:c r="A937" t="n">
        <x:v>936</x:v>
      </x:c>
      <x:c r="B937" t="n">
        <x:v>43</x:v>
      </x:c>
      <x:c r="C937" t="str">
        <x:v>Male</x:v>
      </x:c>
      <x:c r="D937" t="str">
        <x:v>Electronics</x:v>
      </x:c>
      <x:c r="E937" t="str">
        <x:v>Headphones</x:v>
      </x:c>
      <x:c r="F937" s="24" t="n">
        <x:v>622.06</x:v>
      </x:c>
      <x:c r="G937" t="str">
        <x:v>Autumn</x:v>
      </x:c>
      <x:c r="H937" t="str">
        <x:v>Card</x:v>
      </x:c>
      <x:c r="I937" t="n">
        <x:v>3.5</x:v>
      </x:c>
      <x:c r="J937" t="n">
        <x:v>20</x:v>
      </x:c>
      <x:c r="K937" t="n">
        <x:v>5</x:v>
      </x:c>
      <x:c r="L937" t="str">
        <x:v>STORE-001</x:v>
      </x:c>
      <x:c r="M937" s="22" t="n">
        <x:v>46124</x:v>
      </x:c>
      <x:c r="N937" t="str">
        <x:v>SKU-009</x:v>
      </x:c>
      <x:c r="O937" t="n">
        <x:v>1</x:v>
      </x:c>
      <x:c r="P937" s="26" t="n">
        <x:f>F937/O937</x:f>
        <x:v>622.06</x:v>
      </x:c>
    </x:row>
    <x:row r="938">
      <x:c r="A938" t="n">
        <x:v>937</x:v>
      </x:c>
      <x:c r="B938" t="n">
        <x:v>62</x:v>
      </x:c>
      <x:c r="C938" t="str">
        <x:v>Male</x:v>
      </x:c>
      <x:c r="D938" t="str">
        <x:v>Home</x:v>
      </x:c>
      <x:c r="E938" t="str">
        <x:v>Kitchen Set</x:v>
      </x:c>
      <x:c r="F938" s="24" t="n">
        <x:v>136.93</x:v>
      </x:c>
      <x:c r="G938" t="str">
        <x:v>Autumn</x:v>
      </x:c>
      <x:c r="H938" t="str">
        <x:v>Card</x:v>
      </x:c>
      <x:c r="I938" t="n">
        <x:v>2</x:v>
      </x:c>
      <x:c r="J938" t="n">
        <x:v>12</x:v>
      </x:c>
      <x:c r="K938" t="n">
        <x:v>6</x:v>
      </x:c>
      <x:c r="L938" t="str">
        <x:v>STORE-001</x:v>
      </x:c>
      <x:c r="M938" s="22" t="n">
        <x:v>46092</x:v>
      </x:c>
      <x:c r="N938" t="str">
        <x:v>SKU-012</x:v>
      </x:c>
      <x:c r="O938" t="n">
        <x:v>3</x:v>
      </x:c>
      <x:c r="P938" s="26" t="n">
        <x:f>F938/O938</x:f>
        <x:v>45.64333333333334</x:v>
      </x:c>
    </x:row>
    <x:row r="939">
      <x:c r="A939" t="n">
        <x:v>938</x:v>
      </x:c>
      <x:c r="B939" t="n">
        <x:v>52</x:v>
      </x:c>
      <x:c r="C939" t="str">
        <x:v>Female</x:v>
      </x:c>
      <x:c r="D939" t="str">
        <x:v>Home</x:v>
      </x:c>
      <x:c r="E939" t="str">
        <x:v>Curtains</x:v>
      </x:c>
      <x:c r="F939" s="24" t="n">
        <x:v>287.12</x:v>
      </x:c>
      <x:c r="G939" t="str">
        <x:v>Spring</x:v>
      </x:c>
      <x:c r="H939" t="str">
        <x:v>Card</x:v>
      </x:c>
      <x:c r="I939" t="n">
        <x:v>4.2</x:v>
      </x:c>
      <x:c r="J939" t="n">
        <x:v>28</x:v>
      </x:c>
      <x:c r="K939" t="n">
        <x:v>9</x:v>
      </x:c>
      <x:c r="L939" t="str">
        <x:v>STORE-001</x:v>
      </x:c>
      <x:c r="M939" s="22" t="n">
        <x:v>45969</x:v>
      </x:c>
      <x:c r="N939" t="str">
        <x:v>SKU-003</x:v>
      </x:c>
      <x:c r="O939" t="n">
        <x:v>2</x:v>
      </x:c>
      <x:c r="P939" s="26" t="n">
        <x:f>F939/O939</x:f>
        <x:v>143.56</x:v>
      </x:c>
    </x:row>
    <x:row r="940">
      <x:c r="A940" t="n">
        <x:v>939</x:v>
      </x:c>
      <x:c r="B940" t="n">
        <x:v>70</x:v>
      </x:c>
      <x:c r="C940" t="str">
        <x:v>Male</x:v>
      </x:c>
      <x:c r="D940" t="str">
        <x:v>Footwear</x:v>
      </x:c>
      <x:c r="E940" t="str">
        <x:v>Sandals</x:v>
      </x:c>
      <x:c r="F940" s="24" t="n">
        <x:v>223.82</x:v>
      </x:c>
      <x:c r="G940" t="str">
        <x:v>Summer</x:v>
      </x:c>
      <x:c r="H940" t="str">
        <x:v>Card</x:v>
      </x:c>
      <x:c r="I940" t="n">
        <x:v>5</x:v>
      </x:c>
      <x:c r="J940" t="n">
        <x:v>9</x:v>
      </x:c>
      <x:c r="K940" t="n">
        <x:v>2</x:v>
      </x:c>
      <x:c r="L940" t="str">
        <x:v>STORE-001</x:v>
      </x:c>
      <x:c r="M940" s="22" t="n">
        <x:v>46018</x:v>
      </x:c>
      <x:c r="N940" t="str">
        <x:v>SKU-019</x:v>
      </x:c>
      <x:c r="O940" t="n">
        <x:v>2</x:v>
      </x:c>
      <x:c r="P940" s="26" t="n">
        <x:f>F940/O940</x:f>
        <x:v>111.91</x:v>
      </x:c>
    </x:row>
    <x:row r="941">
      <x:c r="A941" t="n">
        <x:v>940</x:v>
      </x:c>
      <x:c r="B941" t="n">
        <x:v>69</x:v>
      </x:c>
      <x:c r="C941" t="str">
        <x:v>Female</x:v>
      </x:c>
      <x:c r="D941" t="str">
        <x:v>Groceries</x:v>
      </x:c>
      <x:c r="E941" t="str">
        <x:v>Beverages</x:v>
      </x:c>
      <x:c r="F941" s="24" t="n">
        <x:v>52.06</x:v>
      </x:c>
      <x:c r="G941" t="str">
        <x:v>Spring</x:v>
      </x:c>
      <x:c r="H941" t="str">
        <x:v>Card</x:v>
      </x:c>
      <x:c r="I941" t="n">
        <x:v>4.7</x:v>
      </x:c>
      <x:c r="J941" t="n">
        <x:v>20</x:v>
      </x:c>
      <x:c r="K941" t="n">
        <x:v>5</x:v>
      </x:c>
      <x:c r="L941" t="str">
        <x:v>STORE-001</x:v>
      </x:c>
      <x:c r="M941" s="22" t="n">
        <x:v>45989</x:v>
      </x:c>
      <x:c r="N941" t="str">
        <x:v>SKU-001</x:v>
      </x:c>
      <x:c r="O941" t="n">
        <x:v>2</x:v>
      </x:c>
      <x:c r="P941" s="26" t="n">
        <x:f>F941/O941</x:f>
        <x:v>26.03</x:v>
      </x:c>
    </x:row>
    <x:row r="942">
      <x:c r="A942" t="n">
        <x:v>941</x:v>
      </x:c>
      <x:c r="B942" t="n">
        <x:v>38</x:v>
      </x:c>
      <x:c r="C942" t="str">
        <x:v>Male</x:v>
      </x:c>
      <x:c r="D942" t="str">
        <x:v>Home</x:v>
      </x:c>
      <x:c r="E942" t="str">
        <x:v>Lamp</x:v>
      </x:c>
      <x:c r="F942" s="24" t="n">
        <x:v>230.54</x:v>
      </x:c>
      <x:c r="G942" t="str">
        <x:v>Spring</x:v>
      </x:c>
      <x:c r="H942" t="str">
        <x:v>Card</x:v>
      </x:c>
      <x:c r="I942" t="n">
        <x:v>4.2</x:v>
      </x:c>
      <x:c r="J942" t="n">
        <x:v>16</x:v>
      </x:c>
      <x:c r="K942" t="n">
        <x:v>8</x:v>
      </x:c>
      <x:c r="L942" t="str">
        <x:v>STORE-001</x:v>
      </x:c>
      <x:c r="M942" s="22" t="n">
        <x:v>46278</x:v>
      </x:c>
      <x:c r="N942" t="str">
        <x:v>SKU-013</x:v>
      </x:c>
      <x:c r="O942" t="n">
        <x:v>4</x:v>
      </x:c>
      <x:c r="P942" s="26" t="n">
        <x:f>F942/O942</x:f>
        <x:v>57.635</x:v>
      </x:c>
    </x:row>
    <x:row r="943">
      <x:c r="A943" t="n">
        <x:v>942</x:v>
      </x:c>
      <x:c r="B943" t="n">
        <x:v>64</x:v>
      </x:c>
      <x:c r="C943" t="str">
        <x:v>Female</x:v>
      </x:c>
      <x:c r="D943" t="str">
        <x:v>Accessories</x:v>
      </x:c>
      <x:c r="E943" t="str">
        <x:v>Wallet</x:v>
      </x:c>
      <x:c r="F943" s="24" t="n">
        <x:v>146.23</x:v>
      </x:c>
      <x:c r="G943" t="str">
        <x:v>Summer</x:v>
      </x:c>
      <x:c r="H943" t="str">
        <x:v>Card</x:v>
      </x:c>
      <x:c r="I943" t="n">
        <x:v>4</x:v>
      </x:c>
      <x:c r="J943" t="n">
        <x:v>14</x:v>
      </x:c>
      <x:c r="K943" t="n">
        <x:v>7</x:v>
      </x:c>
      <x:c r="L943" t="str">
        <x:v>STORE-001</x:v>
      </x:c>
      <x:c r="M943" s="22" t="n">
        <x:v>46021</x:v>
      </x:c>
      <x:c r="N943" t="str">
        <x:v>SKU-029</x:v>
      </x:c>
      <x:c r="O943" t="n">
        <x:v>3</x:v>
      </x:c>
      <x:c r="P943" s="26" t="n">
        <x:f>F943/O943</x:f>
        <x:v>48.74333333333333</x:v>
      </x:c>
    </x:row>
    <x:row r="944">
      <x:c r="A944" t="n">
        <x:v>943</x:v>
      </x:c>
      <x:c r="B944" t="n">
        <x:v>43</x:v>
      </x:c>
      <x:c r="C944" t="str">
        <x:v>Female</x:v>
      </x:c>
      <x:c r="D944" t="str">
        <x:v>Womens Clothing</x:v>
      </x:c>
      <x:c r="E944" t="str">
        <x:v>Jeans</x:v>
      </x:c>
      <x:c r="F944" s="24" t="n">
        <x:v>84.02</x:v>
      </x:c>
      <x:c r="G944" t="str">
        <x:v>Spring</x:v>
      </x:c>
      <x:c r="H944" t="str">
        <x:v>Cash on Delivery</x:v>
      </x:c>
      <x:c r="I944" t="n">
        <x:v>4</x:v>
      </x:c>
      <x:c r="J944" t="n">
        <x:v>8</x:v>
      </x:c>
      <x:c r="K944" t="n">
        <x:v>4</x:v>
      </x:c>
      <x:c r="L944" t="str">
        <x:v>STORE-001</x:v>
      </x:c>
      <x:c r="M944" s="22" t="n">
        <x:v>46283</x:v>
      </x:c>
      <x:c r="N944" t="str">
        <x:v>SKU-011</x:v>
      </x:c>
      <x:c r="O944" t="n">
        <x:v>2</x:v>
      </x:c>
      <x:c r="P944" s="26" t="n">
        <x:f>F944/O944</x:f>
        <x:v>42.01</x:v>
      </x:c>
    </x:row>
    <x:row r="945">
      <x:c r="A945" t="n">
        <x:v>944</x:v>
      </x:c>
      <x:c r="B945" t="n">
        <x:v>40</x:v>
      </x:c>
      <x:c r="C945" t="str">
        <x:v>Male</x:v>
      </x:c>
      <x:c r="D945" t="str">
        <x:v>Electronics</x:v>
      </x:c>
      <x:c r="E945" t="str">
        <x:v>Laptop</x:v>
      </x:c>
      <x:c r="F945" s="24" t="n">
        <x:v>570.66</x:v>
      </x:c>
      <x:c r="G945" t="str">
        <x:v>Winter</x:v>
      </x:c>
      <x:c r="H945" t="str">
        <x:v>Card</x:v>
      </x:c>
      <x:c r="I945" t="n">
        <x:v>3.7</x:v>
      </x:c>
      <x:c r="J945" t="n">
        <x:v>7</x:v>
      </x:c>
      <x:c r="K945" t="n">
        <x:v>1</x:v>
      </x:c>
      <x:c r="L945" t="str">
        <x:v>STORE-001</x:v>
      </x:c>
      <x:c r="M945" s="22" t="n">
        <x:v>46239</x:v>
      </x:c>
      <x:c r="N945" t="str">
        <x:v>SKU-014</x:v>
      </x:c>
      <x:c r="O945" t="n">
        <x:v>1</x:v>
      </x:c>
      <x:c r="P945" s="26" t="n">
        <x:f>F945/O945</x:f>
        <x:v>570.66</x:v>
      </x:c>
    </x:row>
    <x:row r="946">
      <x:c r="A946" t="n">
        <x:v>945</x:v>
      </x:c>
      <x:c r="B946" t="n">
        <x:v>59</x:v>
      </x:c>
      <x:c r="C946" t="str">
        <x:v>Male</x:v>
      </x:c>
      <x:c r="D946" t="str">
        <x:v>Footwear</x:v>
      </x:c>
      <x:c r="E946" t="str">
        <x:v>Sandals</x:v>
      </x:c>
      <x:c r="F946" s="24" t="n">
        <x:v>208.68</x:v>
      </x:c>
      <x:c r="G946" t="str">
        <x:v>Winter</x:v>
      </x:c>
      <x:c r="H946" t="str">
        <x:v>Card</x:v>
      </x:c>
      <x:c r="I946" t="n">
        <x:v>2.9</x:v>
      </x:c>
      <x:c r="J946" t="n">
        <x:v>22</x:v>
      </x:c>
      <x:c r="K946" t="n">
        <x:v>6</x:v>
      </x:c>
      <x:c r="L946" t="str">
        <x:v>STORE-001</x:v>
      </x:c>
      <x:c r="M946" s="22" t="n">
        <x:v>46251</x:v>
      </x:c>
      <x:c r="N946" t="str">
        <x:v>SKU-019</x:v>
      </x:c>
      <x:c r="O946" t="n">
        <x:v>1</x:v>
      </x:c>
      <x:c r="P946" s="26" t="n">
        <x:f>F946/O946</x:f>
        <x:v>208.68</x:v>
      </x:c>
    </x:row>
    <x:row r="947">
      <x:c r="A947" t="n">
        <x:v>946</x:v>
      </x:c>
      <x:c r="B947" t="n">
        <x:v>55</x:v>
      </x:c>
      <x:c r="C947" t="str">
        <x:v>Male</x:v>
      </x:c>
      <x:c r="D947" t="str">
        <x:v>Mens Clothing</x:v>
      </x:c>
      <x:c r="E947" t="str">
        <x:v>Shirt</x:v>
      </x:c>
      <x:c r="F947" s="24" t="n">
        <x:v>105.92</x:v>
      </x:c>
      <x:c r="G947" t="str">
        <x:v>Spring</x:v>
      </x:c>
      <x:c r="H947" t="str">
        <x:v>Card</x:v>
      </x:c>
      <x:c r="I947" t="n">
        <x:v>4</x:v>
      </x:c>
      <x:c r="J947" t="n">
        <x:v>14</x:v>
      </x:c>
      <x:c r="K947" t="n">
        <x:v>2</x:v>
      </x:c>
      <x:c r="L947" t="str">
        <x:v>STORE-001</x:v>
      </x:c>
      <x:c r="M947" s="22" t="n">
        <x:v>45979</x:v>
      </x:c>
      <x:c r="N947" t="str">
        <x:v>SKU-020</x:v>
      </x:c>
      <x:c r="O947" t="n">
        <x:v>1</x:v>
      </x:c>
      <x:c r="P947" s="26" t="n">
        <x:f>F947/O947</x:f>
        <x:v>105.92</x:v>
      </x:c>
    </x:row>
    <x:row r="948">
      <x:c r="A948" t="n">
        <x:v>947</x:v>
      </x:c>
      <x:c r="B948" t="n">
        <x:v>67</x:v>
      </x:c>
      <x:c r="C948" t="str">
        <x:v>Male</x:v>
      </x:c>
      <x:c r="D948" t="str">
        <x:v>Electronics</x:v>
      </x:c>
      <x:c r="E948" t="str">
        <x:v>Smart Watch</x:v>
      </x:c>
      <x:c r="F948" s="24" t="n">
        <x:v>594.99</x:v>
      </x:c>
      <x:c r="G948" t="str">
        <x:v>Winter</x:v>
      </x:c>
      <x:c r="H948" t="str">
        <x:v>Card</x:v>
      </x:c>
      <x:c r="I948" t="n">
        <x:v>4.7</x:v>
      </x:c>
      <x:c r="J948" t="n">
        <x:v>15</x:v>
      </x:c>
      <x:c r="K948" t="n">
        <x:v>5</x:v>
      </x:c>
      <x:c r="L948" t="str">
        <x:v>STORE-001</x:v>
      </x:c>
      <x:c r="M948" s="22" t="n">
        <x:v>46180</x:v>
      </x:c>
      <x:c r="N948" t="str">
        <x:v>SKU-023</x:v>
      </x:c>
      <x:c r="O948" t="n">
        <x:v>2</x:v>
      </x:c>
      <x:c r="P948" s="26" t="n">
        <x:f>F948/O948</x:f>
        <x:v>297.495</x:v>
      </x:c>
    </x:row>
    <x:row r="949">
      <x:c r="A949" t="n">
        <x:v>948</x:v>
      </x:c>
      <x:c r="B949" t="n">
        <x:v>48</x:v>
      </x:c>
      <x:c r="C949" t="str">
        <x:v>Male</x:v>
      </x:c>
      <x:c r="D949" t="str">
        <x:v>Sports</x:v>
      </x:c>
      <x:c r="E949" t="str">
        <x:v>Football</x:v>
      </x:c>
      <x:c r="F949" s="24" t="n">
        <x:v>122.6</x:v>
      </x:c>
      <x:c r="G949" t="str">
        <x:v>Spring</x:v>
      </x:c>
      <x:c r="H949" t="str">
        <x:v>Card</x:v>
      </x:c>
      <x:c r="I949" t="n">
        <x:v>3.6</x:v>
      </x:c>
      <x:c r="J949" t="n">
        <x:v>14</x:v>
      </x:c>
      <x:c r="K949" t="n">
        <x:v>7</x:v>
      </x:c>
      <x:c r="L949" t="str">
        <x:v>STORE-001</x:v>
      </x:c>
      <x:c r="M949" s="22" t="n">
        <x:v>45938</x:v>
      </x:c>
      <x:c r="N949" t="str">
        <x:v>SKU-006</x:v>
      </x:c>
      <x:c r="O949" t="n">
        <x:v>3</x:v>
      </x:c>
      <x:c r="P949" s="26" t="n">
        <x:f>F949/O949</x:f>
        <x:v>40.86666666666667</x:v>
      </x:c>
    </x:row>
    <x:row r="950">
      <x:c r="A950" t="n">
        <x:v>949</x:v>
      </x:c>
      <x:c r="B950" t="n">
        <x:v>62</x:v>
      </x:c>
      <x:c r="C950" t="str">
        <x:v>Female</x:v>
      </x:c>
      <x:c r="D950" t="str">
        <x:v>Beauty</x:v>
      </x:c>
      <x:c r="E950" t="str">
        <x:v>Skincare Kit</x:v>
      </x:c>
      <x:c r="F950" s="24" t="n">
        <x:v>105.62</x:v>
      </x:c>
      <x:c r="G950" t="str">
        <x:v>Winter</x:v>
      </x:c>
      <x:c r="H950" t="str">
        <x:v>Card</x:v>
      </x:c>
      <x:c r="I950" t="n">
        <x:v>3.6</x:v>
      </x:c>
      <x:c r="J950" t="n">
        <x:v>29</x:v>
      </x:c>
      <x:c r="K950" t="n">
        <x:v>12</x:v>
      </x:c>
      <x:c r="L950" t="str">
        <x:v>STORE-001</x:v>
      </x:c>
      <x:c r="M950" s="22" t="n">
        <x:v>46229</x:v>
      </x:c>
      <x:c r="N950" t="str">
        <x:v>SKU-021</x:v>
      </x:c>
      <x:c r="O950" t="n">
        <x:v>1</x:v>
      </x:c>
      <x:c r="P950" s="26" t="n">
        <x:f>F950/O950</x:f>
        <x:v>105.62</x:v>
      </x:c>
    </x:row>
    <x:row r="951">
      <x:c r="A951" t="n">
        <x:v>950</x:v>
      </x:c>
      <x:c r="B951" t="n">
        <x:v>57</x:v>
      </x:c>
      <x:c r="C951" t="str">
        <x:v>Female</x:v>
      </x:c>
      <x:c r="D951" t="str">
        <x:v>Home</x:v>
      </x:c>
      <x:c r="E951" t="str">
        <x:v>Curtains</x:v>
      </x:c>
      <x:c r="F951" s="24" t="n">
        <x:v>57.08</x:v>
      </x:c>
      <x:c r="G951" t="str">
        <x:v>Winter</x:v>
      </x:c>
      <x:c r="H951" t="str">
        <x:v>Cash on Delivery</x:v>
      </x:c>
      <x:c r="I951" t="n">
        <x:v>3.9</x:v>
      </x:c>
      <x:c r="J951" t="n">
        <x:v>10</x:v>
      </x:c>
      <x:c r="K951" t="n">
        <x:v>5</x:v>
      </x:c>
      <x:c r="L951" t="str">
        <x:v>STORE-001</x:v>
      </x:c>
      <x:c r="M951" s="22" t="n">
        <x:v>46195</x:v>
      </x:c>
      <x:c r="N951" t="str">
        <x:v>SKU-003</x:v>
      </x:c>
      <x:c r="O951" t="n">
        <x:v>3</x:v>
      </x:c>
      <x:c r="P951" s="26" t="n">
        <x:f>F951/O951</x:f>
        <x:v>19.026666666666667</x:v>
      </x:c>
    </x:row>
    <x:row r="952">
      <x:c r="A952" t="n">
        <x:v>951</x:v>
      </x:c>
      <x:c r="B952" t="n">
        <x:v>44</x:v>
      </x:c>
      <x:c r="C952" t="str">
        <x:v>Male</x:v>
      </x:c>
      <x:c r="D952" t="str">
        <x:v>Home</x:v>
      </x:c>
      <x:c r="E952" t="str">
        <x:v>Lamp</x:v>
      </x:c>
      <x:c r="F952" s="24" t="n">
        <x:v>157.74</x:v>
      </x:c>
      <x:c r="G952" t="str">
        <x:v>Winter</x:v>
      </x:c>
      <x:c r="H952" t="str">
        <x:v>Card</x:v>
      </x:c>
      <x:c r="I952" t="n">
        <x:v>3.3</x:v>
      </x:c>
      <x:c r="J952" t="n">
        <x:v>17</x:v>
      </x:c>
      <x:c r="K952" t="n">
        <x:v>6</x:v>
      </x:c>
      <x:c r="L952" t="str">
        <x:v>STORE-001</x:v>
      </x:c>
      <x:c r="M952" s="22" t="n">
        <x:v>46181</x:v>
      </x:c>
      <x:c r="N952" t="str">
        <x:v>SKU-013</x:v>
      </x:c>
      <x:c r="O952" t="n">
        <x:v>2</x:v>
      </x:c>
      <x:c r="P952" s="26" t="n">
        <x:f>F952/O952</x:f>
        <x:v>78.87</x:v>
      </x:c>
    </x:row>
    <x:row r="953">
      <x:c r="A953" t="n">
        <x:v>952</x:v>
      </x:c>
      <x:c r="B953" t="n">
        <x:v>25</x:v>
      </x:c>
      <x:c r="C953" t="str">
        <x:v>Male</x:v>
      </x:c>
      <x:c r="D953" t="str">
        <x:v>Groceries</x:v>
      </x:c>
      <x:c r="E953" t="str">
        <x:v>Snacks</x:v>
      </x:c>
      <x:c r="F953" s="24" t="n">
        <x:v>77.76</x:v>
      </x:c>
      <x:c r="G953" t="str">
        <x:v>Summer</x:v>
      </x:c>
      <x:c r="H953" t="str">
        <x:v>Card</x:v>
      </x:c>
      <x:c r="I953" t="n">
        <x:v>4.3</x:v>
      </x:c>
      <x:c r="J953" t="n">
        <x:v>27</x:v>
      </x:c>
      <x:c r="K953" t="n">
        <x:v>11</x:v>
      </x:c>
      <x:c r="L953" t="str">
        <x:v>STORE-001</x:v>
      </x:c>
      <x:c r="M953" s="22" t="n">
        <x:v>46055</x:v>
      </x:c>
      <x:c r="N953" t="str">
        <x:v>SKU-024</x:v>
      </x:c>
      <x:c r="O953" t="n">
        <x:v>1</x:v>
      </x:c>
      <x:c r="P953" s="26" t="n">
        <x:f>F953/O953</x:f>
        <x:v>77.76</x:v>
      </x:c>
    </x:row>
    <x:row r="954">
      <x:c r="A954" t="n">
        <x:v>953</x:v>
      </x:c>
      <x:c r="B954" t="n">
        <x:v>48</x:v>
      </x:c>
      <x:c r="C954" t="str">
        <x:v>Female</x:v>
      </x:c>
      <x:c r="D954" t="str">
        <x:v>Home</x:v>
      </x:c>
      <x:c r="E954" t="str">
        <x:v>Curtains</x:v>
      </x:c>
      <x:c r="F954" s="24" t="n">
        <x:v>243.65</x:v>
      </x:c>
      <x:c r="G954" t="str">
        <x:v>Autumn</x:v>
      </x:c>
      <x:c r="H954" t="str">
        <x:v>Card</x:v>
      </x:c>
      <x:c r="I954" t="n">
        <x:v>4.8</x:v>
      </x:c>
      <x:c r="J954" t="n">
        <x:v>15</x:v>
      </x:c>
      <x:c r="K954" t="n">
        <x:v>5</x:v>
      </x:c>
      <x:c r="L954" t="str">
        <x:v>STORE-001</x:v>
      </x:c>
      <x:c r="M954" s="22" t="n">
        <x:v>46127</x:v>
      </x:c>
      <x:c r="N954" t="str">
        <x:v>SKU-003</x:v>
      </x:c>
      <x:c r="O954" t="n">
        <x:v>3</x:v>
      </x:c>
      <x:c r="P954" s="26" t="n">
        <x:f>F954/O954</x:f>
        <x:v>81.21666666666667</x:v>
      </x:c>
    </x:row>
    <x:row r="955">
      <x:c r="A955" t="n">
        <x:v>954</x:v>
      </x:c>
      <x:c r="B955" t="n">
        <x:v>28</x:v>
      </x:c>
      <x:c r="C955" t="str">
        <x:v>Male</x:v>
      </x:c>
      <x:c r="D955" t="str">
        <x:v>Sports</x:v>
      </x:c>
      <x:c r="E955" t="str">
        <x:v>Dumbbells</x:v>
      </x:c>
      <x:c r="F955" s="24" t="n">
        <x:v>73.6</x:v>
      </x:c>
      <x:c r="G955" t="str">
        <x:v>Spring</x:v>
      </x:c>
      <x:c r="H955" t="str">
        <x:v>Card</x:v>
      </x:c>
      <x:c r="I955" t="n">
        <x:v>3.3</x:v>
      </x:c>
      <x:c r="J955" t="n">
        <x:v>14</x:v>
      </x:c>
      <x:c r="K955" t="n">
        <x:v>7</x:v>
      </x:c>
      <x:c r="L955" t="str">
        <x:v>STORE-001</x:v>
      </x:c>
      <x:c r="M955" s="22" t="n">
        <x:v>45976</x:v>
      </x:c>
      <x:c r="N955" t="str">
        <x:v>SKU-005</x:v>
      </x:c>
      <x:c r="O955" t="n">
        <x:v>1</x:v>
      </x:c>
      <x:c r="P955" s="26" t="n">
        <x:f>F955/O955</x:f>
        <x:v>73.6</x:v>
      </x:c>
    </x:row>
    <x:row r="956">
      <x:c r="A956" t="n">
        <x:v>955</x:v>
      </x:c>
      <x:c r="B956" t="n">
        <x:v>51</x:v>
      </x:c>
      <x:c r="C956" t="str">
        <x:v>Female</x:v>
      </x:c>
      <x:c r="D956" t="str">
        <x:v>Footwear</x:v>
      </x:c>
      <x:c r="E956" t="str">
        <x:v>Formal Shoes</x:v>
      </x:c>
      <x:c r="F956" s="24" t="n">
        <x:v>187.41</x:v>
      </x:c>
      <x:c r="G956" t="str">
        <x:v>Spring</x:v>
      </x:c>
      <x:c r="H956" t="str">
        <x:v>Card</x:v>
      </x:c>
      <x:c r="I956" t="n">
        <x:v>4.4</x:v>
      </x:c>
      <x:c r="J956" t="n">
        <x:v>20</x:v>
      </x:c>
      <x:c r="K956" t="n">
        <x:v>5</x:v>
      </x:c>
      <x:c r="L956" t="str">
        <x:v>STORE-001</x:v>
      </x:c>
      <x:c r="M956" s="22" t="n">
        <x:v>45954</x:v>
      </x:c>
      <x:c r="N956" t="str">
        <x:v>SKU-007</x:v>
      </x:c>
      <x:c r="O956" t="n">
        <x:v>1</x:v>
      </x:c>
      <x:c r="P956" s="26" t="n">
        <x:f>F956/O956</x:f>
        <x:v>187.41</x:v>
      </x:c>
    </x:row>
    <x:row r="957">
      <x:c r="A957" t="n">
        <x:v>956</x:v>
      </x:c>
      <x:c r="B957" t="n">
        <x:v>46</x:v>
      </x:c>
      <x:c r="C957" t="str">
        <x:v>Female</x:v>
      </x:c>
      <x:c r="D957" t="str">
        <x:v>Footwear</x:v>
      </x:c>
      <x:c r="E957" t="str">
        <x:v>Sneakers</x:v>
      </x:c>
      <x:c r="F957" s="24" t="n">
        <x:v>191.13</x:v>
      </x:c>
      <x:c r="G957" t="str">
        <x:v>Spring</x:v>
      </x:c>
      <x:c r="H957" t="str">
        <x:v>Card</x:v>
      </x:c>
      <x:c r="I957" t="n">
        <x:v>3.9</x:v>
      </x:c>
      <x:c r="J957" t="n">
        <x:v>12</x:v>
      </x:c>
      <x:c r="K957" t="n">
        <x:v>6</x:v>
      </x:c>
      <x:c r="L957" t="str">
        <x:v>STORE-001</x:v>
      </x:c>
      <x:c r="M957" s="22" t="n">
        <x:v>46266</x:v>
      </x:c>
      <x:c r="N957" t="str">
        <x:v>SKU-025</x:v>
      </x:c>
      <x:c r="O957" t="n">
        <x:v>1</x:v>
      </x:c>
      <x:c r="P957" s="26" t="n">
        <x:f>F957/O957</x:f>
        <x:v>191.13</x:v>
      </x:c>
    </x:row>
    <x:row r="958">
      <x:c r="A958" t="n">
        <x:v>957</x:v>
      </x:c>
      <x:c r="B958" t="n">
        <x:v>24</x:v>
      </x:c>
      <x:c r="C958" t="str">
        <x:v>Male</x:v>
      </x:c>
      <x:c r="D958" t="str">
        <x:v>Electronics</x:v>
      </x:c>
      <x:c r="E958" t="str">
        <x:v>Smart Watch</x:v>
      </x:c>
      <x:c r="F958" s="24" t="n">
        <x:v>2923.37</x:v>
      </x:c>
      <x:c r="G958" t="str">
        <x:v>Winter</x:v>
      </x:c>
      <x:c r="H958" t="str">
        <x:v>Card</x:v>
      </x:c>
      <x:c r="I958" t="n">
        <x:v>3.5</x:v>
      </x:c>
      <x:c r="J958" t="n">
        <x:v>15</x:v>
      </x:c>
      <x:c r="K958" t="n">
        <x:v>5</x:v>
      </x:c>
      <x:c r="L958" t="str">
        <x:v>STORE-001</x:v>
      </x:c>
      <x:c r="M958" s="22" t="n">
        <x:v>46212</x:v>
      </x:c>
      <x:c r="N958" t="str">
        <x:v>SKU-023</x:v>
      </x:c>
      <x:c r="O958" t="n">
        <x:v>1</x:v>
      </x:c>
      <x:c r="P958" s="26" t="n">
        <x:f>F958/O958</x:f>
        <x:v>2923.37</x:v>
      </x:c>
    </x:row>
    <x:row r="959">
      <x:c r="A959" t="n">
        <x:v>958</x:v>
      </x:c>
      <x:c r="B959" t="n">
        <x:v>66</x:v>
      </x:c>
      <x:c r="C959" t="str">
        <x:v>Female</x:v>
      </x:c>
      <x:c r="D959" t="str">
        <x:v>Groceries</x:v>
      </x:c>
      <x:c r="E959" t="str">
        <x:v>Snacks</x:v>
      </x:c>
      <x:c r="F959" s="24" t="n">
        <x:v>56.64</x:v>
      </x:c>
      <x:c r="G959" t="str">
        <x:v>Summer</x:v>
      </x:c>
      <x:c r="H959" t="str">
        <x:v>Cash on Delivery</x:v>
      </x:c>
      <x:c r="I959" t="n">
        <x:v>4</x:v>
      </x:c>
      <x:c r="J959" t="n">
        <x:v>18</x:v>
      </x:c>
      <x:c r="K959" t="n">
        <x:v>9</x:v>
      </x:c>
      <x:c r="L959" t="str">
        <x:v>STORE-001</x:v>
      </x:c>
      <x:c r="M959" s="22" t="n">
        <x:v>46073</x:v>
      </x:c>
      <x:c r="N959" t="str">
        <x:v>SKU-024</x:v>
      </x:c>
      <x:c r="O959" t="n">
        <x:v>3</x:v>
      </x:c>
      <x:c r="P959" s="26" t="n">
        <x:f>F959/O959</x:f>
        <x:v>18.88</x:v>
      </x:c>
    </x:row>
    <x:row r="960">
      <x:c r="A960" t="n">
        <x:v>959</x:v>
      </x:c>
      <x:c r="B960" t="n">
        <x:v>47</x:v>
      </x:c>
      <x:c r="C960" t="str">
        <x:v>Male</x:v>
      </x:c>
      <x:c r="D960" t="str">
        <x:v>Groceries</x:v>
      </x:c>
      <x:c r="E960" t="str">
        <x:v>Cooking Oil</x:v>
      </x:c>
      <x:c r="F960" s="24" t="n">
        <x:v>54.21</x:v>
      </x:c>
      <x:c r="G960" t="str">
        <x:v>Summer</x:v>
      </x:c>
      <x:c r="H960" t="str">
        <x:v>Cash on Delivery</x:v>
      </x:c>
      <x:c r="I960" t="n">
        <x:v>3.7</x:v>
      </x:c>
      <x:c r="J960" t="n">
        <x:v>15</x:v>
      </x:c>
      <x:c r="K960" t="n">
        <x:v>5</x:v>
      </x:c>
      <x:c r="L960" t="str">
        <x:v>STORE-001</x:v>
      </x:c>
      <x:c r="M960" s="22" t="n">
        <x:v>46008</x:v>
      </x:c>
      <x:c r="N960" t="str">
        <x:v>SKU-002</x:v>
      </x:c>
      <x:c r="O960" t="n">
        <x:v>1</x:v>
      </x:c>
      <x:c r="P960" s="26" t="n">
        <x:f>F960/O960</x:f>
        <x:v>54.21</x:v>
      </x:c>
    </x:row>
    <x:row r="961">
      <x:c r="A961" t="n">
        <x:v>960</x:v>
      </x:c>
      <x:c r="B961" t="n">
        <x:v>60</x:v>
      </x:c>
      <x:c r="C961" t="str">
        <x:v>Female</x:v>
      </x:c>
      <x:c r="D961" t="str">
        <x:v>Accessories</x:v>
      </x:c>
      <x:c r="E961" t="str">
        <x:v>Handbag</x:v>
      </x:c>
      <x:c r="F961" s="24" t="n">
        <x:v>117.39</x:v>
      </x:c>
      <x:c r="G961" t="str">
        <x:v>Summer</x:v>
      </x:c>
      <x:c r="H961" t="str">
        <x:v>Card</x:v>
      </x:c>
      <x:c r="I961" t="n">
        <x:v>2.9</x:v>
      </x:c>
      <x:c r="J961" t="n">
        <x:v>10</x:v>
      </x:c>
      <x:c r="K961" t="n">
        <x:v>5</x:v>
      </x:c>
      <x:c r="L961" t="str">
        <x:v>STORE-001</x:v>
      </x:c>
      <x:c r="M961" s="22" t="n">
        <x:v>46061</x:v>
      </x:c>
      <x:c r="N961" t="str">
        <x:v>SKU-008</x:v>
      </x:c>
      <x:c r="O961" t="n">
        <x:v>2</x:v>
      </x:c>
      <x:c r="P961" s="26" t="n">
        <x:f>F961/O961</x:f>
        <x:v>58.695</x:v>
      </x:c>
    </x:row>
    <x:row r="962">
      <x:c r="A962" t="n">
        <x:v>961</x:v>
      </x:c>
      <x:c r="B962" t="n">
        <x:v>40</x:v>
      </x:c>
      <x:c r="C962" t="str">
        <x:v>Female</x:v>
      </x:c>
      <x:c r="D962" t="str">
        <x:v>Footwear</x:v>
      </x:c>
      <x:c r="E962" t="str">
        <x:v>Sneakers</x:v>
      </x:c>
      <x:c r="F962" s="24" t="n">
        <x:v>197.69</x:v>
      </x:c>
      <x:c r="G962" t="str">
        <x:v>Winter</x:v>
      </x:c>
      <x:c r="H962" t="str">
        <x:v>Card</x:v>
      </x:c>
      <x:c r="I962" t="n">
        <x:v>1.8</x:v>
      </x:c>
      <x:c r="J962" t="n">
        <x:v>20</x:v>
      </x:c>
      <x:c r="K962" t="n">
        <x:v>5</x:v>
      </x:c>
      <x:c r="L962" t="str">
        <x:v>STORE-001</x:v>
      </x:c>
      <x:c r="M962" s="22" t="n">
        <x:v>46201</x:v>
      </x:c>
      <x:c r="N962" t="str">
        <x:v>SKU-025</x:v>
      </x:c>
      <x:c r="O962" t="n">
        <x:v>1</x:v>
      </x:c>
      <x:c r="P962" s="26" t="n">
        <x:f>F962/O962</x:f>
        <x:v>197.69</x:v>
      </x:c>
    </x:row>
    <x:row r="963">
      <x:c r="A963" t="n">
        <x:v>962</x:v>
      </x:c>
      <x:c r="B963" t="n">
        <x:v>47</x:v>
      </x:c>
      <x:c r="C963" t="str">
        <x:v>Male</x:v>
      </x:c>
      <x:c r="D963" t="str">
        <x:v>Sports</x:v>
      </x:c>
      <x:c r="E963" t="str">
        <x:v>Football</x:v>
      </x:c>
      <x:c r="F963" s="24" t="n">
        <x:v>178.62</x:v>
      </x:c>
      <x:c r="G963" t="str">
        <x:v>Winter</x:v>
      </x:c>
      <x:c r="H963" t="str">
        <x:v>Card</x:v>
      </x:c>
      <x:c r="I963" t="n">
        <x:v>3.3</x:v>
      </x:c>
      <x:c r="J963" t="n">
        <x:v>16</x:v>
      </x:c>
      <x:c r="K963" t="n">
        <x:v>8</x:v>
      </x:c>
      <x:c r="L963" t="str">
        <x:v>STORE-001</x:v>
      </x:c>
      <x:c r="M963" s="22" t="n">
        <x:v>46193</x:v>
      </x:c>
      <x:c r="N963" t="str">
        <x:v>SKU-006</x:v>
      </x:c>
      <x:c r="O963" t="n">
        <x:v>2</x:v>
      </x:c>
      <x:c r="P963" s="26" t="n">
        <x:f>F963/O963</x:f>
        <x:v>89.31</x:v>
      </x:c>
    </x:row>
    <x:row r="964">
      <x:c r="A964" t="n">
        <x:v>963</x:v>
      </x:c>
      <x:c r="B964" t="n">
        <x:v>54</x:v>
      </x:c>
      <x:c r="C964" t="str">
        <x:v>Male</x:v>
      </x:c>
      <x:c r="D964" t="str">
        <x:v>Mens Clothing</x:v>
      </x:c>
      <x:c r="E964" t="str">
        <x:v>Jeans</x:v>
      </x:c>
      <x:c r="F964" s="24" t="n">
        <x:v>199.78</x:v>
      </x:c>
      <x:c r="G964" t="str">
        <x:v>Autumn</x:v>
      </x:c>
      <x:c r="H964" t="str">
        <x:v>Card</x:v>
      </x:c>
      <x:c r="I964" t="n">
        <x:v>3</x:v>
      </x:c>
      <x:c r="J964" t="n">
        <x:v>2</x:v>
      </x:c>
      <x:c r="K964" t="n">
        <x:v>1</x:v>
      </x:c>
      <x:c r="L964" t="str">
        <x:v>STORE-001</x:v>
      </x:c>
      <x:c r="M964" s="22" t="n">
        <x:v>46143</x:v>
      </x:c>
      <x:c r="N964" t="str">
        <x:v>SKU-011</x:v>
      </x:c>
      <x:c r="O964" t="n">
        <x:v>1</x:v>
      </x:c>
      <x:c r="P964" s="26" t="n">
        <x:f>F964/O964</x:f>
        <x:v>199.78</x:v>
      </x:c>
    </x:row>
    <x:row r="965">
      <x:c r="A965" t="n">
        <x:v>964</x:v>
      </x:c>
      <x:c r="B965" t="n">
        <x:v>31</x:v>
      </x:c>
      <x:c r="C965" t="str">
        <x:v>Male</x:v>
      </x:c>
      <x:c r="D965" t="str">
        <x:v>Sports</x:v>
      </x:c>
      <x:c r="E965" t="str">
        <x:v>Yoga Mat</x:v>
      </x:c>
      <x:c r="F965" s="24" t="n">
        <x:v>243.71</x:v>
      </x:c>
      <x:c r="G965" t="str">
        <x:v>Winter</x:v>
      </x:c>
      <x:c r="H965" t="str">
        <x:v>Card</x:v>
      </x:c>
      <x:c r="I965" t="n">
        <x:v>3.8</x:v>
      </x:c>
      <x:c r="J965" t="n">
        <x:v>4</x:v>
      </x:c>
      <x:c r="K965" t="n">
        <x:v>2</x:v>
      </x:c>
      <x:c r="L965" t="str">
        <x:v>STORE-001</x:v>
      </x:c>
      <x:c r="M965" s="22" t="n">
        <x:v>46251</x:v>
      </x:c>
      <x:c r="N965" t="str">
        <x:v>SKU-030</x:v>
      </x:c>
      <x:c r="O965" t="n">
        <x:v>1</x:v>
      </x:c>
      <x:c r="P965" s="26" t="n">
        <x:f>F965/O965</x:f>
        <x:v>243.71</x:v>
      </x:c>
    </x:row>
    <x:row r="966">
      <x:c r="A966" t="n">
        <x:v>965</x:v>
      </x:c>
      <x:c r="B966" t="n">
        <x:v>37</x:v>
      </x:c>
      <x:c r="C966" t="str">
        <x:v>Male</x:v>
      </x:c>
      <x:c r="D966" t="str">
        <x:v>Electronics</x:v>
      </x:c>
      <x:c r="E966" t="str">
        <x:v>Laptop</x:v>
      </x:c>
      <x:c r="F966" s="24" t="n">
        <x:v>2839.22</x:v>
      </x:c>
      <x:c r="G966" t="str">
        <x:v>Summer</x:v>
      </x:c>
      <x:c r="H966" t="str">
        <x:v>Card</x:v>
      </x:c>
      <x:c r="I966" t="n">
        <x:v>3.9</x:v>
      </x:c>
      <x:c r="J966" t="n">
        <x:v>16</x:v>
      </x:c>
      <x:c r="K966" t="n">
        <x:v>8</x:v>
      </x:c>
      <x:c r="L966" t="str">
        <x:v>STORE-001</x:v>
      </x:c>
      <x:c r="M966" s="22" t="n">
        <x:v>46025</x:v>
      </x:c>
      <x:c r="N966" t="str">
        <x:v>SKU-014</x:v>
      </x:c>
      <x:c r="O966" t="n">
        <x:v>1</x:v>
      </x:c>
      <x:c r="P966" s="26" t="n">
        <x:f>F966/O966</x:f>
        <x:v>2839.22</x:v>
      </x:c>
    </x:row>
    <x:row r="967">
      <x:c r="A967" t="n">
        <x:v>966</x:v>
      </x:c>
      <x:c r="B967" t="n">
        <x:v>55</x:v>
      </x:c>
      <x:c r="C967" t="str">
        <x:v>Female</x:v>
      </x:c>
      <x:c r="D967" t="str">
        <x:v>Footwear</x:v>
      </x:c>
      <x:c r="E967" t="str">
        <x:v>Formal Shoes</x:v>
      </x:c>
      <x:c r="F967" s="24" t="n">
        <x:v>103.82</x:v>
      </x:c>
      <x:c r="G967" t="str">
        <x:v>Autumn</x:v>
      </x:c>
      <x:c r="H967" t="str">
        <x:v>Card</x:v>
      </x:c>
      <x:c r="I967" t="n">
        <x:v>4.5</x:v>
      </x:c>
      <x:c r="J967" t="n">
        <x:v>16</x:v>
      </x:c>
      <x:c r="K967" t="n">
        <x:v>3</x:v>
      </x:c>
      <x:c r="L967" t="str">
        <x:v>STORE-001</x:v>
      </x:c>
      <x:c r="M967" s="22" t="n">
        <x:v>46091</x:v>
      </x:c>
      <x:c r="N967" t="str">
        <x:v>SKU-007</x:v>
      </x:c>
      <x:c r="O967" t="n">
        <x:v>2</x:v>
      </x:c>
      <x:c r="P967" s="26" t="n">
        <x:f>F967/O967</x:f>
        <x:v>51.91</x:v>
      </x:c>
    </x:row>
    <x:row r="968">
      <x:c r="A968" t="n">
        <x:v>967</x:v>
      </x:c>
      <x:c r="B968" t="n">
        <x:v>60</x:v>
      </x:c>
      <x:c r="C968" t="str">
        <x:v>Female</x:v>
      </x:c>
      <x:c r="D968" t="str">
        <x:v>Accessories</x:v>
      </x:c>
      <x:c r="E968" t="str">
        <x:v>Handbag</x:v>
      </x:c>
      <x:c r="F968" s="24" t="n">
        <x:v>131.19</x:v>
      </x:c>
      <x:c r="G968" t="str">
        <x:v>Autumn</x:v>
      </x:c>
      <x:c r="H968" t="str">
        <x:v>Card</x:v>
      </x:c>
      <x:c r="I968" t="n">
        <x:v>3.8</x:v>
      </x:c>
      <x:c r="J968" t="n">
        <x:v>6</x:v>
      </x:c>
      <x:c r="K968" t="n">
        <x:v>3</x:v>
      </x:c>
      <x:c r="L968" t="str">
        <x:v>STORE-001</x:v>
      </x:c>
      <x:c r="M968" s="22" t="n">
        <x:v>46096</x:v>
      </x:c>
      <x:c r="N968" t="str">
        <x:v>SKU-008</x:v>
      </x:c>
      <x:c r="O968" t="n">
        <x:v>1</x:v>
      </x:c>
      <x:c r="P968" s="26" t="n">
        <x:f>F968/O968</x:f>
        <x:v>131.19</x:v>
      </x:c>
    </x:row>
    <x:row r="969">
      <x:c r="A969" t="n">
        <x:v>968</x:v>
      </x:c>
      <x:c r="B969" t="n">
        <x:v>52</x:v>
      </x:c>
      <x:c r="C969" t="str">
        <x:v>Male</x:v>
      </x:c>
      <x:c r="D969" t="str">
        <x:v>Mens Clothing</x:v>
      </x:c>
      <x:c r="E969" t="str">
        <x:v>Jacket</x:v>
      </x:c>
      <x:c r="F969" s="24" t="n">
        <x:v>194.91</x:v>
      </x:c>
      <x:c r="G969" t="str">
        <x:v>Summer</x:v>
      </x:c>
      <x:c r="H969" t="str">
        <x:v>Card</x:v>
      </x:c>
      <x:c r="I969" t="n">
        <x:v>4.9</x:v>
      </x:c>
      <x:c r="J969" t="n">
        <x:v>23</x:v>
      </x:c>
      <x:c r="K969" t="n">
        <x:v>9</x:v>
      </x:c>
      <x:c r="L969" t="str">
        <x:v>STORE-001</x:v>
      </x:c>
      <x:c r="M969" s="22" t="n">
        <x:v>46073</x:v>
      </x:c>
      <x:c r="N969" t="str">
        <x:v>SKU-010</x:v>
      </x:c>
      <x:c r="O969" t="n">
        <x:v>1</x:v>
      </x:c>
      <x:c r="P969" s="26" t="n">
        <x:f>F969/O969</x:f>
        <x:v>194.91</x:v>
      </x:c>
    </x:row>
    <x:row r="970">
      <x:c r="A970" t="n">
        <x:v>969</x:v>
      </x:c>
      <x:c r="B970" t="n">
        <x:v>48</x:v>
      </x:c>
      <x:c r="C970" t="str">
        <x:v>Male</x:v>
      </x:c>
      <x:c r="D970" t="str">
        <x:v>Footwear</x:v>
      </x:c>
      <x:c r="E970" t="str">
        <x:v>Formal Shoes</x:v>
      </x:c>
      <x:c r="F970" s="24" t="n">
        <x:v>113.38</x:v>
      </x:c>
      <x:c r="G970" t="str">
        <x:v>Spring</x:v>
      </x:c>
      <x:c r="H970" t="str">
        <x:v>Card</x:v>
      </x:c>
      <x:c r="I970" t="n">
        <x:v>2.6</x:v>
      </x:c>
      <x:c r="J970" t="n">
        <x:v>11</x:v>
      </x:c>
      <x:c r="K970" t="n">
        <x:v>3</x:v>
      </x:c>
      <x:c r="L970" t="str">
        <x:v>STORE-001</x:v>
      </x:c>
      <x:c r="M970" s="22" t="n">
        <x:v>46282</x:v>
      </x:c>
      <x:c r="N970" t="str">
        <x:v>SKU-007</x:v>
      </x:c>
      <x:c r="O970" t="n">
        <x:v>2</x:v>
      </x:c>
      <x:c r="P970" s="26" t="n">
        <x:f>F970/O970</x:f>
        <x:v>56.69</x:v>
      </x:c>
    </x:row>
    <x:row r="971">
      <x:c r="A971" t="n">
        <x:v>970</x:v>
      </x:c>
      <x:c r="B971" t="n">
        <x:v>55</x:v>
      </x:c>
      <x:c r="C971" t="str">
        <x:v>Female</x:v>
      </x:c>
      <x:c r="D971" t="str">
        <x:v>Footwear</x:v>
      </x:c>
      <x:c r="E971" t="str">
        <x:v>Formal Shoes</x:v>
      </x:c>
      <x:c r="F971" s="24" t="n">
        <x:v>122.62</x:v>
      </x:c>
      <x:c r="G971" t="str">
        <x:v>Spring</x:v>
      </x:c>
      <x:c r="H971" t="str">
        <x:v>Card</x:v>
      </x:c>
      <x:c r="I971" t="n">
        <x:v>2.7</x:v>
      </x:c>
      <x:c r="J971" t="n">
        <x:v>13</x:v>
      </x:c>
      <x:c r="K971" t="n">
        <x:v>4</x:v>
      </x:c>
      <x:c r="L971" t="str">
        <x:v>STORE-001</x:v>
      </x:c>
      <x:c r="M971" s="22" t="n">
        <x:v>45984</x:v>
      </x:c>
      <x:c r="N971" t="str">
        <x:v>SKU-007</x:v>
      </x:c>
      <x:c r="O971" t="n">
        <x:v>1</x:v>
      </x:c>
      <x:c r="P971" s="26" t="n">
        <x:f>F971/O971</x:f>
        <x:v>122.62</x:v>
      </x:c>
    </x:row>
    <x:row r="972">
      <x:c r="A972" t="n">
        <x:v>971</x:v>
      </x:c>
      <x:c r="B972" t="n">
        <x:v>39</x:v>
      </x:c>
      <x:c r="C972" t="str">
        <x:v>Female</x:v>
      </x:c>
      <x:c r="D972" t="str">
        <x:v>Beauty</x:v>
      </x:c>
      <x:c r="E972" t="str">
        <x:v>Skincare Kit</x:v>
      </x:c>
      <x:c r="F972" s="24" t="n">
        <x:v>126.77</x:v>
      </x:c>
      <x:c r="G972" t="str">
        <x:v>Spring</x:v>
      </x:c>
      <x:c r="H972" t="str">
        <x:v>Card</x:v>
      </x:c>
      <x:c r="I972" t="n">
        <x:v>3.7</x:v>
      </x:c>
      <x:c r="J972" t="n">
        <x:v>24</x:v>
      </x:c>
      <x:c r="K972" t="n">
        <x:v>7</x:v>
      </x:c>
      <x:c r="L972" t="str">
        <x:v>STORE-001</x:v>
      </x:c>
      <x:c r="M972" s="22" t="n">
        <x:v>46277</x:v>
      </x:c>
      <x:c r="N972" t="str">
        <x:v>SKU-021</x:v>
      </x:c>
      <x:c r="O972" t="n">
        <x:v>1</x:v>
      </x:c>
      <x:c r="P972" s="26" t="n">
        <x:f>F972/O972</x:f>
        <x:v>126.77</x:v>
      </x:c>
    </x:row>
    <x:row r="973">
      <x:c r="A973" t="n">
        <x:v>972</x:v>
      </x:c>
      <x:c r="B973" t="n">
        <x:v>56</x:v>
      </x:c>
      <x:c r="C973" t="str">
        <x:v>Male</x:v>
      </x:c>
      <x:c r="D973" t="str">
        <x:v>Footwear</x:v>
      </x:c>
      <x:c r="E973" t="str">
        <x:v>Sandals</x:v>
      </x:c>
      <x:c r="F973" s="24" t="n">
        <x:v>247.66</x:v>
      </x:c>
      <x:c r="G973" t="str">
        <x:v>Winter</x:v>
      </x:c>
      <x:c r="H973" t="str">
        <x:v>Card</x:v>
      </x:c>
      <x:c r="I973" t="n">
        <x:v>4.5</x:v>
      </x:c>
      <x:c r="J973" t="n">
        <x:v>22</x:v>
      </x:c>
      <x:c r="K973" t="n">
        <x:v>6</x:v>
      </x:c>
      <x:c r="L973" t="str">
        <x:v>STORE-001</x:v>
      </x:c>
      <x:c r="M973" s="22" t="n">
        <x:v>46230</x:v>
      </x:c>
      <x:c r="N973" t="str">
        <x:v>SKU-019</x:v>
      </x:c>
      <x:c r="O973" t="n">
        <x:v>1</x:v>
      </x:c>
      <x:c r="P973" s="26" t="n">
        <x:f>F973/O973</x:f>
        <x:v>247.66</x:v>
      </x:c>
    </x:row>
    <x:row r="974">
      <x:c r="A974" t="n">
        <x:v>973</x:v>
      </x:c>
      <x:c r="B974" t="n">
        <x:v>55</x:v>
      </x:c>
      <x:c r="C974" t="str">
        <x:v>Male</x:v>
      </x:c>
      <x:c r="D974" t="str">
        <x:v>Sports</x:v>
      </x:c>
      <x:c r="E974" t="str">
        <x:v>Dumbbells</x:v>
      </x:c>
      <x:c r="F974" s="24" t="n">
        <x:v>245.63</x:v>
      </x:c>
      <x:c r="G974" t="str">
        <x:v>Winter</x:v>
      </x:c>
      <x:c r="H974" t="str">
        <x:v>Card</x:v>
      </x:c>
      <x:c r="I974" t="n">
        <x:v>4</x:v>
      </x:c>
      <x:c r="J974" t="n">
        <x:v>15</x:v>
      </x:c>
      <x:c r="K974" t="n">
        <x:v>5</x:v>
      </x:c>
      <x:c r="L974" t="str">
        <x:v>STORE-001</x:v>
      </x:c>
      <x:c r="M974" s="22" t="n">
        <x:v>46261</x:v>
      </x:c>
      <x:c r="N974" t="str">
        <x:v>SKU-005</x:v>
      </x:c>
      <x:c r="O974" t="n">
        <x:v>2</x:v>
      </x:c>
      <x:c r="P974" s="26" t="n">
        <x:f>F974/O974</x:f>
        <x:v>122.815</x:v>
      </x:c>
    </x:row>
    <x:row r="975">
      <x:c r="A975" t="n">
        <x:v>974</x:v>
      </x:c>
      <x:c r="B975" t="n">
        <x:v>59</x:v>
      </x:c>
      <x:c r="C975" t="str">
        <x:v>Male</x:v>
      </x:c>
      <x:c r="D975" t="str">
        <x:v>Sports</x:v>
      </x:c>
      <x:c r="E975" t="str">
        <x:v>Football</x:v>
      </x:c>
      <x:c r="F975" s="24" t="n">
        <x:v>42.7</x:v>
      </x:c>
      <x:c r="G975" t="str">
        <x:v>Winter</x:v>
      </x:c>
      <x:c r="H975" t="str">
        <x:v>Card</x:v>
      </x:c>
      <x:c r="I975" t="n">
        <x:v>2.9</x:v>
      </x:c>
      <x:c r="J975" t="n">
        <x:v>8</x:v>
      </x:c>
      <x:c r="K975" t="n">
        <x:v>4</x:v>
      </x:c>
      <x:c r="L975" t="str">
        <x:v>STORE-001</x:v>
      </x:c>
      <x:c r="M975" s="22" t="n">
        <x:v>46261</x:v>
      </x:c>
      <x:c r="N975" t="str">
        <x:v>SKU-006</x:v>
      </x:c>
      <x:c r="O975" t="n">
        <x:v>2</x:v>
      </x:c>
      <x:c r="P975" s="26" t="n">
        <x:f>F975/O975</x:f>
        <x:v>21.35</x:v>
      </x:c>
    </x:row>
    <x:row r="976">
      <x:c r="A976" t="n">
        <x:v>975</x:v>
      </x:c>
      <x:c r="B976" t="n">
        <x:v>32</x:v>
      </x:c>
      <x:c r="C976" t="str">
        <x:v>Female</x:v>
      </x:c>
      <x:c r="D976" t="str">
        <x:v>Sports</x:v>
      </x:c>
      <x:c r="E976" t="str">
        <x:v>Football</x:v>
      </x:c>
      <x:c r="F976" s="24" t="n">
        <x:v>143.21</x:v>
      </x:c>
      <x:c r="G976" t="str">
        <x:v>Winter</x:v>
      </x:c>
      <x:c r="H976" t="str">
        <x:v>Card</x:v>
      </x:c>
      <x:c r="I976" t="n">
        <x:v>3.4</x:v>
      </x:c>
      <x:c r="J976" t="n">
        <x:v>22</x:v>
      </x:c>
      <x:c r="K976" t="n">
        <x:v>6</x:v>
      </x:c>
      <x:c r="L976" t="str">
        <x:v>STORE-001</x:v>
      </x:c>
      <x:c r="M976" s="22" t="n">
        <x:v>46246</x:v>
      </x:c>
      <x:c r="N976" t="str">
        <x:v>SKU-006</x:v>
      </x:c>
      <x:c r="O976" t="n">
        <x:v>1</x:v>
      </x:c>
      <x:c r="P976" s="26" t="n">
        <x:f>F976/O976</x:f>
        <x:v>143.21</x:v>
      </x:c>
    </x:row>
    <x:row r="977">
      <x:c r="A977" t="n">
        <x:v>976</x:v>
      </x:c>
      <x:c r="B977" t="n">
        <x:v>20</x:v>
      </x:c>
      <x:c r="C977" t="str">
        <x:v>Male</x:v>
      </x:c>
      <x:c r="D977" t="str">
        <x:v>Mens Clothing</x:v>
      </x:c>
      <x:c r="E977" t="str">
        <x:v>T-Shirt</x:v>
      </x:c>
      <x:c r="F977" s="24" t="n">
        <x:v>182.98</x:v>
      </x:c>
      <x:c r="G977" t="str">
        <x:v>Autumn</x:v>
      </x:c>
      <x:c r="H977" t="str">
        <x:v>Card</x:v>
      </x:c>
      <x:c r="I977" t="n">
        <x:v>4.5</x:v>
      </x:c>
      <x:c r="J977" t="n">
        <x:v>20</x:v>
      </x:c>
      <x:c r="K977" t="n">
        <x:v>5</x:v>
      </x:c>
      <x:c r="L977" t="str">
        <x:v>STORE-001</x:v>
      </x:c>
      <x:c r="M977" s="22" t="n">
        <x:v>46141</x:v>
      </x:c>
      <x:c r="N977" t="str">
        <x:v>SKU-027</x:v>
      </x:c>
      <x:c r="O977" t="n">
        <x:v>2</x:v>
      </x:c>
      <x:c r="P977" s="26" t="n">
        <x:f>F977/O977</x:f>
        <x:v>91.49</x:v>
      </x:c>
    </x:row>
    <x:row r="978">
      <x:c r="A978" t="n">
        <x:v>977</x:v>
      </x:c>
      <x:c r="B978" t="n">
        <x:v>50</x:v>
      </x:c>
      <x:c r="C978" t="str">
        <x:v>Male</x:v>
      </x:c>
      <x:c r="D978" t="str">
        <x:v>Electronics</x:v>
      </x:c>
      <x:c r="E978" t="str">
        <x:v>Laptop</x:v>
      </x:c>
      <x:c r="F978" s="24" t="n">
        <x:v>1854.1</x:v>
      </x:c>
      <x:c r="G978" t="str">
        <x:v>Autumn</x:v>
      </x:c>
      <x:c r="H978" t="str">
        <x:v>Card</x:v>
      </x:c>
      <x:c r="I978" t="n">
        <x:v>4.2</x:v>
      </x:c>
      <x:c r="J978" t="n">
        <x:v>12</x:v>
      </x:c>
      <x:c r="K978" t="n">
        <x:v>6</x:v>
      </x:c>
      <x:c r="L978" t="str">
        <x:v>STORE-001</x:v>
      </x:c>
      <x:c r="M978" s="22" t="n">
        <x:v>46084</x:v>
      </x:c>
      <x:c r="N978" t="str">
        <x:v>SKU-014</x:v>
      </x:c>
      <x:c r="O978" t="n">
        <x:v>2</x:v>
      </x:c>
      <x:c r="P978" s="26" t="n">
        <x:f>F978/O978</x:f>
        <x:v>927.05</x:v>
      </x:c>
    </x:row>
    <x:row r="979">
      <x:c r="A979" t="n">
        <x:v>978</x:v>
      </x:c>
      <x:c r="B979" t="n">
        <x:v>32</x:v>
      </x:c>
      <x:c r="C979" t="str">
        <x:v>Male</x:v>
      </x:c>
      <x:c r="D979" t="str">
        <x:v>Footwear</x:v>
      </x:c>
      <x:c r="E979" t="str">
        <x:v>Formal Shoes</x:v>
      </x:c>
      <x:c r="F979" s="24" t="n">
        <x:v>122.08</x:v>
      </x:c>
      <x:c r="G979" t="str">
        <x:v>Autumn</x:v>
      </x:c>
      <x:c r="H979" t="str">
        <x:v>Card</x:v>
      </x:c>
      <x:c r="I979" t="n">
        <x:v>3.4</x:v>
      </x:c>
      <x:c r="J979" t="n">
        <x:v>18</x:v>
      </x:c>
      <x:c r="K979" t="n">
        <x:v>4</x:v>
      </x:c>
      <x:c r="L979" t="str">
        <x:v>STORE-001</x:v>
      </x:c>
      <x:c r="M979" s="22" t="n">
        <x:v>46087</x:v>
      </x:c>
      <x:c r="N979" t="str">
        <x:v>SKU-007</x:v>
      </x:c>
      <x:c r="O979" t="n">
        <x:v>1</x:v>
      </x:c>
      <x:c r="P979" s="26" t="n">
        <x:f>F979/O979</x:f>
        <x:v>122.08</x:v>
      </x:c>
    </x:row>
    <x:row r="980">
      <x:c r="A980" t="n">
        <x:v>979</x:v>
      </x:c>
      <x:c r="B980" t="n">
        <x:v>52</x:v>
      </x:c>
      <x:c r="C980" t="str">
        <x:v>Female</x:v>
      </x:c>
      <x:c r="D980" t="str">
        <x:v>Accessories</x:v>
      </x:c>
      <x:c r="E980" t="str">
        <x:v>Wallet</x:v>
      </x:c>
      <x:c r="F980" s="24" t="n">
        <x:v>81.6</x:v>
      </x:c>
      <x:c r="G980" t="str">
        <x:v>Autumn</x:v>
      </x:c>
      <x:c r="H980" t="str">
        <x:v>Card</x:v>
      </x:c>
      <x:c r="I980" t="n">
        <x:v>4.3</x:v>
      </x:c>
      <x:c r="J980" t="n">
        <x:v>22</x:v>
      </x:c>
      <x:c r="K980" t="n">
        <x:v>6</x:v>
      </x:c>
      <x:c r="L980" t="str">
        <x:v>STORE-001</x:v>
      </x:c>
      <x:c r="M980" s="22" t="n">
        <x:v>46132</x:v>
      </x:c>
      <x:c r="N980" t="str">
        <x:v>SKU-029</x:v>
      </x:c>
      <x:c r="O980" t="n">
        <x:v>1</x:v>
      </x:c>
      <x:c r="P980" s="26" t="n">
        <x:f>F980/O980</x:f>
        <x:v>81.6</x:v>
      </x:c>
    </x:row>
    <x:row r="981">
      <x:c r="A981" t="n">
        <x:v>980</x:v>
      </x:c>
      <x:c r="B981" t="n">
        <x:v>20</x:v>
      </x:c>
      <x:c r="C981" t="str">
        <x:v>Female</x:v>
      </x:c>
      <x:c r="D981" t="str">
        <x:v>Footwear</x:v>
      </x:c>
      <x:c r="E981" t="str">
        <x:v>Sneakers</x:v>
      </x:c>
      <x:c r="F981" s="24" t="n">
        <x:v>191.41</x:v>
      </x:c>
      <x:c r="G981" t="str">
        <x:v>Winter</x:v>
      </x:c>
      <x:c r="H981" t="str">
        <x:v>Card</x:v>
      </x:c>
      <x:c r="I981" t="n">
        <x:v>3.6</x:v>
      </x:c>
      <x:c r="J981" t="n">
        <x:v>15</x:v>
      </x:c>
      <x:c r="K981" t="n">
        <x:v>5</x:v>
      </x:c>
      <x:c r="L981" t="str">
        <x:v>STORE-001</x:v>
      </x:c>
      <x:c r="M981" s="22" t="n">
        <x:v>46221</x:v>
      </x:c>
      <x:c r="N981" t="str">
        <x:v>SKU-025</x:v>
      </x:c>
      <x:c r="O981" t="n">
        <x:v>1</x:v>
      </x:c>
      <x:c r="P981" s="26" t="n">
        <x:f>F981/O981</x:f>
        <x:v>191.41</x:v>
      </x:c>
    </x:row>
    <x:row r="982">
      <x:c r="A982" t="n">
        <x:v>981</x:v>
      </x:c>
      <x:c r="B982" t="n">
        <x:v>24</x:v>
      </x:c>
      <x:c r="C982" t="str">
        <x:v>Male</x:v>
      </x:c>
      <x:c r="D982" t="str">
        <x:v>Sports</x:v>
      </x:c>
      <x:c r="E982" t="str">
        <x:v>Yoga Mat</x:v>
      </x:c>
      <x:c r="F982" s="24" t="n">
        <x:v>31.49</x:v>
      </x:c>
      <x:c r="G982" t="str">
        <x:v>Winter</x:v>
      </x:c>
      <x:c r="H982" t="str">
        <x:v>Card</x:v>
      </x:c>
      <x:c r="I982" t="n">
        <x:v>3.5</x:v>
      </x:c>
      <x:c r="J982" t="n">
        <x:v>16</x:v>
      </x:c>
      <x:c r="K982" t="n">
        <x:v>3</x:v>
      </x:c>
      <x:c r="L982" t="str">
        <x:v>STORE-001</x:v>
      </x:c>
      <x:c r="M982" s="22" t="n">
        <x:v>46184</x:v>
      </x:c>
      <x:c r="N982" t="str">
        <x:v>SKU-030</x:v>
      </x:c>
      <x:c r="O982" t="n">
        <x:v>1</x:v>
      </x:c>
      <x:c r="P982" s="26" t="n">
        <x:f>F982/O982</x:f>
        <x:v>31.49</x:v>
      </x:c>
    </x:row>
    <x:row r="983">
      <x:c r="A983" t="n">
        <x:v>982</x:v>
      </x:c>
      <x:c r="B983" t="n">
        <x:v>28</x:v>
      </x:c>
      <x:c r="C983" t="str">
        <x:v>Female</x:v>
      </x:c>
      <x:c r="D983" t="str">
        <x:v>Footwear</x:v>
      </x:c>
      <x:c r="E983" t="str">
        <x:v>Sneakers</x:v>
      </x:c>
      <x:c r="F983" s="24" t="n">
        <x:v>50.93</x:v>
      </x:c>
      <x:c r="G983" t="str">
        <x:v>Autumn</x:v>
      </x:c>
      <x:c r="H983" t="str">
        <x:v>Cash on Delivery</x:v>
      </x:c>
      <x:c r="I983" t="n">
        <x:v>4.3</x:v>
      </x:c>
      <x:c r="J983" t="n">
        <x:v>11</x:v>
      </x:c>
      <x:c r="K983" t="n">
        <x:v>3</x:v>
      </x:c>
      <x:c r="L983" t="str">
        <x:v>STORE-001</x:v>
      </x:c>
      <x:c r="M983" s="22" t="n">
        <x:v>46112</x:v>
      </x:c>
      <x:c r="N983" t="str">
        <x:v>SKU-025</x:v>
      </x:c>
      <x:c r="O983" t="n">
        <x:v>1</x:v>
      </x:c>
      <x:c r="P983" s="26" t="n">
        <x:f>F983/O983</x:f>
        <x:v>50.93</x:v>
      </x:c>
    </x:row>
    <x:row r="984">
      <x:c r="A984" t="n">
        <x:v>983</x:v>
      </x:c>
      <x:c r="B984" t="n">
        <x:v>52</x:v>
      </x:c>
      <x:c r="C984" t="str">
        <x:v>Female</x:v>
      </x:c>
      <x:c r="D984" t="str">
        <x:v>Accessories</x:v>
      </x:c>
      <x:c r="E984" t="str">
        <x:v>Sunglasses</x:v>
      </x:c>
      <x:c r="F984" s="24" t="n">
        <x:v>167.87</x:v>
      </x:c>
      <x:c r="G984" t="str">
        <x:v>Winter</x:v>
      </x:c>
      <x:c r="H984" t="str">
        <x:v>Card</x:v>
      </x:c>
      <x:c r="I984" t="n">
        <x:v>3.5</x:v>
      </x:c>
      <x:c r="J984" t="n">
        <x:v>26</x:v>
      </x:c>
      <x:c r="K984" t="n">
        <x:v>8</x:v>
      </x:c>
      <x:c r="L984" t="str">
        <x:v>STORE-001</x:v>
      </x:c>
      <x:c r="M984" s="22" t="n">
        <x:v>46235</x:v>
      </x:c>
      <x:c r="N984" t="str">
        <x:v>SKU-026</x:v>
      </x:c>
      <x:c r="O984" t="n">
        <x:v>1</x:v>
      </x:c>
      <x:c r="P984" s="26" t="n">
        <x:f>F984/O984</x:f>
        <x:v>167.87</x:v>
      </x:c>
    </x:row>
    <x:row r="985">
      <x:c r="A985" t="n">
        <x:v>984</x:v>
      </x:c>
      <x:c r="B985" t="n">
        <x:v>50</x:v>
      </x:c>
      <x:c r="C985" t="str">
        <x:v>Male</x:v>
      </x:c>
      <x:c r="D985" t="str">
        <x:v>Footwear</x:v>
      </x:c>
      <x:c r="E985" t="str">
        <x:v>Formal Shoes</x:v>
      </x:c>
      <x:c r="F985" s="24" t="n">
        <x:v>119.8</x:v>
      </x:c>
      <x:c r="G985" t="str">
        <x:v>Autumn</x:v>
      </x:c>
      <x:c r="H985" t="str">
        <x:v>Card</x:v>
      </x:c>
      <x:c r="I985" t="n">
        <x:v>4.7</x:v>
      </x:c>
      <x:c r="J985" t="n">
        <x:v>22</x:v>
      </x:c>
      <x:c r="K985" t="n">
        <x:v>6</x:v>
      </x:c>
      <x:c r="L985" t="str">
        <x:v>STORE-001</x:v>
      </x:c>
      <x:c r="M985" s="22" t="n">
        <x:v>46113</x:v>
      </x:c>
      <x:c r="N985" t="str">
        <x:v>SKU-007</x:v>
      </x:c>
      <x:c r="O985" t="n">
        <x:v>1</x:v>
      </x:c>
      <x:c r="P985" s="26" t="n">
        <x:f>F985/O985</x:f>
        <x:v>119.8</x:v>
      </x:c>
    </x:row>
    <x:row r="986">
      <x:c r="A986" t="n">
        <x:v>985</x:v>
      </x:c>
      <x:c r="B986" t="n">
        <x:v>34</x:v>
      </x:c>
      <x:c r="C986" t="str">
        <x:v>Male</x:v>
      </x:c>
      <x:c r="D986" t="str">
        <x:v>Mens Clothing</x:v>
      </x:c>
      <x:c r="E986" t="str">
        <x:v>Jacket</x:v>
      </x:c>
      <x:c r="F986" s="24" t="n">
        <x:v>93.54</x:v>
      </x:c>
      <x:c r="G986" t="str">
        <x:v>Spring</x:v>
      </x:c>
      <x:c r="H986" t="str">
        <x:v>Cash on Delivery</x:v>
      </x:c>
      <x:c r="I986" t="n">
        <x:v>3.4</x:v>
      </x:c>
      <x:c r="J986" t="n">
        <x:v>16</x:v>
      </x:c>
      <x:c r="K986" t="n">
        <x:v>8</x:v>
      </x:c>
      <x:c r="L986" t="str">
        <x:v>STORE-001</x:v>
      </x:c>
      <x:c r="M986" s="22" t="n">
        <x:v>45960</x:v>
      </x:c>
      <x:c r="N986" t="str">
        <x:v>SKU-010</x:v>
      </x:c>
      <x:c r="O986" t="n">
        <x:v>2</x:v>
      </x:c>
      <x:c r="P986" s="26" t="n">
        <x:f>F986/O986</x:f>
        <x:v>46.77</x:v>
      </x:c>
    </x:row>
    <x:row r="987">
      <x:c r="A987" t="n">
        <x:v>986</x:v>
      </x:c>
      <x:c r="B987" t="n">
        <x:v>47</x:v>
      </x:c>
      <x:c r="C987" t="str">
        <x:v>Male</x:v>
      </x:c>
      <x:c r="D987" t="str">
        <x:v>Sports</x:v>
      </x:c>
      <x:c r="E987" t="str">
        <x:v>Dumbbells</x:v>
      </x:c>
      <x:c r="F987" s="24" t="n">
        <x:v>194.21</x:v>
      </x:c>
      <x:c r="G987" t="str">
        <x:v>Autumn</x:v>
      </x:c>
      <x:c r="H987" t="str">
        <x:v>Card</x:v>
      </x:c>
      <x:c r="I987" t="n">
        <x:v>3.5</x:v>
      </x:c>
      <x:c r="J987" t="n">
        <x:v>16</x:v>
      </x:c>
      <x:c r="K987" t="n">
        <x:v>3</x:v>
      </x:c>
      <x:c r="L987" t="str">
        <x:v>STORE-001</x:v>
      </x:c>
      <x:c r="M987" s="22" t="n">
        <x:v>46101</x:v>
      </x:c>
      <x:c r="N987" t="str">
        <x:v>SKU-005</x:v>
      </x:c>
      <x:c r="O987" t="n">
        <x:v>1</x:v>
      </x:c>
      <x:c r="P987" s="26" t="n">
        <x:f>F987/O987</x:f>
        <x:v>194.21</x:v>
      </x:c>
    </x:row>
    <x:row r="988">
      <x:c r="A988" t="n">
        <x:v>987</x:v>
      </x:c>
      <x:c r="B988" t="n">
        <x:v>46</x:v>
      </x:c>
      <x:c r="C988" t="str">
        <x:v>Male</x:v>
      </x:c>
      <x:c r="D988" t="str">
        <x:v>Sports</x:v>
      </x:c>
      <x:c r="E988" t="str">
        <x:v>Yoga Mat</x:v>
      </x:c>
      <x:c r="F988" s="24" t="n">
        <x:v>96.22</x:v>
      </x:c>
      <x:c r="G988" t="str">
        <x:v>Autumn</x:v>
      </x:c>
      <x:c r="H988" t="str">
        <x:v>Cash on Delivery</x:v>
      </x:c>
      <x:c r="I988" t="n">
        <x:v>3.1</x:v>
      </x:c>
      <x:c r="J988" t="n">
        <x:v>20</x:v>
      </x:c>
      <x:c r="K988" t="n">
        <x:v>5</x:v>
      </x:c>
      <x:c r="L988" t="str">
        <x:v>STORE-001</x:v>
      </x:c>
      <x:c r="M988" s="22" t="n">
        <x:v>46137</x:v>
      </x:c>
      <x:c r="N988" t="str">
        <x:v>SKU-030</x:v>
      </x:c>
      <x:c r="O988" t="n">
        <x:v>1</x:v>
      </x:c>
      <x:c r="P988" s="26" t="n">
        <x:f>F988/O988</x:f>
        <x:v>96.22</x:v>
      </x:c>
    </x:row>
    <x:row r="989">
      <x:c r="A989" t="n">
        <x:v>988</x:v>
      </x:c>
      <x:c r="B989" t="n">
        <x:v>60</x:v>
      </x:c>
      <x:c r="C989" t="str">
        <x:v>Male</x:v>
      </x:c>
      <x:c r="D989" t="str">
        <x:v>Electronics</x:v>
      </x:c>
      <x:c r="E989" t="str">
        <x:v>Headphones</x:v>
      </x:c>
      <x:c r="F989" s="24" t="n">
        <x:v>802.1</x:v>
      </x:c>
      <x:c r="G989" t="str">
        <x:v>Autumn</x:v>
      </x:c>
      <x:c r="H989" t="str">
        <x:v>Card</x:v>
      </x:c>
      <x:c r="I989" t="n">
        <x:v>4.1</x:v>
      </x:c>
      <x:c r="J989" t="n">
        <x:v>16</x:v>
      </x:c>
      <x:c r="K989" t="n">
        <x:v>3</x:v>
      </x:c>
      <x:c r="L989" t="str">
        <x:v>STORE-001</x:v>
      </x:c>
      <x:c r="M989" s="22" t="n">
        <x:v>46164</x:v>
      </x:c>
      <x:c r="N989" t="str">
        <x:v>SKU-009</x:v>
      </x:c>
      <x:c r="O989" t="n">
        <x:v>1</x:v>
      </x:c>
      <x:c r="P989" s="26" t="n">
        <x:f>F989/O989</x:f>
        <x:v>802.1</x:v>
      </x:c>
    </x:row>
    <x:row r="990">
      <x:c r="A990" t="n">
        <x:v>989</x:v>
      </x:c>
      <x:c r="B990" t="n">
        <x:v>42</x:v>
      </x:c>
      <x:c r="C990" t="str">
        <x:v>Female</x:v>
      </x:c>
      <x:c r="D990" t="str">
        <x:v>Womens Clothing</x:v>
      </x:c>
      <x:c r="E990" t="str">
        <x:v>Jeans</x:v>
      </x:c>
      <x:c r="F990" s="24" t="n">
        <x:v>126.92</x:v>
      </x:c>
      <x:c r="G990" t="str">
        <x:v>Spring</x:v>
      </x:c>
      <x:c r="H990" t="str">
        <x:v>Card</x:v>
      </x:c>
      <x:c r="I990" t="n">
        <x:v>3.6</x:v>
      </x:c>
      <x:c r="J990" t="n">
        <x:v>16</x:v>
      </x:c>
      <x:c r="K990" t="n">
        <x:v>3</x:v>
      </x:c>
      <x:c r="L990" t="str">
        <x:v>STORE-001</x:v>
      </x:c>
      <x:c r="M990" s="22" t="n">
        <x:v>46280</x:v>
      </x:c>
      <x:c r="N990" t="str">
        <x:v>SKU-011</x:v>
      </x:c>
      <x:c r="O990" t="n">
        <x:v>1</x:v>
      </x:c>
      <x:c r="P990" s="26" t="n">
        <x:f>F990/O990</x:f>
        <x:v>126.92</x:v>
      </x:c>
    </x:row>
    <x:row r="991">
      <x:c r="A991" t="n">
        <x:v>990</x:v>
      </x:c>
      <x:c r="B991" t="n">
        <x:v>68</x:v>
      </x:c>
      <x:c r="C991" t="str">
        <x:v>Male</x:v>
      </x:c>
      <x:c r="D991" t="str">
        <x:v>Mens Clothing</x:v>
      </x:c>
      <x:c r="E991" t="str">
        <x:v>T-Shirt</x:v>
      </x:c>
      <x:c r="F991" s="24" t="n">
        <x:v>46.11</x:v>
      </x:c>
      <x:c r="G991" t="str">
        <x:v>Winter</x:v>
      </x:c>
      <x:c r="H991" t="str">
        <x:v>Card</x:v>
      </x:c>
      <x:c r="I991" t="n">
        <x:v>5</x:v>
      </x:c>
      <x:c r="J991" t="n">
        <x:v>12</x:v>
      </x:c>
      <x:c r="K991" t="n">
        <x:v>1</x:v>
      </x:c>
      <x:c r="L991" t="str">
        <x:v>STORE-001</x:v>
      </x:c>
      <x:c r="M991" s="22" t="n">
        <x:v>46210</x:v>
      </x:c>
      <x:c r="N991" t="str">
        <x:v>SKU-027</x:v>
      </x:c>
      <x:c r="O991" t="n">
        <x:v>1</x:v>
      </x:c>
      <x:c r="P991" s="26" t="n">
        <x:f>F991/O991</x:f>
        <x:v>46.11</x:v>
      </x:c>
    </x:row>
    <x:row r="992">
      <x:c r="A992" t="n">
        <x:v>991</x:v>
      </x:c>
      <x:c r="B992" t="n">
        <x:v>66</x:v>
      </x:c>
      <x:c r="C992" t="str">
        <x:v>Male</x:v>
      </x:c>
      <x:c r="D992" t="str">
        <x:v>Sports</x:v>
      </x:c>
      <x:c r="E992" t="str">
        <x:v>Football</x:v>
      </x:c>
      <x:c r="F992" s="24" t="n">
        <x:v>172.75</x:v>
      </x:c>
      <x:c r="G992" t="str">
        <x:v>Autumn</x:v>
      </x:c>
      <x:c r="H992" t="str">
        <x:v>Card</x:v>
      </x:c>
      <x:c r="I992" t="n">
        <x:v>4.2</x:v>
      </x:c>
      <x:c r="J992" t="n">
        <x:v>20</x:v>
      </x:c>
      <x:c r="K992" t="n">
        <x:v>5</x:v>
      </x:c>
      <x:c r="L992" t="str">
        <x:v>STORE-001</x:v>
      </x:c>
      <x:c r="M992" s="22" t="n">
        <x:v>46128</x:v>
      </x:c>
      <x:c r="N992" t="str">
        <x:v>SKU-006</x:v>
      </x:c>
      <x:c r="O992" t="n">
        <x:v>1</x:v>
      </x:c>
      <x:c r="P992" s="26" t="n">
        <x:f>F992/O992</x:f>
        <x:v>172.75</x:v>
      </x:c>
    </x:row>
    <x:row r="993">
      <x:c r="A993" t="n">
        <x:v>992</x:v>
      </x:c>
      <x:c r="B993" t="n">
        <x:v>43</x:v>
      </x:c>
      <x:c r="C993" t="str">
        <x:v>Male</x:v>
      </x:c>
      <x:c r="D993" t="str">
        <x:v>Electronics</x:v>
      </x:c>
      <x:c r="E993" t="str">
        <x:v>Headphones</x:v>
      </x:c>
      <x:c r="F993" s="24" t="n">
        <x:v>1247.66</x:v>
      </x:c>
      <x:c r="G993" t="str">
        <x:v>Spring</x:v>
      </x:c>
      <x:c r="H993" t="str">
        <x:v>Card</x:v>
      </x:c>
      <x:c r="I993" t="n">
        <x:v>2.5</x:v>
      </x:c>
      <x:c r="J993" t="n">
        <x:v>15</x:v>
      </x:c>
      <x:c r="K993" t="n">
        <x:v>5</x:v>
      </x:c>
      <x:c r="L993" t="str">
        <x:v>STORE-001</x:v>
      </x:c>
      <x:c r="M993" s="22" t="n">
        <x:v>45934</x:v>
      </x:c>
      <x:c r="N993" t="str">
        <x:v>SKU-009</x:v>
      </x:c>
      <x:c r="O993" t="n">
        <x:v>1</x:v>
      </x:c>
      <x:c r="P993" s="26" t="n">
        <x:f>F993/O993</x:f>
        <x:v>1247.66</x:v>
      </x:c>
    </x:row>
    <x:row r="994">
      <x:c r="A994" t="n">
        <x:v>993</x:v>
      </x:c>
      <x:c r="B994" t="n">
        <x:v>61</x:v>
      </x:c>
      <x:c r="C994" t="str">
        <x:v>Male</x:v>
      </x:c>
      <x:c r="D994" t="str">
        <x:v>Footwear</x:v>
      </x:c>
      <x:c r="E994" t="str">
        <x:v>Sneakers</x:v>
      </x:c>
      <x:c r="F994" s="24" t="n">
        <x:v>70.46</x:v>
      </x:c>
      <x:c r="G994" t="str">
        <x:v>Summer</x:v>
      </x:c>
      <x:c r="H994" t="str">
        <x:v>Card</x:v>
      </x:c>
      <x:c r="I994" t="n">
        <x:v>4.6</x:v>
      </x:c>
      <x:c r="J994" t="n">
        <x:v>4</x:v>
      </x:c>
      <x:c r="K994" t="n">
        <x:v>2</x:v>
      </x:c>
      <x:c r="L994" t="str">
        <x:v>STORE-001</x:v>
      </x:c>
      <x:c r="M994" s="22" t="n">
        <x:v>45993</x:v>
      </x:c>
      <x:c r="N994" t="str">
        <x:v>SKU-025</x:v>
      </x:c>
      <x:c r="O994" t="n">
        <x:v>1</x:v>
      </x:c>
      <x:c r="P994" s="26" t="n">
        <x:f>F994/O994</x:f>
        <x:v>70.46</x:v>
      </x:c>
    </x:row>
    <x:row r="995">
      <x:c r="A995" t="n">
        <x:v>994</x:v>
      </x:c>
      <x:c r="B995" t="n">
        <x:v>33</x:v>
      </x:c>
      <x:c r="C995" t="str">
        <x:v>Male</x:v>
      </x:c>
      <x:c r="D995" t="str">
        <x:v>Sports</x:v>
      </x:c>
      <x:c r="E995" t="str">
        <x:v>Yoga Mat</x:v>
      </x:c>
      <x:c r="F995" s="24" t="n">
        <x:v>90.86</x:v>
      </x:c>
      <x:c r="G995" t="str">
        <x:v>Autumn</x:v>
      </x:c>
      <x:c r="H995" t="str">
        <x:v>Card</x:v>
      </x:c>
      <x:c r="I995" t="n">
        <x:v>4</x:v>
      </x:c>
      <x:c r="J995" t="n">
        <x:v>16</x:v>
      </x:c>
      <x:c r="K995" t="n">
        <x:v>8</x:v>
      </x:c>
      <x:c r="L995" t="str">
        <x:v>STORE-001</x:v>
      </x:c>
      <x:c r="M995" s="22" t="n">
        <x:v>46104</x:v>
      </x:c>
      <x:c r="N995" t="str">
        <x:v>SKU-030</x:v>
      </x:c>
      <x:c r="O995" t="n">
        <x:v>1</x:v>
      </x:c>
      <x:c r="P995" s="26" t="n">
        <x:f>F995/O995</x:f>
        <x:v>90.86</x:v>
      </x:c>
    </x:row>
    <x:row r="996">
      <x:c r="A996" t="n">
        <x:v>995</x:v>
      </x:c>
      <x:c r="B996" t="n">
        <x:v>36</x:v>
      </x:c>
      <x:c r="C996" t="str">
        <x:v>Male</x:v>
      </x:c>
      <x:c r="D996" t="str">
        <x:v>Mens Clothing</x:v>
      </x:c>
      <x:c r="E996" t="str">
        <x:v>T-Shirt</x:v>
      </x:c>
      <x:c r="F996" s="24" t="n">
        <x:v>56.95</x:v>
      </x:c>
      <x:c r="G996" t="str">
        <x:v>Winter</x:v>
      </x:c>
      <x:c r="H996" t="str">
        <x:v>Card</x:v>
      </x:c>
      <x:c r="I996" t="n">
        <x:v>3.9</x:v>
      </x:c>
      <x:c r="J996" t="n">
        <x:v>12</x:v>
      </x:c>
      <x:c r="K996" t="n">
        <x:v>6</x:v>
      </x:c>
      <x:c r="L996" t="str">
        <x:v>STORE-001</x:v>
      </x:c>
      <x:c r="M996" s="22" t="n">
        <x:v>46193</x:v>
      </x:c>
      <x:c r="N996" t="str">
        <x:v>SKU-027</x:v>
      </x:c>
      <x:c r="O996" t="n">
        <x:v>1</x:v>
      </x:c>
      <x:c r="P996" s="26" t="n">
        <x:f>F996/O996</x:f>
        <x:v>56.95</x:v>
      </x:c>
    </x:row>
    <x:row r="997">
      <x:c r="A997" t="n">
        <x:v>996</x:v>
      </x:c>
      <x:c r="B997" t="n">
        <x:v>65</x:v>
      </x:c>
      <x:c r="C997" t="str">
        <x:v>Male</x:v>
      </x:c>
      <x:c r="D997" t="str">
        <x:v>Mens Clothing</x:v>
      </x:c>
      <x:c r="E997" t="str">
        <x:v>Jacket</x:v>
      </x:c>
      <x:c r="F997" s="24" t="n">
        <x:v>100.4</x:v>
      </x:c>
      <x:c r="G997" t="str">
        <x:v>Autumn</x:v>
      </x:c>
      <x:c r="H997" t="str">
        <x:v>Card</x:v>
      </x:c>
      <x:c r="I997" t="n">
        <x:v>3.8</x:v>
      </x:c>
      <x:c r="J997" t="n">
        <x:v>17</x:v>
      </x:c>
      <x:c r="K997" t="n">
        <x:v>6</x:v>
      </x:c>
      <x:c r="L997" t="str">
        <x:v>STORE-001</x:v>
      </x:c>
      <x:c r="M997" s="22" t="n">
        <x:v>46156</x:v>
      </x:c>
      <x:c r="N997" t="str">
        <x:v>SKU-010</x:v>
      </x:c>
      <x:c r="O997" t="n">
        <x:v>1</x:v>
      </x:c>
      <x:c r="P997" s="26" t="n">
        <x:f>F997/O997</x:f>
        <x:v>100.4</x:v>
      </x:c>
    </x:row>
    <x:row r="998">
      <x:c r="A998" t="n">
        <x:v>997</x:v>
      </x:c>
      <x:c r="B998" t="n">
        <x:v>42</x:v>
      </x:c>
      <x:c r="C998" t="str">
        <x:v>Female</x:v>
      </x:c>
      <x:c r="D998" t="str">
        <x:v>Home</x:v>
      </x:c>
      <x:c r="E998" t="str">
        <x:v>Lamp</x:v>
      </x:c>
      <x:c r="F998" s="24" t="n">
        <x:v>142.73</x:v>
      </x:c>
      <x:c r="G998" t="str">
        <x:v>Autumn</x:v>
      </x:c>
      <x:c r="H998" t="str">
        <x:v>Card</x:v>
      </x:c>
      <x:c r="I998" t="n">
        <x:v>4.1</x:v>
      </x:c>
      <x:c r="J998" t="n">
        <x:v>15</x:v>
      </x:c>
      <x:c r="K998" t="n">
        <x:v>5</x:v>
      </x:c>
      <x:c r="L998" t="str">
        <x:v>STORE-001</x:v>
      </x:c>
      <x:c r="M998" s="22" t="n">
        <x:v>46093</x:v>
      </x:c>
      <x:c r="N998" t="str">
        <x:v>SKU-013</x:v>
      </x:c>
      <x:c r="O998" t="n">
        <x:v>1</x:v>
      </x:c>
      <x:c r="P998" s="26" t="n">
        <x:f>F998/O998</x:f>
        <x:v>142.73</x:v>
      </x:c>
    </x:row>
    <x:row r="999">
      <x:c r="A999" t="n">
        <x:v>998</x:v>
      </x:c>
      <x:c r="B999" t="n">
        <x:v>34</x:v>
      </x:c>
      <x:c r="C999" t="str">
        <x:v>Male</x:v>
      </x:c>
      <x:c r="D999" t="str">
        <x:v>Electronics</x:v>
      </x:c>
      <x:c r="E999" t="str">
        <x:v>Laptop</x:v>
      </x:c>
      <x:c r="F999" s="24" t="n">
        <x:v>2857.91</x:v>
      </x:c>
      <x:c r="G999" t="str">
        <x:v>Summer</x:v>
      </x:c>
      <x:c r="H999" t="str">
        <x:v>Card</x:v>
      </x:c>
      <x:c r="I999" t="n">
        <x:v>3.5</x:v>
      </x:c>
      <x:c r="J999" t="n">
        <x:v>8</x:v>
      </x:c>
      <x:c r="K999" t="n">
        <x:v>4</x:v>
      </x:c>
      <x:c r="L999" t="str">
        <x:v>STORE-001</x:v>
      </x:c>
      <x:c r="M999" s="22" t="n">
        <x:v>46034</x:v>
      </x:c>
      <x:c r="N999" t="str">
        <x:v>SKU-014</x:v>
      </x:c>
      <x:c r="O999" t="n">
        <x:v>1</x:v>
      </x:c>
      <x:c r="P999" s="26" t="n">
        <x:f>F999/O999</x:f>
        <x:v>2857.91</x:v>
      </x:c>
    </x:row>
    <x:row r="1000">
      <x:c r="A1000" t="n">
        <x:v>999</x:v>
      </x:c>
      <x:c r="B1000" t="n">
        <x:v>62</x:v>
      </x:c>
      <x:c r="C1000" t="str">
        <x:v>Male</x:v>
      </x:c>
      <x:c r="D1000" t="str">
        <x:v>Mens Clothing</x:v>
      </x:c>
      <x:c r="E1000" t="str">
        <x:v>Jacket</x:v>
      </x:c>
      <x:c r="F1000" s="24" t="n">
        <x:v>79.55</x:v>
      </x:c>
      <x:c r="G1000" t="str">
        <x:v>Summer</x:v>
      </x:c>
      <x:c r="H1000" t="str">
        <x:v>Card</x:v>
      </x:c>
      <x:c r="I1000" t="n">
        <x:v>3.9</x:v>
      </x:c>
      <x:c r="J1000" t="n">
        <x:v>12</x:v>
      </x:c>
      <x:c r="K1000" t="n">
        <x:v>6</x:v>
      </x:c>
      <x:c r="L1000" t="str">
        <x:v>STORE-001</x:v>
      </x:c>
      <x:c r="M1000" s="22" t="n">
        <x:v>46052</x:v>
      </x:c>
      <x:c r="N1000" t="str">
        <x:v>SKU-010</x:v>
      </x:c>
      <x:c r="O1000" t="n">
        <x:v>1</x:v>
      </x:c>
      <x:c r="P1000" s="26" t="n">
        <x:f>F1000/O1000</x:f>
        <x:v>79.55</x:v>
      </x:c>
    </x:row>
    <x:row r="1001">
      <x:c r="A1001" t="n">
        <x:v>1000</x:v>
      </x:c>
      <x:c r="B1001" t="n">
        <x:v>46</x:v>
      </x:c>
      <x:c r="C1001" t="str">
        <x:v>Female</x:v>
      </x:c>
      <x:c r="D1001" t="str">
        <x:v>Groceries</x:v>
      </x:c>
      <x:c r="E1001" t="str">
        <x:v>Rice Pack</x:v>
      </x:c>
      <x:c r="F1001" s="24" t="n">
        <x:v>17.85</x:v>
      </x:c>
      <x:c r="G1001" t="str">
        <x:v>Winter</x:v>
      </x:c>
      <x:c r="H1001" t="str">
        <x:v>Cash on Delivery</x:v>
      </x:c>
      <x:c r="I1001" t="n">
        <x:v>5</x:v>
      </x:c>
      <x:c r="J1001" t="n">
        <x:v>26</x:v>
      </x:c>
      <x:c r="K1001" t="n">
        <x:v>8</x:v>
      </x:c>
      <x:c r="L1001" t="str">
        <x:v>STORE-001</x:v>
      </x:c>
      <x:c r="M1001" s="22" t="n">
        <x:v>46188</x:v>
      </x:c>
      <x:c r="N1001" t="str">
        <x:v>SKU-018</x:v>
      </x:c>
      <x:c r="O1001" t="n">
        <x:v>2</x:v>
      </x:c>
      <x:c r="P1001" s="26" t="n">
        <x:f>F1001/O1001</x:f>
        <x:v>8.925</x:v>
      </x:c>
    </x:row>
    <x:row r="1002">
      <x:c r="A1002" t="n">
        <x:v>1001</x:v>
      </x:c>
      <x:c r="B1002" t="n">
        <x:v>21</x:v>
      </x:c>
      <x:c r="C1002" t="str">
        <x:v>Male</x:v>
      </x:c>
      <x:c r="D1002" t="str">
        <x:v>Home</x:v>
      </x:c>
      <x:c r="E1002" t="str">
        <x:v>Lamp</x:v>
      </x:c>
      <x:c r="F1002" s="24" t="n">
        <x:v>113.93</x:v>
      </x:c>
      <x:c r="G1002" t="str">
        <x:v>Autumn</x:v>
      </x:c>
      <x:c r="H1002" t="str">
        <x:v>Card</x:v>
      </x:c>
      <x:c r="I1002" t="n">
        <x:v>3.7</x:v>
      </x:c>
      <x:c r="J1002" t="n">
        <x:v>19</x:v>
      </x:c>
      <x:c r="K1002" t="n">
        <x:v>7</x:v>
      </x:c>
      <x:c r="L1002" t="str">
        <x:v>STORE-001</x:v>
      </x:c>
      <x:c r="M1002" s="22" t="n">
        <x:v>46113</x:v>
      </x:c>
      <x:c r="N1002" t="str">
        <x:v>SKU-013</x:v>
      </x:c>
      <x:c r="O1002" t="n">
        <x:v>2</x:v>
      </x:c>
      <x:c r="P1002" s="26" t="n">
        <x:f>F1002/O1002</x:f>
        <x:v>56.965</x:v>
      </x:c>
    </x:row>
    <x:row r="1003">
      <x:c r="A1003" t="n">
        <x:v>1002</x:v>
      </x:c>
      <x:c r="B1003" t="n">
        <x:v>29</x:v>
      </x:c>
      <x:c r="C1003" t="str">
        <x:v>Male</x:v>
      </x:c>
      <x:c r="D1003" t="str">
        <x:v>Footwear</x:v>
      </x:c>
      <x:c r="E1003" t="str">
        <x:v>Formal Shoes</x:v>
      </x:c>
      <x:c r="F1003" s="24" t="n">
        <x:v>48.18</x:v>
      </x:c>
      <x:c r="G1003" t="str">
        <x:v>Summer</x:v>
      </x:c>
      <x:c r="H1003" t="str">
        <x:v>Card</x:v>
      </x:c>
      <x:c r="I1003" t="n">
        <x:v>4.9</x:v>
      </x:c>
      <x:c r="J1003" t="n">
        <x:v>34</x:v>
      </x:c>
      <x:c r="K1003" t="n">
        <x:v>12</x:v>
      </x:c>
      <x:c r="L1003" t="str">
        <x:v>STORE-001</x:v>
      </x:c>
      <x:c r="M1003" s="22" t="n">
        <x:v>46002</x:v>
      </x:c>
      <x:c r="N1003" t="str">
        <x:v>SKU-007</x:v>
      </x:c>
      <x:c r="O1003" t="n">
        <x:v>2</x:v>
      </x:c>
      <x:c r="P1003" s="26" t="n">
        <x:f>F1003/O1003</x:f>
        <x:v>24.09</x:v>
      </x:c>
    </x:row>
    <x:row r="1004">
      <x:c r="A1004" t="n">
        <x:v>1003</x:v>
      </x:c>
      <x:c r="B1004" t="n">
        <x:v>57</x:v>
      </x:c>
      <x:c r="C1004" t="str">
        <x:v>Female</x:v>
      </x:c>
      <x:c r="D1004" t="str">
        <x:v>Accessories</x:v>
      </x:c>
      <x:c r="E1004" t="str">
        <x:v>Handbag</x:v>
      </x:c>
      <x:c r="F1004" s="24" t="n">
        <x:v>54.15</x:v>
      </x:c>
      <x:c r="G1004" t="str">
        <x:v>Autumn</x:v>
      </x:c>
      <x:c r="H1004" t="str">
        <x:v>Cash on Delivery</x:v>
      </x:c>
      <x:c r="I1004" t="n">
        <x:v>2.6</x:v>
      </x:c>
      <x:c r="J1004" t="n">
        <x:v>26</x:v>
      </x:c>
      <x:c r="K1004" t="n">
        <x:v>8</x:v>
      </x:c>
      <x:c r="L1004" t="str">
        <x:v>STORE-001</x:v>
      </x:c>
      <x:c r="M1004" s="22" t="n">
        <x:v>46112</x:v>
      </x:c>
      <x:c r="N1004" t="str">
        <x:v>SKU-008</x:v>
      </x:c>
      <x:c r="O1004" t="n">
        <x:v>1</x:v>
      </x:c>
      <x:c r="P1004" s="26" t="n">
        <x:f>F1004/O1004</x:f>
        <x:v>54.15</x:v>
      </x:c>
    </x:row>
    <x:row r="1005">
      <x:c r="A1005" t="n">
        <x:v>1004</x:v>
      </x:c>
      <x:c r="B1005" t="n">
        <x:v>41</x:v>
      </x:c>
      <x:c r="C1005" t="str">
        <x:v>Female</x:v>
      </x:c>
      <x:c r="D1005" t="str">
        <x:v>Womens Clothing</x:v>
      </x:c>
      <x:c r="E1005" t="str">
        <x:v>Jeans</x:v>
      </x:c>
      <x:c r="F1005" s="24" t="n">
        <x:v>58.88</x:v>
      </x:c>
      <x:c r="G1005" t="str">
        <x:v>Summer</x:v>
      </x:c>
      <x:c r="H1005" t="str">
        <x:v>Cash on Delivery</x:v>
      </x:c>
      <x:c r="I1005" t="n">
        <x:v>4</x:v>
      </x:c>
      <x:c r="J1005" t="n">
        <x:v>11</x:v>
      </x:c>
      <x:c r="K1005" t="n">
        <x:v>3</x:v>
      </x:c>
      <x:c r="L1005" t="str">
        <x:v>STORE-001</x:v>
      </x:c>
      <x:c r="M1005" s="22" t="n">
        <x:v>45995</x:v>
      </x:c>
      <x:c r="N1005" t="str">
        <x:v>SKU-011</x:v>
      </x:c>
      <x:c r="O1005" t="n">
        <x:v>1</x:v>
      </x:c>
      <x:c r="P1005" s="26" t="n">
        <x:f>F1005/O1005</x:f>
        <x:v>58.88</x:v>
      </x:c>
    </x:row>
    <x:row r="1006">
      <x:c r="A1006" t="n">
        <x:v>1005</x:v>
      </x:c>
      <x:c r="B1006" t="n">
        <x:v>63</x:v>
      </x:c>
      <x:c r="C1006" t="str">
        <x:v>Male</x:v>
      </x:c>
      <x:c r="D1006" t="str">
        <x:v>Mens Clothing</x:v>
      </x:c>
      <x:c r="E1006" t="str">
        <x:v>T-Shirt</x:v>
      </x:c>
      <x:c r="F1006" s="24" t="n">
        <x:v>127.76</x:v>
      </x:c>
      <x:c r="G1006" t="str">
        <x:v>Summer</x:v>
      </x:c>
      <x:c r="H1006" t="str">
        <x:v>Card</x:v>
      </x:c>
      <x:c r="I1006" t="n">
        <x:v>3.2</x:v>
      </x:c>
      <x:c r="J1006" t="n">
        <x:v>4</x:v>
      </x:c>
      <x:c r="K1006" t="n">
        <x:v>2</x:v>
      </x:c>
      <x:c r="L1006" t="str">
        <x:v>STORE-001</x:v>
      </x:c>
      <x:c r="M1006" s="22" t="n">
        <x:v>46019</x:v>
      </x:c>
      <x:c r="N1006" t="str">
        <x:v>SKU-027</x:v>
      </x:c>
      <x:c r="O1006" t="n">
        <x:v>1</x:v>
      </x:c>
      <x:c r="P1006" s="26" t="n">
        <x:f>F1006/O1006</x:f>
        <x:v>127.76</x:v>
      </x:c>
    </x:row>
    <x:row r="1007">
      <x:c r="A1007" t="n">
        <x:v>1006</x:v>
      </x:c>
      <x:c r="B1007" t="n">
        <x:v>45</x:v>
      </x:c>
      <x:c r="C1007" t="str">
        <x:v>Male</x:v>
      </x:c>
      <x:c r="D1007" t="str">
        <x:v>Mens Clothing</x:v>
      </x:c>
      <x:c r="E1007" t="str">
        <x:v>Jacket</x:v>
      </x:c>
      <x:c r="F1007" s="24" t="n">
        <x:v>88.21</x:v>
      </x:c>
      <x:c r="G1007" t="str">
        <x:v>Autumn</x:v>
      </x:c>
      <x:c r="H1007" t="str">
        <x:v>Cash on Delivery</x:v>
      </x:c>
      <x:c r="I1007" t="n">
        <x:v>2.2</x:v>
      </x:c>
      <x:c r="J1007" t="n">
        <x:v>2</x:v>
      </x:c>
      <x:c r="K1007" t="n">
        <x:v>1</x:v>
      </x:c>
      <x:c r="L1007" t="str">
        <x:v>STORE-001</x:v>
      </x:c>
      <x:c r="M1007" s="22" t="n">
        <x:v>46100</x:v>
      </x:c>
      <x:c r="N1007" t="str">
        <x:v>SKU-010</x:v>
      </x:c>
      <x:c r="O1007" t="n">
        <x:v>1</x:v>
      </x:c>
      <x:c r="P1007" s="26" t="n">
        <x:f>F1007/O1007</x:f>
        <x:v>88.21</x:v>
      </x:c>
    </x:row>
    <x:row r="1008">
      <x:c r="A1008" t="n">
        <x:v>1007</x:v>
      </x:c>
      <x:c r="B1008" t="n">
        <x:v>65</x:v>
      </x:c>
      <x:c r="C1008" t="str">
        <x:v>Female</x:v>
      </x:c>
      <x:c r="D1008" t="str">
        <x:v>Womens Clothing</x:v>
      </x:c>
      <x:c r="E1008" t="str">
        <x:v>Skirt</x:v>
      </x:c>
      <x:c r="F1008" s="24" t="n">
        <x:v>154.2</x:v>
      </x:c>
      <x:c r="G1008" t="str">
        <x:v>Summer</x:v>
      </x:c>
      <x:c r="H1008" t="str">
        <x:v>Card</x:v>
      </x:c>
      <x:c r="I1008" t="n">
        <x:v>3.8</x:v>
      </x:c>
      <x:c r="J1008" t="n">
        <x:v>16</x:v>
      </x:c>
      <x:c r="K1008" t="n">
        <x:v>8</x:v>
      </x:c>
      <x:c r="L1008" t="str">
        <x:v>STORE-001</x:v>
      </x:c>
      <x:c r="M1008" s="22" t="n">
        <x:v>46033</x:v>
      </x:c>
      <x:c r="N1008" t="str">
        <x:v>SKU-022</x:v>
      </x:c>
      <x:c r="O1008" t="n">
        <x:v>1</x:v>
      </x:c>
      <x:c r="P1008" s="26" t="n">
        <x:f>F1008/O1008</x:f>
        <x:v>154.2</x:v>
      </x:c>
    </x:row>
    <x:row r="1009">
      <x:c r="A1009" t="n">
        <x:v>1008</x:v>
      </x:c>
      <x:c r="B1009" t="n">
        <x:v>53</x:v>
      </x:c>
      <x:c r="C1009" t="str">
        <x:v>Male</x:v>
      </x:c>
      <x:c r="D1009" t="str">
        <x:v>Mens Clothing</x:v>
      </x:c>
      <x:c r="E1009" t="str">
        <x:v>Jacket</x:v>
      </x:c>
      <x:c r="F1009" s="24" t="n">
        <x:v>186.55</x:v>
      </x:c>
      <x:c r="G1009" t="str">
        <x:v>Autumn</x:v>
      </x:c>
      <x:c r="H1009" t="str">
        <x:v>Card</x:v>
      </x:c>
      <x:c r="I1009" t="n">
        <x:v>3.7</x:v>
      </x:c>
      <x:c r="J1009" t="n">
        <x:v>16</x:v>
      </x:c>
      <x:c r="K1009" t="n">
        <x:v>3</x:v>
      </x:c>
      <x:c r="L1009" t="str">
        <x:v>STORE-001</x:v>
      </x:c>
      <x:c r="M1009" s="22" t="n">
        <x:v>46132</x:v>
      </x:c>
      <x:c r="N1009" t="str">
        <x:v>SKU-010</x:v>
      </x:c>
      <x:c r="O1009" t="n">
        <x:v>2</x:v>
      </x:c>
      <x:c r="P1009" s="26" t="n">
        <x:f>F1009/O1009</x:f>
        <x:v>93.275</x:v>
      </x:c>
    </x:row>
    <x:row r="1010">
      <x:c r="A1010" t="n">
        <x:v>1009</x:v>
      </x:c>
      <x:c r="B1010" t="n">
        <x:v>63</x:v>
      </x:c>
      <x:c r="C1010" t="str">
        <x:v>Male</x:v>
      </x:c>
      <x:c r="D1010" t="str">
        <x:v>Footwear</x:v>
      </x:c>
      <x:c r="E1010" t="str">
        <x:v>Formal Shoes</x:v>
      </x:c>
      <x:c r="F1010" s="24" t="n">
        <x:v>55.74</x:v>
      </x:c>
      <x:c r="G1010" t="str">
        <x:v>Spring</x:v>
      </x:c>
      <x:c r="H1010" t="str">
        <x:v>Cash on Delivery</x:v>
      </x:c>
      <x:c r="I1010" t="n">
        <x:v>4.8</x:v>
      </x:c>
      <x:c r="J1010" t="n">
        <x:v>22</x:v>
      </x:c>
      <x:c r="K1010" t="n">
        <x:v>6</x:v>
      </x:c>
      <x:c r="L1010" t="str">
        <x:v>STORE-001</x:v>
      </x:c>
      <x:c r="M1010" s="22" t="n">
        <x:v>45938</x:v>
      </x:c>
      <x:c r="N1010" t="str">
        <x:v>SKU-007</x:v>
      </x:c>
      <x:c r="O1010" t="n">
        <x:v>2</x:v>
      </x:c>
      <x:c r="P1010" s="26" t="n">
        <x:f>F1010/O1010</x:f>
        <x:v>27.87</x:v>
      </x:c>
    </x:row>
    <x:row r="1011">
      <x:c r="A1011" t="n">
        <x:v>1010</x:v>
      </x:c>
      <x:c r="B1011" t="n">
        <x:v>41</x:v>
      </x:c>
      <x:c r="C1011" t="str">
        <x:v>Female</x:v>
      </x:c>
      <x:c r="D1011" t="str">
        <x:v>Beauty</x:v>
      </x:c>
      <x:c r="E1011" t="str">
        <x:v>Makeup Set</x:v>
      </x:c>
      <x:c r="F1011" s="24" t="n">
        <x:v>149.31</x:v>
      </x:c>
      <x:c r="G1011" t="str">
        <x:v>Winter</x:v>
      </x:c>
      <x:c r="H1011" t="str">
        <x:v>Card</x:v>
      </x:c>
      <x:c r="I1011" t="n">
        <x:v>4</x:v>
      </x:c>
      <x:c r="J1011" t="n">
        <x:v>8</x:v>
      </x:c>
      <x:c r="K1011" t="n">
        <x:v>4</x:v>
      </x:c>
      <x:c r="L1011" t="str">
        <x:v>STORE-001</x:v>
      </x:c>
      <x:c r="M1011" s="22" t="n">
        <x:v>46256</x:v>
      </x:c>
      <x:c r="N1011" t="str">
        <x:v>SKU-015</x:v>
      </x:c>
      <x:c r="O1011" t="n">
        <x:v>2</x:v>
      </x:c>
      <x:c r="P1011" s="26" t="n">
        <x:f>F1011/O1011</x:f>
        <x:v>74.655</x:v>
      </x:c>
    </x:row>
    <x:row r="1012">
      <x:c r="A1012" t="n">
        <x:v>1011</x:v>
      </x:c>
      <x:c r="B1012" t="n">
        <x:v>65</x:v>
      </x:c>
      <x:c r="C1012" t="str">
        <x:v>Male</x:v>
      </x:c>
      <x:c r="D1012" t="str">
        <x:v>Mens Clothing</x:v>
      </x:c>
      <x:c r="E1012" t="str">
        <x:v>Jacket</x:v>
      </x:c>
      <x:c r="F1012" s="24" t="n">
        <x:v>71.91</x:v>
      </x:c>
      <x:c r="G1012" t="str">
        <x:v>Winter</x:v>
      </x:c>
      <x:c r="H1012" t="str">
        <x:v>Cash on Delivery</x:v>
      </x:c>
      <x:c r="I1012" t="n">
        <x:v>3.5</x:v>
      </x:c>
      <x:c r="J1012" t="n">
        <x:v>19</x:v>
      </x:c>
      <x:c r="K1012" t="n">
        <x:v>7</x:v>
      </x:c>
      <x:c r="L1012" t="str">
        <x:v>STORE-001</x:v>
      </x:c>
      <x:c r="M1012" s="22" t="n">
        <x:v>46224</x:v>
      </x:c>
      <x:c r="N1012" t="str">
        <x:v>SKU-010</x:v>
      </x:c>
      <x:c r="O1012" t="n">
        <x:v>2</x:v>
      </x:c>
      <x:c r="P1012" s="26" t="n">
        <x:f>F1012/O1012</x:f>
        <x:v>35.955</x:v>
      </x:c>
    </x:row>
    <x:row r="1013">
      <x:c r="A1013" t="n">
        <x:v>1012</x:v>
      </x:c>
      <x:c r="B1013" t="n">
        <x:v>20</x:v>
      </x:c>
      <x:c r="C1013" t="str">
        <x:v>Female</x:v>
      </x:c>
      <x:c r="D1013" t="str">
        <x:v>Beauty</x:v>
      </x:c>
      <x:c r="E1013" t="str">
        <x:v>Skincare Kit</x:v>
      </x:c>
      <x:c r="F1013" s="24" t="n">
        <x:v>25.51</x:v>
      </x:c>
      <x:c r="G1013" t="str">
        <x:v>Spring</x:v>
      </x:c>
      <x:c r="H1013" t="str">
        <x:v>Card</x:v>
      </x:c>
      <x:c r="I1013" t="n">
        <x:v>3.6</x:v>
      </x:c>
      <x:c r="J1013" t="n">
        <x:v>30</x:v>
      </x:c>
      <x:c r="K1013" t="n">
        <x:v>10</x:v>
      </x:c>
      <x:c r="L1013" t="str">
        <x:v>STORE-001</x:v>
      </x:c>
      <x:c r="M1013" s="22" t="n">
        <x:v>46286</x:v>
      </x:c>
      <x:c r="N1013" t="str">
        <x:v>SKU-021</x:v>
      </x:c>
      <x:c r="O1013" t="n">
        <x:v>1</x:v>
      </x:c>
      <x:c r="P1013" s="26" t="n">
        <x:f>F1013/O1013</x:f>
        <x:v>25.51</x:v>
      </x:c>
    </x:row>
    <x:row r="1014">
      <x:c r="A1014" t="n">
        <x:v>1013</x:v>
      </x:c>
      <x:c r="B1014" t="n">
        <x:v>57</x:v>
      </x:c>
      <x:c r="C1014" t="str">
        <x:v>Female</x:v>
      </x:c>
      <x:c r="D1014" t="str">
        <x:v>Beauty</x:v>
      </x:c>
      <x:c r="E1014" t="str">
        <x:v>Makeup Set</x:v>
      </x:c>
      <x:c r="F1014" s="24" t="n">
        <x:v>140</x:v>
      </x:c>
      <x:c r="G1014" t="str">
        <x:v>Autumn</x:v>
      </x:c>
      <x:c r="H1014" t="str">
        <x:v>Card</x:v>
      </x:c>
      <x:c r="I1014" t="n">
        <x:v>3.5</x:v>
      </x:c>
      <x:c r="J1014" t="n">
        <x:v>20</x:v>
      </x:c>
      <x:c r="K1014" t="n">
        <x:v>5</x:v>
      </x:c>
      <x:c r="L1014" t="str">
        <x:v>STORE-001</x:v>
      </x:c>
      <x:c r="M1014" s="22" t="n">
        <x:v>46146</x:v>
      </x:c>
      <x:c r="N1014" t="str">
        <x:v>SKU-015</x:v>
      </x:c>
      <x:c r="O1014" t="n">
        <x:v>4</x:v>
      </x:c>
      <x:c r="P1014" s="26" t="n">
        <x:f>F1014/O1014</x:f>
        <x:v>35</x:v>
      </x:c>
    </x:row>
    <x:row r="1015">
      <x:c r="A1015" t="n">
        <x:v>1014</x:v>
      </x:c>
      <x:c r="B1015" t="n">
        <x:v>45</x:v>
      </x:c>
      <x:c r="C1015" t="str">
        <x:v>Male</x:v>
      </x:c>
      <x:c r="D1015" t="str">
        <x:v>Groceries</x:v>
      </x:c>
      <x:c r="E1015" t="str">
        <x:v>Cooking Oil</x:v>
      </x:c>
      <x:c r="F1015" s="24" t="n">
        <x:v>22.48</x:v>
      </x:c>
      <x:c r="G1015" t="str">
        <x:v>Autumn</x:v>
      </x:c>
      <x:c r="H1015" t="str">
        <x:v>Card</x:v>
      </x:c>
      <x:c r="I1015" t="n">
        <x:v>4.2</x:v>
      </x:c>
      <x:c r="J1015" t="n">
        <x:v>8</x:v>
      </x:c>
      <x:c r="K1015" t="n">
        <x:v>4</x:v>
      </x:c>
      <x:c r="L1015" t="str">
        <x:v>STORE-001</x:v>
      </x:c>
      <x:c r="M1015" s="22" t="n">
        <x:v>46092</x:v>
      </x:c>
      <x:c r="N1015" t="str">
        <x:v>SKU-002</x:v>
      </x:c>
      <x:c r="O1015" t="n">
        <x:v>2</x:v>
      </x:c>
      <x:c r="P1015" s="26" t="n">
        <x:f>F1015/O1015</x:f>
        <x:v>11.24</x:v>
      </x:c>
    </x:row>
    <x:row r="1016">
      <x:c r="A1016" t="n">
        <x:v>1015</x:v>
      </x:c>
      <x:c r="B1016" t="n">
        <x:v>69</x:v>
      </x:c>
      <x:c r="C1016" t="str">
        <x:v>Female</x:v>
      </x:c>
      <x:c r="D1016" t="str">
        <x:v>Accessories</x:v>
      </x:c>
      <x:c r="E1016" t="str">
        <x:v>Wallet</x:v>
      </x:c>
      <x:c r="F1016" s="24" t="n">
        <x:v>63.27</x:v>
      </x:c>
      <x:c r="G1016" t="str">
        <x:v>Autumn</x:v>
      </x:c>
      <x:c r="H1016" t="str">
        <x:v>Cash on Delivery</x:v>
      </x:c>
      <x:c r="I1016" t="n">
        <x:v>2.9</x:v>
      </x:c>
      <x:c r="J1016" t="n">
        <x:v>12</x:v>
      </x:c>
      <x:c r="K1016" t="n">
        <x:v>6</x:v>
      </x:c>
      <x:c r="L1016" t="str">
        <x:v>STORE-001</x:v>
      </x:c>
      <x:c r="M1016" s="22" t="n">
        <x:v>46130</x:v>
      </x:c>
      <x:c r="N1016" t="str">
        <x:v>SKU-029</x:v>
      </x:c>
      <x:c r="O1016" t="n">
        <x:v>1</x:v>
      </x:c>
      <x:c r="P1016" s="26" t="n">
        <x:f>F1016/O1016</x:f>
        <x:v>63.27</x:v>
      </x:c>
    </x:row>
    <x:row r="1017">
      <x:c r="A1017" t="n">
        <x:v>1016</x:v>
      </x:c>
      <x:c r="B1017" t="n">
        <x:v>32</x:v>
      </x:c>
      <x:c r="C1017" t="str">
        <x:v>Male</x:v>
      </x:c>
      <x:c r="D1017" t="str">
        <x:v>Groceries</x:v>
      </x:c>
      <x:c r="E1017" t="str">
        <x:v>Rice Pack</x:v>
      </x:c>
      <x:c r="F1017" s="24" t="n">
        <x:v>79.82</x:v>
      </x:c>
      <x:c r="G1017" t="str">
        <x:v>Autumn</x:v>
      </x:c>
      <x:c r="H1017" t="str">
        <x:v>Card</x:v>
      </x:c>
      <x:c r="I1017" t="n">
        <x:v>3.5</x:v>
      </x:c>
      <x:c r="J1017" t="n">
        <x:v>14</x:v>
      </x:c>
      <x:c r="K1017" t="n">
        <x:v>2</x:v>
      </x:c>
      <x:c r="L1017" t="str">
        <x:v>STORE-001</x:v>
      </x:c>
      <x:c r="M1017" s="22" t="n">
        <x:v>46085</x:v>
      </x:c>
      <x:c r="N1017" t="str">
        <x:v>SKU-018</x:v>
      </x:c>
      <x:c r="O1017" t="n">
        <x:v>1</x:v>
      </x:c>
      <x:c r="P1017" s="26" t="n">
        <x:f>F1017/O1017</x:f>
        <x:v>79.82</x:v>
      </x:c>
    </x:row>
    <x:row r="1018">
      <x:c r="A1018" t="n">
        <x:v>1017</x:v>
      </x:c>
      <x:c r="B1018" t="n">
        <x:v>69</x:v>
      </x:c>
      <x:c r="C1018" t="str">
        <x:v>Female</x:v>
      </x:c>
      <x:c r="D1018" t="str">
        <x:v>Beauty</x:v>
      </x:c>
      <x:c r="E1018" t="str">
        <x:v>Perfume</x:v>
      </x:c>
      <x:c r="F1018" s="24" t="n">
        <x:v>68.75</x:v>
      </x:c>
      <x:c r="G1018" t="str">
        <x:v>Spring</x:v>
      </x:c>
      <x:c r="H1018" t="str">
        <x:v>Card</x:v>
      </x:c>
      <x:c r="I1018" t="n">
        <x:v>3.8</x:v>
      </x:c>
      <x:c r="J1018" t="n">
        <x:v>8</x:v>
      </x:c>
      <x:c r="K1018" t="n">
        <x:v>4</x:v>
      </x:c>
      <x:c r="L1018" t="str">
        <x:v>STORE-001</x:v>
      </x:c>
      <x:c r="M1018" s="22" t="n">
        <x:v>45940</x:v>
      </x:c>
      <x:c r="N1018" t="str">
        <x:v>SKU-017</x:v>
      </x:c>
      <x:c r="O1018" t="n">
        <x:v>2</x:v>
      </x:c>
      <x:c r="P1018" s="26" t="n">
        <x:f>F1018/O1018</x:f>
        <x:v>34.375</x:v>
      </x:c>
    </x:row>
    <x:row r="1019">
      <x:c r="A1019" t="n">
        <x:v>1018</x:v>
      </x:c>
      <x:c r="B1019" t="n">
        <x:v>43</x:v>
      </x:c>
      <x:c r="C1019" t="str">
        <x:v>Male</x:v>
      </x:c>
      <x:c r="D1019" t="str">
        <x:v>Electronics</x:v>
      </x:c>
      <x:c r="E1019" t="str">
        <x:v>Smart Watch</x:v>
      </x:c>
      <x:c r="F1019" s="24" t="n">
        <x:v>1327.27</x:v>
      </x:c>
      <x:c r="G1019" t="str">
        <x:v>Summer</x:v>
      </x:c>
      <x:c r="H1019" t="str">
        <x:v>Card</x:v>
      </x:c>
      <x:c r="I1019" t="n">
        <x:v>2.7</x:v>
      </x:c>
      <x:c r="J1019" t="n">
        <x:v>13</x:v>
      </x:c>
      <x:c r="K1019" t="n">
        <x:v>4</x:v>
      </x:c>
      <x:c r="L1019" t="str">
        <x:v>STORE-001</x:v>
      </x:c>
      <x:c r="M1019" s="22" t="n">
        <x:v>46029</x:v>
      </x:c>
      <x:c r="N1019" t="str">
        <x:v>SKU-023</x:v>
      </x:c>
      <x:c r="O1019" t="n">
        <x:v>1</x:v>
      </x:c>
      <x:c r="P1019" s="26" t="n">
        <x:f>F1019/O1019</x:f>
        <x:v>1327.27</x:v>
      </x:c>
    </x:row>
    <x:row r="1020">
      <x:c r="A1020" t="n">
        <x:v>1019</x:v>
      </x:c>
      <x:c r="B1020" t="n">
        <x:v>28</x:v>
      </x:c>
      <x:c r="C1020" t="str">
        <x:v>Male</x:v>
      </x:c>
      <x:c r="D1020" t="str">
        <x:v>Sports</x:v>
      </x:c>
      <x:c r="E1020" t="str">
        <x:v>Yoga Mat</x:v>
      </x:c>
      <x:c r="F1020" s="24" t="n">
        <x:v>220.03</x:v>
      </x:c>
      <x:c r="G1020" t="str">
        <x:v>Summer</x:v>
      </x:c>
      <x:c r="H1020" t="str">
        <x:v>Card</x:v>
      </x:c>
      <x:c r="I1020" t="n">
        <x:v>3.2</x:v>
      </x:c>
      <x:c r="J1020" t="n">
        <x:v>10</x:v>
      </x:c>
      <x:c r="K1020" t="n">
        <x:v>5</x:v>
      </x:c>
      <x:c r="L1020" t="str">
        <x:v>STORE-001</x:v>
      </x:c>
      <x:c r="M1020" s="22" t="n">
        <x:v>46063</x:v>
      </x:c>
      <x:c r="N1020" t="str">
        <x:v>SKU-030</x:v>
      </x:c>
      <x:c r="O1020" t="n">
        <x:v>1</x:v>
      </x:c>
      <x:c r="P1020" s="26" t="n">
        <x:f>F1020/O1020</x:f>
        <x:v>220.03</x:v>
      </x:c>
    </x:row>
    <x:row r="1021">
      <x:c r="A1021" t="n">
        <x:v>1020</x:v>
      </x:c>
      <x:c r="B1021" t="n">
        <x:v>53</x:v>
      </x:c>
      <x:c r="C1021" t="str">
        <x:v>Female</x:v>
      </x:c>
      <x:c r="D1021" t="str">
        <x:v>Sports</x:v>
      </x:c>
      <x:c r="E1021" t="str">
        <x:v>Football</x:v>
      </x:c>
      <x:c r="F1021" s="24" t="n">
        <x:v>233.03</x:v>
      </x:c>
      <x:c r="G1021" t="str">
        <x:v>Spring</x:v>
      </x:c>
      <x:c r="H1021" t="str">
        <x:v>Card</x:v>
      </x:c>
      <x:c r="I1021" t="n">
        <x:v>3.7</x:v>
      </x:c>
      <x:c r="J1021" t="n">
        <x:v>18</x:v>
      </x:c>
      <x:c r="K1021" t="n">
        <x:v>4</x:v>
      </x:c>
      <x:c r="L1021" t="str">
        <x:v>STORE-001</x:v>
      </x:c>
      <x:c r="M1021" s="22" t="n">
        <x:v>46274</x:v>
      </x:c>
      <x:c r="N1021" t="str">
        <x:v>SKU-006</x:v>
      </x:c>
      <x:c r="O1021" t="n">
        <x:v>1</x:v>
      </x:c>
      <x:c r="P1021" s="26" t="n">
        <x:f>F1021/O1021</x:f>
        <x:v>233.03</x:v>
      </x:c>
    </x:row>
    <x:row r="1022">
      <x:c r="A1022" t="n">
        <x:v>1021</x:v>
      </x:c>
      <x:c r="B1022" t="n">
        <x:v>25</x:v>
      </x:c>
      <x:c r="C1022" t="str">
        <x:v>Female</x:v>
      </x:c>
      <x:c r="D1022" t="str">
        <x:v>Accessories</x:v>
      </x:c>
      <x:c r="E1022" t="str">
        <x:v>Handbag</x:v>
      </x:c>
      <x:c r="F1022" s="24" t="n">
        <x:v>106.02</x:v>
      </x:c>
      <x:c r="G1022" t="str">
        <x:v>Summer</x:v>
      </x:c>
      <x:c r="H1022" t="str">
        <x:v>Card</x:v>
      </x:c>
      <x:c r="I1022" t="n">
        <x:v>4.8</x:v>
      </x:c>
      <x:c r="J1022" t="n">
        <x:v>13</x:v>
      </x:c>
      <x:c r="K1022" t="n">
        <x:v>4</x:v>
      </x:c>
      <x:c r="L1022" t="str">
        <x:v>STORE-001</x:v>
      </x:c>
      <x:c r="M1022" s="22" t="n">
        <x:v>46025</x:v>
      </x:c>
      <x:c r="N1022" t="str">
        <x:v>SKU-008</x:v>
      </x:c>
      <x:c r="O1022" t="n">
        <x:v>2</x:v>
      </x:c>
      <x:c r="P1022" s="26" t="n">
        <x:f>F1022/O1022</x:f>
        <x:v>53.01</x:v>
      </x:c>
    </x:row>
    <x:row r="1023">
      <x:c r="A1023" t="n">
        <x:v>1022</x:v>
      </x:c>
      <x:c r="B1023" t="n">
        <x:v>30</x:v>
      </x:c>
      <x:c r="C1023" t="str">
        <x:v>Male</x:v>
      </x:c>
      <x:c r="D1023" t="str">
        <x:v>Sports</x:v>
      </x:c>
      <x:c r="E1023" t="str">
        <x:v>Football</x:v>
      </x:c>
      <x:c r="F1023" s="24" t="n">
        <x:v>74.36</x:v>
      </x:c>
      <x:c r="G1023" t="str">
        <x:v>Winter</x:v>
      </x:c>
      <x:c r="H1023" t="str">
        <x:v>Card</x:v>
      </x:c>
      <x:c r="I1023" t="n">
        <x:v>5</x:v>
      </x:c>
      <x:c r="J1023" t="n">
        <x:v>15</x:v>
      </x:c>
      <x:c r="K1023" t="n">
        <x:v>5</x:v>
      </x:c>
      <x:c r="L1023" t="str">
        <x:v>STORE-001</x:v>
      </x:c>
      <x:c r="M1023" s="22" t="n">
        <x:v>46243</x:v>
      </x:c>
      <x:c r="N1023" t="str">
        <x:v>SKU-006</x:v>
      </x:c>
      <x:c r="O1023" t="n">
        <x:v>1</x:v>
      </x:c>
      <x:c r="P1023" s="26" t="n">
        <x:f>F1023/O1023</x:f>
        <x:v>74.36</x:v>
      </x:c>
    </x:row>
    <x:row r="1024">
      <x:c r="A1024" t="n">
        <x:v>1023</x:v>
      </x:c>
      <x:c r="B1024" t="n">
        <x:v>59</x:v>
      </x:c>
      <x:c r="C1024" t="str">
        <x:v>Female</x:v>
      </x:c>
      <x:c r="D1024" t="str">
        <x:v>Beauty</x:v>
      </x:c>
      <x:c r="E1024" t="str">
        <x:v>Skincare Kit</x:v>
      </x:c>
      <x:c r="F1024" s="24" t="n">
        <x:v>28.72</x:v>
      </x:c>
      <x:c r="G1024" t="str">
        <x:v>Summer</x:v>
      </x:c>
      <x:c r="H1024" t="str">
        <x:v>Cash on Delivery</x:v>
      </x:c>
      <x:c r="I1024" t="n">
        <x:v>4.5</x:v>
      </x:c>
      <x:c r="J1024" t="n">
        <x:v>12</x:v>
      </x:c>
      <x:c r="K1024" t="n">
        <x:v>6</x:v>
      </x:c>
      <x:c r="L1024" t="str">
        <x:v>STORE-001</x:v>
      </x:c>
      <x:c r="M1024" s="22" t="n">
        <x:v>46060</x:v>
      </x:c>
      <x:c r="N1024" t="str">
        <x:v>SKU-021</x:v>
      </x:c>
      <x:c r="O1024" t="n">
        <x:v>1</x:v>
      </x:c>
      <x:c r="P1024" s="26" t="n">
        <x:f>F1024/O1024</x:f>
        <x:v>28.72</x:v>
      </x:c>
    </x:row>
    <x:row r="1025">
      <x:c r="A1025" t="n">
        <x:v>1024</x:v>
      </x:c>
      <x:c r="B1025" t="n">
        <x:v>53</x:v>
      </x:c>
      <x:c r="C1025" t="str">
        <x:v>Male</x:v>
      </x:c>
      <x:c r="D1025" t="str">
        <x:v>Electronics</x:v>
      </x:c>
      <x:c r="E1025" t="str">
        <x:v>Laptop</x:v>
      </x:c>
      <x:c r="F1025" s="24" t="n">
        <x:v>512</x:v>
      </x:c>
      <x:c r="G1025" t="str">
        <x:v>Winter</x:v>
      </x:c>
      <x:c r="H1025" t="str">
        <x:v>Card</x:v>
      </x:c>
      <x:c r="I1025" t="n">
        <x:v>4</x:v>
      </x:c>
      <x:c r="J1025" t="n">
        <x:v>18</x:v>
      </x:c>
      <x:c r="K1025" t="n">
        <x:v>9</x:v>
      </x:c>
      <x:c r="L1025" t="str">
        <x:v>STORE-001</x:v>
      </x:c>
      <x:c r="M1025" s="22" t="n">
        <x:v>46250</x:v>
      </x:c>
      <x:c r="N1025" t="str">
        <x:v>SKU-014</x:v>
      </x:c>
      <x:c r="O1025" t="n">
        <x:v>1</x:v>
      </x:c>
      <x:c r="P1025" s="26" t="n">
        <x:f>F1025/O1025</x:f>
        <x:v>512</x:v>
      </x:c>
    </x:row>
    <x:row r="1026">
      <x:c r="A1026" t="n">
        <x:v>1025</x:v>
      </x:c>
      <x:c r="B1026" t="n">
        <x:v>60</x:v>
      </x:c>
      <x:c r="C1026" t="str">
        <x:v>Female</x:v>
      </x:c>
      <x:c r="D1026" t="str">
        <x:v>Womens Clothing</x:v>
      </x:c>
      <x:c r="E1026" t="str">
        <x:v>Top</x:v>
      </x:c>
      <x:c r="F1026" s="24" t="n">
        <x:v>108.63</x:v>
      </x:c>
      <x:c r="G1026" t="str">
        <x:v>Autumn</x:v>
      </x:c>
      <x:c r="H1026" t="str">
        <x:v>Card</x:v>
      </x:c>
      <x:c r="I1026" t="n">
        <x:v>3.5</x:v>
      </x:c>
      <x:c r="J1026" t="n">
        <x:v>28</x:v>
      </x:c>
      <x:c r="K1026" t="n">
        <x:v>9</x:v>
      </x:c>
      <x:c r="L1026" t="str">
        <x:v>STORE-001</x:v>
      </x:c>
      <x:c r="M1026" s="22" t="n">
        <x:v>46160</x:v>
      </x:c>
      <x:c r="N1026" t="str">
        <x:v>SKU-028</x:v>
      </x:c>
      <x:c r="O1026" t="n">
        <x:v>1</x:v>
      </x:c>
      <x:c r="P1026" s="26" t="n">
        <x:f>F1026/O1026</x:f>
        <x:v>108.63</x:v>
      </x:c>
    </x:row>
    <x:row r="1027">
      <x:c r="A1027" t="n">
        <x:v>1026</x:v>
      </x:c>
      <x:c r="B1027" t="n">
        <x:v>25</x:v>
      </x:c>
      <x:c r="C1027" t="str">
        <x:v>Male</x:v>
      </x:c>
      <x:c r="D1027" t="str">
        <x:v>Mens Clothing</x:v>
      </x:c>
      <x:c r="E1027" t="str">
        <x:v>Jeans</x:v>
      </x:c>
      <x:c r="F1027" s="24" t="n">
        <x:v>34.19</x:v>
      </x:c>
      <x:c r="G1027" t="str">
        <x:v>Winter</x:v>
      </x:c>
      <x:c r="H1027" t="str">
        <x:v>Cash on Delivery</x:v>
      </x:c>
      <x:c r="I1027" t="n">
        <x:v>3.1</x:v>
      </x:c>
      <x:c r="J1027" t="n">
        <x:v>19</x:v>
      </x:c>
      <x:c r="K1027" t="n">
        <x:v>7</x:v>
      </x:c>
      <x:c r="L1027" t="str">
        <x:v>STORE-001</x:v>
      </x:c>
      <x:c r="M1027" s="22" t="n">
        <x:v>46204</x:v>
      </x:c>
      <x:c r="N1027" t="str">
        <x:v>SKU-011</x:v>
      </x:c>
      <x:c r="O1027" t="n">
        <x:v>1</x:v>
      </x:c>
      <x:c r="P1027" s="26" t="n">
        <x:f>F1027/O1027</x:f>
        <x:v>34.19</x:v>
      </x:c>
    </x:row>
    <x:row r="1028">
      <x:c r="A1028" t="n">
        <x:v>1027</x:v>
      </x:c>
      <x:c r="B1028" t="n">
        <x:v>21</x:v>
      </x:c>
      <x:c r="C1028" t="str">
        <x:v>Female</x:v>
      </x:c>
      <x:c r="D1028" t="str">
        <x:v>Accessories</x:v>
      </x:c>
      <x:c r="E1028" t="str">
        <x:v>Wallet</x:v>
      </x:c>
      <x:c r="F1028" s="24" t="n">
        <x:v>121.23</x:v>
      </x:c>
      <x:c r="G1028" t="str">
        <x:v>Spring</x:v>
      </x:c>
      <x:c r="H1028" t="str">
        <x:v>Card</x:v>
      </x:c>
      <x:c r="I1028" t="n">
        <x:v>2.9</x:v>
      </x:c>
      <x:c r="J1028" t="n">
        <x:v>16</x:v>
      </x:c>
      <x:c r="K1028" t="n">
        <x:v>3</x:v>
      </x:c>
      <x:c r="L1028" t="str">
        <x:v>STORE-001</x:v>
      </x:c>
      <x:c r="M1028" s="22" t="n">
        <x:v>46280</x:v>
      </x:c>
      <x:c r="N1028" t="str">
        <x:v>SKU-029</x:v>
      </x:c>
      <x:c r="O1028" t="n">
        <x:v>2</x:v>
      </x:c>
      <x:c r="P1028" s="26" t="n">
        <x:f>F1028/O1028</x:f>
        <x:v>60.615</x:v>
      </x:c>
    </x:row>
    <x:row r="1029">
      <x:c r="A1029" t="n">
        <x:v>1028</x:v>
      </x:c>
      <x:c r="B1029" t="n">
        <x:v>31</x:v>
      </x:c>
      <x:c r="C1029" t="str">
        <x:v>Male</x:v>
      </x:c>
      <x:c r="D1029" t="str">
        <x:v>Home</x:v>
      </x:c>
      <x:c r="E1029" t="str">
        <x:v>Curtains</x:v>
      </x:c>
      <x:c r="F1029" s="24" t="n">
        <x:v>39.87</x:v>
      </x:c>
      <x:c r="G1029" t="str">
        <x:v>Autumn</x:v>
      </x:c>
      <x:c r="H1029" t="str">
        <x:v>Cash on Delivery</x:v>
      </x:c>
      <x:c r="I1029" t="n">
        <x:v>3.1</x:v>
      </x:c>
      <x:c r="J1029" t="n">
        <x:v>14</x:v>
      </x:c>
      <x:c r="K1029" t="n">
        <x:v>7</x:v>
      </x:c>
      <x:c r="L1029" t="str">
        <x:v>STORE-001</x:v>
      </x:c>
      <x:c r="M1029" s="22" t="n">
        <x:v>46106</x:v>
      </x:c>
      <x:c r="N1029" t="str">
        <x:v>SKU-003</x:v>
      </x:c>
      <x:c r="O1029" t="n">
        <x:v>2</x:v>
      </x:c>
      <x:c r="P1029" s="26" t="n">
        <x:f>F1029/O1029</x:f>
        <x:v>19.935</x:v>
      </x:c>
    </x:row>
    <x:row r="1030">
      <x:c r="A1030" t="n">
        <x:v>1029</x:v>
      </x:c>
      <x:c r="B1030" t="n">
        <x:v>65</x:v>
      </x:c>
      <x:c r="C1030" t="str">
        <x:v>Female</x:v>
      </x:c>
      <x:c r="D1030" t="str">
        <x:v>Womens Clothing</x:v>
      </x:c>
      <x:c r="E1030" t="str">
        <x:v>Jeans</x:v>
      </x:c>
      <x:c r="F1030" s="24" t="n">
        <x:v>194.79</x:v>
      </x:c>
      <x:c r="G1030" t="str">
        <x:v>Winter</x:v>
      </x:c>
      <x:c r="H1030" t="str">
        <x:v>Card</x:v>
      </x:c>
      <x:c r="I1030" t="n">
        <x:v>4.1</x:v>
      </x:c>
      <x:c r="J1030" t="n">
        <x:v>15</x:v>
      </x:c>
      <x:c r="K1030" t="n">
        <x:v>5</x:v>
      </x:c>
      <x:c r="L1030" t="str">
        <x:v>STORE-001</x:v>
      </x:c>
      <x:c r="M1030" s="22" t="n">
        <x:v>46206</x:v>
      </x:c>
      <x:c r="N1030" t="str">
        <x:v>SKU-011</x:v>
      </x:c>
      <x:c r="O1030" t="n">
        <x:v>1</x:v>
      </x:c>
      <x:c r="P1030" s="26" t="n">
        <x:f>F1030/O1030</x:f>
        <x:v>194.79</x:v>
      </x:c>
    </x:row>
    <x:row r="1031">
      <x:c r="A1031" t="n">
        <x:v>1030</x:v>
      </x:c>
      <x:c r="B1031" t="n">
        <x:v>45</x:v>
      </x:c>
      <x:c r="C1031" t="str">
        <x:v>Female</x:v>
      </x:c>
      <x:c r="D1031" t="str">
        <x:v>Womens Clothing</x:v>
      </x:c>
      <x:c r="E1031" t="str">
        <x:v>Dress</x:v>
      </x:c>
      <x:c r="F1031" s="24" t="n">
        <x:v>192.67</x:v>
      </x:c>
      <x:c r="G1031" t="str">
        <x:v>Spring</x:v>
      </x:c>
      <x:c r="H1031" t="str">
        <x:v>Card</x:v>
      </x:c>
      <x:c r="I1031" t="n">
        <x:v>4.3</x:v>
      </x:c>
      <x:c r="J1031" t="n">
        <x:v>20</x:v>
      </x:c>
      <x:c r="K1031" t="n">
        <x:v>5</x:v>
      </x:c>
      <x:c r="L1031" t="str">
        <x:v>STORE-001</x:v>
      </x:c>
      <x:c r="M1031" s="22" t="n">
        <x:v>46271</x:v>
      </x:c>
      <x:c r="N1031" t="str">
        <x:v>SKU-004</x:v>
      </x:c>
      <x:c r="O1031" t="n">
        <x:v>2</x:v>
      </x:c>
      <x:c r="P1031" s="26" t="n">
        <x:f>F1031/O1031</x:f>
        <x:v>96.335</x:v>
      </x:c>
    </x:row>
    <x:row r="1032">
      <x:c r="A1032" t="n">
        <x:v>1031</x:v>
      </x:c>
      <x:c r="B1032" t="n">
        <x:v>33</x:v>
      </x:c>
      <x:c r="C1032" t="str">
        <x:v>Female</x:v>
      </x:c>
      <x:c r="D1032" t="str">
        <x:v>Footwear</x:v>
      </x:c>
      <x:c r="E1032" t="str">
        <x:v>Sneakers</x:v>
      </x:c>
      <x:c r="F1032" s="24" t="n">
        <x:v>119.68</x:v>
      </x:c>
      <x:c r="G1032" t="str">
        <x:v>Autumn</x:v>
      </x:c>
      <x:c r="H1032" t="str">
        <x:v>Card</x:v>
      </x:c>
      <x:c r="I1032" t="n">
        <x:v>2.5</x:v>
      </x:c>
      <x:c r="J1032" t="n">
        <x:v>19</x:v>
      </x:c>
      <x:c r="K1032" t="n">
        <x:v>7</x:v>
      </x:c>
      <x:c r="L1032" t="str">
        <x:v>STORE-001</x:v>
      </x:c>
      <x:c r="M1032" s="22" t="n">
        <x:v>46155</x:v>
      </x:c>
      <x:c r="N1032" t="str">
        <x:v>SKU-025</x:v>
      </x:c>
      <x:c r="O1032" t="n">
        <x:v>1</x:v>
      </x:c>
      <x:c r="P1032" s="26" t="n">
        <x:f>F1032/O1032</x:f>
        <x:v>119.68</x:v>
      </x:c>
    </x:row>
    <x:row r="1033">
      <x:c r="A1033" t="n">
        <x:v>1032</x:v>
      </x:c>
      <x:c r="B1033" t="n">
        <x:v>40</x:v>
      </x:c>
      <x:c r="C1033" t="str">
        <x:v>Female</x:v>
      </x:c>
      <x:c r="D1033" t="str">
        <x:v>Groceries</x:v>
      </x:c>
      <x:c r="E1033" t="str">
        <x:v>Cooking Oil</x:v>
      </x:c>
      <x:c r="F1033" s="24" t="n">
        <x:v>12.42</x:v>
      </x:c>
      <x:c r="G1033" t="str">
        <x:v>Spring</x:v>
      </x:c>
      <x:c r="H1033" t="str">
        <x:v>Card</x:v>
      </x:c>
      <x:c r="I1033" t="n">
        <x:v>4</x:v>
      </x:c>
      <x:c r="J1033" t="n">
        <x:v>20</x:v>
      </x:c>
      <x:c r="K1033" t="n">
        <x:v>5</x:v>
      </x:c>
      <x:c r="L1033" t="str">
        <x:v>STORE-001</x:v>
      </x:c>
      <x:c r="M1033" s="22" t="n">
        <x:v>46287</x:v>
      </x:c>
      <x:c r="N1033" t="str">
        <x:v>SKU-002</x:v>
      </x:c>
      <x:c r="O1033" t="n">
        <x:v>2</x:v>
      </x:c>
      <x:c r="P1033" s="26" t="n">
        <x:f>F1033/O1033</x:f>
        <x:v>6.21</x:v>
      </x:c>
    </x:row>
    <x:row r="1034">
      <x:c r="A1034" t="n">
        <x:v>1033</x:v>
      </x:c>
      <x:c r="B1034" t="n">
        <x:v>55</x:v>
      </x:c>
      <x:c r="C1034" t="str">
        <x:v>Female</x:v>
      </x:c>
      <x:c r="D1034" t="str">
        <x:v>Sports</x:v>
      </x:c>
      <x:c r="E1034" t="str">
        <x:v>Dumbbells</x:v>
      </x:c>
      <x:c r="F1034" s="24" t="n">
        <x:v>91.6</x:v>
      </x:c>
      <x:c r="G1034" t="str">
        <x:v>Summer</x:v>
      </x:c>
      <x:c r="H1034" t="str">
        <x:v>Cash on Delivery</x:v>
      </x:c>
      <x:c r="I1034" t="n">
        <x:v>3.7</x:v>
      </x:c>
      <x:c r="J1034" t="n">
        <x:v>17</x:v>
      </x:c>
      <x:c r="K1034" t="n">
        <x:v>6</x:v>
      </x:c>
      <x:c r="L1034" t="str">
        <x:v>STORE-001</x:v>
      </x:c>
      <x:c r="M1034" s="22" t="n">
        <x:v>46071</x:v>
      </x:c>
      <x:c r="N1034" t="str">
        <x:v>SKU-005</x:v>
      </x:c>
      <x:c r="O1034" t="n">
        <x:v>1</x:v>
      </x:c>
      <x:c r="P1034" s="26" t="n">
        <x:f>F1034/O1034</x:f>
        <x:v>91.6</x:v>
      </x:c>
    </x:row>
    <x:row r="1035">
      <x:c r="A1035" t="n">
        <x:v>1034</x:v>
      </x:c>
      <x:c r="B1035" t="n">
        <x:v>28</x:v>
      </x:c>
      <x:c r="C1035" t="str">
        <x:v>Female</x:v>
      </x:c>
      <x:c r="D1035" t="str">
        <x:v>Groceries</x:v>
      </x:c>
      <x:c r="E1035" t="str">
        <x:v>Beverages</x:v>
      </x:c>
      <x:c r="F1035" s="24" t="n">
        <x:v>78.81</x:v>
      </x:c>
      <x:c r="G1035" t="str">
        <x:v>Summer</x:v>
      </x:c>
      <x:c r="H1035" t="str">
        <x:v>Card</x:v>
      </x:c>
      <x:c r="I1035" t="n">
        <x:v>4.1</x:v>
      </x:c>
      <x:c r="J1035" t="n">
        <x:v>15</x:v>
      </x:c>
      <x:c r="K1035" t="n">
        <x:v>5</x:v>
      </x:c>
      <x:c r="L1035" t="str">
        <x:v>STORE-001</x:v>
      </x:c>
      <x:c r="M1035" s="22" t="n">
        <x:v>46001</x:v>
      </x:c>
      <x:c r="N1035" t="str">
        <x:v>SKU-001</x:v>
      </x:c>
      <x:c r="O1035" t="n">
        <x:v>1</x:v>
      </x:c>
      <x:c r="P1035" s="26" t="n">
        <x:f>F1035/O1035</x:f>
        <x:v>78.81</x:v>
      </x:c>
    </x:row>
    <x:row r="1036">
      <x:c r="A1036" t="n">
        <x:v>1035</x:v>
      </x:c>
      <x:c r="B1036" t="n">
        <x:v>36</x:v>
      </x:c>
      <x:c r="C1036" t="str">
        <x:v>Male</x:v>
      </x:c>
      <x:c r="D1036" t="str">
        <x:v>Home</x:v>
      </x:c>
      <x:c r="E1036" t="str">
        <x:v>Lamp</x:v>
      </x:c>
      <x:c r="F1036" s="24" t="n">
        <x:v>299.29</x:v>
      </x:c>
      <x:c r="G1036" t="str">
        <x:v>Spring</x:v>
      </x:c>
      <x:c r="H1036" t="str">
        <x:v>Card</x:v>
      </x:c>
      <x:c r="I1036" t="n">
        <x:v>4.6</x:v>
      </x:c>
      <x:c r="J1036" t="n">
        <x:v>10</x:v>
      </x:c>
      <x:c r="K1036" t="n">
        <x:v>5</x:v>
      </x:c>
      <x:c r="L1036" t="str">
        <x:v>STORE-001</x:v>
      </x:c>
      <x:c r="M1036" s="22" t="n">
        <x:v>45990</x:v>
      </x:c>
      <x:c r="N1036" t="str">
        <x:v>SKU-013</x:v>
      </x:c>
      <x:c r="O1036" t="n">
        <x:v>1</x:v>
      </x:c>
      <x:c r="P1036" s="26" t="n">
        <x:f>F1036/O1036</x:f>
        <x:v>299.29</x:v>
      </x:c>
    </x:row>
    <x:row r="1037">
      <x:c r="A1037" t="n">
        <x:v>1036</x:v>
      </x:c>
      <x:c r="B1037" t="n">
        <x:v>59</x:v>
      </x:c>
      <x:c r="C1037" t="str">
        <x:v>Female</x:v>
      </x:c>
      <x:c r="D1037" t="str">
        <x:v>Beauty</x:v>
      </x:c>
      <x:c r="E1037" t="str">
        <x:v>Makeup Set</x:v>
      </x:c>
      <x:c r="F1037" s="24" t="n">
        <x:v>52.13</x:v>
      </x:c>
      <x:c r="G1037" t="str">
        <x:v>Winter</x:v>
      </x:c>
      <x:c r="H1037" t="str">
        <x:v>Card</x:v>
      </x:c>
      <x:c r="I1037" t="n">
        <x:v>4.4</x:v>
      </x:c>
      <x:c r="J1037" t="n">
        <x:v>14</x:v>
      </x:c>
      <x:c r="K1037" t="n">
        <x:v>2</x:v>
      </x:c>
      <x:c r="L1037" t="str">
        <x:v>STORE-001</x:v>
      </x:c>
      <x:c r="M1037" s="22" t="n">
        <x:v>46250</x:v>
      </x:c>
      <x:c r="N1037" t="str">
        <x:v>SKU-015</x:v>
      </x:c>
      <x:c r="O1037" t="n">
        <x:v>1</x:v>
      </x:c>
      <x:c r="P1037" s="26" t="n">
        <x:f>F1037/O1037</x:f>
        <x:v>52.13</x:v>
      </x:c>
    </x:row>
    <x:row r="1038">
      <x:c r="A1038" t="n">
        <x:v>1037</x:v>
      </x:c>
      <x:c r="B1038" t="n">
        <x:v>42</x:v>
      </x:c>
      <x:c r="C1038" t="str">
        <x:v>Female</x:v>
      </x:c>
      <x:c r="D1038" t="str">
        <x:v>Accessories</x:v>
      </x:c>
      <x:c r="E1038" t="str">
        <x:v>Handbag</x:v>
      </x:c>
      <x:c r="F1038" s="24" t="n">
        <x:v>73.71</x:v>
      </x:c>
      <x:c r="G1038" t="str">
        <x:v>Autumn</x:v>
      </x:c>
      <x:c r="H1038" t="str">
        <x:v>Card</x:v>
      </x:c>
      <x:c r="I1038" t="n">
        <x:v>2.8</x:v>
      </x:c>
      <x:c r="J1038" t="n">
        <x:v>8</x:v>
      </x:c>
      <x:c r="K1038" t="n">
        <x:v>4</x:v>
      </x:c>
      <x:c r="L1038" t="str">
        <x:v>STORE-001</x:v>
      </x:c>
      <x:c r="M1038" s="22" t="n">
        <x:v>46082</x:v>
      </x:c>
      <x:c r="N1038" t="str">
        <x:v>SKU-008</x:v>
      </x:c>
      <x:c r="O1038" t="n">
        <x:v>4</x:v>
      </x:c>
      <x:c r="P1038" s="26" t="n">
        <x:f>F1038/O1038</x:f>
        <x:v>18.4275</x:v>
      </x:c>
    </x:row>
    <x:row r="1039">
      <x:c r="A1039" t="n">
        <x:v>1038</x:v>
      </x:c>
      <x:c r="B1039" t="n">
        <x:v>21</x:v>
      </x:c>
      <x:c r="C1039" t="str">
        <x:v>Female</x:v>
      </x:c>
      <x:c r="D1039" t="str">
        <x:v>Accessories</x:v>
      </x:c>
      <x:c r="E1039" t="str">
        <x:v>Wallet</x:v>
      </x:c>
      <x:c r="F1039" s="24" t="n">
        <x:v>108.59</x:v>
      </x:c>
      <x:c r="G1039" t="str">
        <x:v>Winter</x:v>
      </x:c>
      <x:c r="H1039" t="str">
        <x:v>Card</x:v>
      </x:c>
      <x:c r="I1039" t="n">
        <x:v>4.3</x:v>
      </x:c>
      <x:c r="J1039" t="n">
        <x:v>26</x:v>
      </x:c>
      <x:c r="K1039" t="n">
        <x:v>8</x:v>
      </x:c>
      <x:c r="L1039" t="str">
        <x:v>STORE-001</x:v>
      </x:c>
      <x:c r="M1039" s="22" t="n">
        <x:v>46263</x:v>
      </x:c>
      <x:c r="N1039" t="str">
        <x:v>SKU-029</x:v>
      </x:c>
      <x:c r="O1039" t="n">
        <x:v>1</x:v>
      </x:c>
      <x:c r="P1039" s="26" t="n">
        <x:f>F1039/O1039</x:f>
        <x:v>108.59</x:v>
      </x:c>
    </x:row>
    <x:row r="1040">
      <x:c r="A1040" t="n">
        <x:v>1039</x:v>
      </x:c>
      <x:c r="B1040" t="n">
        <x:v>63</x:v>
      </x:c>
      <x:c r="C1040" t="str">
        <x:v>Male</x:v>
      </x:c>
      <x:c r="D1040" t="str">
        <x:v>Electronics</x:v>
      </x:c>
      <x:c r="E1040" t="str">
        <x:v>Headphones</x:v>
      </x:c>
      <x:c r="F1040" s="24" t="n">
        <x:v>2738.93</x:v>
      </x:c>
      <x:c r="G1040" t="str">
        <x:v>Summer</x:v>
      </x:c>
      <x:c r="H1040" t="str">
        <x:v>Card</x:v>
      </x:c>
      <x:c r="I1040" t="n">
        <x:v>4</x:v>
      </x:c>
      <x:c r="J1040" t="n">
        <x:v>12</x:v>
      </x:c>
      <x:c r="K1040" t="n">
        <x:v>6</x:v>
      </x:c>
      <x:c r="L1040" t="str">
        <x:v>STORE-001</x:v>
      </x:c>
      <x:c r="M1040" s="22" t="n">
        <x:v>46003</x:v>
      </x:c>
      <x:c r="N1040" t="str">
        <x:v>SKU-009</x:v>
      </x:c>
      <x:c r="O1040" t="n">
        <x:v>1</x:v>
      </x:c>
      <x:c r="P1040" s="26" t="n">
        <x:f>F1040/O1040</x:f>
        <x:v>2738.93</x:v>
      </x:c>
    </x:row>
    <x:row r="1041">
      <x:c r="A1041" t="n">
        <x:v>1040</x:v>
      </x:c>
      <x:c r="B1041" t="n">
        <x:v>32</x:v>
      </x:c>
      <x:c r="C1041" t="str">
        <x:v>Female</x:v>
      </x:c>
      <x:c r="D1041" t="str">
        <x:v>Accessories</x:v>
      </x:c>
      <x:c r="E1041" t="str">
        <x:v>Sunglasses</x:v>
      </x:c>
      <x:c r="F1041" s="24" t="n">
        <x:v>159.16</x:v>
      </x:c>
      <x:c r="G1041" t="str">
        <x:v>Summer</x:v>
      </x:c>
      <x:c r="H1041" t="str">
        <x:v>Card</x:v>
      </x:c>
      <x:c r="I1041" t="n">
        <x:v>4.1</x:v>
      </x:c>
      <x:c r="J1041" t="n">
        <x:v>10</x:v>
      </x:c>
      <x:c r="K1041" t="n">
        <x:v>5</x:v>
      </x:c>
      <x:c r="L1041" t="str">
        <x:v>STORE-001</x:v>
      </x:c>
      <x:c r="M1041" s="22" t="n">
        <x:v>46020</x:v>
      </x:c>
      <x:c r="N1041" t="str">
        <x:v>SKU-026</x:v>
      </x:c>
      <x:c r="O1041" t="n">
        <x:v>1</x:v>
      </x:c>
      <x:c r="P1041" s="26" t="n">
        <x:f>F1041/O1041</x:f>
        <x:v>159.16</x:v>
      </x:c>
    </x:row>
    <x:row r="1042">
      <x:c r="A1042" t="n">
        <x:v>1041</x:v>
      </x:c>
      <x:c r="B1042" t="n">
        <x:v>32</x:v>
      </x:c>
      <x:c r="C1042" t="str">
        <x:v>Female</x:v>
      </x:c>
      <x:c r="D1042" t="str">
        <x:v>Womens Clothing</x:v>
      </x:c>
      <x:c r="E1042" t="str">
        <x:v>Top</x:v>
      </x:c>
      <x:c r="F1042" s="24" t="n">
        <x:v>193.19</x:v>
      </x:c>
      <x:c r="G1042" t="str">
        <x:v>Spring</x:v>
      </x:c>
      <x:c r="H1042" t="str">
        <x:v>Card</x:v>
      </x:c>
      <x:c r="I1042" t="n">
        <x:v>4.9</x:v>
      </x:c>
      <x:c r="J1042" t="n">
        <x:v>26</x:v>
      </x:c>
      <x:c r="K1042" t="n">
        <x:v>8</x:v>
      </x:c>
      <x:c r="L1042" t="str">
        <x:v>STORE-001</x:v>
      </x:c>
      <x:c r="M1042" s="22" t="n">
        <x:v>46293</x:v>
      </x:c>
      <x:c r="N1042" t="str">
        <x:v>SKU-028</x:v>
      </x:c>
      <x:c r="O1042" t="n">
        <x:v>2</x:v>
      </x:c>
      <x:c r="P1042" s="26" t="n">
        <x:f>F1042/O1042</x:f>
        <x:v>96.595</x:v>
      </x:c>
    </x:row>
    <x:row r="1043">
      <x:c r="A1043" t="n">
        <x:v>1042</x:v>
      </x:c>
      <x:c r="B1043" t="n">
        <x:v>45</x:v>
      </x:c>
      <x:c r="C1043" t="str">
        <x:v>Male</x:v>
      </x:c>
      <x:c r="D1043" t="str">
        <x:v>Footwear</x:v>
      </x:c>
      <x:c r="E1043" t="str">
        <x:v>Sandals</x:v>
      </x:c>
      <x:c r="F1043" s="24" t="n">
        <x:v>143.72</x:v>
      </x:c>
      <x:c r="G1043" t="str">
        <x:v>Summer</x:v>
      </x:c>
      <x:c r="H1043" t="str">
        <x:v>Card</x:v>
      </x:c>
      <x:c r="I1043" t="n">
        <x:v>2.6</x:v>
      </x:c>
      <x:c r="J1043" t="n">
        <x:v>20</x:v>
      </x:c>
      <x:c r="K1043" t="n">
        <x:v>5</x:v>
      </x:c>
      <x:c r="L1043" t="str">
        <x:v>STORE-001</x:v>
      </x:c>
      <x:c r="M1043" s="22" t="n">
        <x:v>46017</x:v>
      </x:c>
      <x:c r="N1043" t="str">
        <x:v>SKU-019</x:v>
      </x:c>
      <x:c r="O1043" t="n">
        <x:v>2</x:v>
      </x:c>
      <x:c r="P1043" s="26" t="n">
        <x:f>F1043/O1043</x:f>
        <x:v>71.86</x:v>
      </x:c>
    </x:row>
    <x:row r="1044">
      <x:c r="A1044" t="n">
        <x:v>1043</x:v>
      </x:c>
      <x:c r="B1044" t="n">
        <x:v>24</x:v>
      </x:c>
      <x:c r="C1044" t="str">
        <x:v>Female</x:v>
      </x:c>
      <x:c r="D1044" t="str">
        <x:v>Womens Clothing</x:v>
      </x:c>
      <x:c r="E1044" t="str">
        <x:v>Dress</x:v>
      </x:c>
      <x:c r="F1044" s="24" t="n">
        <x:v>141.82</x:v>
      </x:c>
      <x:c r="G1044" t="str">
        <x:v>Winter</x:v>
      </x:c>
      <x:c r="H1044" t="str">
        <x:v>Card</x:v>
      </x:c>
      <x:c r="I1044" t="n">
        <x:v>3.8</x:v>
      </x:c>
      <x:c r="J1044" t="n">
        <x:v>10</x:v>
      </x:c>
      <x:c r="K1044" t="n">
        <x:v>5</x:v>
      </x:c>
      <x:c r="L1044" t="str">
        <x:v>STORE-001</x:v>
      </x:c>
      <x:c r="M1044" s="22" t="n">
        <x:v>46257</x:v>
      </x:c>
      <x:c r="N1044" t="str">
        <x:v>SKU-004</x:v>
      </x:c>
      <x:c r="O1044" t="n">
        <x:v>1</x:v>
      </x:c>
      <x:c r="P1044" s="26" t="n">
        <x:f>F1044/O1044</x:f>
        <x:v>141.82</x:v>
      </x:c>
    </x:row>
    <x:row r="1045">
      <x:c r="A1045" t="n">
        <x:v>1044</x:v>
      </x:c>
      <x:c r="B1045" t="n">
        <x:v>44</x:v>
      </x:c>
      <x:c r="C1045" t="str">
        <x:v>Female</x:v>
      </x:c>
      <x:c r="D1045" t="str">
        <x:v>Womens Clothing</x:v>
      </x:c>
      <x:c r="E1045" t="str">
        <x:v>Top</x:v>
      </x:c>
      <x:c r="F1045" s="24" t="n">
        <x:v>177.01</x:v>
      </x:c>
      <x:c r="G1045" t="str">
        <x:v>Spring</x:v>
      </x:c>
      <x:c r="H1045" t="str">
        <x:v>Card</x:v>
      </x:c>
      <x:c r="I1045" t="n">
        <x:v>1.9</x:v>
      </x:c>
      <x:c r="J1045" t="n">
        <x:v>7</x:v>
      </x:c>
      <x:c r="K1045" t="n">
        <x:v>1</x:v>
      </x:c>
      <x:c r="L1045" t="str">
        <x:v>STORE-001</x:v>
      </x:c>
      <x:c r="M1045" s="22" t="n">
        <x:v>46284</x:v>
      </x:c>
      <x:c r="N1045" t="str">
        <x:v>SKU-028</x:v>
      </x:c>
      <x:c r="O1045" t="n">
        <x:v>1</x:v>
      </x:c>
      <x:c r="P1045" s="26" t="n">
        <x:f>F1045/O1045</x:f>
        <x:v>177.01</x:v>
      </x:c>
    </x:row>
    <x:row r="1046">
      <x:c r="A1046" t="n">
        <x:v>1045</x:v>
      </x:c>
      <x:c r="B1046" t="n">
        <x:v>33</x:v>
      </x:c>
      <x:c r="C1046" t="str">
        <x:v>Male</x:v>
      </x:c>
      <x:c r="D1046" t="str">
        <x:v>Sports</x:v>
      </x:c>
      <x:c r="E1046" t="str">
        <x:v>Yoga Mat</x:v>
      </x:c>
      <x:c r="F1046" s="24" t="n">
        <x:v>144.52</x:v>
      </x:c>
      <x:c r="G1046" t="str">
        <x:v>Autumn</x:v>
      </x:c>
      <x:c r="H1046" t="str">
        <x:v>Card</x:v>
      </x:c>
      <x:c r="I1046" t="n">
        <x:v>4.6</x:v>
      </x:c>
      <x:c r="J1046" t="n">
        <x:v>10</x:v>
      </x:c>
      <x:c r="K1046" t="n">
        <x:v>5</x:v>
      </x:c>
      <x:c r="L1046" t="str">
        <x:v>STORE-001</x:v>
      </x:c>
      <x:c r="M1046" s="22" t="n">
        <x:v>46116</x:v>
      </x:c>
      <x:c r="N1046" t="str">
        <x:v>SKU-030</x:v>
      </x:c>
      <x:c r="O1046" t="n">
        <x:v>2</x:v>
      </x:c>
      <x:c r="P1046" s="26" t="n">
        <x:f>F1046/O1046</x:f>
        <x:v>72.26</x:v>
      </x:c>
    </x:row>
    <x:row r="1047">
      <x:c r="A1047" t="n">
        <x:v>1046</x:v>
      </x:c>
      <x:c r="B1047" t="n">
        <x:v>40</x:v>
      </x:c>
      <x:c r="C1047" t="str">
        <x:v>Male</x:v>
      </x:c>
      <x:c r="D1047" t="str">
        <x:v>Mens Clothing</x:v>
      </x:c>
      <x:c r="E1047" t="str">
        <x:v>T-Shirt</x:v>
      </x:c>
      <x:c r="F1047" s="24" t="n">
        <x:v>141.59</x:v>
      </x:c>
      <x:c r="G1047" t="str">
        <x:v>Spring</x:v>
      </x:c>
      <x:c r="H1047" t="str">
        <x:v>Card</x:v>
      </x:c>
      <x:c r="I1047" t="n">
        <x:v>3.3</x:v>
      </x:c>
      <x:c r="J1047" t="n">
        <x:v>4</x:v>
      </x:c>
      <x:c r="K1047" t="n">
        <x:v>2</x:v>
      </x:c>
      <x:c r="L1047" t="str">
        <x:v>STORE-001</x:v>
      </x:c>
      <x:c r="M1047" s="22" t="n">
        <x:v>46272</x:v>
      </x:c>
      <x:c r="N1047" t="str">
        <x:v>SKU-027</x:v>
      </x:c>
      <x:c r="O1047" t="n">
        <x:v>1</x:v>
      </x:c>
      <x:c r="P1047" s="26" t="n">
        <x:f>F1047/O1047</x:f>
        <x:v>141.59</x:v>
      </x:c>
    </x:row>
    <x:row r="1048">
      <x:c r="A1048" t="n">
        <x:v>1047</x:v>
      </x:c>
      <x:c r="B1048" t="n">
        <x:v>53</x:v>
      </x:c>
      <x:c r="C1048" t="str">
        <x:v>Female</x:v>
      </x:c>
      <x:c r="D1048" t="str">
        <x:v>Womens Clothing</x:v>
      </x:c>
      <x:c r="E1048" t="str">
        <x:v>Skirt</x:v>
      </x:c>
      <x:c r="F1048" s="24" t="n">
        <x:v>130.75</x:v>
      </x:c>
      <x:c r="G1048" t="str">
        <x:v>Summer</x:v>
      </x:c>
      <x:c r="H1048" t="str">
        <x:v>Card</x:v>
      </x:c>
      <x:c r="I1048" t="n">
        <x:v>3.9</x:v>
      </x:c>
      <x:c r="J1048" t="n">
        <x:v>15</x:v>
      </x:c>
      <x:c r="K1048" t="n">
        <x:v>5</x:v>
      </x:c>
      <x:c r="L1048" t="str">
        <x:v>STORE-001</x:v>
      </x:c>
      <x:c r="M1048" s="22" t="n">
        <x:v>46022</x:v>
      </x:c>
      <x:c r="N1048" t="str">
        <x:v>SKU-022</x:v>
      </x:c>
      <x:c r="O1048" t="n">
        <x:v>1</x:v>
      </x:c>
      <x:c r="P1048" s="26" t="n">
        <x:f>F1048/O1048</x:f>
        <x:v>130.75</x:v>
      </x:c>
    </x:row>
    <x:row r="1049">
      <x:c r="A1049" t="n">
        <x:v>1048</x:v>
      </x:c>
      <x:c r="B1049" t="n">
        <x:v>55</x:v>
      </x:c>
      <x:c r="C1049" t="str">
        <x:v>Male</x:v>
      </x:c>
      <x:c r="D1049" t="str">
        <x:v>Footwear</x:v>
      </x:c>
      <x:c r="E1049" t="str">
        <x:v>Sandals</x:v>
      </x:c>
      <x:c r="F1049" s="24" t="n">
        <x:v>57.48</x:v>
      </x:c>
      <x:c r="G1049" t="str">
        <x:v>Summer</x:v>
      </x:c>
      <x:c r="H1049" t="str">
        <x:v>Card</x:v>
      </x:c>
      <x:c r="I1049" t="n">
        <x:v>4.1</x:v>
      </x:c>
      <x:c r="J1049" t="n">
        <x:v>15</x:v>
      </x:c>
      <x:c r="K1049" t="n">
        <x:v>5</x:v>
      </x:c>
      <x:c r="L1049" t="str">
        <x:v>STORE-001</x:v>
      </x:c>
      <x:c r="M1049" s="22" t="n">
        <x:v>46047</x:v>
      </x:c>
      <x:c r="N1049" t="str">
        <x:v>SKU-019</x:v>
      </x:c>
      <x:c r="O1049" t="n">
        <x:v>2</x:v>
      </x:c>
      <x:c r="P1049" s="26" t="n">
        <x:f>F1049/O1049</x:f>
        <x:v>28.74</x:v>
      </x:c>
    </x:row>
    <x:row r="1050">
      <x:c r="A1050" t="n">
        <x:v>1049</x:v>
      </x:c>
      <x:c r="B1050" t="n">
        <x:v>40</x:v>
      </x:c>
      <x:c r="C1050" t="str">
        <x:v>Female</x:v>
      </x:c>
      <x:c r="D1050" t="str">
        <x:v>Womens Clothing</x:v>
      </x:c>
      <x:c r="E1050" t="str">
        <x:v>Dress</x:v>
      </x:c>
      <x:c r="F1050" s="24" t="n">
        <x:v>75.56</x:v>
      </x:c>
      <x:c r="G1050" t="str">
        <x:v>Winter</x:v>
      </x:c>
      <x:c r="H1050" t="str">
        <x:v>Cash on Delivery</x:v>
      </x:c>
      <x:c r="I1050" t="n">
        <x:v>4.1</x:v>
      </x:c>
      <x:c r="J1050" t="n">
        <x:v>10</x:v>
      </x:c>
      <x:c r="K1050" t="n">
        <x:v>5</x:v>
      </x:c>
      <x:c r="L1050" t="str">
        <x:v>STORE-001</x:v>
      </x:c>
      <x:c r="M1050" s="22" t="n">
        <x:v>46261</x:v>
      </x:c>
      <x:c r="N1050" t="str">
        <x:v>SKU-004</x:v>
      </x:c>
      <x:c r="O1050" t="n">
        <x:v>2</x:v>
      </x:c>
      <x:c r="P1050" s="26" t="n">
        <x:f>F1050/O1050</x:f>
        <x:v>37.78</x:v>
      </x:c>
    </x:row>
    <x:row r="1051">
      <x:c r="A1051" t="n">
        <x:v>1050</x:v>
      </x:c>
      <x:c r="B1051" t="n">
        <x:v>34</x:v>
      </x:c>
      <x:c r="C1051" t="str">
        <x:v>Female</x:v>
      </x:c>
      <x:c r="D1051" t="str">
        <x:v>Accessories</x:v>
      </x:c>
      <x:c r="E1051" t="str">
        <x:v>Handbag</x:v>
      </x:c>
      <x:c r="F1051" s="24" t="n">
        <x:v>50.23</x:v>
      </x:c>
      <x:c r="G1051" t="str">
        <x:v>Spring</x:v>
      </x:c>
      <x:c r="H1051" t="str">
        <x:v>Cash on Delivery</x:v>
      </x:c>
      <x:c r="I1051" t="n">
        <x:v>2.2</x:v>
      </x:c>
      <x:c r="J1051" t="n">
        <x:v>6</x:v>
      </x:c>
      <x:c r="K1051" t="n">
        <x:v>3</x:v>
      </x:c>
      <x:c r="L1051" t="str">
        <x:v>STORE-001</x:v>
      </x:c>
      <x:c r="M1051" s="22" t="n">
        <x:v>45966</x:v>
      </x:c>
      <x:c r="N1051" t="str">
        <x:v>SKU-008</x:v>
      </x:c>
      <x:c r="O1051" t="n">
        <x:v>1</x:v>
      </x:c>
      <x:c r="P1051" s="26" t="n">
        <x:f>F1051/O1051</x:f>
        <x:v>50.23</x:v>
      </x:c>
    </x:row>
    <x:row r="1052">
      <x:c r="A1052" t="n">
        <x:v>1051</x:v>
      </x:c>
      <x:c r="B1052" t="n">
        <x:v>45</x:v>
      </x:c>
      <x:c r="C1052" t="str">
        <x:v>Female</x:v>
      </x:c>
      <x:c r="D1052" t="str">
        <x:v>Accessories</x:v>
      </x:c>
      <x:c r="E1052" t="str">
        <x:v>Handbag</x:v>
      </x:c>
      <x:c r="F1052" s="24" t="n">
        <x:v>56.28</x:v>
      </x:c>
      <x:c r="G1052" t="str">
        <x:v>Summer</x:v>
      </x:c>
      <x:c r="H1052" t="str">
        <x:v>Cash on Delivery</x:v>
      </x:c>
      <x:c r="I1052" t="n">
        <x:v>4.5</x:v>
      </x:c>
      <x:c r="J1052" t="n">
        <x:v>18</x:v>
      </x:c>
      <x:c r="K1052" t="n">
        <x:v>4</x:v>
      </x:c>
      <x:c r="L1052" t="str">
        <x:v>STORE-001</x:v>
      </x:c>
      <x:c r="M1052" s="22" t="n">
        <x:v>46020</x:v>
      </x:c>
      <x:c r="N1052" t="str">
        <x:v>SKU-008</x:v>
      </x:c>
      <x:c r="O1052" t="n">
        <x:v>1</x:v>
      </x:c>
      <x:c r="P1052" s="26" t="n">
        <x:f>F1052/O1052</x:f>
        <x:v>56.28</x:v>
      </x:c>
    </x:row>
    <x:row r="1053">
      <x:c r="A1053" t="n">
        <x:v>1052</x:v>
      </x:c>
      <x:c r="B1053" t="n">
        <x:v>31</x:v>
      </x:c>
      <x:c r="C1053" t="str">
        <x:v>Male</x:v>
      </x:c>
      <x:c r="D1053" t="str">
        <x:v>Home</x:v>
      </x:c>
      <x:c r="E1053" t="str">
        <x:v>Curtains</x:v>
      </x:c>
      <x:c r="F1053" s="24" t="n">
        <x:v>211.48</x:v>
      </x:c>
      <x:c r="G1053" t="str">
        <x:v>Spring</x:v>
      </x:c>
      <x:c r="H1053" t="str">
        <x:v>Card</x:v>
      </x:c>
      <x:c r="I1053" t="n">
        <x:v>2.8</x:v>
      </x:c>
      <x:c r="J1053" t="n">
        <x:v>9</x:v>
      </x:c>
      <x:c r="K1053" t="n">
        <x:v>2</x:v>
      </x:c>
      <x:c r="L1053" t="str">
        <x:v>STORE-001</x:v>
      </x:c>
      <x:c r="M1053" s="22" t="n">
        <x:v>46295</x:v>
      </x:c>
      <x:c r="N1053" t="str">
        <x:v>SKU-003</x:v>
      </x:c>
      <x:c r="O1053" t="n">
        <x:v>3</x:v>
      </x:c>
      <x:c r="P1053" s="26" t="n">
        <x:f>F1053/O1053</x:f>
        <x:v>70.49333333333333</x:v>
      </x:c>
    </x:row>
    <x:row r="1054">
      <x:c r="A1054" t="n">
        <x:v>1053</x:v>
      </x:c>
      <x:c r="B1054" t="n">
        <x:v>37</x:v>
      </x:c>
      <x:c r="C1054" t="str">
        <x:v>Female</x:v>
      </x:c>
      <x:c r="D1054" t="str">
        <x:v>Home</x:v>
      </x:c>
      <x:c r="E1054" t="str">
        <x:v>Lamp</x:v>
      </x:c>
      <x:c r="F1054" s="24" t="n">
        <x:v>75.82</x:v>
      </x:c>
      <x:c r="G1054" t="str">
        <x:v>Winter</x:v>
      </x:c>
      <x:c r="H1054" t="str">
        <x:v>Card</x:v>
      </x:c>
      <x:c r="I1054" t="n">
        <x:v>4.3</x:v>
      </x:c>
      <x:c r="J1054" t="n">
        <x:v>12</x:v>
      </x:c>
      <x:c r="K1054" t="n">
        <x:v>1</x:v>
      </x:c>
      <x:c r="L1054" t="str">
        <x:v>STORE-001</x:v>
      </x:c>
      <x:c r="M1054" s="22" t="n">
        <x:v>46243</x:v>
      </x:c>
      <x:c r="N1054" t="str">
        <x:v>SKU-013</x:v>
      </x:c>
      <x:c r="O1054" t="n">
        <x:v>1</x:v>
      </x:c>
      <x:c r="P1054" s="26" t="n">
        <x:f>F1054/O1054</x:f>
        <x:v>75.82</x:v>
      </x:c>
    </x:row>
    <x:row r="1055">
      <x:c r="A1055" t="n">
        <x:v>1054</x:v>
      </x:c>
      <x:c r="B1055" t="n">
        <x:v>60</x:v>
      </x:c>
      <x:c r="C1055" t="str">
        <x:v>Female</x:v>
      </x:c>
      <x:c r="D1055" t="str">
        <x:v>Accessories</x:v>
      </x:c>
      <x:c r="E1055" t="str">
        <x:v>Sunglasses</x:v>
      </x:c>
      <x:c r="F1055" s="24" t="n">
        <x:v>58.95</x:v>
      </x:c>
      <x:c r="G1055" t="str">
        <x:v>Winter</x:v>
      </x:c>
      <x:c r="H1055" t="str">
        <x:v>Cash on Delivery</x:v>
      </x:c>
      <x:c r="I1055" t="n">
        <x:v>3.5</x:v>
      </x:c>
      <x:c r="J1055" t="n">
        <x:v>6</x:v>
      </x:c>
      <x:c r="K1055" t="n">
        <x:v>3</x:v>
      </x:c>
      <x:c r="L1055" t="str">
        <x:v>STORE-001</x:v>
      </x:c>
      <x:c r="M1055" s="22" t="n">
        <x:v>46243</x:v>
      </x:c>
      <x:c r="N1055" t="str">
        <x:v>SKU-026</x:v>
      </x:c>
      <x:c r="O1055" t="n">
        <x:v>1</x:v>
      </x:c>
      <x:c r="P1055" s="26" t="n">
        <x:f>F1055/O1055</x:f>
        <x:v>58.95</x:v>
      </x:c>
    </x:row>
    <x:row r="1056">
      <x:c r="A1056" t="n">
        <x:v>1055</x:v>
      </x:c>
      <x:c r="B1056" t="n">
        <x:v>38</x:v>
      </x:c>
      <x:c r="C1056" t="str">
        <x:v>Male</x:v>
      </x:c>
      <x:c r="D1056" t="str">
        <x:v>Electronics</x:v>
      </x:c>
      <x:c r="E1056" t="str">
        <x:v>Headphones</x:v>
      </x:c>
      <x:c r="F1056" s="24" t="n">
        <x:v>1948.69</x:v>
      </x:c>
      <x:c r="G1056" t="str">
        <x:v>Summer</x:v>
      </x:c>
      <x:c r="H1056" t="str">
        <x:v>Card</x:v>
      </x:c>
      <x:c r="I1056" t="n">
        <x:v>2.9</x:v>
      </x:c>
      <x:c r="J1056" t="n">
        <x:v>16</x:v>
      </x:c>
      <x:c r="K1056" t="n">
        <x:v>8</x:v>
      </x:c>
      <x:c r="L1056" t="str">
        <x:v>STORE-001</x:v>
      </x:c>
      <x:c r="M1056" s="22" t="n">
        <x:v>46059</x:v>
      </x:c>
      <x:c r="N1056" t="str">
        <x:v>SKU-009</x:v>
      </x:c>
      <x:c r="O1056" t="n">
        <x:v>2</x:v>
      </x:c>
      <x:c r="P1056" s="26" t="n">
        <x:f>F1056/O1056</x:f>
        <x:v>974.345</x:v>
      </x:c>
    </x:row>
    <x:row r="1057">
      <x:c r="A1057" t="n">
        <x:v>1056</x:v>
      </x:c>
      <x:c r="B1057" t="n">
        <x:v>60</x:v>
      </x:c>
      <x:c r="C1057" t="str">
        <x:v>Male</x:v>
      </x:c>
      <x:c r="D1057" t="str">
        <x:v>Sports</x:v>
      </x:c>
      <x:c r="E1057" t="str">
        <x:v>Yoga Mat</x:v>
      </x:c>
      <x:c r="F1057" s="24" t="n">
        <x:v>221.58</x:v>
      </x:c>
      <x:c r="G1057" t="str">
        <x:v>Summer</x:v>
      </x:c>
      <x:c r="H1057" t="str">
        <x:v>Card</x:v>
      </x:c>
      <x:c r="I1057" t="n">
        <x:v>3.2</x:v>
      </x:c>
      <x:c r="J1057" t="n">
        <x:v>10</x:v>
      </x:c>
      <x:c r="K1057" t="n">
        <x:v>5</x:v>
      </x:c>
      <x:c r="L1057" t="str">
        <x:v>STORE-001</x:v>
      </x:c>
      <x:c r="M1057" s="22" t="n">
        <x:v>46015</x:v>
      </x:c>
      <x:c r="N1057" t="str">
        <x:v>SKU-030</x:v>
      </x:c>
      <x:c r="O1057" t="n">
        <x:v>1</x:v>
      </x:c>
      <x:c r="P1057" s="26" t="n">
        <x:f>F1057/O1057</x:f>
        <x:v>221.58</x:v>
      </x:c>
    </x:row>
    <x:row r="1058">
      <x:c r="A1058" t="n">
        <x:v>1057</x:v>
      </x:c>
      <x:c r="B1058" t="n">
        <x:v>40</x:v>
      </x:c>
      <x:c r="C1058" t="str">
        <x:v>Male</x:v>
      </x:c>
      <x:c r="D1058" t="str">
        <x:v>Sports</x:v>
      </x:c>
      <x:c r="E1058" t="str">
        <x:v>Football</x:v>
      </x:c>
      <x:c r="F1058" s="24" t="n">
        <x:v>194.16</x:v>
      </x:c>
      <x:c r="G1058" t="str">
        <x:v>Winter</x:v>
      </x:c>
      <x:c r="H1058" t="str">
        <x:v>Card</x:v>
      </x:c>
      <x:c r="I1058" t="n">
        <x:v>3.9</x:v>
      </x:c>
      <x:c r="J1058" t="n">
        <x:v>21</x:v>
      </x:c>
      <x:c r="K1058" t="n">
        <x:v>8</x:v>
      </x:c>
      <x:c r="L1058" t="str">
        <x:v>STORE-001</x:v>
      </x:c>
      <x:c r="M1058" s="22" t="n">
        <x:v>46230</x:v>
      </x:c>
      <x:c r="N1058" t="str">
        <x:v>SKU-006</x:v>
      </x:c>
      <x:c r="O1058" t="n">
        <x:v>1</x:v>
      </x:c>
      <x:c r="P1058" s="26" t="n">
        <x:f>F1058/O1058</x:f>
        <x:v>194.16</x:v>
      </x:c>
    </x:row>
    <x:row r="1059">
      <x:c r="A1059" t="n">
        <x:v>1058</x:v>
      </x:c>
      <x:c r="B1059" t="n">
        <x:v>33</x:v>
      </x:c>
      <x:c r="C1059" t="str">
        <x:v>Female</x:v>
      </x:c>
      <x:c r="D1059" t="str">
        <x:v>Footwear</x:v>
      </x:c>
      <x:c r="E1059" t="str">
        <x:v>Sneakers</x:v>
      </x:c>
      <x:c r="F1059" s="24" t="n">
        <x:v>40.3</x:v>
      </x:c>
      <x:c r="G1059" t="str">
        <x:v>Winter</x:v>
      </x:c>
      <x:c r="H1059" t="str">
        <x:v>Card</x:v>
      </x:c>
      <x:c r="I1059" t="n">
        <x:v>2.5</x:v>
      </x:c>
      <x:c r="J1059" t="n">
        <x:v>22</x:v>
      </x:c>
      <x:c r="K1059" t="n">
        <x:v>6</x:v>
      </x:c>
      <x:c r="L1059" t="str">
        <x:v>STORE-001</x:v>
      </x:c>
      <x:c r="M1059" s="22" t="n">
        <x:v>46181</x:v>
      </x:c>
      <x:c r="N1059" t="str">
        <x:v>SKU-025</x:v>
      </x:c>
      <x:c r="O1059" t="n">
        <x:v>1</x:v>
      </x:c>
      <x:c r="P1059" s="26" t="n">
        <x:f>F1059/O1059</x:f>
        <x:v>40.3</x:v>
      </x:c>
    </x:row>
    <x:row r="1060">
      <x:c r="A1060" t="n">
        <x:v>1059</x:v>
      </x:c>
      <x:c r="B1060" t="n">
        <x:v>64</x:v>
      </x:c>
      <x:c r="C1060" t="str">
        <x:v>Female</x:v>
      </x:c>
      <x:c r="D1060" t="str">
        <x:v>Womens Clothing</x:v>
      </x:c>
      <x:c r="E1060" t="str">
        <x:v>Top</x:v>
      </x:c>
      <x:c r="F1060" s="24" t="n">
        <x:v>178.98</x:v>
      </x:c>
      <x:c r="G1060" t="str">
        <x:v>Autumn</x:v>
      </x:c>
      <x:c r="H1060" t="str">
        <x:v>Card</x:v>
      </x:c>
      <x:c r="I1060" t="n">
        <x:v>3.2</x:v>
      </x:c>
      <x:c r="J1060" t="n">
        <x:v>20</x:v>
      </x:c>
      <x:c r="K1060" t="n">
        <x:v>5</x:v>
      </x:c>
      <x:c r="L1060" t="str">
        <x:v>STORE-001</x:v>
      </x:c>
      <x:c r="M1060" s="22" t="n">
        <x:v>46137</x:v>
      </x:c>
      <x:c r="N1060" t="str">
        <x:v>SKU-028</x:v>
      </x:c>
      <x:c r="O1060" t="n">
        <x:v>2</x:v>
      </x:c>
      <x:c r="P1060" s="26" t="n">
        <x:f>F1060/O1060</x:f>
        <x:v>89.49</x:v>
      </x:c>
    </x:row>
    <x:row r="1061">
      <x:c r="A1061" t="n">
        <x:v>1060</x:v>
      </x:c>
      <x:c r="B1061" t="n">
        <x:v>64</x:v>
      </x:c>
      <x:c r="C1061" t="str">
        <x:v>Female</x:v>
      </x:c>
      <x:c r="D1061" t="str">
        <x:v>Womens Clothing</x:v>
      </x:c>
      <x:c r="E1061" t="str">
        <x:v>Top</x:v>
      </x:c>
      <x:c r="F1061" s="24" t="n">
        <x:v>190.01</x:v>
      </x:c>
      <x:c r="G1061" t="str">
        <x:v>Spring</x:v>
      </x:c>
      <x:c r="H1061" t="str">
        <x:v>Card</x:v>
      </x:c>
      <x:c r="I1061" t="n">
        <x:v>4.1</x:v>
      </x:c>
      <x:c r="J1061" t="n">
        <x:v>18</x:v>
      </x:c>
      <x:c r="K1061" t="n">
        <x:v>9</x:v>
      </x:c>
      <x:c r="L1061" t="str">
        <x:v>STORE-001</x:v>
      </x:c>
      <x:c r="M1061" s="22" t="n">
        <x:v>46268</x:v>
      </x:c>
      <x:c r="N1061" t="str">
        <x:v>SKU-028</x:v>
      </x:c>
      <x:c r="O1061" t="n">
        <x:v>1</x:v>
      </x:c>
      <x:c r="P1061" s="26" t="n">
        <x:f>F1061/O1061</x:f>
        <x:v>190.01</x:v>
      </x:c>
    </x:row>
    <x:row r="1062">
      <x:c r="A1062" t="n">
        <x:v>1061</x:v>
      </x:c>
      <x:c r="B1062" t="n">
        <x:v>66</x:v>
      </x:c>
      <x:c r="C1062" t="str">
        <x:v>Female</x:v>
      </x:c>
      <x:c r="D1062" t="str">
        <x:v>Womens Clothing</x:v>
      </x:c>
      <x:c r="E1062" t="str">
        <x:v>Skirt</x:v>
      </x:c>
      <x:c r="F1062" s="24" t="n">
        <x:v>114.31</x:v>
      </x:c>
      <x:c r="G1062" t="str">
        <x:v>Autumn</x:v>
      </x:c>
      <x:c r="H1062" t="str">
        <x:v>Card</x:v>
      </x:c>
      <x:c r="I1062" t="n">
        <x:v>5</x:v>
      </x:c>
      <x:c r="J1062" t="n">
        <x:v>8</x:v>
      </x:c>
      <x:c r="K1062" t="n">
        <x:v>4</x:v>
      </x:c>
      <x:c r="L1062" t="str">
        <x:v>STORE-001</x:v>
      </x:c>
      <x:c r="M1062" s="22" t="n">
        <x:v>46093</x:v>
      </x:c>
      <x:c r="N1062" t="str">
        <x:v>SKU-022</x:v>
      </x:c>
      <x:c r="O1062" t="n">
        <x:v>1</x:v>
      </x:c>
      <x:c r="P1062" s="26" t="n">
        <x:f>F1062/O1062</x:f>
        <x:v>114.31</x:v>
      </x:c>
    </x:row>
    <x:row r="1063">
      <x:c r="A1063" t="n">
        <x:v>1062</x:v>
      </x:c>
      <x:c r="B1063" t="n">
        <x:v>21</x:v>
      </x:c>
      <x:c r="C1063" t="str">
        <x:v>Male</x:v>
      </x:c>
      <x:c r="D1063" t="str">
        <x:v>Mens Clothing</x:v>
      </x:c>
      <x:c r="E1063" t="str">
        <x:v>Shirt</x:v>
      </x:c>
      <x:c r="F1063" s="24" t="n">
        <x:v>114.03</x:v>
      </x:c>
      <x:c r="G1063" t="str">
        <x:v>Autumn</x:v>
      </x:c>
      <x:c r="H1063" t="str">
        <x:v>Card</x:v>
      </x:c>
      <x:c r="I1063" t="n">
        <x:v>2.6</x:v>
      </x:c>
      <x:c r="J1063" t="n">
        <x:v>12</x:v>
      </x:c>
      <x:c r="K1063" t="n">
        <x:v>1</x:v>
      </x:c>
      <x:c r="L1063" t="str">
        <x:v>STORE-001</x:v>
      </x:c>
      <x:c r="M1063" s="22" t="n">
        <x:v>46084</x:v>
      </x:c>
      <x:c r="N1063" t="str">
        <x:v>SKU-020</x:v>
      </x:c>
      <x:c r="O1063" t="n">
        <x:v>1</x:v>
      </x:c>
      <x:c r="P1063" s="26" t="n">
        <x:f>F1063/O1063</x:f>
        <x:v>114.03</x:v>
      </x:c>
    </x:row>
    <x:row r="1064">
      <x:c r="A1064" t="n">
        <x:v>1063</x:v>
      </x:c>
      <x:c r="B1064" t="n">
        <x:v>49</x:v>
      </x:c>
      <x:c r="C1064" t="str">
        <x:v>Male</x:v>
      </x:c>
      <x:c r="D1064" t="str">
        <x:v>Footwear</x:v>
      </x:c>
      <x:c r="E1064" t="str">
        <x:v>Formal Shoes</x:v>
      </x:c>
      <x:c r="F1064" s="24" t="n">
        <x:v>106.57</x:v>
      </x:c>
      <x:c r="G1064" t="str">
        <x:v>Autumn</x:v>
      </x:c>
      <x:c r="H1064" t="str">
        <x:v>Card</x:v>
      </x:c>
      <x:c r="I1064" t="n">
        <x:v>3.2</x:v>
      </x:c>
      <x:c r="J1064" t="n">
        <x:v>8</x:v>
      </x:c>
      <x:c r="K1064" t="n">
        <x:v>4</x:v>
      </x:c>
      <x:c r="L1064" t="str">
        <x:v>STORE-001</x:v>
      </x:c>
      <x:c r="M1064" s="22" t="n">
        <x:v>46100</x:v>
      </x:c>
      <x:c r="N1064" t="str">
        <x:v>SKU-007</x:v>
      </x:c>
      <x:c r="O1064" t="n">
        <x:v>1</x:v>
      </x:c>
      <x:c r="P1064" s="26" t="n">
        <x:f>F1064/O1064</x:f>
        <x:v>106.57</x:v>
      </x:c>
    </x:row>
    <x:row r="1065">
      <x:c r="A1065" t="n">
        <x:v>1064</x:v>
      </x:c>
      <x:c r="B1065" t="n">
        <x:v>40</x:v>
      </x:c>
      <x:c r="C1065" t="str">
        <x:v>Female</x:v>
      </x:c>
      <x:c r="D1065" t="str">
        <x:v>Beauty</x:v>
      </x:c>
      <x:c r="E1065" t="str">
        <x:v>Makeup Set</x:v>
      </x:c>
      <x:c r="F1065" s="24" t="n">
        <x:v>44.46</x:v>
      </x:c>
      <x:c r="G1065" t="str">
        <x:v>Summer</x:v>
      </x:c>
      <x:c r="H1065" t="str">
        <x:v>Card</x:v>
      </x:c>
      <x:c r="I1065" t="n">
        <x:v>3.5</x:v>
      </x:c>
      <x:c r="J1065" t="n">
        <x:v>22</x:v>
      </x:c>
      <x:c r="K1065" t="n">
        <x:v>6</x:v>
      </x:c>
      <x:c r="L1065" t="str">
        <x:v>STORE-001</x:v>
      </x:c>
      <x:c r="M1065" s="22" t="n">
        <x:v>46011</x:v>
      </x:c>
      <x:c r="N1065" t="str">
        <x:v>SKU-015</x:v>
      </x:c>
      <x:c r="O1065" t="n">
        <x:v>1</x:v>
      </x:c>
      <x:c r="P1065" s="26" t="n">
        <x:f>F1065/O1065</x:f>
        <x:v>44.46</x:v>
      </x:c>
    </x:row>
    <x:row r="1066">
      <x:c r="A1066" t="n">
        <x:v>1065</x:v>
      </x:c>
      <x:c r="B1066" t="n">
        <x:v>49</x:v>
      </x:c>
      <x:c r="C1066" t="str">
        <x:v>Female</x:v>
      </x:c>
      <x:c r="D1066" t="str">
        <x:v>Womens Clothing</x:v>
      </x:c>
      <x:c r="E1066" t="str">
        <x:v>Skirt</x:v>
      </x:c>
      <x:c r="F1066" s="24" t="n">
        <x:v>43.75</x:v>
      </x:c>
      <x:c r="G1066" t="str">
        <x:v>Spring</x:v>
      </x:c>
      <x:c r="H1066" t="str">
        <x:v>Card</x:v>
      </x:c>
      <x:c r="I1066" t="n">
        <x:v>3.8</x:v>
      </x:c>
      <x:c r="J1066" t="n">
        <x:v>22</x:v>
      </x:c>
      <x:c r="K1066" t="n">
        <x:v>6</x:v>
      </x:c>
      <x:c r="L1066" t="str">
        <x:v>STORE-001</x:v>
      </x:c>
      <x:c r="M1066" s="22" t="n">
        <x:v>46284</x:v>
      </x:c>
      <x:c r="N1066" t="str">
        <x:v>SKU-022</x:v>
      </x:c>
      <x:c r="O1066" t="n">
        <x:v>1</x:v>
      </x:c>
      <x:c r="P1066" s="26" t="n">
        <x:f>F1066/O1066</x:f>
        <x:v>43.75</x:v>
      </x:c>
    </x:row>
    <x:row r="1067">
      <x:c r="A1067" t="n">
        <x:v>1066</x:v>
      </x:c>
      <x:c r="B1067" t="n">
        <x:v>20</x:v>
      </x:c>
      <x:c r="C1067" t="str">
        <x:v>Male</x:v>
      </x:c>
      <x:c r="D1067" t="str">
        <x:v>Sports</x:v>
      </x:c>
      <x:c r="E1067" t="str">
        <x:v>Yoga Mat</x:v>
      </x:c>
      <x:c r="F1067" s="24" t="n">
        <x:v>98.82</x:v>
      </x:c>
      <x:c r="G1067" t="str">
        <x:v>Winter</x:v>
      </x:c>
      <x:c r="H1067" t="str">
        <x:v>Card</x:v>
      </x:c>
      <x:c r="I1067" t="n">
        <x:v>3.5</x:v>
      </x:c>
      <x:c r="J1067" t="n">
        <x:v>16</x:v>
      </x:c>
      <x:c r="K1067" t="n">
        <x:v>3</x:v>
      </x:c>
      <x:c r="L1067" t="str">
        <x:v>STORE-001</x:v>
      </x:c>
      <x:c r="M1067" s="22" t="n">
        <x:v>46204</x:v>
      </x:c>
      <x:c r="N1067" t="str">
        <x:v>SKU-030</x:v>
      </x:c>
      <x:c r="O1067" t="n">
        <x:v>1</x:v>
      </x:c>
      <x:c r="P1067" s="26" t="n">
        <x:f>F1067/O1067</x:f>
        <x:v>98.82</x:v>
      </x:c>
    </x:row>
    <x:row r="1068">
      <x:c r="A1068" t="n">
        <x:v>1067</x:v>
      </x:c>
      <x:c r="B1068" t="n">
        <x:v>53</x:v>
      </x:c>
      <x:c r="C1068" t="str">
        <x:v>Male</x:v>
      </x:c>
      <x:c r="D1068" t="str">
        <x:v>Mens Clothing</x:v>
      </x:c>
      <x:c r="E1068" t="str">
        <x:v>Jeans</x:v>
      </x:c>
      <x:c r="F1068" s="24" t="n">
        <x:v>176.35</x:v>
      </x:c>
      <x:c r="G1068" t="str">
        <x:v>Autumn</x:v>
      </x:c>
      <x:c r="H1068" t="str">
        <x:v>Card</x:v>
      </x:c>
      <x:c r="I1068" t="n">
        <x:v>4</x:v>
      </x:c>
      <x:c r="J1068" t="n">
        <x:v>6</x:v>
      </x:c>
      <x:c r="K1068" t="n">
        <x:v>3</x:v>
      </x:c>
      <x:c r="L1068" t="str">
        <x:v>STORE-001</x:v>
      </x:c>
      <x:c r="M1068" s="22" t="n">
        <x:v>46097</x:v>
      </x:c>
      <x:c r="N1068" t="str">
        <x:v>SKU-011</x:v>
      </x:c>
      <x:c r="O1068" t="n">
        <x:v>1</x:v>
      </x:c>
      <x:c r="P1068" s="26" t="n">
        <x:f>F1068/O1068</x:f>
        <x:v>176.35</x:v>
      </x:c>
    </x:row>
    <x:row r="1069">
      <x:c r="A1069" t="n">
        <x:v>1068</x:v>
      </x:c>
      <x:c r="B1069" t="n">
        <x:v>20</x:v>
      </x:c>
      <x:c r="C1069" t="str">
        <x:v>Male</x:v>
      </x:c>
      <x:c r="D1069" t="str">
        <x:v>Electronics</x:v>
      </x:c>
      <x:c r="E1069" t="str">
        <x:v>Laptop</x:v>
      </x:c>
      <x:c r="F1069" s="24" t="n">
        <x:v>768.38</x:v>
      </x:c>
      <x:c r="G1069" t="str">
        <x:v>Autumn</x:v>
      </x:c>
      <x:c r="H1069" t="str">
        <x:v>Card</x:v>
      </x:c>
      <x:c r="I1069" t="n">
        <x:v>4.3</x:v>
      </x:c>
      <x:c r="J1069" t="n">
        <x:v>15</x:v>
      </x:c>
      <x:c r="K1069" t="n">
        <x:v>5</x:v>
      </x:c>
      <x:c r="L1069" t="str">
        <x:v>STORE-001</x:v>
      </x:c>
      <x:c r="M1069" s="22" t="n">
        <x:v>46139</x:v>
      </x:c>
      <x:c r="N1069" t="str">
        <x:v>SKU-014</x:v>
      </x:c>
      <x:c r="O1069" t="n">
        <x:v>1</x:v>
      </x:c>
      <x:c r="P1069" s="26" t="n">
        <x:f>F1069/O1069</x:f>
        <x:v>768.38</x:v>
      </x:c>
    </x:row>
    <x:row r="1070">
      <x:c r="A1070" t="n">
        <x:v>1069</x:v>
      </x:c>
      <x:c r="B1070" t="n">
        <x:v>58</x:v>
      </x:c>
      <x:c r="C1070" t="str">
        <x:v>Male</x:v>
      </x:c>
      <x:c r="D1070" t="str">
        <x:v>Electronics</x:v>
      </x:c>
      <x:c r="E1070" t="str">
        <x:v>Laptop</x:v>
      </x:c>
      <x:c r="F1070" s="24" t="n">
        <x:v>2823.73</x:v>
      </x:c>
      <x:c r="G1070" t="str">
        <x:v>Spring</x:v>
      </x:c>
      <x:c r="H1070" t="str">
        <x:v>Card</x:v>
      </x:c>
      <x:c r="I1070" t="n">
        <x:v>4.5</x:v>
      </x:c>
      <x:c r="J1070" t="n">
        <x:v>20</x:v>
      </x:c>
      <x:c r="K1070" t="n">
        <x:v>5</x:v>
      </x:c>
      <x:c r="L1070" t="str">
        <x:v>STORE-001</x:v>
      </x:c>
      <x:c r="M1070" s="22" t="n">
        <x:v>46272</x:v>
      </x:c>
      <x:c r="N1070" t="str">
        <x:v>SKU-014</x:v>
      </x:c>
      <x:c r="O1070" t="n">
        <x:v>1</x:v>
      </x:c>
      <x:c r="P1070" s="26" t="n">
        <x:f>F1070/O1070</x:f>
        <x:v>2823.73</x:v>
      </x:c>
    </x:row>
    <x:row r="1071">
      <x:c r="A1071" t="n">
        <x:v>1070</x:v>
      </x:c>
      <x:c r="B1071" t="n">
        <x:v>53</x:v>
      </x:c>
      <x:c r="C1071" t="str">
        <x:v>Male</x:v>
      </x:c>
      <x:c r="D1071" t="str">
        <x:v>Sports</x:v>
      </x:c>
      <x:c r="E1071" t="str">
        <x:v>Yoga Mat</x:v>
      </x:c>
      <x:c r="F1071" s="24" t="n">
        <x:v>33.24</x:v>
      </x:c>
      <x:c r="G1071" t="str">
        <x:v>Autumn</x:v>
      </x:c>
      <x:c r="H1071" t="str">
        <x:v>Cash on Delivery</x:v>
      </x:c>
      <x:c r="I1071" t="n">
        <x:v>4.1</x:v>
      </x:c>
      <x:c r="J1071" t="n">
        <x:v>22</x:v>
      </x:c>
      <x:c r="K1071" t="n">
        <x:v>6</x:v>
      </x:c>
      <x:c r="L1071" t="str">
        <x:v>STORE-001</x:v>
      </x:c>
      <x:c r="M1071" s="22" t="n">
        <x:v>46158</x:v>
      </x:c>
      <x:c r="N1071" t="str">
        <x:v>SKU-030</x:v>
      </x:c>
      <x:c r="O1071" t="n">
        <x:v>3</x:v>
      </x:c>
      <x:c r="P1071" s="26" t="n">
        <x:f>F1071/O1071</x:f>
        <x:v>11.08</x:v>
      </x:c>
    </x:row>
    <x:row r="1072">
      <x:c r="A1072" t="n">
        <x:v>1071</x:v>
      </x:c>
      <x:c r="B1072" t="n">
        <x:v>38</x:v>
      </x:c>
      <x:c r="C1072" t="str">
        <x:v>Female</x:v>
      </x:c>
      <x:c r="D1072" t="str">
        <x:v>Accessories</x:v>
      </x:c>
      <x:c r="E1072" t="str">
        <x:v>Wallet</x:v>
      </x:c>
      <x:c r="F1072" s="24" t="n">
        <x:v>150.79</x:v>
      </x:c>
      <x:c r="G1072" t="str">
        <x:v>Autumn</x:v>
      </x:c>
      <x:c r="H1072" t="str">
        <x:v>Card</x:v>
      </x:c>
      <x:c r="I1072" t="n">
        <x:v>2.7</x:v>
      </x:c>
      <x:c r="J1072" t="n">
        <x:v>10</x:v>
      </x:c>
      <x:c r="K1072" t="n">
        <x:v>5</x:v>
      </x:c>
      <x:c r="L1072" t="str">
        <x:v>STORE-001</x:v>
      </x:c>
      <x:c r="M1072" s="22" t="n">
        <x:v>46107</x:v>
      </x:c>
      <x:c r="N1072" t="str">
        <x:v>SKU-029</x:v>
      </x:c>
      <x:c r="O1072" t="n">
        <x:v>1</x:v>
      </x:c>
      <x:c r="P1072" s="26" t="n">
        <x:f>F1072/O1072</x:f>
        <x:v>150.79</x:v>
      </x:c>
    </x:row>
    <x:row r="1073">
      <x:c r="A1073" t="n">
        <x:v>1072</x:v>
      </x:c>
      <x:c r="B1073" t="n">
        <x:v>65</x:v>
      </x:c>
      <x:c r="C1073" t="str">
        <x:v>Male</x:v>
      </x:c>
      <x:c r="D1073" t="str">
        <x:v>Sports</x:v>
      </x:c>
      <x:c r="E1073" t="str">
        <x:v>Yoga Mat</x:v>
      </x:c>
      <x:c r="F1073" s="24" t="n">
        <x:v>208.78</x:v>
      </x:c>
      <x:c r="G1073" t="str">
        <x:v>Autumn</x:v>
      </x:c>
      <x:c r="H1073" t="str">
        <x:v>Card</x:v>
      </x:c>
      <x:c r="I1073" t="n">
        <x:v>4.3</x:v>
      </x:c>
      <x:c r="J1073" t="n">
        <x:v>20</x:v>
      </x:c>
      <x:c r="K1073" t="n">
        <x:v>5</x:v>
      </x:c>
      <x:c r="L1073" t="str">
        <x:v>STORE-001</x:v>
      </x:c>
      <x:c r="M1073" s="22" t="n">
        <x:v>46153</x:v>
      </x:c>
      <x:c r="N1073" t="str">
        <x:v>SKU-030</x:v>
      </x:c>
      <x:c r="O1073" t="n">
        <x:v>1</x:v>
      </x:c>
      <x:c r="P1073" s="26" t="n">
        <x:f>F1073/O1073</x:f>
        <x:v>208.78</x:v>
      </x:c>
    </x:row>
    <x:row r="1074">
      <x:c r="A1074" t="n">
        <x:v>1073</x:v>
      </x:c>
      <x:c r="B1074" t="n">
        <x:v>22</x:v>
      </x:c>
      <x:c r="C1074" t="str">
        <x:v>Female</x:v>
      </x:c>
      <x:c r="D1074" t="str">
        <x:v>Accessories</x:v>
      </x:c>
      <x:c r="E1074" t="str">
        <x:v>Handbag</x:v>
      </x:c>
      <x:c r="F1074" s="24" t="n">
        <x:v>80.5</x:v>
      </x:c>
      <x:c r="G1074" t="str">
        <x:v>Summer</x:v>
      </x:c>
      <x:c r="H1074" t="str">
        <x:v>Card</x:v>
      </x:c>
      <x:c r="I1074" t="n">
        <x:v>4</x:v>
      </x:c>
      <x:c r="J1074" t="n">
        <x:v>16</x:v>
      </x:c>
      <x:c r="K1074" t="n">
        <x:v>3</x:v>
      </x:c>
      <x:c r="L1074" t="str">
        <x:v>STORE-001</x:v>
      </x:c>
      <x:c r="M1074" s="22" t="n">
        <x:v>46044</x:v>
      </x:c>
      <x:c r="N1074" t="str">
        <x:v>SKU-008</x:v>
      </x:c>
      <x:c r="O1074" t="n">
        <x:v>1</x:v>
      </x:c>
      <x:c r="P1074" s="26" t="n">
        <x:f>F1074/O1074</x:f>
        <x:v>80.5</x:v>
      </x:c>
    </x:row>
    <x:row r="1075">
      <x:c r="A1075" t="n">
        <x:v>1074</x:v>
      </x:c>
      <x:c r="B1075" t="n">
        <x:v>60</x:v>
      </x:c>
      <x:c r="C1075" t="str">
        <x:v>Male</x:v>
      </x:c>
      <x:c r="D1075" t="str">
        <x:v>Sports</x:v>
      </x:c>
      <x:c r="E1075" t="str">
        <x:v>Dumbbells</x:v>
      </x:c>
      <x:c r="F1075" s="24" t="n">
        <x:v>139.64</x:v>
      </x:c>
      <x:c r="G1075" t="str">
        <x:v>Autumn</x:v>
      </x:c>
      <x:c r="H1075" t="str">
        <x:v>Card</x:v>
      </x:c>
      <x:c r="I1075" t="n">
        <x:v>4</x:v>
      </x:c>
      <x:c r="J1075" t="n">
        <x:v>26</x:v>
      </x:c>
      <x:c r="K1075" t="n">
        <x:v>8</x:v>
      </x:c>
      <x:c r="L1075" t="str">
        <x:v>STORE-001</x:v>
      </x:c>
      <x:c r="M1075" s="22" t="n">
        <x:v>46112</x:v>
      </x:c>
      <x:c r="N1075" t="str">
        <x:v>SKU-005</x:v>
      </x:c>
      <x:c r="O1075" t="n">
        <x:v>1</x:v>
      </x:c>
      <x:c r="P1075" s="26" t="n">
        <x:f>F1075/O1075</x:f>
        <x:v>139.64</x:v>
      </x:c>
    </x:row>
    <x:row r="1076">
      <x:c r="A1076" t="n">
        <x:v>1075</x:v>
      </x:c>
      <x:c r="B1076" t="n">
        <x:v>32</x:v>
      </x:c>
      <x:c r="C1076" t="str">
        <x:v>Female</x:v>
      </x:c>
      <x:c r="D1076" t="str">
        <x:v>Beauty</x:v>
      </x:c>
      <x:c r="E1076" t="str">
        <x:v>Skincare Kit</x:v>
      </x:c>
      <x:c r="F1076" s="24" t="n">
        <x:v>105.08</x:v>
      </x:c>
      <x:c r="G1076" t="str">
        <x:v>Spring</x:v>
      </x:c>
      <x:c r="H1076" t="str">
        <x:v>Card</x:v>
      </x:c>
      <x:c r="I1076" t="n">
        <x:v>3</x:v>
      </x:c>
      <x:c r="J1076" t="n">
        <x:v>13</x:v>
      </x:c>
      <x:c r="K1076" t="n">
        <x:v>4</x:v>
      </x:c>
      <x:c r="L1076" t="str">
        <x:v>STORE-001</x:v>
      </x:c>
      <x:c r="M1076" s="22" t="n">
        <x:v>45953</x:v>
      </x:c>
      <x:c r="N1076" t="str">
        <x:v>SKU-021</x:v>
      </x:c>
      <x:c r="O1076" t="n">
        <x:v>1</x:v>
      </x:c>
      <x:c r="P1076" s="26" t="n">
        <x:f>F1076/O1076</x:f>
        <x:v>105.08</x:v>
      </x:c>
    </x:row>
    <x:row r="1077">
      <x:c r="A1077" t="n">
        <x:v>1076</x:v>
      </x:c>
      <x:c r="B1077" t="n">
        <x:v>47</x:v>
      </x:c>
      <x:c r="C1077" t="str">
        <x:v>Male</x:v>
      </x:c>
      <x:c r="D1077" t="str">
        <x:v>Groceries</x:v>
      </x:c>
      <x:c r="E1077" t="str">
        <x:v>Cooking Oil</x:v>
      </x:c>
      <x:c r="F1077" s="24" t="n">
        <x:v>73.92</x:v>
      </x:c>
      <x:c r="G1077" t="str">
        <x:v>Spring</x:v>
      </x:c>
      <x:c r="H1077" t="str">
        <x:v>Cash on Delivery</x:v>
      </x:c>
      <x:c r="I1077" t="n">
        <x:v>3.5</x:v>
      </x:c>
      <x:c r="J1077" t="n">
        <x:v>9</x:v>
      </x:c>
      <x:c r="K1077" t="n">
        <x:v>2</x:v>
      </x:c>
      <x:c r="L1077" t="str">
        <x:v>STORE-001</x:v>
      </x:c>
      <x:c r="M1077" s="22" t="n">
        <x:v>45984</x:v>
      </x:c>
      <x:c r="N1077" t="str">
        <x:v>SKU-002</x:v>
      </x:c>
      <x:c r="O1077" t="n">
        <x:v>3</x:v>
      </x:c>
      <x:c r="P1077" s="26" t="n">
        <x:f>F1077/O1077</x:f>
        <x:v>24.64</x:v>
      </x:c>
    </x:row>
    <x:row r="1078">
      <x:c r="A1078" t="n">
        <x:v>1077</x:v>
      </x:c>
      <x:c r="B1078" t="n">
        <x:v>48</x:v>
      </x:c>
      <x:c r="C1078" t="str">
        <x:v>Male</x:v>
      </x:c>
      <x:c r="D1078" t="str">
        <x:v>Electronics</x:v>
      </x:c>
      <x:c r="E1078" t="str">
        <x:v>Smart Watch</x:v>
      </x:c>
      <x:c r="F1078" s="24" t="n">
        <x:v>2738.51</x:v>
      </x:c>
      <x:c r="G1078" t="str">
        <x:v>Summer</x:v>
      </x:c>
      <x:c r="H1078" t="str">
        <x:v>Card</x:v>
      </x:c>
      <x:c r="I1078" t="n">
        <x:v>3.5</x:v>
      </x:c>
      <x:c r="J1078" t="n">
        <x:v>11</x:v>
      </x:c>
      <x:c r="K1078" t="n">
        <x:v>3</x:v>
      </x:c>
      <x:c r="L1078" t="str">
        <x:v>STORE-001</x:v>
      </x:c>
      <x:c r="M1078" s="22" t="n">
        <x:v>46044</x:v>
      </x:c>
      <x:c r="N1078" t="str">
        <x:v>SKU-023</x:v>
      </x:c>
      <x:c r="O1078" t="n">
        <x:v>1</x:v>
      </x:c>
      <x:c r="P1078" s="26" t="n">
        <x:f>F1078/O1078</x:f>
        <x:v>2738.51</x:v>
      </x:c>
    </x:row>
    <x:row r="1079">
      <x:c r="A1079" t="n">
        <x:v>1078</x:v>
      </x:c>
      <x:c r="B1079" t="n">
        <x:v>69</x:v>
      </x:c>
      <x:c r="C1079" t="str">
        <x:v>Male</x:v>
      </x:c>
      <x:c r="D1079" t="str">
        <x:v>Electronics</x:v>
      </x:c>
      <x:c r="E1079" t="str">
        <x:v>Smart Watch</x:v>
      </x:c>
      <x:c r="F1079" s="24" t="n">
        <x:v>1627.36</x:v>
      </x:c>
      <x:c r="G1079" t="str">
        <x:v>Spring</x:v>
      </x:c>
      <x:c r="H1079" t="str">
        <x:v>Card</x:v>
      </x:c>
      <x:c r="I1079" t="n">
        <x:v>3.5</x:v>
      </x:c>
      <x:c r="J1079" t="n">
        <x:v>18</x:v>
      </x:c>
      <x:c r="K1079" t="n">
        <x:v>4</x:v>
      </x:c>
      <x:c r="L1079" t="str">
        <x:v>STORE-001</x:v>
      </x:c>
      <x:c r="M1079" s="22" t="n">
        <x:v>45954</x:v>
      </x:c>
      <x:c r="N1079" t="str">
        <x:v>SKU-023</x:v>
      </x:c>
      <x:c r="O1079" t="n">
        <x:v>2</x:v>
      </x:c>
      <x:c r="P1079" s="26" t="n">
        <x:f>F1079/O1079</x:f>
        <x:v>813.68</x:v>
      </x:c>
    </x:row>
    <x:row r="1080">
      <x:c r="A1080" t="n">
        <x:v>1079</x:v>
      </x:c>
      <x:c r="B1080" t="n">
        <x:v>64</x:v>
      </x:c>
      <x:c r="C1080" t="str">
        <x:v>Male</x:v>
      </x:c>
      <x:c r="D1080" t="str">
        <x:v>Groceries</x:v>
      </x:c>
      <x:c r="E1080" t="str">
        <x:v>Snacks</x:v>
      </x:c>
      <x:c r="F1080" s="24" t="n">
        <x:v>44.35</x:v>
      </x:c>
      <x:c r="G1080" t="str">
        <x:v>Spring</x:v>
      </x:c>
      <x:c r="H1080" t="str">
        <x:v>Cash on Delivery</x:v>
      </x:c>
      <x:c r="I1080" t="n">
        <x:v>3.4</x:v>
      </x:c>
      <x:c r="J1080" t="n">
        <x:v>15</x:v>
      </x:c>
      <x:c r="K1080" t="n">
        <x:v>5</x:v>
      </x:c>
      <x:c r="L1080" t="str">
        <x:v>STORE-001</x:v>
      </x:c>
      <x:c r="M1080" s="22" t="n">
        <x:v>46283</x:v>
      </x:c>
      <x:c r="N1080" t="str">
        <x:v>SKU-024</x:v>
      </x:c>
      <x:c r="O1080" t="n">
        <x:v>1</x:v>
      </x:c>
      <x:c r="P1080" s="26" t="n">
        <x:f>F1080/O1080</x:f>
        <x:v>44.35</x:v>
      </x:c>
    </x:row>
    <x:row r="1081">
      <x:c r="A1081" t="n">
        <x:v>1080</x:v>
      </x:c>
      <x:c r="B1081" t="n">
        <x:v>51</x:v>
      </x:c>
      <x:c r="C1081" t="str">
        <x:v>Male</x:v>
      </x:c>
      <x:c r="D1081" t="str">
        <x:v>Groceries</x:v>
      </x:c>
      <x:c r="E1081" t="str">
        <x:v>Beverages</x:v>
      </x:c>
      <x:c r="F1081" s="24" t="n">
        <x:v>67.37</x:v>
      </x:c>
      <x:c r="G1081" t="str">
        <x:v>Winter</x:v>
      </x:c>
      <x:c r="H1081" t="str">
        <x:v>Cash on Delivery</x:v>
      </x:c>
      <x:c r="I1081" t="n">
        <x:v>3.6</x:v>
      </x:c>
      <x:c r="J1081" t="n">
        <x:v>22</x:v>
      </x:c>
      <x:c r="K1081" t="n">
        <x:v>6</x:v>
      </x:c>
      <x:c r="L1081" t="str">
        <x:v>STORE-001</x:v>
      </x:c>
      <x:c r="M1081" s="22" t="n">
        <x:v>46182</x:v>
      </x:c>
      <x:c r="N1081" t="str">
        <x:v>SKU-001</x:v>
      </x:c>
      <x:c r="O1081" t="n">
        <x:v>5</x:v>
      </x:c>
      <x:c r="P1081" s="26" t="n">
        <x:f>F1081/O1081</x:f>
        <x:v>13.474</x:v>
      </x:c>
    </x:row>
    <x:row r="1082">
      <x:c r="A1082" t="n">
        <x:v>1081</x:v>
      </x:c>
      <x:c r="B1082" t="n">
        <x:v>55</x:v>
      </x:c>
      <x:c r="C1082" t="str">
        <x:v>Female</x:v>
      </x:c>
      <x:c r="D1082" t="str">
        <x:v>Beauty</x:v>
      </x:c>
      <x:c r="E1082" t="str">
        <x:v>Perfume</x:v>
      </x:c>
      <x:c r="F1082" s="24" t="n">
        <x:v>51.63</x:v>
      </x:c>
      <x:c r="G1082" t="str">
        <x:v>Autumn</x:v>
      </x:c>
      <x:c r="H1082" t="str">
        <x:v>Card</x:v>
      </x:c>
      <x:c r="I1082" t="n">
        <x:v>4.6</x:v>
      </x:c>
      <x:c r="J1082" t="n">
        <x:v>18</x:v>
      </x:c>
      <x:c r="K1082" t="n">
        <x:v>4</x:v>
      </x:c>
      <x:c r="L1082" t="str">
        <x:v>STORE-001</x:v>
      </x:c>
      <x:c r="M1082" s="22" t="n">
        <x:v>46099</x:v>
      </x:c>
      <x:c r="N1082" t="str">
        <x:v>SKU-017</x:v>
      </x:c>
      <x:c r="O1082" t="n">
        <x:v>1</x:v>
      </x:c>
      <x:c r="P1082" s="26" t="n">
        <x:f>F1082/O1082</x:f>
        <x:v>51.63</x:v>
      </x:c>
    </x:row>
    <x:row r="1083">
      <x:c r="A1083" t="n">
        <x:v>1082</x:v>
      </x:c>
      <x:c r="B1083" t="n">
        <x:v>62</x:v>
      </x:c>
      <x:c r="C1083" t="str">
        <x:v>Male</x:v>
      </x:c>
      <x:c r="D1083" t="str">
        <x:v>Sports</x:v>
      </x:c>
      <x:c r="E1083" t="str">
        <x:v>Football</x:v>
      </x:c>
      <x:c r="F1083" s="24" t="n">
        <x:v>202.1</x:v>
      </x:c>
      <x:c r="G1083" t="str">
        <x:v>Summer</x:v>
      </x:c>
      <x:c r="H1083" t="str">
        <x:v>Card</x:v>
      </x:c>
      <x:c r="I1083" t="n">
        <x:v>2.2</x:v>
      </x:c>
      <x:c r="J1083" t="n">
        <x:v>20</x:v>
      </x:c>
      <x:c r="K1083" t="n">
        <x:v>5</x:v>
      </x:c>
      <x:c r="L1083" t="str">
        <x:v>STORE-001</x:v>
      </x:c>
      <x:c r="M1083" s="22" t="n">
        <x:v>46011</x:v>
      </x:c>
      <x:c r="N1083" t="str">
        <x:v>SKU-006</x:v>
      </x:c>
      <x:c r="O1083" t="n">
        <x:v>3</x:v>
      </x:c>
      <x:c r="P1083" s="26" t="n">
        <x:f>F1083/O1083</x:f>
        <x:v>67.36666666666666</x:v>
      </x:c>
    </x:row>
    <x:row r="1084">
      <x:c r="A1084" t="n">
        <x:v>1083</x:v>
      </x:c>
      <x:c r="B1084" t="n">
        <x:v>52</x:v>
      </x:c>
      <x:c r="C1084" t="str">
        <x:v>Female</x:v>
      </x:c>
      <x:c r="D1084" t="str">
        <x:v>Footwear</x:v>
      </x:c>
      <x:c r="E1084" t="str">
        <x:v>Sneakers</x:v>
      </x:c>
      <x:c r="F1084" s="24" t="n">
        <x:v>86.78</x:v>
      </x:c>
      <x:c r="G1084" t="str">
        <x:v>Spring</x:v>
      </x:c>
      <x:c r="H1084" t="str">
        <x:v>Cash on Delivery</x:v>
      </x:c>
      <x:c r="I1084" t="n">
        <x:v>4</x:v>
      </x:c>
      <x:c r="J1084" t="n">
        <x:v>20</x:v>
      </x:c>
      <x:c r="K1084" t="n">
        <x:v>5</x:v>
      </x:c>
      <x:c r="L1084" t="str">
        <x:v>STORE-001</x:v>
      </x:c>
      <x:c r="M1084" s="22" t="n">
        <x:v>45934</x:v>
      </x:c>
      <x:c r="N1084" t="str">
        <x:v>SKU-025</x:v>
      </x:c>
      <x:c r="O1084" t="n">
        <x:v>1</x:v>
      </x:c>
      <x:c r="P1084" s="26" t="n">
        <x:f>F1084/O1084</x:f>
        <x:v>86.78</x:v>
      </x:c>
    </x:row>
    <x:row r="1085">
      <x:c r="A1085" t="n">
        <x:v>1084</x:v>
      </x:c>
      <x:c r="B1085" t="n">
        <x:v>41</x:v>
      </x:c>
      <x:c r="C1085" t="str">
        <x:v>Male</x:v>
      </x:c>
      <x:c r="D1085" t="str">
        <x:v>Footwear</x:v>
      </x:c>
      <x:c r="E1085" t="str">
        <x:v>Formal Shoes</x:v>
      </x:c>
      <x:c r="F1085" s="24" t="n">
        <x:v>82.05</x:v>
      </x:c>
      <x:c r="G1085" t="str">
        <x:v>Summer</x:v>
      </x:c>
      <x:c r="H1085" t="str">
        <x:v>Card</x:v>
      </x:c>
      <x:c r="I1085" t="n">
        <x:v>4.1</x:v>
      </x:c>
      <x:c r="J1085" t="n">
        <x:v>20</x:v>
      </x:c>
      <x:c r="K1085" t="n">
        <x:v>5</x:v>
      </x:c>
      <x:c r="L1085" t="str">
        <x:v>STORE-001</x:v>
      </x:c>
      <x:c r="M1085" s="22" t="n">
        <x:v>46059</x:v>
      </x:c>
      <x:c r="N1085" t="str">
        <x:v>SKU-007</x:v>
      </x:c>
      <x:c r="O1085" t="n">
        <x:v>1</x:v>
      </x:c>
      <x:c r="P1085" s="26" t="n">
        <x:f>F1085/O1085</x:f>
        <x:v>82.05</x:v>
      </x:c>
    </x:row>
    <x:row r="1086">
      <x:c r="A1086" t="n">
        <x:v>1085</x:v>
      </x:c>
      <x:c r="B1086" t="n">
        <x:v>27</x:v>
      </x:c>
      <x:c r="C1086" t="str">
        <x:v>Female</x:v>
      </x:c>
      <x:c r="D1086" t="str">
        <x:v>Beauty</x:v>
      </x:c>
      <x:c r="E1086" t="str">
        <x:v>Perfume</x:v>
      </x:c>
      <x:c r="F1086" s="24" t="n">
        <x:v>24.02</x:v>
      </x:c>
      <x:c r="G1086" t="str">
        <x:v>Winter</x:v>
      </x:c>
      <x:c r="H1086" t="str">
        <x:v>Cash on Delivery</x:v>
      </x:c>
      <x:c r="I1086" t="n">
        <x:v>4.3</x:v>
      </x:c>
      <x:c r="J1086" t="n">
        <x:v>14</x:v>
      </x:c>
      <x:c r="K1086" t="n">
        <x:v>2</x:v>
      </x:c>
      <x:c r="L1086" t="str">
        <x:v>STORE-001</x:v>
      </x:c>
      <x:c r="M1086" s="22" t="n">
        <x:v>46191</x:v>
      </x:c>
      <x:c r="N1086" t="str">
        <x:v>SKU-017</x:v>
      </x:c>
      <x:c r="O1086" t="n">
        <x:v>1</x:v>
      </x:c>
      <x:c r="P1086" s="26" t="n">
        <x:f>F1086/O1086</x:f>
        <x:v>24.02</x:v>
      </x:c>
    </x:row>
    <x:row r="1087">
      <x:c r="A1087" t="n">
        <x:v>1086</x:v>
      </x:c>
      <x:c r="B1087" t="n">
        <x:v>29</x:v>
      </x:c>
      <x:c r="C1087" t="str">
        <x:v>Female</x:v>
      </x:c>
      <x:c r="D1087" t="str">
        <x:v>Womens Clothing</x:v>
      </x:c>
      <x:c r="E1087" t="str">
        <x:v>Top</x:v>
      </x:c>
      <x:c r="F1087" s="24" t="n">
        <x:v>45.21</x:v>
      </x:c>
      <x:c r="G1087" t="str">
        <x:v>Spring</x:v>
      </x:c>
      <x:c r="H1087" t="str">
        <x:v>Card</x:v>
      </x:c>
      <x:c r="I1087" t="n">
        <x:v>3.9</x:v>
      </x:c>
      <x:c r="J1087" t="n">
        <x:v>25</x:v>
      </x:c>
      <x:c r="K1087" t="n">
        <x:v>10</x:v>
      </x:c>
      <x:c r="L1087" t="str">
        <x:v>STORE-001</x:v>
      </x:c>
      <x:c r="M1087" s="22" t="n">
        <x:v>46290</x:v>
      </x:c>
      <x:c r="N1087" t="str">
        <x:v>SKU-028</x:v>
      </x:c>
      <x:c r="O1087" t="n">
        <x:v>2</x:v>
      </x:c>
      <x:c r="P1087" s="26" t="n">
        <x:f>F1087/O1087</x:f>
        <x:v>22.605</x:v>
      </x:c>
    </x:row>
    <x:row r="1088">
      <x:c r="A1088" t="n">
        <x:v>1087</x:v>
      </x:c>
      <x:c r="B1088" t="n">
        <x:v>66</x:v>
      </x:c>
      <x:c r="C1088" t="str">
        <x:v>Male</x:v>
      </x:c>
      <x:c r="D1088" t="str">
        <x:v>Footwear</x:v>
      </x:c>
      <x:c r="E1088" t="str">
        <x:v>Sandals</x:v>
      </x:c>
      <x:c r="F1088" s="24" t="n">
        <x:v>239.97</x:v>
      </x:c>
      <x:c r="G1088" t="str">
        <x:v>Spring</x:v>
      </x:c>
      <x:c r="H1088" t="str">
        <x:v>Card</x:v>
      </x:c>
      <x:c r="I1088" t="n">
        <x:v>4.7</x:v>
      </x:c>
      <x:c r="J1088" t="n">
        <x:v>17</x:v>
      </x:c>
      <x:c r="K1088" t="n">
        <x:v>6</x:v>
      </x:c>
      <x:c r="L1088" t="str">
        <x:v>STORE-001</x:v>
      </x:c>
      <x:c r="M1088" s="22" t="n">
        <x:v>46285</x:v>
      </x:c>
      <x:c r="N1088" t="str">
        <x:v>SKU-019</x:v>
      </x:c>
      <x:c r="O1088" t="n">
        <x:v>1</x:v>
      </x:c>
      <x:c r="P1088" s="26" t="n">
        <x:f>F1088/O1088</x:f>
        <x:v>239.97</x:v>
      </x:c>
    </x:row>
    <x:row r="1089">
      <x:c r="A1089" t="n">
        <x:v>1088</x:v>
      </x:c>
      <x:c r="B1089" t="n">
        <x:v>67</x:v>
      </x:c>
      <x:c r="C1089" t="str">
        <x:v>Male</x:v>
      </x:c>
      <x:c r="D1089" t="str">
        <x:v>Sports</x:v>
      </x:c>
      <x:c r="E1089" t="str">
        <x:v>Football</x:v>
      </x:c>
      <x:c r="F1089" s="24" t="n">
        <x:v>117.03</x:v>
      </x:c>
      <x:c r="G1089" t="str">
        <x:v>Spring</x:v>
      </x:c>
      <x:c r="H1089" t="str">
        <x:v>Card</x:v>
      </x:c>
      <x:c r="I1089" t="n">
        <x:v>3.4</x:v>
      </x:c>
      <x:c r="J1089" t="n">
        <x:v>4</x:v>
      </x:c>
      <x:c r="K1089" t="n">
        <x:v>2</x:v>
      </x:c>
      <x:c r="L1089" t="str">
        <x:v>STORE-001</x:v>
      </x:c>
      <x:c r="M1089" s="22" t="n">
        <x:v>46283</x:v>
      </x:c>
      <x:c r="N1089" t="str">
        <x:v>SKU-006</x:v>
      </x:c>
      <x:c r="O1089" t="n">
        <x:v>1</x:v>
      </x:c>
      <x:c r="P1089" s="26" t="n">
        <x:f>F1089/O1089</x:f>
        <x:v>117.03</x:v>
      </x:c>
    </x:row>
    <x:row r="1090">
      <x:c r="A1090" t="n">
        <x:v>1089</x:v>
      </x:c>
      <x:c r="B1090" t="n">
        <x:v>44</x:v>
      </x:c>
      <x:c r="C1090" t="str">
        <x:v>Female</x:v>
      </x:c>
      <x:c r="D1090" t="str">
        <x:v>Home</x:v>
      </x:c>
      <x:c r="E1090" t="str">
        <x:v>Kitchen Set</x:v>
      </x:c>
      <x:c r="F1090" s="24" t="n">
        <x:v>121.22</x:v>
      </x:c>
      <x:c r="G1090" t="str">
        <x:v>Winter</x:v>
      </x:c>
      <x:c r="H1090" t="str">
        <x:v>Card</x:v>
      </x:c>
      <x:c r="I1090" t="n">
        <x:v>4.7</x:v>
      </x:c>
      <x:c r="J1090" t="n">
        <x:v>6</x:v>
      </x:c>
      <x:c r="K1090" t="n">
        <x:v>3</x:v>
      </x:c>
      <x:c r="L1090" t="str">
        <x:v>STORE-001</x:v>
      </x:c>
      <x:c r="M1090" s="22" t="n">
        <x:v>46243</x:v>
      </x:c>
      <x:c r="N1090" t="str">
        <x:v>SKU-012</x:v>
      </x:c>
      <x:c r="O1090" t="n">
        <x:v>1</x:v>
      </x:c>
      <x:c r="P1090" s="26" t="n">
        <x:f>F1090/O1090</x:f>
        <x:v>121.22</x:v>
      </x:c>
    </x:row>
    <x:row r="1091">
      <x:c r="A1091" t="n">
        <x:v>1090</x:v>
      </x:c>
      <x:c r="B1091" t="n">
        <x:v>26</x:v>
      </x:c>
      <x:c r="C1091" t="str">
        <x:v>Male</x:v>
      </x:c>
      <x:c r="D1091" t="str">
        <x:v>Home</x:v>
      </x:c>
      <x:c r="E1091" t="str">
        <x:v>Kitchen Set</x:v>
      </x:c>
      <x:c r="F1091" s="24" t="n">
        <x:v>155.63</x:v>
      </x:c>
      <x:c r="G1091" t="str">
        <x:v>Autumn</x:v>
      </x:c>
      <x:c r="H1091" t="str">
        <x:v>Card</x:v>
      </x:c>
      <x:c r="I1091" t="n">
        <x:v>3.2</x:v>
      </x:c>
      <x:c r="J1091" t="n">
        <x:v>20</x:v>
      </x:c>
      <x:c r="K1091" t="n">
        <x:v>5</x:v>
      </x:c>
      <x:c r="L1091" t="str">
        <x:v>STORE-001</x:v>
      </x:c>
      <x:c r="M1091" s="22" t="n">
        <x:v>46084</x:v>
      </x:c>
      <x:c r="N1091" t="str">
        <x:v>SKU-012</x:v>
      </x:c>
      <x:c r="O1091" t="n">
        <x:v>2</x:v>
      </x:c>
      <x:c r="P1091" s="26" t="n">
        <x:f>F1091/O1091</x:f>
        <x:v>77.815</x:v>
      </x:c>
    </x:row>
    <x:row r="1092">
      <x:c r="A1092" t="n">
        <x:v>1091</x:v>
      </x:c>
      <x:c r="B1092" t="n">
        <x:v>64</x:v>
      </x:c>
      <x:c r="C1092" t="str">
        <x:v>Male</x:v>
      </x:c>
      <x:c r="D1092" t="str">
        <x:v>Footwear</x:v>
      </x:c>
      <x:c r="E1092" t="str">
        <x:v>Sneakers</x:v>
      </x:c>
      <x:c r="F1092" s="24" t="n">
        <x:v>133.61</x:v>
      </x:c>
      <x:c r="G1092" t="str">
        <x:v>Summer</x:v>
      </x:c>
      <x:c r="H1092" t="str">
        <x:v>Card</x:v>
      </x:c>
      <x:c r="I1092" t="n">
        <x:v>4.6</x:v>
      </x:c>
      <x:c r="J1092" t="n">
        <x:v>10</x:v>
      </x:c>
      <x:c r="K1092" t="n">
        <x:v>5</x:v>
      </x:c>
      <x:c r="L1092" t="str">
        <x:v>STORE-001</x:v>
      </x:c>
      <x:c r="M1092" s="22" t="n">
        <x:v>46023</x:v>
      </x:c>
      <x:c r="N1092" t="str">
        <x:v>SKU-025</x:v>
      </x:c>
      <x:c r="O1092" t="n">
        <x:v>2</x:v>
      </x:c>
      <x:c r="P1092" s="26" t="n">
        <x:f>F1092/O1092</x:f>
        <x:v>66.805</x:v>
      </x:c>
    </x:row>
    <x:row r="1093">
      <x:c r="A1093" t="n">
        <x:v>1092</x:v>
      </x:c>
      <x:c r="B1093" t="n">
        <x:v>39</x:v>
      </x:c>
      <x:c r="C1093" t="str">
        <x:v>Male</x:v>
      </x:c>
      <x:c r="D1093" t="str">
        <x:v>Mens Clothing</x:v>
      </x:c>
      <x:c r="E1093" t="str">
        <x:v>T-Shirt</x:v>
      </x:c>
      <x:c r="F1093" s="24" t="n">
        <x:v>136.87</x:v>
      </x:c>
      <x:c r="G1093" t="str">
        <x:v>Winter</x:v>
      </x:c>
      <x:c r="H1093" t="str">
        <x:v>Card</x:v>
      </x:c>
      <x:c r="I1093" t="n">
        <x:v>5</x:v>
      </x:c>
      <x:c r="J1093" t="n">
        <x:v>17</x:v>
      </x:c>
      <x:c r="K1093" t="n">
        <x:v>6</x:v>
      </x:c>
      <x:c r="L1093" t="str">
        <x:v>STORE-001</x:v>
      </x:c>
      <x:c r="M1093" s="22" t="n">
        <x:v>46208</x:v>
      </x:c>
      <x:c r="N1093" t="str">
        <x:v>SKU-027</x:v>
      </x:c>
      <x:c r="O1093" t="n">
        <x:v>1</x:v>
      </x:c>
      <x:c r="P1093" s="26" t="n">
        <x:f>F1093/O1093</x:f>
        <x:v>136.87</x:v>
      </x:c>
    </x:row>
    <x:row r="1094">
      <x:c r="A1094" t="n">
        <x:v>1093</x:v>
      </x:c>
      <x:c r="B1094" t="n">
        <x:v>24</x:v>
      </x:c>
      <x:c r="C1094" t="str">
        <x:v>Female</x:v>
      </x:c>
      <x:c r="D1094" t="str">
        <x:v>Beauty</x:v>
      </x:c>
      <x:c r="E1094" t="str">
        <x:v>Makeup Set</x:v>
      </x:c>
      <x:c r="F1094" s="24" t="n">
        <x:v>61.18</x:v>
      </x:c>
      <x:c r="G1094" t="str">
        <x:v>Spring</x:v>
      </x:c>
      <x:c r="H1094" t="str">
        <x:v>Cash on Delivery</x:v>
      </x:c>
      <x:c r="I1094" t="n">
        <x:v>3.1</x:v>
      </x:c>
      <x:c r="J1094" t="n">
        <x:v>12</x:v>
      </x:c>
      <x:c r="K1094" t="n">
        <x:v>6</x:v>
      </x:c>
      <x:c r="L1094" t="str">
        <x:v>STORE-001</x:v>
      </x:c>
      <x:c r="M1094" s="22" t="n">
        <x:v>46274</x:v>
      </x:c>
      <x:c r="N1094" t="str">
        <x:v>SKU-015</x:v>
      </x:c>
      <x:c r="O1094" t="n">
        <x:v>2</x:v>
      </x:c>
      <x:c r="P1094" s="26" t="n">
        <x:f>F1094/O1094</x:f>
        <x:v>30.59</x:v>
      </x:c>
    </x:row>
    <x:row r="1095">
      <x:c r="A1095" t="n">
        <x:v>1094</x:v>
      </x:c>
      <x:c r="B1095" t="n">
        <x:v>22</x:v>
      </x:c>
      <x:c r="C1095" t="str">
        <x:v>Female</x:v>
      </x:c>
      <x:c r="D1095" t="str">
        <x:v>Beauty</x:v>
      </x:c>
      <x:c r="E1095" t="str">
        <x:v>Makeup Set</x:v>
      </x:c>
      <x:c r="F1095" s="24" t="n">
        <x:v>52.42</x:v>
      </x:c>
      <x:c r="G1095" t="str">
        <x:v>Summer</x:v>
      </x:c>
      <x:c r="H1095" t="str">
        <x:v>Cash on Delivery</x:v>
      </x:c>
      <x:c r="I1095" t="n">
        <x:v>4.4</x:v>
      </x:c>
      <x:c r="J1095" t="n">
        <x:v>10</x:v>
      </x:c>
      <x:c r="K1095" t="n">
        <x:v>5</x:v>
      </x:c>
      <x:c r="L1095" t="str">
        <x:v>STORE-001</x:v>
      </x:c>
      <x:c r="M1095" s="22" t="n">
        <x:v>46058</x:v>
      </x:c>
      <x:c r="N1095" t="str">
        <x:v>SKU-015</x:v>
      </x:c>
      <x:c r="O1095" t="n">
        <x:v>3</x:v>
      </x:c>
      <x:c r="P1095" s="26" t="n">
        <x:f>F1095/O1095</x:f>
        <x:v>17.473333333333333</x:v>
      </x:c>
    </x:row>
    <x:row r="1096">
      <x:c r="A1096" t="n">
        <x:v>1095</x:v>
      </x:c>
      <x:c r="B1096" t="n">
        <x:v>64</x:v>
      </x:c>
      <x:c r="C1096" t="str">
        <x:v>Female</x:v>
      </x:c>
      <x:c r="D1096" t="str">
        <x:v>Sports</x:v>
      </x:c>
      <x:c r="E1096" t="str">
        <x:v>Football</x:v>
      </x:c>
      <x:c r="F1096" s="24" t="n">
        <x:v>64.47</x:v>
      </x:c>
      <x:c r="G1096" t="str">
        <x:v>Autumn</x:v>
      </x:c>
      <x:c r="H1096" t="str">
        <x:v>Card</x:v>
      </x:c>
      <x:c r="I1096" t="n">
        <x:v>2.8</x:v>
      </x:c>
      <x:c r="J1096" t="n">
        <x:v>16</x:v>
      </x:c>
      <x:c r="K1096" t="n">
        <x:v>3</x:v>
      </x:c>
      <x:c r="L1096" t="str">
        <x:v>STORE-001</x:v>
      </x:c>
      <x:c r="M1096" s="22" t="n">
        <x:v>46089</x:v>
      </x:c>
      <x:c r="N1096" t="str">
        <x:v>SKU-006</x:v>
      </x:c>
      <x:c r="O1096" t="n">
        <x:v>1</x:v>
      </x:c>
      <x:c r="P1096" s="26" t="n">
        <x:f>F1096/O1096</x:f>
        <x:v>64.47</x:v>
      </x:c>
    </x:row>
    <x:row r="1097">
      <x:c r="A1097" t="n">
        <x:v>1096</x:v>
      </x:c>
      <x:c r="B1097" t="n">
        <x:v>41</x:v>
      </x:c>
      <x:c r="C1097" t="str">
        <x:v>Male</x:v>
      </x:c>
      <x:c r="D1097" t="str">
        <x:v>Mens Clothing</x:v>
      </x:c>
      <x:c r="E1097" t="str">
        <x:v>Jeans</x:v>
      </x:c>
      <x:c r="F1097" s="24" t="n">
        <x:v>72.23</x:v>
      </x:c>
      <x:c r="G1097" t="str">
        <x:v>Autumn</x:v>
      </x:c>
      <x:c r="H1097" t="str">
        <x:v>Cash on Delivery</x:v>
      </x:c>
      <x:c r="I1097" t="n">
        <x:v>3.6</x:v>
      </x:c>
      <x:c r="J1097" t="n">
        <x:v>11</x:v>
      </x:c>
      <x:c r="K1097" t="n">
        <x:v>3</x:v>
      </x:c>
      <x:c r="L1097" t="str">
        <x:v>STORE-001</x:v>
      </x:c>
      <x:c r="M1097" s="22" t="n">
        <x:v>46085</x:v>
      </x:c>
      <x:c r="N1097" t="str">
        <x:v>SKU-011</x:v>
      </x:c>
      <x:c r="O1097" t="n">
        <x:v>2</x:v>
      </x:c>
      <x:c r="P1097" s="26" t="n">
        <x:f>F1097/O1097</x:f>
        <x:v>36.115</x:v>
      </x:c>
    </x:row>
    <x:row r="1098">
      <x:c r="A1098" t="n">
        <x:v>1097</x:v>
      </x:c>
      <x:c r="B1098" t="n">
        <x:v>55</x:v>
      </x:c>
      <x:c r="C1098" t="str">
        <x:v>Male</x:v>
      </x:c>
      <x:c r="D1098" t="str">
        <x:v>Mens Clothing</x:v>
      </x:c>
      <x:c r="E1098" t="str">
        <x:v>Jeans</x:v>
      </x:c>
      <x:c r="F1098" s="24" t="n">
        <x:v>121.35</x:v>
      </x:c>
      <x:c r="G1098" t="str">
        <x:v>Summer</x:v>
      </x:c>
      <x:c r="H1098" t="str">
        <x:v>Card</x:v>
      </x:c>
      <x:c r="I1098" t="n">
        <x:v>3.4</x:v>
      </x:c>
      <x:c r="J1098" t="n">
        <x:v>10</x:v>
      </x:c>
      <x:c r="K1098" t="n">
        <x:v>5</x:v>
      </x:c>
      <x:c r="L1098" t="str">
        <x:v>STORE-001</x:v>
      </x:c>
      <x:c r="M1098" s="22" t="n">
        <x:v>46065</x:v>
      </x:c>
      <x:c r="N1098" t="str">
        <x:v>SKU-011</x:v>
      </x:c>
      <x:c r="O1098" t="n">
        <x:v>2</x:v>
      </x:c>
      <x:c r="P1098" s="26" t="n">
        <x:f>F1098/O1098</x:f>
        <x:v>60.675</x:v>
      </x:c>
    </x:row>
    <x:row r="1099">
      <x:c r="A1099" t="n">
        <x:v>1098</x:v>
      </x:c>
      <x:c r="B1099" t="n">
        <x:v>23</x:v>
      </x:c>
      <x:c r="C1099" t="str">
        <x:v>Female</x:v>
      </x:c>
      <x:c r="D1099" t="str">
        <x:v>Accessories</x:v>
      </x:c>
      <x:c r="E1099" t="str">
        <x:v>Sunglasses</x:v>
      </x:c>
      <x:c r="F1099" s="24" t="n">
        <x:v>117.09</x:v>
      </x:c>
      <x:c r="G1099" t="str">
        <x:v>Spring</x:v>
      </x:c>
      <x:c r="H1099" t="str">
        <x:v>Card</x:v>
      </x:c>
      <x:c r="I1099" t="n">
        <x:v>3.4</x:v>
      </x:c>
      <x:c r="J1099" t="n">
        <x:v>4</x:v>
      </x:c>
      <x:c r="K1099" t="n">
        <x:v>2</x:v>
      </x:c>
      <x:c r="L1099" t="str">
        <x:v>STORE-001</x:v>
      </x:c>
      <x:c r="M1099" s="22" t="n">
        <x:v>45989</x:v>
      </x:c>
      <x:c r="N1099" t="str">
        <x:v>SKU-026</x:v>
      </x:c>
      <x:c r="O1099" t="n">
        <x:v>1</x:v>
      </x:c>
      <x:c r="P1099" s="26" t="n">
        <x:f>F1099/O1099</x:f>
        <x:v>117.09</x:v>
      </x:c>
    </x:row>
    <x:row r="1100">
      <x:c r="A1100" t="n">
        <x:v>1099</x:v>
      </x:c>
      <x:c r="B1100" t="n">
        <x:v>70</x:v>
      </x:c>
      <x:c r="C1100" t="str">
        <x:v>Male</x:v>
      </x:c>
      <x:c r="D1100" t="str">
        <x:v>Mens Clothing</x:v>
      </x:c>
      <x:c r="E1100" t="str">
        <x:v>Jacket</x:v>
      </x:c>
      <x:c r="F1100" s="24" t="n">
        <x:v>190.63</x:v>
      </x:c>
      <x:c r="G1100" t="str">
        <x:v>Summer</x:v>
      </x:c>
      <x:c r="H1100" t="str">
        <x:v>Card</x:v>
      </x:c>
      <x:c r="I1100" t="n">
        <x:v>3.7</x:v>
      </x:c>
      <x:c r="J1100" t="n">
        <x:v>2</x:v>
      </x:c>
      <x:c r="K1100" t="n">
        <x:v>1</x:v>
      </x:c>
      <x:c r="L1100" t="str">
        <x:v>STORE-001</x:v>
      </x:c>
      <x:c r="M1100" s="22" t="n">
        <x:v>46039</x:v>
      </x:c>
      <x:c r="N1100" t="str">
        <x:v>SKU-010</x:v>
      </x:c>
      <x:c r="O1100" t="n">
        <x:v>1</x:v>
      </x:c>
      <x:c r="P1100" s="26" t="n">
        <x:f>F1100/O1100</x:f>
        <x:v>190.63</x:v>
      </x:c>
    </x:row>
    <x:row r="1101">
      <x:c r="A1101" t="n">
        <x:v>1100</x:v>
      </x:c>
      <x:c r="B1101" t="n">
        <x:v>57</x:v>
      </x:c>
      <x:c r="C1101" t="str">
        <x:v>Male</x:v>
      </x:c>
      <x:c r="D1101" t="str">
        <x:v>Mens Clothing</x:v>
      </x:c>
      <x:c r="E1101" t="str">
        <x:v>Jacket</x:v>
      </x:c>
      <x:c r="F1101" s="24" t="n">
        <x:v>53.94</x:v>
      </x:c>
      <x:c r="G1101" t="str">
        <x:v>Summer</x:v>
      </x:c>
      <x:c r="H1101" t="str">
        <x:v>Cash on Delivery</x:v>
      </x:c>
      <x:c r="I1101" t="n">
        <x:v>3.7</x:v>
      </x:c>
      <x:c r="J1101" t="n">
        <x:v>17</x:v>
      </x:c>
      <x:c r="K1101" t="n">
        <x:v>6</x:v>
      </x:c>
      <x:c r="L1101" t="str">
        <x:v>STORE-001</x:v>
      </x:c>
      <x:c r="M1101" s="22" t="n">
        <x:v>46023</x:v>
      </x:c>
      <x:c r="N1101" t="str">
        <x:v>SKU-010</x:v>
      </x:c>
      <x:c r="O1101" t="n">
        <x:v>1</x:v>
      </x:c>
      <x:c r="P1101" s="26" t="n">
        <x:f>F1101/O1101</x:f>
        <x:v>53.94</x:v>
      </x:c>
    </x:row>
    <x:row r="1102">
      <x:c r="A1102" t="n">
        <x:v>1101</x:v>
      </x:c>
      <x:c r="B1102" t="n">
        <x:v>26</x:v>
      </x:c>
      <x:c r="C1102" t="str">
        <x:v>Female</x:v>
      </x:c>
      <x:c r="D1102" t="str">
        <x:v>Accessories</x:v>
      </x:c>
      <x:c r="E1102" t="str">
        <x:v>Handbag</x:v>
      </x:c>
      <x:c r="F1102" s="24" t="n">
        <x:v>158.79</x:v>
      </x:c>
      <x:c r="G1102" t="str">
        <x:v>Summer</x:v>
      </x:c>
      <x:c r="H1102" t="str">
        <x:v>Card</x:v>
      </x:c>
      <x:c r="I1102" t="n">
        <x:v>4.6</x:v>
      </x:c>
      <x:c r="J1102" t="n">
        <x:v>7</x:v>
      </x:c>
      <x:c r="K1102" t="n">
        <x:v>1</x:v>
      </x:c>
      <x:c r="L1102" t="str">
        <x:v>STORE-001</x:v>
      </x:c>
      <x:c r="M1102" s="22" t="n">
        <x:v>46078</x:v>
      </x:c>
      <x:c r="N1102" t="str">
        <x:v>SKU-008</x:v>
      </x:c>
      <x:c r="O1102" t="n">
        <x:v>2</x:v>
      </x:c>
      <x:c r="P1102" s="26" t="n">
        <x:f>F1102/O1102</x:f>
        <x:v>79.395</x:v>
      </x:c>
    </x:row>
    <x:row r="1103">
      <x:c r="A1103" t="n">
        <x:v>1102</x:v>
      </x:c>
      <x:c r="B1103" t="n">
        <x:v>62</x:v>
      </x:c>
      <x:c r="C1103" t="str">
        <x:v>Male</x:v>
      </x:c>
      <x:c r="D1103" t="str">
        <x:v>Sports</x:v>
      </x:c>
      <x:c r="E1103" t="str">
        <x:v>Yoga Mat</x:v>
      </x:c>
      <x:c r="F1103" s="24" t="n">
        <x:v>77.56</x:v>
      </x:c>
      <x:c r="G1103" t="str">
        <x:v>Spring</x:v>
      </x:c>
      <x:c r="H1103" t="str">
        <x:v>Cash on Delivery</x:v>
      </x:c>
      <x:c r="I1103" t="n">
        <x:v>3.8</x:v>
      </x:c>
      <x:c r="J1103" t="n">
        <x:v>15</x:v>
      </x:c>
      <x:c r="K1103" t="n">
        <x:v>5</x:v>
      </x:c>
      <x:c r="L1103" t="str">
        <x:v>STORE-001</x:v>
      </x:c>
      <x:c r="M1103" s="22" t="n">
        <x:v>46290</x:v>
      </x:c>
      <x:c r="N1103" t="str">
        <x:v>SKU-030</x:v>
      </x:c>
      <x:c r="O1103" t="n">
        <x:v>1</x:v>
      </x:c>
      <x:c r="P1103" s="26" t="n">
        <x:f>F1103/O1103</x:f>
        <x:v>77.56</x:v>
      </x:c>
    </x:row>
    <x:row r="1104">
      <x:c r="A1104" t="n">
        <x:v>1103</x:v>
      </x:c>
      <x:c r="B1104" t="n">
        <x:v>23</x:v>
      </x:c>
      <x:c r="C1104" t="str">
        <x:v>Male</x:v>
      </x:c>
      <x:c r="D1104" t="str">
        <x:v>Electronics</x:v>
      </x:c>
      <x:c r="E1104" t="str">
        <x:v>Laptop</x:v>
      </x:c>
      <x:c r="F1104" s="24" t="n">
        <x:v>559.52</x:v>
      </x:c>
      <x:c r="G1104" t="str">
        <x:v>Autumn</x:v>
      </x:c>
      <x:c r="H1104" t="str">
        <x:v>Card</x:v>
      </x:c>
      <x:c r="I1104" t="n">
        <x:v>4</x:v>
      </x:c>
      <x:c r="J1104" t="n">
        <x:v>18</x:v>
      </x:c>
      <x:c r="K1104" t="n">
        <x:v>4</x:v>
      </x:c>
      <x:c r="L1104" t="str">
        <x:v>STORE-001</x:v>
      </x:c>
      <x:c r="M1104" s="22" t="n">
        <x:v>46129</x:v>
      </x:c>
      <x:c r="N1104" t="str">
        <x:v>SKU-014</x:v>
      </x:c>
      <x:c r="O1104" t="n">
        <x:v>1</x:v>
      </x:c>
      <x:c r="P1104" s="26" t="n">
        <x:f>F1104/O1104</x:f>
        <x:v>559.52</x:v>
      </x:c>
    </x:row>
    <x:row r="1105">
      <x:c r="A1105" t="n">
        <x:v>1104</x:v>
      </x:c>
      <x:c r="B1105" t="n">
        <x:v>44</x:v>
      </x:c>
      <x:c r="C1105" t="str">
        <x:v>Male</x:v>
      </x:c>
      <x:c r="D1105" t="str">
        <x:v>Electronics</x:v>
      </x:c>
      <x:c r="E1105" t="str">
        <x:v>Laptop</x:v>
      </x:c>
      <x:c r="F1105" s="24" t="n">
        <x:v>2966</x:v>
      </x:c>
      <x:c r="G1105" t="str">
        <x:v>Spring</x:v>
      </x:c>
      <x:c r="H1105" t="str">
        <x:v>Card</x:v>
      </x:c>
      <x:c r="I1105" t="n">
        <x:v>2.9</x:v>
      </x:c>
      <x:c r="J1105" t="n">
        <x:v>10</x:v>
      </x:c>
      <x:c r="K1105" t="n">
        <x:v>5</x:v>
      </x:c>
      <x:c r="L1105" t="str">
        <x:v>STORE-001</x:v>
      </x:c>
      <x:c r="M1105" s="22" t="n">
        <x:v>45931</x:v>
      </x:c>
      <x:c r="N1105" t="str">
        <x:v>SKU-014</x:v>
      </x:c>
      <x:c r="O1105" t="n">
        <x:v>1</x:v>
      </x:c>
      <x:c r="P1105" s="26" t="n">
        <x:f>F1105/O1105</x:f>
        <x:v>2966</x:v>
      </x:c>
    </x:row>
    <x:row r="1106">
      <x:c r="A1106" t="n">
        <x:v>1105</x:v>
      </x:c>
      <x:c r="B1106" t="n">
        <x:v>57</x:v>
      </x:c>
      <x:c r="C1106" t="str">
        <x:v>Female</x:v>
      </x:c>
      <x:c r="D1106" t="str">
        <x:v>Groceries</x:v>
      </x:c>
      <x:c r="E1106" t="str">
        <x:v>Snacks</x:v>
      </x:c>
      <x:c r="F1106" s="24" t="n">
        <x:v>20.37</x:v>
      </x:c>
      <x:c r="G1106" t="str">
        <x:v>Summer</x:v>
      </x:c>
      <x:c r="H1106" t="str">
        <x:v>Card</x:v>
      </x:c>
      <x:c r="I1106" t="n">
        <x:v>4</x:v>
      </x:c>
      <x:c r="J1106" t="n">
        <x:v>30</x:v>
      </x:c>
      <x:c r="K1106" t="n">
        <x:v>10</x:v>
      </x:c>
      <x:c r="L1106" t="str">
        <x:v>STORE-001</x:v>
      </x:c>
      <x:c r="M1106" s="22" t="n">
        <x:v>46026</x:v>
      </x:c>
      <x:c r="N1106" t="str">
        <x:v>SKU-024</x:v>
      </x:c>
      <x:c r="O1106" t="n">
        <x:v>2</x:v>
      </x:c>
      <x:c r="P1106" s="26" t="n">
        <x:f>F1106/O1106</x:f>
        <x:v>10.185</x:v>
      </x:c>
    </x:row>
    <x:row r="1107">
      <x:c r="A1107" t="n">
        <x:v>1106</x:v>
      </x:c>
      <x:c r="B1107" t="n">
        <x:v>26</x:v>
      </x:c>
      <x:c r="C1107" t="str">
        <x:v>Female</x:v>
      </x:c>
      <x:c r="D1107" t="str">
        <x:v>Womens Clothing</x:v>
      </x:c>
      <x:c r="E1107" t="str">
        <x:v>Skirt</x:v>
      </x:c>
      <x:c r="F1107" s="24" t="n">
        <x:v>175.46</x:v>
      </x:c>
      <x:c r="G1107" t="str">
        <x:v>Autumn</x:v>
      </x:c>
      <x:c r="H1107" t="str">
        <x:v>Card</x:v>
      </x:c>
      <x:c r="I1107" t="n">
        <x:v>3.4</x:v>
      </x:c>
      <x:c r="J1107" t="n">
        <x:v>24</x:v>
      </x:c>
      <x:c r="K1107" t="n">
        <x:v>7</x:v>
      </x:c>
      <x:c r="L1107" t="str">
        <x:v>STORE-001</x:v>
      </x:c>
      <x:c r="M1107" s="22" t="n">
        <x:v>46086</x:v>
      </x:c>
      <x:c r="N1107" t="str">
        <x:v>SKU-022</x:v>
      </x:c>
      <x:c r="O1107" t="n">
        <x:v>1</x:v>
      </x:c>
      <x:c r="P1107" s="26" t="n">
        <x:f>F1107/O1107</x:f>
        <x:v>175.46</x:v>
      </x:c>
    </x:row>
    <x:row r="1108">
      <x:c r="A1108" t="n">
        <x:v>1107</x:v>
      </x:c>
      <x:c r="B1108" t="n">
        <x:v>42</x:v>
      </x:c>
      <x:c r="C1108" t="str">
        <x:v>Female</x:v>
      </x:c>
      <x:c r="D1108" t="str">
        <x:v>Footwear</x:v>
      </x:c>
      <x:c r="E1108" t="str">
        <x:v>Sneakers</x:v>
      </x:c>
      <x:c r="F1108" s="24" t="n">
        <x:v>193.23</x:v>
      </x:c>
      <x:c r="G1108" t="str">
        <x:v>Autumn</x:v>
      </x:c>
      <x:c r="H1108" t="str">
        <x:v>Card</x:v>
      </x:c>
      <x:c r="I1108" t="n">
        <x:v>4.6</x:v>
      </x:c>
      <x:c r="J1108" t="n">
        <x:v>8</x:v>
      </x:c>
      <x:c r="K1108" t="n">
        <x:v>4</x:v>
      </x:c>
      <x:c r="L1108" t="str">
        <x:v>STORE-001</x:v>
      </x:c>
      <x:c r="M1108" s="22" t="n">
        <x:v>46172</x:v>
      </x:c>
      <x:c r="N1108" t="str">
        <x:v>SKU-025</x:v>
      </x:c>
      <x:c r="O1108" t="n">
        <x:v>1</x:v>
      </x:c>
      <x:c r="P1108" s="26" t="n">
        <x:f>F1108/O1108</x:f>
        <x:v>193.23</x:v>
      </x:c>
    </x:row>
    <x:row r="1109">
      <x:c r="A1109" t="n">
        <x:v>1108</x:v>
      </x:c>
      <x:c r="B1109" t="n">
        <x:v>26</x:v>
      </x:c>
      <x:c r="C1109" t="str">
        <x:v>Male</x:v>
      </x:c>
      <x:c r="D1109" t="str">
        <x:v>Sports</x:v>
      </x:c>
      <x:c r="E1109" t="str">
        <x:v>Yoga Mat</x:v>
      </x:c>
      <x:c r="F1109" s="24" t="n">
        <x:v>67.09</x:v>
      </x:c>
      <x:c r="G1109" t="str">
        <x:v>Summer</x:v>
      </x:c>
      <x:c r="H1109" t="str">
        <x:v>Card</x:v>
      </x:c>
      <x:c r="I1109" t="n">
        <x:v>3.5</x:v>
      </x:c>
      <x:c r="J1109" t="n">
        <x:v>18</x:v>
      </x:c>
      <x:c r="K1109" t="n">
        <x:v>9</x:v>
      </x:c>
      <x:c r="L1109" t="str">
        <x:v>STORE-001</x:v>
      </x:c>
      <x:c r="M1109" s="22" t="n">
        <x:v>46055</x:v>
      </x:c>
      <x:c r="N1109" t="str">
        <x:v>SKU-030</x:v>
      </x:c>
      <x:c r="O1109" t="n">
        <x:v>3</x:v>
      </x:c>
      <x:c r="P1109" s="26" t="n">
        <x:f>F1109/O1109</x:f>
        <x:v>22.363333333333333</x:v>
      </x:c>
    </x:row>
    <x:row r="1110">
      <x:c r="A1110" t="n">
        <x:v>1109</x:v>
      </x:c>
      <x:c r="B1110" t="n">
        <x:v>28</x:v>
      </x:c>
      <x:c r="C1110" t="str">
        <x:v>Female</x:v>
      </x:c>
      <x:c r="D1110" t="str">
        <x:v>Accessories</x:v>
      </x:c>
      <x:c r="E1110" t="str">
        <x:v>Wallet</x:v>
      </x:c>
      <x:c r="F1110" s="24" t="n">
        <x:v>57.75</x:v>
      </x:c>
      <x:c r="G1110" t="str">
        <x:v>Spring</x:v>
      </x:c>
      <x:c r="H1110" t="str">
        <x:v>Cash on Delivery</x:v>
      </x:c>
      <x:c r="I1110" t="n">
        <x:v>5</x:v>
      </x:c>
      <x:c r="J1110" t="n">
        <x:v>9</x:v>
      </x:c>
      <x:c r="K1110" t="n">
        <x:v>2</x:v>
      </x:c>
      <x:c r="L1110" t="str">
        <x:v>STORE-001</x:v>
      </x:c>
      <x:c r="M1110" s="22" t="n">
        <x:v>45955</x:v>
      </x:c>
      <x:c r="N1110" t="str">
        <x:v>SKU-029</x:v>
      </x:c>
      <x:c r="O1110" t="n">
        <x:v>1</x:v>
      </x:c>
      <x:c r="P1110" s="26" t="n">
        <x:f>F1110/O1110</x:f>
        <x:v>57.75</x:v>
      </x:c>
    </x:row>
    <x:row r="1111">
      <x:c r="A1111" t="n">
        <x:v>1110</x:v>
      </x:c>
      <x:c r="B1111" t="n">
        <x:v>46</x:v>
      </x:c>
      <x:c r="C1111" t="str">
        <x:v>Male</x:v>
      </x:c>
      <x:c r="D1111" t="str">
        <x:v>Mens Clothing</x:v>
      </x:c>
      <x:c r="E1111" t="str">
        <x:v>Jeans</x:v>
      </x:c>
      <x:c r="F1111" s="24" t="n">
        <x:v>60.83</x:v>
      </x:c>
      <x:c r="G1111" t="str">
        <x:v>Autumn</x:v>
      </x:c>
      <x:c r="H1111" t="str">
        <x:v>Card</x:v>
      </x:c>
      <x:c r="I1111" t="n">
        <x:v>3.9</x:v>
      </x:c>
      <x:c r="J1111" t="n">
        <x:v>8</x:v>
      </x:c>
      <x:c r="K1111" t="n">
        <x:v>4</x:v>
      </x:c>
      <x:c r="L1111" t="str">
        <x:v>STORE-001</x:v>
      </x:c>
      <x:c r="M1111" s="22" t="n">
        <x:v>46173</x:v>
      </x:c>
      <x:c r="N1111" t="str">
        <x:v>SKU-011</x:v>
      </x:c>
      <x:c r="O1111" t="n">
        <x:v>1</x:v>
      </x:c>
      <x:c r="P1111" s="26" t="n">
        <x:f>F1111/O1111</x:f>
        <x:v>60.83</x:v>
      </x:c>
    </x:row>
    <x:row r="1112">
      <x:c r="A1112" t="n">
        <x:v>1111</x:v>
      </x:c>
      <x:c r="B1112" t="n">
        <x:v>28</x:v>
      </x:c>
      <x:c r="C1112" t="str">
        <x:v>Male</x:v>
      </x:c>
      <x:c r="D1112" t="str">
        <x:v>Mens Clothing</x:v>
      </x:c>
      <x:c r="E1112" t="str">
        <x:v>Jeans</x:v>
      </x:c>
      <x:c r="F1112" s="24" t="n">
        <x:v>153.1</x:v>
      </x:c>
      <x:c r="G1112" t="str">
        <x:v>Summer</x:v>
      </x:c>
      <x:c r="H1112" t="str">
        <x:v>Card</x:v>
      </x:c>
      <x:c r="I1112" t="n">
        <x:v>4.5</x:v>
      </x:c>
      <x:c r="J1112" t="n">
        <x:v>8</x:v>
      </x:c>
      <x:c r="K1112" t="n">
        <x:v>4</x:v>
      </x:c>
      <x:c r="L1112" t="str">
        <x:v>STORE-001</x:v>
      </x:c>
      <x:c r="M1112" s="22" t="n">
        <x:v>46044</x:v>
      </x:c>
      <x:c r="N1112" t="str">
        <x:v>SKU-011</x:v>
      </x:c>
      <x:c r="O1112" t="n">
        <x:v>1</x:v>
      </x:c>
      <x:c r="P1112" s="26" t="n">
        <x:f>F1112/O1112</x:f>
        <x:v>153.1</x:v>
      </x:c>
    </x:row>
    <x:row r="1113">
      <x:c r="A1113" t="n">
        <x:v>1112</x:v>
      </x:c>
      <x:c r="B1113" t="n">
        <x:v>49</x:v>
      </x:c>
      <x:c r="C1113" t="str">
        <x:v>Female</x:v>
      </x:c>
      <x:c r="D1113" t="str">
        <x:v>Groceries</x:v>
      </x:c>
      <x:c r="E1113" t="str">
        <x:v>Beverages</x:v>
      </x:c>
      <x:c r="F1113" s="24" t="n">
        <x:v>29.32</x:v>
      </x:c>
      <x:c r="G1113" t="str">
        <x:v>Spring</x:v>
      </x:c>
      <x:c r="H1113" t="str">
        <x:v>Card</x:v>
      </x:c>
      <x:c r="I1113" t="n">
        <x:v>5</x:v>
      </x:c>
      <x:c r="J1113" t="n">
        <x:v>23</x:v>
      </x:c>
      <x:c r="K1113" t="n">
        <x:v>9</x:v>
      </x:c>
      <x:c r="L1113" t="str">
        <x:v>STORE-001</x:v>
      </x:c>
      <x:c r="M1113" s="22" t="n">
        <x:v>45982</x:v>
      </x:c>
      <x:c r="N1113" t="str">
        <x:v>SKU-001</x:v>
      </x:c>
      <x:c r="O1113" t="n">
        <x:v>3</x:v>
      </x:c>
      <x:c r="P1113" s="26" t="n">
        <x:f>F1113/O1113</x:f>
        <x:v>9.773333333333333</x:v>
      </x:c>
    </x:row>
    <x:row r="1114">
      <x:c r="A1114" t="n">
        <x:v>1113</x:v>
      </x:c>
      <x:c r="B1114" t="n">
        <x:v>67</x:v>
      </x:c>
      <x:c r="C1114" t="str">
        <x:v>Female</x:v>
      </x:c>
      <x:c r="D1114" t="str">
        <x:v>Accessories</x:v>
      </x:c>
      <x:c r="E1114" t="str">
        <x:v>Sunglasses</x:v>
      </x:c>
      <x:c r="F1114" s="24" t="n">
        <x:v>133.57</x:v>
      </x:c>
      <x:c r="G1114" t="str">
        <x:v>Winter</x:v>
      </x:c>
      <x:c r="H1114" t="str">
        <x:v>Card</x:v>
      </x:c>
      <x:c r="I1114" t="n">
        <x:v>3.9</x:v>
      </x:c>
      <x:c r="J1114" t="n">
        <x:v>26</x:v>
      </x:c>
      <x:c r="K1114" t="n">
        <x:v>8</x:v>
      </x:c>
      <x:c r="L1114" t="str">
        <x:v>STORE-001</x:v>
      </x:c>
      <x:c r="M1114" s="22" t="n">
        <x:v>46226</x:v>
      </x:c>
      <x:c r="N1114" t="str">
        <x:v>SKU-026</x:v>
      </x:c>
      <x:c r="O1114" t="n">
        <x:v>2</x:v>
      </x:c>
      <x:c r="P1114" s="26" t="n">
        <x:f>F1114/O1114</x:f>
        <x:v>66.785</x:v>
      </x:c>
    </x:row>
    <x:row r="1115">
      <x:c r="A1115" t="n">
        <x:v>1114</x:v>
      </x:c>
      <x:c r="B1115" t="n">
        <x:v>69</x:v>
      </x:c>
      <x:c r="C1115" t="str">
        <x:v>Female</x:v>
      </x:c>
      <x:c r="D1115" t="str">
        <x:v>Accessories</x:v>
      </x:c>
      <x:c r="E1115" t="str">
        <x:v>Wallet</x:v>
      </x:c>
      <x:c r="F1115" s="24" t="n">
        <x:v>26.45</x:v>
      </x:c>
      <x:c r="G1115" t="str">
        <x:v>Autumn</x:v>
      </x:c>
      <x:c r="H1115" t="str">
        <x:v>Card</x:v>
      </x:c>
      <x:c r="I1115" t="n">
        <x:v>3.2</x:v>
      </x:c>
      <x:c r="J1115" t="n">
        <x:v>14</x:v>
      </x:c>
      <x:c r="K1115" t="n">
        <x:v>7</x:v>
      </x:c>
      <x:c r="L1115" t="str">
        <x:v>STORE-001</x:v>
      </x:c>
      <x:c r="M1115" s="22" t="n">
        <x:v>46147</x:v>
      </x:c>
      <x:c r="N1115" t="str">
        <x:v>SKU-029</x:v>
      </x:c>
      <x:c r="O1115" t="n">
        <x:v>1</x:v>
      </x:c>
      <x:c r="P1115" s="26" t="n">
        <x:f>F1115/O1115</x:f>
        <x:v>26.45</x:v>
      </x:c>
    </x:row>
    <x:row r="1116">
      <x:c r="A1116" t="n">
        <x:v>1115</x:v>
      </x:c>
      <x:c r="B1116" t="n">
        <x:v>56</x:v>
      </x:c>
      <x:c r="C1116" t="str">
        <x:v>Female</x:v>
      </x:c>
      <x:c r="D1116" t="str">
        <x:v>Groceries</x:v>
      </x:c>
      <x:c r="E1116" t="str">
        <x:v>Snacks</x:v>
      </x:c>
      <x:c r="F1116" s="24" t="n">
        <x:v>66.52</x:v>
      </x:c>
      <x:c r="G1116" t="str">
        <x:v>Winter</x:v>
      </x:c>
      <x:c r="H1116" t="str">
        <x:v>Card</x:v>
      </x:c>
      <x:c r="I1116" t="n">
        <x:v>3.9</x:v>
      </x:c>
      <x:c r="J1116" t="n">
        <x:v>13</x:v>
      </x:c>
      <x:c r="K1116" t="n">
        <x:v>4</x:v>
      </x:c>
      <x:c r="L1116" t="str">
        <x:v>STORE-001</x:v>
      </x:c>
      <x:c r="M1116" s="22" t="n">
        <x:v>46222</x:v>
      </x:c>
      <x:c r="N1116" t="str">
        <x:v>SKU-024</x:v>
      </x:c>
      <x:c r="O1116" t="n">
        <x:v>4</x:v>
      </x:c>
      <x:c r="P1116" s="26" t="n">
        <x:f>F1116/O1116</x:f>
        <x:v>16.63</x:v>
      </x:c>
    </x:row>
    <x:row r="1117">
      <x:c r="A1117" t="n">
        <x:v>1116</x:v>
      </x:c>
      <x:c r="B1117" t="n">
        <x:v>66</x:v>
      </x:c>
      <x:c r="C1117" t="str">
        <x:v>Female</x:v>
      </x:c>
      <x:c r="D1117" t="str">
        <x:v>Beauty</x:v>
      </x:c>
      <x:c r="E1117" t="str">
        <x:v>Perfume</x:v>
      </x:c>
      <x:c r="F1117" s="24" t="n">
        <x:v>125.89</x:v>
      </x:c>
      <x:c r="G1117" t="str">
        <x:v>Autumn</x:v>
      </x:c>
      <x:c r="H1117" t="str">
        <x:v>Card</x:v>
      </x:c>
      <x:c r="I1117" t="n">
        <x:v>4.3</x:v>
      </x:c>
      <x:c r="J1117" t="n">
        <x:v>16</x:v>
      </x:c>
      <x:c r="K1117" t="n">
        <x:v>3</x:v>
      </x:c>
      <x:c r="L1117" t="str">
        <x:v>STORE-001</x:v>
      </x:c>
      <x:c r="M1117" s="22" t="n">
        <x:v>46089</x:v>
      </x:c>
      <x:c r="N1117" t="str">
        <x:v>SKU-017</x:v>
      </x:c>
      <x:c r="O1117" t="n">
        <x:v>2</x:v>
      </x:c>
      <x:c r="P1117" s="26" t="n">
        <x:f>F1117/O1117</x:f>
        <x:v>62.945</x:v>
      </x:c>
    </x:row>
    <x:row r="1118">
      <x:c r="A1118" t="n">
        <x:v>1117</x:v>
      </x:c>
      <x:c r="B1118" t="n">
        <x:v>26</x:v>
      </x:c>
      <x:c r="C1118" t="str">
        <x:v>Female</x:v>
      </x:c>
      <x:c r="D1118" t="str">
        <x:v>Accessories</x:v>
      </x:c>
      <x:c r="E1118" t="str">
        <x:v>Handbag</x:v>
      </x:c>
      <x:c r="F1118" s="24" t="n">
        <x:v>177.36</x:v>
      </x:c>
      <x:c r="G1118" t="str">
        <x:v>Autumn</x:v>
      </x:c>
      <x:c r="H1118" t="str">
        <x:v>Card</x:v>
      </x:c>
      <x:c r="I1118" t="n">
        <x:v>4.8</x:v>
      </x:c>
      <x:c r="J1118" t="n">
        <x:v>20</x:v>
      </x:c>
      <x:c r="K1118" t="n">
        <x:v>5</x:v>
      </x:c>
      <x:c r="L1118" t="str">
        <x:v>STORE-001</x:v>
      </x:c>
      <x:c r="M1118" s="22" t="n">
        <x:v>46121</x:v>
      </x:c>
      <x:c r="N1118" t="str">
        <x:v>SKU-008</x:v>
      </x:c>
      <x:c r="O1118" t="n">
        <x:v>2</x:v>
      </x:c>
      <x:c r="P1118" s="26" t="n">
        <x:f>F1118/O1118</x:f>
        <x:v>88.68</x:v>
      </x:c>
    </x:row>
    <x:row r="1119">
      <x:c r="A1119" t="n">
        <x:v>1118</x:v>
      </x:c>
      <x:c r="B1119" t="n">
        <x:v>31</x:v>
      </x:c>
      <x:c r="C1119" t="str">
        <x:v>Male</x:v>
      </x:c>
      <x:c r="D1119" t="str">
        <x:v>Footwear</x:v>
      </x:c>
      <x:c r="E1119" t="str">
        <x:v>Sneakers</x:v>
      </x:c>
      <x:c r="F1119" s="24" t="n">
        <x:v>168.74</x:v>
      </x:c>
      <x:c r="G1119" t="str">
        <x:v>Summer</x:v>
      </x:c>
      <x:c r="H1119" t="str">
        <x:v>Card</x:v>
      </x:c>
      <x:c r="I1119" t="n">
        <x:v>4.1</x:v>
      </x:c>
      <x:c r="J1119" t="n">
        <x:v>16</x:v>
      </x:c>
      <x:c r="K1119" t="n">
        <x:v>8</x:v>
      </x:c>
      <x:c r="L1119" t="str">
        <x:v>STORE-001</x:v>
      </x:c>
      <x:c r="M1119" s="22" t="n">
        <x:v>46045</x:v>
      </x:c>
      <x:c r="N1119" t="str">
        <x:v>SKU-025</x:v>
      </x:c>
      <x:c r="O1119" t="n">
        <x:v>1</x:v>
      </x:c>
      <x:c r="P1119" s="26" t="n">
        <x:f>F1119/O1119</x:f>
        <x:v>168.74</x:v>
      </x:c>
    </x:row>
    <x:row r="1120">
      <x:c r="A1120" t="n">
        <x:v>1119</x:v>
      </x:c>
      <x:c r="B1120" t="n">
        <x:v>63</x:v>
      </x:c>
      <x:c r="C1120" t="str">
        <x:v>Female</x:v>
      </x:c>
      <x:c r="D1120" t="str">
        <x:v>Womens Clothing</x:v>
      </x:c>
      <x:c r="E1120" t="str">
        <x:v>Jeans</x:v>
      </x:c>
      <x:c r="F1120" s="24" t="n">
        <x:v>61.35</x:v>
      </x:c>
      <x:c r="G1120" t="str">
        <x:v>Summer</x:v>
      </x:c>
      <x:c r="H1120" t="str">
        <x:v>Cash on Delivery</x:v>
      </x:c>
      <x:c r="I1120" t="n">
        <x:v>3.6</x:v>
      </x:c>
      <x:c r="J1120" t="n">
        <x:v>20</x:v>
      </x:c>
      <x:c r="K1120" t="n">
        <x:v>5</x:v>
      </x:c>
      <x:c r="L1120" t="str">
        <x:v>STORE-001</x:v>
      </x:c>
      <x:c r="M1120" s="22" t="n">
        <x:v>46041</x:v>
      </x:c>
      <x:c r="N1120" t="str">
        <x:v>SKU-011</x:v>
      </x:c>
      <x:c r="O1120" t="n">
        <x:v>2</x:v>
      </x:c>
      <x:c r="P1120" s="26" t="n">
        <x:f>F1120/O1120</x:f>
        <x:v>30.675</x:v>
      </x:c>
    </x:row>
    <x:row r="1121">
      <x:c r="A1121" t="n">
        <x:v>1120</x:v>
      </x:c>
      <x:c r="B1121" t="n">
        <x:v>44</x:v>
      </x:c>
      <x:c r="C1121" t="str">
        <x:v>Female</x:v>
      </x:c>
      <x:c r="D1121" t="str">
        <x:v>Beauty</x:v>
      </x:c>
      <x:c r="E1121" t="str">
        <x:v>Perfume</x:v>
      </x:c>
      <x:c r="F1121" s="24" t="n">
        <x:v>128.73</x:v>
      </x:c>
      <x:c r="G1121" t="str">
        <x:v>Winter</x:v>
      </x:c>
      <x:c r="H1121" t="str">
        <x:v>Card</x:v>
      </x:c>
      <x:c r="I1121" t="n">
        <x:v>4.9</x:v>
      </x:c>
      <x:c r="J1121" t="n">
        <x:v>12</x:v>
      </x:c>
      <x:c r="K1121" t="n">
        <x:v>6</x:v>
      </x:c>
      <x:c r="L1121" t="str">
        <x:v>STORE-001</x:v>
      </x:c>
      <x:c r="M1121" s="22" t="n">
        <x:v>46188</x:v>
      </x:c>
      <x:c r="N1121" t="str">
        <x:v>SKU-017</x:v>
      </x:c>
      <x:c r="O1121" t="n">
        <x:v>1</x:v>
      </x:c>
      <x:c r="P1121" s="26" t="n">
        <x:f>F1121/O1121</x:f>
        <x:v>128.73</x:v>
      </x:c>
    </x:row>
    <x:row r="1122">
      <x:c r="A1122" t="n">
        <x:v>1121</x:v>
      </x:c>
      <x:c r="B1122" t="n">
        <x:v>20</x:v>
      </x:c>
      <x:c r="C1122" t="str">
        <x:v>Female</x:v>
      </x:c>
      <x:c r="D1122" t="str">
        <x:v>Sports</x:v>
      </x:c>
      <x:c r="E1122" t="str">
        <x:v>Dumbbells</x:v>
      </x:c>
      <x:c r="F1122" s="24" t="n">
        <x:v>144.7</x:v>
      </x:c>
      <x:c r="G1122" t="str">
        <x:v>Summer</x:v>
      </x:c>
      <x:c r="H1122" t="str">
        <x:v>Card</x:v>
      </x:c>
      <x:c r="I1122" t="n">
        <x:v>4.2</x:v>
      </x:c>
      <x:c r="J1122" t="n">
        <x:v>16</x:v>
      </x:c>
      <x:c r="K1122" t="n">
        <x:v>3</x:v>
      </x:c>
      <x:c r="L1122" t="str">
        <x:v>STORE-001</x:v>
      </x:c>
      <x:c r="M1122" s="22" t="n">
        <x:v>46023</x:v>
      </x:c>
      <x:c r="N1122" t="str">
        <x:v>SKU-005</x:v>
      </x:c>
      <x:c r="O1122" t="n">
        <x:v>2</x:v>
      </x:c>
      <x:c r="P1122" s="26" t="n">
        <x:f>F1122/O1122</x:f>
        <x:v>72.35</x:v>
      </x:c>
    </x:row>
    <x:row r="1123">
      <x:c r="A1123" t="n">
        <x:v>1122</x:v>
      </x:c>
      <x:c r="B1123" t="n">
        <x:v>41</x:v>
      </x:c>
      <x:c r="C1123" t="str">
        <x:v>Female</x:v>
      </x:c>
      <x:c r="D1123" t="str">
        <x:v>Accessories</x:v>
      </x:c>
      <x:c r="E1123" t="str">
        <x:v>Wallet</x:v>
      </x:c>
      <x:c r="F1123" s="24" t="n">
        <x:v>107.04</x:v>
      </x:c>
      <x:c r="G1123" t="str">
        <x:v>Autumn</x:v>
      </x:c>
      <x:c r="H1123" t="str">
        <x:v>Card</x:v>
      </x:c>
      <x:c r="I1123" t="n">
        <x:v>3.5</x:v>
      </x:c>
      <x:c r="J1123" t="n">
        <x:v>8</x:v>
      </x:c>
      <x:c r="K1123" t="n">
        <x:v>4</x:v>
      </x:c>
      <x:c r="L1123" t="str">
        <x:v>STORE-001</x:v>
      </x:c>
      <x:c r="M1123" s="22" t="n">
        <x:v>46105</x:v>
      </x:c>
      <x:c r="N1123" t="str">
        <x:v>SKU-029</x:v>
      </x:c>
      <x:c r="O1123" t="n">
        <x:v>2</x:v>
      </x:c>
      <x:c r="P1123" s="26" t="n">
        <x:f>F1123/O1123</x:f>
        <x:v>53.52</x:v>
      </x:c>
    </x:row>
    <x:row r="1124">
      <x:c r="A1124" t="n">
        <x:v>1123</x:v>
      </x:c>
      <x:c r="B1124" t="n">
        <x:v>36</x:v>
      </x:c>
      <x:c r="C1124" t="str">
        <x:v>Female</x:v>
      </x:c>
      <x:c r="D1124" t="str">
        <x:v>Accessories</x:v>
      </x:c>
      <x:c r="E1124" t="str">
        <x:v>Sunglasses</x:v>
      </x:c>
      <x:c r="F1124" s="24" t="n">
        <x:v>31.74</x:v>
      </x:c>
      <x:c r="G1124" t="str">
        <x:v>Spring</x:v>
      </x:c>
      <x:c r="H1124" t="str">
        <x:v>Cash on Delivery</x:v>
      </x:c>
      <x:c r="I1124" t="n">
        <x:v>3.9</x:v>
      </x:c>
      <x:c r="J1124" t="n">
        <x:v>6</x:v>
      </x:c>
      <x:c r="K1124" t="n">
        <x:v>3</x:v>
      </x:c>
      <x:c r="L1124" t="str">
        <x:v>STORE-001</x:v>
      </x:c>
      <x:c r="M1124" s="22" t="n">
        <x:v>45954</x:v>
      </x:c>
      <x:c r="N1124" t="str">
        <x:v>SKU-026</x:v>
      </x:c>
      <x:c r="O1124" t="n">
        <x:v>1</x:v>
      </x:c>
      <x:c r="P1124" s="26" t="n">
        <x:f>F1124/O1124</x:f>
        <x:v>31.74</x:v>
      </x:c>
    </x:row>
    <x:row r="1125">
      <x:c r="A1125" t="n">
        <x:v>1124</x:v>
      </x:c>
      <x:c r="B1125" t="n">
        <x:v>38</x:v>
      </x:c>
      <x:c r="C1125" t="str">
        <x:v>Male</x:v>
      </x:c>
      <x:c r="D1125" t="str">
        <x:v>Electronics</x:v>
      </x:c>
      <x:c r="E1125" t="str">
        <x:v>Laptop</x:v>
      </x:c>
      <x:c r="F1125" s="24" t="n">
        <x:v>2415.2</x:v>
      </x:c>
      <x:c r="G1125" t="str">
        <x:v>Summer</x:v>
      </x:c>
      <x:c r="H1125" t="str">
        <x:v>Card</x:v>
      </x:c>
      <x:c r="I1125" t="n">
        <x:v>4.3</x:v>
      </x:c>
      <x:c r="J1125" t="n">
        <x:v>20</x:v>
      </x:c>
      <x:c r="K1125" t="n">
        <x:v>5</x:v>
      </x:c>
      <x:c r="L1125" t="str">
        <x:v>STORE-001</x:v>
      </x:c>
      <x:c r="M1125" s="22" t="n">
        <x:v>46042</x:v>
      </x:c>
      <x:c r="N1125" t="str">
        <x:v>SKU-014</x:v>
      </x:c>
      <x:c r="O1125" t="n">
        <x:v>1</x:v>
      </x:c>
      <x:c r="P1125" s="26" t="n">
        <x:f>F1125/O1125</x:f>
        <x:v>2415.2</x:v>
      </x:c>
    </x:row>
    <x:row r="1126">
      <x:c r="A1126" t="n">
        <x:v>1125</x:v>
      </x:c>
      <x:c r="B1126" t="n">
        <x:v>44</x:v>
      </x:c>
      <x:c r="C1126" t="str">
        <x:v>Male</x:v>
      </x:c>
      <x:c r="D1126" t="str">
        <x:v>Mens Clothing</x:v>
      </x:c>
      <x:c r="E1126" t="str">
        <x:v>Jacket</x:v>
      </x:c>
      <x:c r="F1126" s="24" t="n">
        <x:v>91.47</x:v>
      </x:c>
      <x:c r="G1126" t="str">
        <x:v>Winter</x:v>
      </x:c>
      <x:c r="H1126" t="str">
        <x:v>Cash on Delivery</x:v>
      </x:c>
      <x:c r="I1126" t="n">
        <x:v>3.5</x:v>
      </x:c>
      <x:c r="J1126" t="n">
        <x:v>17</x:v>
      </x:c>
      <x:c r="K1126" t="n">
        <x:v>6</x:v>
      </x:c>
      <x:c r="L1126" t="str">
        <x:v>STORE-001</x:v>
      </x:c>
      <x:c r="M1126" s="22" t="n">
        <x:v>46187</x:v>
      </x:c>
      <x:c r="N1126" t="str">
        <x:v>SKU-010</x:v>
      </x:c>
      <x:c r="O1126" t="n">
        <x:v>3</x:v>
      </x:c>
      <x:c r="P1126" s="26" t="n">
        <x:f>F1126/O1126</x:f>
        <x:v>30.49</x:v>
      </x:c>
    </x:row>
    <x:row r="1127">
      <x:c r="A1127" t="n">
        <x:v>1126</x:v>
      </x:c>
      <x:c r="B1127" t="n">
        <x:v>40</x:v>
      </x:c>
      <x:c r="C1127" t="str">
        <x:v>Female</x:v>
      </x:c>
      <x:c r="D1127" t="str">
        <x:v>Footwear</x:v>
      </x:c>
      <x:c r="E1127" t="str">
        <x:v>Sandals</x:v>
      </x:c>
      <x:c r="F1127" s="24" t="n">
        <x:v>118.69</x:v>
      </x:c>
      <x:c r="G1127" t="str">
        <x:v>Autumn</x:v>
      </x:c>
      <x:c r="H1127" t="str">
        <x:v>Card</x:v>
      </x:c>
      <x:c r="I1127" t="n">
        <x:v>3.5</x:v>
      </x:c>
      <x:c r="J1127" t="n">
        <x:v>14</x:v>
      </x:c>
      <x:c r="K1127" t="n">
        <x:v>7</x:v>
      </x:c>
      <x:c r="L1127" t="str">
        <x:v>STORE-001</x:v>
      </x:c>
      <x:c r="M1127" s="22" t="n">
        <x:v>46167</x:v>
      </x:c>
      <x:c r="N1127" t="str">
        <x:v>SKU-019</x:v>
      </x:c>
      <x:c r="O1127" t="n">
        <x:v>2</x:v>
      </x:c>
      <x:c r="P1127" s="26" t="n">
        <x:f>F1127/O1127</x:f>
        <x:v>59.345</x:v>
      </x:c>
    </x:row>
    <x:row r="1128">
      <x:c r="A1128" t="n">
        <x:v>1127</x:v>
      </x:c>
      <x:c r="B1128" t="n">
        <x:v>33</x:v>
      </x:c>
      <x:c r="C1128" t="str">
        <x:v>Male</x:v>
      </x:c>
      <x:c r="D1128" t="str">
        <x:v>Footwear</x:v>
      </x:c>
      <x:c r="E1128" t="str">
        <x:v>Sneakers</x:v>
      </x:c>
      <x:c r="F1128" s="24" t="n">
        <x:v>163.49</x:v>
      </x:c>
      <x:c r="G1128" t="str">
        <x:v>Winter</x:v>
      </x:c>
      <x:c r="H1128" t="str">
        <x:v>Card</x:v>
      </x:c>
      <x:c r="I1128" t="n">
        <x:v>2.7</x:v>
      </x:c>
      <x:c r="J1128" t="n">
        <x:v>22</x:v>
      </x:c>
      <x:c r="K1128" t="n">
        <x:v>6</x:v>
      </x:c>
      <x:c r="L1128" t="str">
        <x:v>STORE-001</x:v>
      </x:c>
      <x:c r="M1128" s="22" t="n">
        <x:v>46201</x:v>
      </x:c>
      <x:c r="N1128" t="str">
        <x:v>SKU-025</x:v>
      </x:c>
      <x:c r="O1128" t="n">
        <x:v>1</x:v>
      </x:c>
      <x:c r="P1128" s="26" t="n">
        <x:f>F1128/O1128</x:f>
        <x:v>163.49</x:v>
      </x:c>
    </x:row>
    <x:row r="1129">
      <x:c r="A1129" t="n">
        <x:v>1128</x:v>
      </x:c>
      <x:c r="B1129" t="n">
        <x:v>55</x:v>
      </x:c>
      <x:c r="C1129" t="str">
        <x:v>Female</x:v>
      </x:c>
      <x:c r="D1129" t="str">
        <x:v>Footwear</x:v>
      </x:c>
      <x:c r="E1129" t="str">
        <x:v>Sandals</x:v>
      </x:c>
      <x:c r="F1129" s="24" t="n">
        <x:v>104.63</x:v>
      </x:c>
      <x:c r="G1129" t="str">
        <x:v>Spring</x:v>
      </x:c>
      <x:c r="H1129" t="str">
        <x:v>Card</x:v>
      </x:c>
      <x:c r="I1129" t="n">
        <x:v>3.2</x:v>
      </x:c>
      <x:c r="J1129" t="n">
        <x:v>20</x:v>
      </x:c>
      <x:c r="K1129" t="n">
        <x:v>5</x:v>
      </x:c>
      <x:c r="L1129" t="str">
        <x:v>STORE-001</x:v>
      </x:c>
      <x:c r="M1129" s="22" t="n">
        <x:v>46290</x:v>
      </x:c>
      <x:c r="N1129" t="str">
        <x:v>SKU-019</x:v>
      </x:c>
      <x:c r="O1129" t="n">
        <x:v>2</x:v>
      </x:c>
      <x:c r="P1129" s="26" t="n">
        <x:f>F1129/O1129</x:f>
        <x:v>52.315</x:v>
      </x:c>
    </x:row>
    <x:row r="1130">
      <x:c r="A1130" t="n">
        <x:v>1129</x:v>
      </x:c>
      <x:c r="B1130" t="n">
        <x:v>43</x:v>
      </x:c>
      <x:c r="C1130" t="str">
        <x:v>Male</x:v>
      </x:c>
      <x:c r="D1130" t="str">
        <x:v>Sports</x:v>
      </x:c>
      <x:c r="E1130" t="str">
        <x:v>Yoga Mat</x:v>
      </x:c>
      <x:c r="F1130" s="24" t="n">
        <x:v>195.7</x:v>
      </x:c>
      <x:c r="G1130" t="str">
        <x:v>Autumn</x:v>
      </x:c>
      <x:c r="H1130" t="str">
        <x:v>Card</x:v>
      </x:c>
      <x:c r="I1130" t="n">
        <x:v>2.8</x:v>
      </x:c>
      <x:c r="J1130" t="n">
        <x:v>10</x:v>
      </x:c>
      <x:c r="K1130" t="n">
        <x:v>5</x:v>
      </x:c>
      <x:c r="L1130" t="str">
        <x:v>STORE-001</x:v>
      </x:c>
      <x:c r="M1130" s="22" t="n">
        <x:v>46138</x:v>
      </x:c>
      <x:c r="N1130" t="str">
        <x:v>SKU-030</x:v>
      </x:c>
      <x:c r="O1130" t="n">
        <x:v>1</x:v>
      </x:c>
      <x:c r="P1130" s="26" t="n">
        <x:f>F1130/O1130</x:f>
        <x:v>195.7</x:v>
      </x:c>
    </x:row>
    <x:row r="1131">
      <x:c r="A1131" t="n">
        <x:v>1130</x:v>
      </x:c>
      <x:c r="B1131" t="n">
        <x:v>67</x:v>
      </x:c>
      <x:c r="C1131" t="str">
        <x:v>Female</x:v>
      </x:c>
      <x:c r="D1131" t="str">
        <x:v>Accessories</x:v>
      </x:c>
      <x:c r="E1131" t="str">
        <x:v>Wallet</x:v>
      </x:c>
      <x:c r="F1131" s="24" t="n">
        <x:v>42.94</x:v>
      </x:c>
      <x:c r="G1131" t="str">
        <x:v>Spring</x:v>
      </x:c>
      <x:c r="H1131" t="str">
        <x:v>Card</x:v>
      </x:c>
      <x:c r="I1131" t="n">
        <x:v>3.4</x:v>
      </x:c>
      <x:c r="J1131" t="n">
        <x:v>9</x:v>
      </x:c>
      <x:c r="K1131" t="n">
        <x:v>2</x:v>
      </x:c>
      <x:c r="L1131" t="str">
        <x:v>STORE-001</x:v>
      </x:c>
      <x:c r="M1131" s="22" t="n">
        <x:v>45936</x:v>
      </x:c>
      <x:c r="N1131" t="str">
        <x:v>SKU-029</x:v>
      </x:c>
      <x:c r="O1131" t="n">
        <x:v>3</x:v>
      </x:c>
      <x:c r="P1131" s="26" t="n">
        <x:f>F1131/O1131</x:f>
        <x:v>14.313333333333333</x:v>
      </x:c>
    </x:row>
    <x:row r="1132">
      <x:c r="A1132" t="n">
        <x:v>1131</x:v>
      </x:c>
      <x:c r="B1132" t="n">
        <x:v>33</x:v>
      </x:c>
      <x:c r="C1132" t="str">
        <x:v>Male</x:v>
      </x:c>
      <x:c r="D1132" t="str">
        <x:v>Electronics</x:v>
      </x:c>
      <x:c r="E1132" t="str">
        <x:v>Mobile Phone</x:v>
      </x:c>
      <x:c r="F1132" s="24" t="n">
        <x:v>2697.97</x:v>
      </x:c>
      <x:c r="G1132" t="str">
        <x:v>Summer</x:v>
      </x:c>
      <x:c r="H1132" t="str">
        <x:v>Card</x:v>
      </x:c>
      <x:c r="I1132" t="n">
        <x:v>3.8</x:v>
      </x:c>
      <x:c r="J1132" t="n">
        <x:v>6</x:v>
      </x:c>
      <x:c r="K1132" t="n">
        <x:v>3</x:v>
      </x:c>
      <x:c r="L1132" t="str">
        <x:v>STORE-001</x:v>
      </x:c>
      <x:c r="M1132" s="22" t="n">
        <x:v>46077</x:v>
      </x:c>
      <x:c r="N1132" t="str">
        <x:v>SKU-016</x:v>
      </x:c>
      <x:c r="O1132" t="n">
        <x:v>1</x:v>
      </x:c>
      <x:c r="P1132" s="26" t="n">
        <x:f>F1132/O1132</x:f>
        <x:v>2697.97</x:v>
      </x:c>
    </x:row>
    <x:row r="1133">
      <x:c r="A1133" t="n">
        <x:v>1132</x:v>
      </x:c>
      <x:c r="B1133" t="n">
        <x:v>34</x:v>
      </x:c>
      <x:c r="C1133" t="str">
        <x:v>Female</x:v>
      </x:c>
      <x:c r="D1133" t="str">
        <x:v>Accessories</x:v>
      </x:c>
      <x:c r="E1133" t="str">
        <x:v>Handbag</x:v>
      </x:c>
      <x:c r="F1133" s="24" t="n">
        <x:v>86.46</x:v>
      </x:c>
      <x:c r="G1133" t="str">
        <x:v>Winter</x:v>
      </x:c>
      <x:c r="H1133" t="str">
        <x:v>Cash on Delivery</x:v>
      </x:c>
      <x:c r="I1133" t="n">
        <x:v>4.5</x:v>
      </x:c>
      <x:c r="J1133" t="n">
        <x:v>4</x:v>
      </x:c>
      <x:c r="K1133" t="n">
        <x:v>2</x:v>
      </x:c>
      <x:c r="L1133" t="str">
        <x:v>STORE-001</x:v>
      </x:c>
      <x:c r="M1133" s="22" t="n">
        <x:v>46193</x:v>
      </x:c>
      <x:c r="N1133" t="str">
        <x:v>SKU-008</x:v>
      </x:c>
      <x:c r="O1133" t="n">
        <x:v>1</x:v>
      </x:c>
      <x:c r="P1133" s="26" t="n">
        <x:f>F1133/O1133</x:f>
        <x:v>86.46</x:v>
      </x:c>
    </x:row>
    <x:row r="1134">
      <x:c r="A1134" t="n">
        <x:v>1133</x:v>
      </x:c>
      <x:c r="B1134" t="n">
        <x:v>50</x:v>
      </x:c>
      <x:c r="C1134" t="str">
        <x:v>Male</x:v>
      </x:c>
      <x:c r="D1134" t="str">
        <x:v>Sports</x:v>
      </x:c>
      <x:c r="E1134" t="str">
        <x:v>Dumbbells</x:v>
      </x:c>
      <x:c r="F1134" s="24" t="n">
        <x:v>166.99</x:v>
      </x:c>
      <x:c r="G1134" t="str">
        <x:v>Winter</x:v>
      </x:c>
      <x:c r="H1134" t="str">
        <x:v>Card</x:v>
      </x:c>
      <x:c r="I1134" t="n">
        <x:v>4.5</x:v>
      </x:c>
      <x:c r="J1134" t="n">
        <x:v>23</x:v>
      </x:c>
      <x:c r="K1134" t="n">
        <x:v>9</x:v>
      </x:c>
      <x:c r="L1134" t="str">
        <x:v>STORE-001</x:v>
      </x:c>
      <x:c r="M1134" s="22" t="n">
        <x:v>46253</x:v>
      </x:c>
      <x:c r="N1134" t="str">
        <x:v>SKU-005</x:v>
      </x:c>
      <x:c r="O1134" t="n">
        <x:v>3</x:v>
      </x:c>
      <x:c r="P1134" s="26" t="n">
        <x:f>F1134/O1134</x:f>
        <x:v>55.663333333333334</x:v>
      </x:c>
    </x:row>
    <x:row r="1135">
      <x:c r="A1135" t="n">
        <x:v>1134</x:v>
      </x:c>
      <x:c r="B1135" t="n">
        <x:v>50</x:v>
      </x:c>
      <x:c r="C1135" t="str">
        <x:v>Male</x:v>
      </x:c>
      <x:c r="D1135" t="str">
        <x:v>Electronics</x:v>
      </x:c>
      <x:c r="E1135" t="str">
        <x:v>Mobile Phone</x:v>
      </x:c>
      <x:c r="F1135" s="24" t="n">
        <x:v>1790.31</x:v>
      </x:c>
      <x:c r="G1135" t="str">
        <x:v>Summer</x:v>
      </x:c>
      <x:c r="H1135" t="str">
        <x:v>Card</x:v>
      </x:c>
      <x:c r="I1135" t="n">
        <x:v>2.7</x:v>
      </x:c>
      <x:c r="J1135" t="n">
        <x:v>18</x:v>
      </x:c>
      <x:c r="K1135" t="n">
        <x:v>4</x:v>
      </x:c>
      <x:c r="L1135" t="str">
        <x:v>STORE-001</x:v>
      </x:c>
      <x:c r="M1135" s="22" t="n">
        <x:v>46016</x:v>
      </x:c>
      <x:c r="N1135" t="str">
        <x:v>SKU-016</x:v>
      </x:c>
      <x:c r="O1135" t="n">
        <x:v>1</x:v>
      </x:c>
      <x:c r="P1135" s="26" t="n">
        <x:f>F1135/O1135</x:f>
        <x:v>1790.31</x:v>
      </x:c>
    </x:row>
    <x:row r="1136">
      <x:c r="A1136" t="n">
        <x:v>1135</x:v>
      </x:c>
      <x:c r="B1136" t="n">
        <x:v>43</x:v>
      </x:c>
      <x:c r="C1136" t="str">
        <x:v>Male</x:v>
      </x:c>
      <x:c r="D1136" t="str">
        <x:v>Sports</x:v>
      </x:c>
      <x:c r="E1136" t="str">
        <x:v>Football</x:v>
      </x:c>
      <x:c r="F1136" s="24" t="n">
        <x:v>86.47</x:v>
      </x:c>
      <x:c r="G1136" t="str">
        <x:v>Winter</x:v>
      </x:c>
      <x:c r="H1136" t="str">
        <x:v>Card</x:v>
      </x:c>
      <x:c r="I1136" t="n">
        <x:v>3</x:v>
      </x:c>
      <x:c r="J1136" t="n">
        <x:v>25</x:v>
      </x:c>
      <x:c r="K1136" t="n">
        <x:v>10</x:v>
      </x:c>
      <x:c r="L1136" t="str">
        <x:v>STORE-001</x:v>
      </x:c>
      <x:c r="M1136" s="22" t="n">
        <x:v>46190</x:v>
      </x:c>
      <x:c r="N1136" t="str">
        <x:v>SKU-006</x:v>
      </x:c>
      <x:c r="O1136" t="n">
        <x:v>3</x:v>
      </x:c>
      <x:c r="P1136" s="26" t="n">
        <x:f>F1136/O1136</x:f>
        <x:v>28.823333333333334</x:v>
      </x:c>
    </x:row>
    <x:row r="1137">
      <x:c r="A1137" t="n">
        <x:v>1136</x:v>
      </x:c>
      <x:c r="B1137" t="n">
        <x:v>41</x:v>
      </x:c>
      <x:c r="C1137" t="str">
        <x:v>Female</x:v>
      </x:c>
      <x:c r="D1137" t="str">
        <x:v>Footwear</x:v>
      </x:c>
      <x:c r="E1137" t="str">
        <x:v>Sneakers</x:v>
      </x:c>
      <x:c r="F1137" s="24" t="n">
        <x:v>215.58</x:v>
      </x:c>
      <x:c r="G1137" t="str">
        <x:v>Autumn</x:v>
      </x:c>
      <x:c r="H1137" t="str">
        <x:v>Card</x:v>
      </x:c>
      <x:c r="I1137" t="n">
        <x:v>4.1</x:v>
      </x:c>
      <x:c r="J1137" t="n">
        <x:v>21</x:v>
      </x:c>
      <x:c r="K1137" t="n">
        <x:v>8</x:v>
      </x:c>
      <x:c r="L1137" t="str">
        <x:v>STORE-001</x:v>
      </x:c>
      <x:c r="M1137" s="22" t="n">
        <x:v>46119</x:v>
      </x:c>
      <x:c r="N1137" t="str">
        <x:v>SKU-025</x:v>
      </x:c>
      <x:c r="O1137" t="n">
        <x:v>3</x:v>
      </x:c>
      <x:c r="P1137" s="26" t="n">
        <x:f>F1137/O1137</x:f>
        <x:v>71.86</x:v>
      </x:c>
    </x:row>
    <x:row r="1138">
      <x:c r="A1138" t="n">
        <x:v>1137</x:v>
      </x:c>
      <x:c r="B1138" t="n">
        <x:v>52</x:v>
      </x:c>
      <x:c r="C1138" t="str">
        <x:v>Female</x:v>
      </x:c>
      <x:c r="D1138" t="str">
        <x:v>Accessories</x:v>
      </x:c>
      <x:c r="E1138" t="str">
        <x:v>Sunglasses</x:v>
      </x:c>
      <x:c r="F1138" s="24" t="n">
        <x:v>51.85</x:v>
      </x:c>
      <x:c r="G1138" t="str">
        <x:v>Summer</x:v>
      </x:c>
      <x:c r="H1138" t="str">
        <x:v>Card</x:v>
      </x:c>
      <x:c r="I1138" t="n">
        <x:v>3.5</x:v>
      </x:c>
      <x:c r="J1138" t="n">
        <x:v>20</x:v>
      </x:c>
      <x:c r="K1138" t="n">
        <x:v>5</x:v>
      </x:c>
      <x:c r="L1138" t="str">
        <x:v>STORE-001</x:v>
      </x:c>
      <x:c r="M1138" s="22" t="n">
        <x:v>46015</x:v>
      </x:c>
      <x:c r="N1138" t="str">
        <x:v>SKU-026</x:v>
      </x:c>
      <x:c r="O1138" t="n">
        <x:v>1</x:v>
      </x:c>
      <x:c r="P1138" s="26" t="n">
        <x:f>F1138/O1138</x:f>
        <x:v>51.85</x:v>
      </x:c>
    </x:row>
    <x:row r="1139">
      <x:c r="A1139" t="n">
        <x:v>1138</x:v>
      </x:c>
      <x:c r="B1139" t="n">
        <x:v>45</x:v>
      </x:c>
      <x:c r="C1139" t="str">
        <x:v>Male</x:v>
      </x:c>
      <x:c r="D1139" t="str">
        <x:v>Groceries</x:v>
      </x:c>
      <x:c r="E1139" t="str">
        <x:v>Snacks</x:v>
      </x:c>
      <x:c r="F1139" s="24" t="n">
        <x:v>13.27</x:v>
      </x:c>
      <x:c r="G1139" t="str">
        <x:v>Summer</x:v>
      </x:c>
      <x:c r="H1139" t="str">
        <x:v>Cash on Delivery</x:v>
      </x:c>
      <x:c r="I1139" t="n">
        <x:v>5</x:v>
      </x:c>
      <x:c r="J1139" t="n">
        <x:v>24</x:v>
      </x:c>
      <x:c r="K1139" t="n">
        <x:v>7</x:v>
      </x:c>
      <x:c r="L1139" t="str">
        <x:v>STORE-001</x:v>
      </x:c>
      <x:c r="M1139" s="22" t="n">
        <x:v>45995</x:v>
      </x:c>
      <x:c r="N1139" t="str">
        <x:v>SKU-024</x:v>
      </x:c>
      <x:c r="O1139" t="n">
        <x:v>5</x:v>
      </x:c>
      <x:c r="P1139" s="26" t="n">
        <x:f>F1139/O1139</x:f>
        <x:v>2.654</x:v>
      </x:c>
    </x:row>
    <x:row r="1140">
      <x:c r="A1140" t="n">
        <x:v>1139</x:v>
      </x:c>
      <x:c r="B1140" t="n">
        <x:v>66</x:v>
      </x:c>
      <x:c r="C1140" t="str">
        <x:v>Male</x:v>
      </x:c>
      <x:c r="D1140" t="str">
        <x:v>Electronics</x:v>
      </x:c>
      <x:c r="E1140" t="str">
        <x:v>Smart Watch</x:v>
      </x:c>
      <x:c r="F1140" s="24" t="n">
        <x:v>1457.42</x:v>
      </x:c>
      <x:c r="G1140" t="str">
        <x:v>Winter</x:v>
      </x:c>
      <x:c r="H1140" t="str">
        <x:v>Card</x:v>
      </x:c>
      <x:c r="I1140" t="n">
        <x:v>2.7</x:v>
      </x:c>
      <x:c r="J1140" t="n">
        <x:v>11</x:v>
      </x:c>
      <x:c r="K1140" t="n">
        <x:v>3</x:v>
      </x:c>
      <x:c r="L1140" t="str">
        <x:v>STORE-001</x:v>
      </x:c>
      <x:c r="M1140" s="22" t="n">
        <x:v>46188</x:v>
      </x:c>
      <x:c r="N1140" t="str">
        <x:v>SKU-023</x:v>
      </x:c>
      <x:c r="O1140" t="n">
        <x:v>1</x:v>
      </x:c>
      <x:c r="P1140" s="26" t="n">
        <x:f>F1140/O1140</x:f>
        <x:v>1457.42</x:v>
      </x:c>
    </x:row>
    <x:row r="1141">
      <x:c r="A1141" t="n">
        <x:v>1140</x:v>
      </x:c>
      <x:c r="B1141" t="n">
        <x:v>20</x:v>
      </x:c>
      <x:c r="C1141" t="str">
        <x:v>Male</x:v>
      </x:c>
      <x:c r="D1141" t="str">
        <x:v>Electronics</x:v>
      </x:c>
      <x:c r="E1141" t="str">
        <x:v>Headphones</x:v>
      </x:c>
      <x:c r="F1141" s="24" t="n">
        <x:v>1172.26</x:v>
      </x:c>
      <x:c r="G1141" t="str">
        <x:v>Autumn</x:v>
      </x:c>
      <x:c r="H1141" t="str">
        <x:v>Card</x:v>
      </x:c>
      <x:c r="I1141" t="n">
        <x:v>2.9</x:v>
      </x:c>
      <x:c r="J1141" t="n">
        <x:v>14</x:v>
      </x:c>
      <x:c r="K1141" t="n">
        <x:v>2</x:v>
      </x:c>
      <x:c r="L1141" t="str">
        <x:v>STORE-001</x:v>
      </x:c>
      <x:c r="M1141" s="22" t="n">
        <x:v>46097</x:v>
      </x:c>
      <x:c r="N1141" t="str">
        <x:v>SKU-009</x:v>
      </x:c>
      <x:c r="O1141" t="n">
        <x:v>1</x:v>
      </x:c>
      <x:c r="P1141" s="26" t="n">
        <x:f>F1141/O1141</x:f>
        <x:v>1172.26</x:v>
      </x:c>
    </x:row>
    <x:row r="1142">
      <x:c r="A1142" t="n">
        <x:v>1141</x:v>
      </x:c>
      <x:c r="B1142" t="n">
        <x:v>48</x:v>
      </x:c>
      <x:c r="C1142" t="str">
        <x:v>Female</x:v>
      </x:c>
      <x:c r="D1142" t="str">
        <x:v>Womens Clothing</x:v>
      </x:c>
      <x:c r="E1142" t="str">
        <x:v>Dress</x:v>
      </x:c>
      <x:c r="F1142" s="24" t="n">
        <x:v>188.55</x:v>
      </x:c>
      <x:c r="G1142" t="str">
        <x:v>Autumn</x:v>
      </x:c>
      <x:c r="H1142" t="str">
        <x:v>Card</x:v>
      </x:c>
      <x:c r="I1142" t="n">
        <x:v>4.7</x:v>
      </x:c>
      <x:c r="J1142" t="n">
        <x:v>13</x:v>
      </x:c>
      <x:c r="K1142" t="n">
        <x:v>4</x:v>
      </x:c>
      <x:c r="L1142" t="str">
        <x:v>STORE-001</x:v>
      </x:c>
      <x:c r="M1142" s="22" t="n">
        <x:v>46104</x:v>
      </x:c>
      <x:c r="N1142" t="str">
        <x:v>SKU-004</x:v>
      </x:c>
      <x:c r="O1142" t="n">
        <x:v>3</x:v>
      </x:c>
      <x:c r="P1142" s="26" t="n">
        <x:f>F1142/O1142</x:f>
        <x:v>62.85</x:v>
      </x:c>
    </x:row>
    <x:row r="1143">
      <x:c r="A1143" t="n">
        <x:v>1142</x:v>
      </x:c>
      <x:c r="B1143" t="n">
        <x:v>48</x:v>
      </x:c>
      <x:c r="C1143" t="str">
        <x:v>Female</x:v>
      </x:c>
      <x:c r="D1143" t="str">
        <x:v>Womens Clothing</x:v>
      </x:c>
      <x:c r="E1143" t="str">
        <x:v>Skirt</x:v>
      </x:c>
      <x:c r="F1143" s="24" t="n">
        <x:v>188.22</x:v>
      </x:c>
      <x:c r="G1143" t="str">
        <x:v>Winter</x:v>
      </x:c>
      <x:c r="H1143" t="str">
        <x:v>Card</x:v>
      </x:c>
      <x:c r="I1143" t="n">
        <x:v>2.7</x:v>
      </x:c>
      <x:c r="J1143" t="n">
        <x:v>15</x:v>
      </x:c>
      <x:c r="K1143" t="n">
        <x:v>5</x:v>
      </x:c>
      <x:c r="L1143" t="str">
        <x:v>STORE-001</x:v>
      </x:c>
      <x:c r="M1143" s="22" t="n">
        <x:v>46261</x:v>
      </x:c>
      <x:c r="N1143" t="str">
        <x:v>SKU-022</x:v>
      </x:c>
      <x:c r="O1143" t="n">
        <x:v>3</x:v>
      </x:c>
      <x:c r="P1143" s="26" t="n">
        <x:f>F1143/O1143</x:f>
        <x:v>62.74</x:v>
      </x:c>
    </x:row>
    <x:row r="1144">
      <x:c r="A1144" t="n">
        <x:v>1143</x:v>
      </x:c>
      <x:c r="B1144" t="n">
        <x:v>27</x:v>
      </x:c>
      <x:c r="C1144" t="str">
        <x:v>Female</x:v>
      </x:c>
      <x:c r="D1144" t="str">
        <x:v>Womens Clothing</x:v>
      </x:c>
      <x:c r="E1144" t="str">
        <x:v>Top</x:v>
      </x:c>
      <x:c r="F1144" s="24" t="n">
        <x:v>90.74</x:v>
      </x:c>
      <x:c r="G1144" t="str">
        <x:v>Winter</x:v>
      </x:c>
      <x:c r="H1144" t="str">
        <x:v>Cash on Delivery</x:v>
      </x:c>
      <x:c r="I1144" t="n">
        <x:v>2.8</x:v>
      </x:c>
      <x:c r="J1144" t="n">
        <x:v>22</x:v>
      </x:c>
      <x:c r="K1144" t="n">
        <x:v>6</x:v>
      </x:c>
      <x:c r="L1144" t="str">
        <x:v>STORE-001</x:v>
      </x:c>
      <x:c r="M1144" s="22" t="n">
        <x:v>46212</x:v>
      </x:c>
      <x:c r="N1144" t="str">
        <x:v>SKU-028</x:v>
      </x:c>
      <x:c r="O1144" t="n">
        <x:v>2</x:v>
      </x:c>
      <x:c r="P1144" s="26" t="n">
        <x:f>F1144/O1144</x:f>
        <x:v>45.37</x:v>
      </x:c>
    </x:row>
    <x:row r="1145">
      <x:c r="A1145" t="n">
        <x:v>1144</x:v>
      </x:c>
      <x:c r="B1145" t="n">
        <x:v>59</x:v>
      </x:c>
      <x:c r="C1145" t="str">
        <x:v>Female</x:v>
      </x:c>
      <x:c r="D1145" t="str">
        <x:v>Footwear</x:v>
      </x:c>
      <x:c r="E1145" t="str">
        <x:v>Formal Shoes</x:v>
      </x:c>
      <x:c r="F1145" s="24" t="n">
        <x:v>69.57</x:v>
      </x:c>
      <x:c r="G1145" t="str">
        <x:v>Spring</x:v>
      </x:c>
      <x:c r="H1145" t="str">
        <x:v>Cash on Delivery</x:v>
      </x:c>
      <x:c r="I1145" t="n">
        <x:v>5</x:v>
      </x:c>
      <x:c r="J1145" t="n">
        <x:v>20</x:v>
      </x:c>
      <x:c r="K1145" t="n">
        <x:v>5</x:v>
      </x:c>
      <x:c r="L1145" t="str">
        <x:v>STORE-001</x:v>
      </x:c>
      <x:c r="M1145" s="22" t="n">
        <x:v>46285</x:v>
      </x:c>
      <x:c r="N1145" t="str">
        <x:v>SKU-007</x:v>
      </x:c>
      <x:c r="O1145" t="n">
        <x:v>1</x:v>
      </x:c>
      <x:c r="P1145" s="26" t="n">
        <x:f>F1145/O1145</x:f>
        <x:v>69.57</x:v>
      </x:c>
    </x:row>
    <x:row r="1146">
      <x:c r="A1146" t="n">
        <x:v>1145</x:v>
      </x:c>
      <x:c r="B1146" t="n">
        <x:v>56</x:v>
      </x:c>
      <x:c r="C1146" t="str">
        <x:v>Male</x:v>
      </x:c>
      <x:c r="D1146" t="str">
        <x:v>Electronics</x:v>
      </x:c>
      <x:c r="E1146" t="str">
        <x:v>Mobile Phone</x:v>
      </x:c>
      <x:c r="F1146" s="24" t="n">
        <x:v>2953.85</x:v>
      </x:c>
      <x:c r="G1146" t="str">
        <x:v>Winter</x:v>
      </x:c>
      <x:c r="H1146" t="str">
        <x:v>Card</x:v>
      </x:c>
      <x:c r="I1146" t="n">
        <x:v>4.2</x:v>
      </x:c>
      <x:c r="J1146" t="n">
        <x:v>18</x:v>
      </x:c>
      <x:c r="K1146" t="n">
        <x:v>4</x:v>
      </x:c>
      <x:c r="L1146" t="str">
        <x:v>STORE-001</x:v>
      </x:c>
      <x:c r="M1146" s="22" t="n">
        <x:v>46238</x:v>
      </x:c>
      <x:c r="N1146" t="str">
        <x:v>SKU-016</x:v>
      </x:c>
      <x:c r="O1146" t="n">
        <x:v>1</x:v>
      </x:c>
      <x:c r="P1146" s="26" t="n">
        <x:f>F1146/O1146</x:f>
        <x:v>2953.85</x:v>
      </x:c>
    </x:row>
    <x:row r="1147">
      <x:c r="A1147" t="n">
        <x:v>1146</x:v>
      </x:c>
      <x:c r="B1147" t="n">
        <x:v>23</x:v>
      </x:c>
      <x:c r="C1147" t="str">
        <x:v>Male</x:v>
      </x:c>
      <x:c r="D1147" t="str">
        <x:v>Footwear</x:v>
      </x:c>
      <x:c r="E1147" t="str">
        <x:v>Sneakers</x:v>
      </x:c>
      <x:c r="F1147" s="24" t="n">
        <x:v>224.71</x:v>
      </x:c>
      <x:c r="G1147" t="str">
        <x:v>Winter</x:v>
      </x:c>
      <x:c r="H1147" t="str">
        <x:v>Card</x:v>
      </x:c>
      <x:c r="I1147" t="n">
        <x:v>4.6</x:v>
      </x:c>
      <x:c r="J1147" t="n">
        <x:v>22</x:v>
      </x:c>
      <x:c r="K1147" t="n">
        <x:v>6</x:v>
      </x:c>
      <x:c r="L1147" t="str">
        <x:v>STORE-001</x:v>
      </x:c>
      <x:c r="M1147" s="22" t="n">
        <x:v>46256</x:v>
      </x:c>
      <x:c r="N1147" t="str">
        <x:v>SKU-025</x:v>
      </x:c>
      <x:c r="O1147" t="n">
        <x:v>1</x:v>
      </x:c>
      <x:c r="P1147" s="26" t="n">
        <x:f>F1147/O1147</x:f>
        <x:v>224.71</x:v>
      </x:c>
    </x:row>
    <x:row r="1148">
      <x:c r="A1148" t="n">
        <x:v>1147</x:v>
      </x:c>
      <x:c r="B1148" t="n">
        <x:v>32</x:v>
      </x:c>
      <x:c r="C1148" t="str">
        <x:v>Female</x:v>
      </x:c>
      <x:c r="D1148" t="str">
        <x:v>Accessories</x:v>
      </x:c>
      <x:c r="E1148" t="str">
        <x:v>Wallet</x:v>
      </x:c>
      <x:c r="F1148" s="24" t="n">
        <x:v>53.71</x:v>
      </x:c>
      <x:c r="G1148" t="str">
        <x:v>Autumn</x:v>
      </x:c>
      <x:c r="H1148" t="str">
        <x:v>Cash on Delivery</x:v>
      </x:c>
      <x:c r="I1148" t="n">
        <x:v>3.2</x:v>
      </x:c>
      <x:c r="J1148" t="n">
        <x:v>21</x:v>
      </x:c>
      <x:c r="K1148" t="n">
        <x:v>8</x:v>
      </x:c>
      <x:c r="L1148" t="str">
        <x:v>STORE-001</x:v>
      </x:c>
      <x:c r="M1148" s="22" t="n">
        <x:v>46156</x:v>
      </x:c>
      <x:c r="N1148" t="str">
        <x:v>SKU-029</x:v>
      </x:c>
      <x:c r="O1148" t="n">
        <x:v>2</x:v>
      </x:c>
      <x:c r="P1148" s="26" t="n">
        <x:f>F1148/O1148</x:f>
        <x:v>26.855</x:v>
      </x:c>
    </x:row>
    <x:row r="1149">
      <x:c r="A1149" t="n">
        <x:v>1148</x:v>
      </x:c>
      <x:c r="B1149" t="n">
        <x:v>43</x:v>
      </x:c>
      <x:c r="C1149" t="str">
        <x:v>Female</x:v>
      </x:c>
      <x:c r="D1149" t="str">
        <x:v>Sports</x:v>
      </x:c>
      <x:c r="E1149" t="str">
        <x:v>Dumbbells</x:v>
      </x:c>
      <x:c r="F1149" s="24" t="n">
        <x:v>38.87</x:v>
      </x:c>
      <x:c r="G1149" t="str">
        <x:v>Winter</x:v>
      </x:c>
      <x:c r="H1149" t="str">
        <x:v>Cash on Delivery</x:v>
      </x:c>
      <x:c r="I1149" t="n">
        <x:v>4</x:v>
      </x:c>
      <x:c r="J1149" t="n">
        <x:v>16</x:v>
      </x:c>
      <x:c r="K1149" t="n">
        <x:v>8</x:v>
      </x:c>
      <x:c r="L1149" t="str">
        <x:v>STORE-001</x:v>
      </x:c>
      <x:c r="M1149" s="22" t="n">
        <x:v>46253</x:v>
      </x:c>
      <x:c r="N1149" t="str">
        <x:v>SKU-005</x:v>
      </x:c>
      <x:c r="O1149" t="n">
        <x:v>1</x:v>
      </x:c>
      <x:c r="P1149" s="26" t="n">
        <x:f>F1149/O1149</x:f>
        <x:v>38.87</x:v>
      </x:c>
    </x:row>
    <x:row r="1150">
      <x:c r="A1150" t="n">
        <x:v>1149</x:v>
      </x:c>
      <x:c r="B1150" t="n">
        <x:v>55</x:v>
      </x:c>
      <x:c r="C1150" t="str">
        <x:v>Female</x:v>
      </x:c>
      <x:c r="D1150" t="str">
        <x:v>Home</x:v>
      </x:c>
      <x:c r="E1150" t="str">
        <x:v>Curtains</x:v>
      </x:c>
      <x:c r="F1150" s="24" t="n">
        <x:v>200.15</x:v>
      </x:c>
      <x:c r="G1150" t="str">
        <x:v>Summer</x:v>
      </x:c>
      <x:c r="H1150" t="str">
        <x:v>Card</x:v>
      </x:c>
      <x:c r="I1150" t="n">
        <x:v>4.7</x:v>
      </x:c>
      <x:c r="J1150" t="n">
        <x:v>26</x:v>
      </x:c>
      <x:c r="K1150" t="n">
        <x:v>8</x:v>
      </x:c>
      <x:c r="L1150" t="str">
        <x:v>STORE-001</x:v>
      </x:c>
      <x:c r="M1150" s="22" t="n">
        <x:v>46046</x:v>
      </x:c>
      <x:c r="N1150" t="str">
        <x:v>SKU-003</x:v>
      </x:c>
      <x:c r="O1150" t="n">
        <x:v>1</x:v>
      </x:c>
      <x:c r="P1150" s="26" t="n">
        <x:f>F1150/O1150</x:f>
        <x:v>200.15</x:v>
      </x:c>
    </x:row>
    <x:row r="1151">
      <x:c r="A1151" t="n">
        <x:v>1150</x:v>
      </x:c>
      <x:c r="B1151" t="n">
        <x:v>36</x:v>
      </x:c>
      <x:c r="C1151" t="str">
        <x:v>Female</x:v>
      </x:c>
      <x:c r="D1151" t="str">
        <x:v>Footwear</x:v>
      </x:c>
      <x:c r="E1151" t="str">
        <x:v>Sneakers</x:v>
      </x:c>
      <x:c r="F1151" s="24" t="n">
        <x:v>207.62</x:v>
      </x:c>
      <x:c r="G1151" t="str">
        <x:v>Summer</x:v>
      </x:c>
      <x:c r="H1151" t="str">
        <x:v>Card</x:v>
      </x:c>
      <x:c r="I1151" t="n">
        <x:v>4</x:v>
      </x:c>
      <x:c r="J1151" t="n">
        <x:v>21</x:v>
      </x:c>
      <x:c r="K1151" t="n">
        <x:v>8</x:v>
      </x:c>
      <x:c r="L1151" t="str">
        <x:v>STORE-001</x:v>
      </x:c>
      <x:c r="M1151" s="22" t="n">
        <x:v>46026</x:v>
      </x:c>
      <x:c r="N1151" t="str">
        <x:v>SKU-025</x:v>
      </x:c>
      <x:c r="O1151" t="n">
        <x:v>1</x:v>
      </x:c>
      <x:c r="P1151" s="26" t="n">
        <x:f>F1151/O1151</x:f>
        <x:v>207.62</x:v>
      </x:c>
    </x:row>
    <x:row r="1152">
      <x:c r="A1152" t="n">
        <x:v>1151</x:v>
      </x:c>
      <x:c r="B1152" t="n">
        <x:v>24</x:v>
      </x:c>
      <x:c r="C1152" t="str">
        <x:v>Male</x:v>
      </x:c>
      <x:c r="D1152" t="str">
        <x:v>Footwear</x:v>
      </x:c>
      <x:c r="E1152" t="str">
        <x:v>Sneakers</x:v>
      </x:c>
      <x:c r="F1152" s="24" t="n">
        <x:v>221.11</x:v>
      </x:c>
      <x:c r="G1152" t="str">
        <x:v>Summer</x:v>
      </x:c>
      <x:c r="H1152" t="str">
        <x:v>Card</x:v>
      </x:c>
      <x:c r="I1152" t="n">
        <x:v>3.1</x:v>
      </x:c>
      <x:c r="J1152" t="n">
        <x:v>11</x:v>
      </x:c>
      <x:c r="K1152" t="n">
        <x:v>3</x:v>
      </x:c>
      <x:c r="L1152" t="str">
        <x:v>STORE-001</x:v>
      </x:c>
      <x:c r="M1152" s="22" t="n">
        <x:v>46046</x:v>
      </x:c>
      <x:c r="N1152" t="str">
        <x:v>SKU-025</x:v>
      </x:c>
      <x:c r="O1152" t="n">
        <x:v>1</x:v>
      </x:c>
      <x:c r="P1152" s="26" t="n">
        <x:f>F1152/O1152</x:f>
        <x:v>221.11</x:v>
      </x:c>
    </x:row>
    <x:row r="1153">
      <x:c r="A1153" t="n">
        <x:v>1152</x:v>
      </x:c>
      <x:c r="B1153" t="n">
        <x:v>42</x:v>
      </x:c>
      <x:c r="C1153" t="str">
        <x:v>Female</x:v>
      </x:c>
      <x:c r="D1153" t="str">
        <x:v>Womens Clothing</x:v>
      </x:c>
      <x:c r="E1153" t="str">
        <x:v>Dress</x:v>
      </x:c>
      <x:c r="F1153" s="24" t="n">
        <x:v>49.43</x:v>
      </x:c>
      <x:c r="G1153" t="str">
        <x:v>Winter</x:v>
      </x:c>
      <x:c r="H1153" t="str">
        <x:v>Cash on Delivery</x:v>
      </x:c>
      <x:c r="I1153" t="n">
        <x:v>4.9</x:v>
      </x:c>
      <x:c r="J1153" t="n">
        <x:v>8</x:v>
      </x:c>
      <x:c r="K1153" t="n">
        <x:v>4</x:v>
      </x:c>
      <x:c r="L1153" t="str">
        <x:v>STORE-001</x:v>
      </x:c>
      <x:c r="M1153" s="22" t="n">
        <x:v>46229</x:v>
      </x:c>
      <x:c r="N1153" t="str">
        <x:v>SKU-004</x:v>
      </x:c>
      <x:c r="O1153" t="n">
        <x:v>1</x:v>
      </x:c>
      <x:c r="P1153" s="26" t="n">
        <x:f>F1153/O1153</x:f>
        <x:v>49.43</x:v>
      </x:c>
    </x:row>
    <x:row r="1154">
      <x:c r="A1154" t="n">
        <x:v>1153</x:v>
      </x:c>
      <x:c r="B1154" t="n">
        <x:v>44</x:v>
      </x:c>
      <x:c r="C1154" t="str">
        <x:v>Male</x:v>
      </x:c>
      <x:c r="D1154" t="str">
        <x:v>Electronics</x:v>
      </x:c>
      <x:c r="E1154" t="str">
        <x:v>Headphones</x:v>
      </x:c>
      <x:c r="F1154" s="24" t="n">
        <x:v>1549.6</x:v>
      </x:c>
      <x:c r="G1154" t="str">
        <x:v>Winter</x:v>
      </x:c>
      <x:c r="H1154" t="str">
        <x:v>Card</x:v>
      </x:c>
      <x:c r="I1154" t="n">
        <x:v>3.1</x:v>
      </x:c>
      <x:c r="J1154" t="n">
        <x:v>14</x:v>
      </x:c>
      <x:c r="K1154" t="n">
        <x:v>7</x:v>
      </x:c>
      <x:c r="L1154" t="str">
        <x:v>STORE-001</x:v>
      </x:c>
      <x:c r="M1154" s="22" t="n">
        <x:v>46260</x:v>
      </x:c>
      <x:c r="N1154" t="str">
        <x:v>SKU-009</x:v>
      </x:c>
      <x:c r="O1154" t="n">
        <x:v>2</x:v>
      </x:c>
      <x:c r="P1154" s="26" t="n">
        <x:f>F1154/O1154</x:f>
        <x:v>774.8</x:v>
      </x:c>
    </x:row>
    <x:row r="1155">
      <x:c r="A1155" t="n">
        <x:v>1154</x:v>
      </x:c>
      <x:c r="B1155" t="n">
        <x:v>48</x:v>
      </x:c>
      <x:c r="C1155" t="str">
        <x:v>Female</x:v>
      </x:c>
      <x:c r="D1155" t="str">
        <x:v>Footwear</x:v>
      </x:c>
      <x:c r="E1155" t="str">
        <x:v>Sneakers</x:v>
      </x:c>
      <x:c r="F1155" s="24" t="n">
        <x:v>113.07</x:v>
      </x:c>
      <x:c r="G1155" t="str">
        <x:v>Autumn</x:v>
      </x:c>
      <x:c r="H1155" t="str">
        <x:v>Card</x:v>
      </x:c>
      <x:c r="I1155" t="n">
        <x:v>2.5</x:v>
      </x:c>
      <x:c r="J1155" t="n">
        <x:v>9</x:v>
      </x:c>
      <x:c r="K1155" t="n">
        <x:v>2</x:v>
      </x:c>
      <x:c r="L1155" t="str">
        <x:v>STORE-001</x:v>
      </x:c>
      <x:c r="M1155" s="22" t="n">
        <x:v>46156</x:v>
      </x:c>
      <x:c r="N1155" t="str">
        <x:v>SKU-025</x:v>
      </x:c>
      <x:c r="O1155" t="n">
        <x:v>1</x:v>
      </x:c>
      <x:c r="P1155" s="26" t="n">
        <x:f>F1155/O1155</x:f>
        <x:v>113.07</x:v>
      </x:c>
    </x:row>
    <x:row r="1156">
      <x:c r="A1156" t="n">
        <x:v>1155</x:v>
      </x:c>
      <x:c r="B1156" t="n">
        <x:v>52</x:v>
      </x:c>
      <x:c r="C1156" t="str">
        <x:v>Female</x:v>
      </x:c>
      <x:c r="D1156" t="str">
        <x:v>Beauty</x:v>
      </x:c>
      <x:c r="E1156" t="str">
        <x:v>Makeup Set</x:v>
      </x:c>
      <x:c r="F1156" s="24" t="n">
        <x:v>53.48</x:v>
      </x:c>
      <x:c r="G1156" t="str">
        <x:v>Summer</x:v>
      </x:c>
      <x:c r="H1156" t="str">
        <x:v>Cash on Delivery</x:v>
      </x:c>
      <x:c r="I1156" t="n">
        <x:v>5</x:v>
      </x:c>
      <x:c r="J1156" t="n">
        <x:v>12</x:v>
      </x:c>
      <x:c r="K1156" t="n">
        <x:v>6</x:v>
      </x:c>
      <x:c r="L1156" t="str">
        <x:v>STORE-001</x:v>
      </x:c>
      <x:c r="M1156" s="22" t="n">
        <x:v>46054</x:v>
      </x:c>
      <x:c r="N1156" t="str">
        <x:v>SKU-015</x:v>
      </x:c>
      <x:c r="O1156" t="n">
        <x:v>1</x:v>
      </x:c>
      <x:c r="P1156" s="26" t="n">
        <x:f>F1156/O1156</x:f>
        <x:v>53.48</x:v>
      </x:c>
    </x:row>
    <x:row r="1157">
      <x:c r="A1157" t="n">
        <x:v>1156</x:v>
      </x:c>
      <x:c r="B1157" t="n">
        <x:v>56</x:v>
      </x:c>
      <x:c r="C1157" t="str">
        <x:v>Male</x:v>
      </x:c>
      <x:c r="D1157" t="str">
        <x:v>Mens Clothing</x:v>
      </x:c>
      <x:c r="E1157" t="str">
        <x:v>T-Shirt</x:v>
      </x:c>
      <x:c r="F1157" s="24" t="n">
        <x:v>75.17</x:v>
      </x:c>
      <x:c r="G1157" t="str">
        <x:v>Spring</x:v>
      </x:c>
      <x:c r="H1157" t="str">
        <x:v>Cash on Delivery</x:v>
      </x:c>
      <x:c r="I1157" t="n">
        <x:v>3.7</x:v>
      </x:c>
      <x:c r="J1157" t="n">
        <x:v>8</x:v>
      </x:c>
      <x:c r="K1157" t="n">
        <x:v>4</x:v>
      </x:c>
      <x:c r="L1157" t="str">
        <x:v>STORE-001</x:v>
      </x:c>
      <x:c r="M1157" s="22" t="n">
        <x:v>46281</x:v>
      </x:c>
      <x:c r="N1157" t="str">
        <x:v>SKU-027</x:v>
      </x:c>
      <x:c r="O1157" t="n">
        <x:v>1</x:v>
      </x:c>
      <x:c r="P1157" s="26" t="n">
        <x:f>F1157/O1157</x:f>
        <x:v>75.17</x:v>
      </x:c>
    </x:row>
    <x:row r="1158">
      <x:c r="A1158" t="n">
        <x:v>1157</x:v>
      </x:c>
      <x:c r="B1158" t="n">
        <x:v>33</x:v>
      </x:c>
      <x:c r="C1158" t="str">
        <x:v>Female</x:v>
      </x:c>
      <x:c r="D1158" t="str">
        <x:v>Accessories</x:v>
      </x:c>
      <x:c r="E1158" t="str">
        <x:v>Wallet</x:v>
      </x:c>
      <x:c r="F1158" s="24" t="n">
        <x:v>166.03</x:v>
      </x:c>
      <x:c r="G1158" t="str">
        <x:v>Spring</x:v>
      </x:c>
      <x:c r="H1158" t="str">
        <x:v>Card</x:v>
      </x:c>
      <x:c r="I1158" t="n">
        <x:v>3.8</x:v>
      </x:c>
      <x:c r="J1158" t="n">
        <x:v>16</x:v>
      </x:c>
      <x:c r="K1158" t="n">
        <x:v>8</x:v>
      </x:c>
      <x:c r="L1158" t="str">
        <x:v>STORE-001</x:v>
      </x:c>
      <x:c r="M1158" s="22" t="n">
        <x:v>45985</x:v>
      </x:c>
      <x:c r="N1158" t="str">
        <x:v>SKU-029</x:v>
      </x:c>
      <x:c r="O1158" t="n">
        <x:v>1</x:v>
      </x:c>
      <x:c r="P1158" s="26" t="n">
        <x:f>F1158/O1158</x:f>
        <x:v>166.03</x:v>
      </x:c>
    </x:row>
    <x:row r="1159">
      <x:c r="A1159" t="n">
        <x:v>1158</x:v>
      </x:c>
      <x:c r="B1159" t="n">
        <x:v>58</x:v>
      </x:c>
      <x:c r="C1159" t="str">
        <x:v>Male</x:v>
      </x:c>
      <x:c r="D1159" t="str">
        <x:v>Mens Clothing</x:v>
      </x:c>
      <x:c r="E1159" t="str">
        <x:v>Shirt</x:v>
      </x:c>
      <x:c r="F1159" s="24" t="n">
        <x:v>103.75</x:v>
      </x:c>
      <x:c r="G1159" t="str">
        <x:v>Autumn</x:v>
      </x:c>
      <x:c r="H1159" t="str">
        <x:v>Card</x:v>
      </x:c>
      <x:c r="I1159" t="n">
        <x:v>3.4</x:v>
      </x:c>
      <x:c r="J1159" t="n">
        <x:v>17</x:v>
      </x:c>
      <x:c r="K1159" t="n">
        <x:v>6</x:v>
      </x:c>
      <x:c r="L1159" t="str">
        <x:v>STORE-001</x:v>
      </x:c>
      <x:c r="M1159" s="22" t="n">
        <x:v>46119</x:v>
      </x:c>
      <x:c r="N1159" t="str">
        <x:v>SKU-020</x:v>
      </x:c>
      <x:c r="O1159" t="n">
        <x:v>1</x:v>
      </x:c>
      <x:c r="P1159" s="26" t="n">
        <x:f>F1159/O1159</x:f>
        <x:v>103.75</x:v>
      </x:c>
    </x:row>
    <x:row r="1160">
      <x:c r="A1160" t="n">
        <x:v>1159</x:v>
      </x:c>
      <x:c r="B1160" t="n">
        <x:v>31</x:v>
      </x:c>
      <x:c r="C1160" t="str">
        <x:v>Female</x:v>
      </x:c>
      <x:c r="D1160" t="str">
        <x:v>Accessories</x:v>
      </x:c>
      <x:c r="E1160" t="str">
        <x:v>Handbag</x:v>
      </x:c>
      <x:c r="F1160" s="24" t="n">
        <x:v>45.34</x:v>
      </x:c>
      <x:c r="G1160" t="str">
        <x:v>Summer</x:v>
      </x:c>
      <x:c r="H1160" t="str">
        <x:v>Cash on Delivery</x:v>
      </x:c>
      <x:c r="I1160" t="n">
        <x:v>3.2</x:v>
      </x:c>
      <x:c r="J1160" t="n">
        <x:v>20</x:v>
      </x:c>
      <x:c r="K1160" t="n">
        <x:v>10</x:v>
      </x:c>
      <x:c r="L1160" t="str">
        <x:v>STORE-001</x:v>
      </x:c>
      <x:c r="M1160" s="22" t="n">
        <x:v>46073</x:v>
      </x:c>
      <x:c r="N1160" t="str">
        <x:v>SKU-008</x:v>
      </x:c>
      <x:c r="O1160" t="n">
        <x:v>1</x:v>
      </x:c>
      <x:c r="P1160" s="26" t="n">
        <x:f>F1160/O1160</x:f>
        <x:v>45.34</x:v>
      </x:c>
    </x:row>
    <x:row r="1161">
      <x:c r="A1161" t="n">
        <x:v>1160</x:v>
      </x:c>
      <x:c r="B1161" t="n">
        <x:v>41</x:v>
      </x:c>
      <x:c r="C1161" t="str">
        <x:v>Male</x:v>
      </x:c>
      <x:c r="D1161" t="str">
        <x:v>Mens Clothing</x:v>
      </x:c>
      <x:c r="E1161" t="str">
        <x:v>Jacket</x:v>
      </x:c>
      <x:c r="F1161" s="24" t="n">
        <x:v>122.83</x:v>
      </x:c>
      <x:c r="G1161" t="str">
        <x:v>Winter</x:v>
      </x:c>
      <x:c r="H1161" t="str">
        <x:v>Card</x:v>
      </x:c>
      <x:c r="I1161" t="n">
        <x:v>3.7</x:v>
      </x:c>
      <x:c r="J1161" t="n">
        <x:v>22</x:v>
      </x:c>
      <x:c r="K1161" t="n">
        <x:v>6</x:v>
      </x:c>
      <x:c r="L1161" t="str">
        <x:v>STORE-001</x:v>
      </x:c>
      <x:c r="M1161" s="22" t="n">
        <x:v>46263</x:v>
      </x:c>
      <x:c r="N1161" t="str">
        <x:v>SKU-010</x:v>
      </x:c>
      <x:c r="O1161" t="n">
        <x:v>2</x:v>
      </x:c>
      <x:c r="P1161" s="26" t="n">
        <x:f>F1161/O1161</x:f>
        <x:v>61.415</x:v>
      </x:c>
    </x:row>
    <x:row r="1162">
      <x:c r="A1162" t="n">
        <x:v>1161</x:v>
      </x:c>
      <x:c r="B1162" t="n">
        <x:v>65</x:v>
      </x:c>
      <x:c r="C1162" t="str">
        <x:v>Male</x:v>
      </x:c>
      <x:c r="D1162" t="str">
        <x:v>Footwear</x:v>
      </x:c>
      <x:c r="E1162" t="str">
        <x:v>Formal Shoes</x:v>
      </x:c>
      <x:c r="F1162" s="24" t="n">
        <x:v>77.34</x:v>
      </x:c>
      <x:c r="G1162" t="str">
        <x:v>Summer</x:v>
      </x:c>
      <x:c r="H1162" t="str">
        <x:v>Cash on Delivery</x:v>
      </x:c>
      <x:c r="I1162" t="n">
        <x:v>4.8</x:v>
      </x:c>
      <x:c r="J1162" t="n">
        <x:v>6</x:v>
      </x:c>
      <x:c r="K1162" t="n">
        <x:v>3</x:v>
      </x:c>
      <x:c r="L1162" t="str">
        <x:v>STORE-001</x:v>
      </x:c>
      <x:c r="M1162" s="22" t="n">
        <x:v>46008</x:v>
      </x:c>
      <x:c r="N1162" t="str">
        <x:v>SKU-007</x:v>
      </x:c>
      <x:c r="O1162" t="n">
        <x:v>1</x:v>
      </x:c>
      <x:c r="P1162" s="26" t="n">
        <x:f>F1162/O1162</x:f>
        <x:v>77.34</x:v>
      </x:c>
    </x:row>
    <x:row r="1163">
      <x:c r="A1163" t="n">
        <x:v>1162</x:v>
      </x:c>
      <x:c r="B1163" t="n">
        <x:v>46</x:v>
      </x:c>
      <x:c r="C1163" t="str">
        <x:v>Male</x:v>
      </x:c>
      <x:c r="D1163" t="str">
        <x:v>Electronics</x:v>
      </x:c>
      <x:c r="E1163" t="str">
        <x:v>Laptop</x:v>
      </x:c>
      <x:c r="F1163" s="24" t="n">
        <x:v>2424.09</x:v>
      </x:c>
      <x:c r="G1163" t="str">
        <x:v>Winter</x:v>
      </x:c>
      <x:c r="H1163" t="str">
        <x:v>Card</x:v>
      </x:c>
      <x:c r="I1163" t="n">
        <x:v>3.6</x:v>
      </x:c>
      <x:c r="J1163" t="n">
        <x:v>18</x:v>
      </x:c>
      <x:c r="K1163" t="n">
        <x:v>4</x:v>
      </x:c>
      <x:c r="L1163" t="str">
        <x:v>STORE-001</x:v>
      </x:c>
      <x:c r="M1163" s="22" t="n">
        <x:v>46199</x:v>
      </x:c>
      <x:c r="N1163" t="str">
        <x:v>SKU-014</x:v>
      </x:c>
      <x:c r="O1163" t="n">
        <x:v>2</x:v>
      </x:c>
      <x:c r="P1163" s="26" t="n">
        <x:f>F1163/O1163</x:f>
        <x:v>1212.045</x:v>
      </x:c>
    </x:row>
    <x:row r="1164">
      <x:c r="A1164" t="n">
        <x:v>1163</x:v>
      </x:c>
      <x:c r="B1164" t="n">
        <x:v>30</x:v>
      </x:c>
      <x:c r="C1164" t="str">
        <x:v>Male</x:v>
      </x:c>
      <x:c r="D1164" t="str">
        <x:v>Groceries</x:v>
      </x:c>
      <x:c r="E1164" t="str">
        <x:v>Cooking Oil</x:v>
      </x:c>
      <x:c r="F1164" s="24" t="n">
        <x:v>25.43</x:v>
      </x:c>
      <x:c r="G1164" t="str">
        <x:v>Spring</x:v>
      </x:c>
      <x:c r="H1164" t="str">
        <x:v>Cash on Delivery</x:v>
      </x:c>
      <x:c r="I1164" t="n">
        <x:v>4.3</x:v>
      </x:c>
      <x:c r="J1164" t="n">
        <x:v>6</x:v>
      </x:c>
      <x:c r="K1164" t="n">
        <x:v>3</x:v>
      </x:c>
      <x:c r="L1164" t="str">
        <x:v>STORE-001</x:v>
      </x:c>
      <x:c r="M1164" s="22" t="n">
        <x:v>46277</x:v>
      </x:c>
      <x:c r="N1164" t="str">
        <x:v>SKU-002</x:v>
      </x:c>
      <x:c r="O1164" t="n">
        <x:v>3</x:v>
      </x:c>
      <x:c r="P1164" s="26" t="n">
        <x:f>F1164/O1164</x:f>
        <x:v>8.476666666666667</x:v>
      </x:c>
    </x:row>
    <x:row r="1165">
      <x:c r="A1165" t="n">
        <x:v>1164</x:v>
      </x:c>
      <x:c r="B1165" t="n">
        <x:v>62</x:v>
      </x:c>
      <x:c r="C1165" t="str">
        <x:v>Male</x:v>
      </x:c>
      <x:c r="D1165" t="str">
        <x:v>Electronics</x:v>
      </x:c>
      <x:c r="E1165" t="str">
        <x:v>Headphones</x:v>
      </x:c>
      <x:c r="F1165" s="24" t="n">
        <x:v>603.17</x:v>
      </x:c>
      <x:c r="G1165" t="str">
        <x:v>Spring</x:v>
      </x:c>
      <x:c r="H1165" t="str">
        <x:v>Card</x:v>
      </x:c>
      <x:c r="I1165" t="n">
        <x:v>2.9</x:v>
      </x:c>
      <x:c r="J1165" t="n">
        <x:v>16</x:v>
      </x:c>
      <x:c r="K1165" t="n">
        <x:v>8</x:v>
      </x:c>
      <x:c r="L1165" t="str">
        <x:v>STORE-001</x:v>
      </x:c>
      <x:c r="M1165" s="22" t="n">
        <x:v>45939</x:v>
      </x:c>
      <x:c r="N1165" t="str">
        <x:v>SKU-009</x:v>
      </x:c>
      <x:c r="O1165" t="n">
        <x:v>1</x:v>
      </x:c>
      <x:c r="P1165" s="26" t="n">
        <x:f>F1165/O1165</x:f>
        <x:v>603.17</x:v>
      </x:c>
    </x:row>
    <x:row r="1166">
      <x:c r="A1166" t="n">
        <x:v>1165</x:v>
      </x:c>
      <x:c r="B1166" t="n">
        <x:v>22</x:v>
      </x:c>
      <x:c r="C1166" t="str">
        <x:v>Female</x:v>
      </x:c>
      <x:c r="D1166" t="str">
        <x:v>Beauty</x:v>
      </x:c>
      <x:c r="E1166" t="str">
        <x:v>Perfume</x:v>
      </x:c>
      <x:c r="F1166" s="24" t="n">
        <x:v>80.91</x:v>
      </x:c>
      <x:c r="G1166" t="str">
        <x:v>Autumn</x:v>
      </x:c>
      <x:c r="H1166" t="str">
        <x:v>Card</x:v>
      </x:c>
      <x:c r="I1166" t="n">
        <x:v>5</x:v>
      </x:c>
      <x:c r="J1166" t="n">
        <x:v>20</x:v>
      </x:c>
      <x:c r="K1166" t="n">
        <x:v>5</x:v>
      </x:c>
      <x:c r="L1166" t="str">
        <x:v>STORE-001</x:v>
      </x:c>
      <x:c r="M1166" s="22" t="n">
        <x:v>46099</x:v>
      </x:c>
      <x:c r="N1166" t="str">
        <x:v>SKU-017</x:v>
      </x:c>
      <x:c r="O1166" t="n">
        <x:v>2</x:v>
      </x:c>
      <x:c r="P1166" s="26" t="n">
        <x:f>F1166/O1166</x:f>
        <x:v>40.455</x:v>
      </x:c>
    </x:row>
    <x:row r="1167">
      <x:c r="A1167" t="n">
        <x:v>1166</x:v>
      </x:c>
      <x:c r="B1167" t="n">
        <x:v>22</x:v>
      </x:c>
      <x:c r="C1167" t="str">
        <x:v>Male</x:v>
      </x:c>
      <x:c r="D1167" t="str">
        <x:v>Electronics</x:v>
      </x:c>
      <x:c r="E1167" t="str">
        <x:v>Mobile Phone</x:v>
      </x:c>
      <x:c r="F1167" s="24" t="n">
        <x:v>542.16</x:v>
      </x:c>
      <x:c r="G1167" t="str">
        <x:v>Autumn</x:v>
      </x:c>
      <x:c r="H1167" t="str">
        <x:v>Card</x:v>
      </x:c>
      <x:c r="I1167" t="n">
        <x:v>3.5</x:v>
      </x:c>
      <x:c r="J1167" t="n">
        <x:v>9</x:v>
      </x:c>
      <x:c r="K1167" t="n">
        <x:v>2</x:v>
      </x:c>
      <x:c r="L1167" t="str">
        <x:v>STORE-001</x:v>
      </x:c>
      <x:c r="M1167" s="22" t="n">
        <x:v>46149</x:v>
      </x:c>
      <x:c r="N1167" t="str">
        <x:v>SKU-016</x:v>
      </x:c>
      <x:c r="O1167" t="n">
        <x:v>1</x:v>
      </x:c>
      <x:c r="P1167" s="26" t="n">
        <x:f>F1167/O1167</x:f>
        <x:v>542.16</x:v>
      </x:c>
    </x:row>
    <x:row r="1168">
      <x:c r="A1168" t="n">
        <x:v>1167</x:v>
      </x:c>
      <x:c r="B1168" t="n">
        <x:v>51</x:v>
      </x:c>
      <x:c r="C1168" t="str">
        <x:v>Male</x:v>
      </x:c>
      <x:c r="D1168" t="str">
        <x:v>Electronics</x:v>
      </x:c>
      <x:c r="E1168" t="str">
        <x:v>Laptop</x:v>
      </x:c>
      <x:c r="F1168" s="24" t="n">
        <x:v>1413.04</x:v>
      </x:c>
      <x:c r="G1168" t="str">
        <x:v>Autumn</x:v>
      </x:c>
      <x:c r="H1168" t="str">
        <x:v>Card</x:v>
      </x:c>
      <x:c r="I1168" t="n">
        <x:v>3.3</x:v>
      </x:c>
      <x:c r="J1168" t="n">
        <x:v>13</x:v>
      </x:c>
      <x:c r="K1168" t="n">
        <x:v>4</x:v>
      </x:c>
      <x:c r="L1168" t="str">
        <x:v>STORE-001</x:v>
      </x:c>
      <x:c r="M1168" s="22" t="n">
        <x:v>46156</x:v>
      </x:c>
      <x:c r="N1168" t="str">
        <x:v>SKU-014</x:v>
      </x:c>
      <x:c r="O1168" t="n">
        <x:v>1</x:v>
      </x:c>
      <x:c r="P1168" s="26" t="n">
        <x:f>F1168/O1168</x:f>
        <x:v>1413.04</x:v>
      </x:c>
    </x:row>
    <x:row r="1169">
      <x:c r="A1169" t="n">
        <x:v>1168</x:v>
      </x:c>
      <x:c r="B1169" t="n">
        <x:v>37</x:v>
      </x:c>
      <x:c r="C1169" t="str">
        <x:v>Female</x:v>
      </x:c>
      <x:c r="D1169" t="str">
        <x:v>Groceries</x:v>
      </x:c>
      <x:c r="E1169" t="str">
        <x:v>Snacks</x:v>
      </x:c>
      <x:c r="F1169" s="24" t="n">
        <x:v>47.92</x:v>
      </x:c>
      <x:c r="G1169" t="str">
        <x:v>Summer</x:v>
      </x:c>
      <x:c r="H1169" t="str">
        <x:v>Cash on Delivery</x:v>
      </x:c>
      <x:c r="I1169" t="n">
        <x:v>3.9</x:v>
      </x:c>
      <x:c r="J1169" t="n">
        <x:v>20</x:v>
      </x:c>
      <x:c r="K1169" t="n">
        <x:v>5</x:v>
      </x:c>
      <x:c r="L1169" t="str">
        <x:v>STORE-001</x:v>
      </x:c>
      <x:c r="M1169" s="22" t="n">
        <x:v>46078</x:v>
      </x:c>
      <x:c r="N1169" t="str">
        <x:v>SKU-024</x:v>
      </x:c>
      <x:c r="O1169" t="n">
        <x:v>3</x:v>
      </x:c>
      <x:c r="P1169" s="26" t="n">
        <x:f>F1169/O1169</x:f>
        <x:v>15.973333333333334</x:v>
      </x:c>
    </x:row>
    <x:row r="1170">
      <x:c r="A1170" t="n">
        <x:v>1169</x:v>
      </x:c>
      <x:c r="B1170" t="n">
        <x:v>59</x:v>
      </x:c>
      <x:c r="C1170" t="str">
        <x:v>Female</x:v>
      </x:c>
      <x:c r="D1170" t="str">
        <x:v>Accessories</x:v>
      </x:c>
      <x:c r="E1170" t="str">
        <x:v>Wallet</x:v>
      </x:c>
      <x:c r="F1170" s="24" t="n">
        <x:v>93.12</x:v>
      </x:c>
      <x:c r="G1170" t="str">
        <x:v>Summer</x:v>
      </x:c>
      <x:c r="H1170" t="str">
        <x:v>Cash on Delivery</x:v>
      </x:c>
      <x:c r="I1170" t="n">
        <x:v>4.2</x:v>
      </x:c>
      <x:c r="J1170" t="n">
        <x:v>22</x:v>
      </x:c>
      <x:c r="K1170" t="n">
        <x:v>6</x:v>
      </x:c>
      <x:c r="L1170" t="str">
        <x:v>STORE-001</x:v>
      </x:c>
      <x:c r="M1170" s="22" t="n">
        <x:v>46071</x:v>
      </x:c>
      <x:c r="N1170" t="str">
        <x:v>SKU-029</x:v>
      </x:c>
      <x:c r="O1170" t="n">
        <x:v>1</x:v>
      </x:c>
      <x:c r="P1170" s="26" t="n">
        <x:f>F1170/O1170</x:f>
        <x:v>93.12</x:v>
      </x:c>
    </x:row>
    <x:row r="1171">
      <x:c r="A1171" t="n">
        <x:v>1170</x:v>
      </x:c>
      <x:c r="B1171" t="n">
        <x:v>48</x:v>
      </x:c>
      <x:c r="C1171" t="str">
        <x:v>Female</x:v>
      </x:c>
      <x:c r="D1171" t="str">
        <x:v>Sports</x:v>
      </x:c>
      <x:c r="E1171" t="str">
        <x:v>Football</x:v>
      </x:c>
      <x:c r="F1171" s="24" t="n">
        <x:v>58.09</x:v>
      </x:c>
      <x:c r="G1171" t="str">
        <x:v>Autumn</x:v>
      </x:c>
      <x:c r="H1171" t="str">
        <x:v>Card</x:v>
      </x:c>
      <x:c r="I1171" t="n">
        <x:v>3.4</x:v>
      </x:c>
      <x:c r="J1171" t="n">
        <x:v>11</x:v>
      </x:c>
      <x:c r="K1171" t="n">
        <x:v>3</x:v>
      </x:c>
      <x:c r="L1171" t="str">
        <x:v>STORE-001</x:v>
      </x:c>
      <x:c r="M1171" s="22" t="n">
        <x:v>46142</x:v>
      </x:c>
      <x:c r="N1171" t="str">
        <x:v>SKU-006</x:v>
      </x:c>
      <x:c r="O1171" t="n">
        <x:v>1</x:v>
      </x:c>
      <x:c r="P1171" s="26" t="n">
        <x:f>F1171/O1171</x:f>
        <x:v>58.09</x:v>
      </x:c>
    </x:row>
    <x:row r="1172">
      <x:c r="A1172" t="n">
        <x:v>1171</x:v>
      </x:c>
      <x:c r="B1172" t="n">
        <x:v>48</x:v>
      </x:c>
      <x:c r="C1172" t="str">
        <x:v>Male</x:v>
      </x:c>
      <x:c r="D1172" t="str">
        <x:v>Electronics</x:v>
      </x:c>
      <x:c r="E1172" t="str">
        <x:v>Laptop</x:v>
      </x:c>
      <x:c r="F1172" s="24" t="n">
        <x:v>1992.41</x:v>
      </x:c>
      <x:c r="G1172" t="str">
        <x:v>Summer</x:v>
      </x:c>
      <x:c r="H1172" t="str">
        <x:v>Card</x:v>
      </x:c>
      <x:c r="I1172" t="n">
        <x:v>4.4</x:v>
      </x:c>
      <x:c r="J1172" t="n">
        <x:v>16</x:v>
      </x:c>
      <x:c r="K1172" t="n">
        <x:v>3</x:v>
      </x:c>
      <x:c r="L1172" t="str">
        <x:v>STORE-001</x:v>
      </x:c>
      <x:c r="M1172" s="22" t="n">
        <x:v>46021</x:v>
      </x:c>
      <x:c r="N1172" t="str">
        <x:v>SKU-014</x:v>
      </x:c>
      <x:c r="O1172" t="n">
        <x:v>2</x:v>
      </x:c>
      <x:c r="P1172" s="26" t="n">
        <x:f>F1172/O1172</x:f>
        <x:v>996.205</x:v>
      </x:c>
    </x:row>
    <x:row r="1173">
      <x:c r="A1173" t="n">
        <x:v>1172</x:v>
      </x:c>
      <x:c r="B1173" t="n">
        <x:v>58</x:v>
      </x:c>
      <x:c r="C1173" t="str">
        <x:v>Male</x:v>
      </x:c>
      <x:c r="D1173" t="str">
        <x:v>Sports</x:v>
      </x:c>
      <x:c r="E1173" t="str">
        <x:v>Dumbbells</x:v>
      </x:c>
      <x:c r="F1173" s="24" t="n">
        <x:v>137.08</x:v>
      </x:c>
      <x:c r="G1173" t="str">
        <x:v>Winter</x:v>
      </x:c>
      <x:c r="H1173" t="str">
        <x:v>Card</x:v>
      </x:c>
      <x:c r="I1173" t="n">
        <x:v>3.1</x:v>
      </x:c>
      <x:c r="J1173" t="n">
        <x:v>28</x:v>
      </x:c>
      <x:c r="K1173" t="n">
        <x:v>9</x:v>
      </x:c>
      <x:c r="L1173" t="str">
        <x:v>STORE-001</x:v>
      </x:c>
      <x:c r="M1173" s="22" t="n">
        <x:v>46259</x:v>
      </x:c>
      <x:c r="N1173" t="str">
        <x:v>SKU-005</x:v>
      </x:c>
      <x:c r="O1173" t="n">
        <x:v>2</x:v>
      </x:c>
      <x:c r="P1173" s="26" t="n">
        <x:f>F1173/O1173</x:f>
        <x:v>68.54</x:v>
      </x:c>
    </x:row>
    <x:row r="1174">
      <x:c r="A1174" t="n">
        <x:v>1173</x:v>
      </x:c>
      <x:c r="B1174" t="n">
        <x:v>33</x:v>
      </x:c>
      <x:c r="C1174" t="str">
        <x:v>Male</x:v>
      </x:c>
      <x:c r="D1174" t="str">
        <x:v>Groceries</x:v>
      </x:c>
      <x:c r="E1174" t="str">
        <x:v>Rice Pack</x:v>
      </x:c>
      <x:c r="F1174" s="24" t="n">
        <x:v>7.64</x:v>
      </x:c>
      <x:c r="G1174" t="str">
        <x:v>Spring</x:v>
      </x:c>
      <x:c r="H1174" t="str">
        <x:v>Card</x:v>
      </x:c>
      <x:c r="I1174" t="n">
        <x:v>3.6</x:v>
      </x:c>
      <x:c r="J1174" t="n">
        <x:v>4</x:v>
      </x:c>
      <x:c r="K1174" t="n">
        <x:v>2</x:v>
      </x:c>
      <x:c r="L1174" t="str">
        <x:v>STORE-001</x:v>
      </x:c>
      <x:c r="M1174" s="22" t="n">
        <x:v>46279</x:v>
      </x:c>
      <x:c r="N1174" t="str">
        <x:v>SKU-018</x:v>
      </x:c>
      <x:c r="O1174" t="n">
        <x:v>5</x:v>
      </x:c>
      <x:c r="P1174" s="26" t="n">
        <x:f>F1174/O1174</x:f>
        <x:v>1.528</x:v>
      </x:c>
    </x:row>
    <x:row r="1175">
      <x:c r="A1175" t="n">
        <x:v>1174</x:v>
      </x:c>
      <x:c r="B1175" t="n">
        <x:v>20</x:v>
      </x:c>
      <x:c r="C1175" t="str">
        <x:v>Male</x:v>
      </x:c>
      <x:c r="D1175" t="str">
        <x:v>Electronics</x:v>
      </x:c>
      <x:c r="E1175" t="str">
        <x:v>Laptop</x:v>
      </x:c>
      <x:c r="F1175" s="24" t="n">
        <x:v>1333.64</x:v>
      </x:c>
      <x:c r="G1175" t="str">
        <x:v>Summer</x:v>
      </x:c>
      <x:c r="H1175" t="str">
        <x:v>Card</x:v>
      </x:c>
      <x:c r="I1175" t="n">
        <x:v>2.7</x:v>
      </x:c>
      <x:c r="J1175" t="n">
        <x:v>10</x:v>
      </x:c>
      <x:c r="K1175" t="n">
        <x:v>5</x:v>
      </x:c>
      <x:c r="L1175" t="str">
        <x:v>STORE-001</x:v>
      </x:c>
      <x:c r="M1175" s="22" t="n">
        <x:v>46026</x:v>
      </x:c>
      <x:c r="N1175" t="str">
        <x:v>SKU-014</x:v>
      </x:c>
      <x:c r="O1175" t="n">
        <x:v>1</x:v>
      </x:c>
      <x:c r="P1175" s="26" t="n">
        <x:f>F1175/O1175</x:f>
        <x:v>1333.64</x:v>
      </x:c>
    </x:row>
    <x:row r="1176">
      <x:c r="A1176" t="n">
        <x:v>1175</x:v>
      </x:c>
      <x:c r="B1176" t="n">
        <x:v>23</x:v>
      </x:c>
      <x:c r="C1176" t="str">
        <x:v>Male</x:v>
      </x:c>
      <x:c r="D1176" t="str">
        <x:v>Mens Clothing</x:v>
      </x:c>
      <x:c r="E1176" t="str">
        <x:v>Jacket</x:v>
      </x:c>
      <x:c r="F1176" s="24" t="n">
        <x:v>58.77</x:v>
      </x:c>
      <x:c r="G1176" t="str">
        <x:v>Winter</x:v>
      </x:c>
      <x:c r="H1176" t="str">
        <x:v>Cash on Delivery</x:v>
      </x:c>
      <x:c r="I1176" t="n">
        <x:v>3.1</x:v>
      </x:c>
      <x:c r="J1176" t="n">
        <x:v>10</x:v>
      </x:c>
      <x:c r="K1176" t="n">
        <x:v>5</x:v>
      </x:c>
      <x:c r="L1176" t="str">
        <x:v>STORE-001</x:v>
      </x:c>
      <x:c r="M1176" s="22" t="n">
        <x:v>46202</x:v>
      </x:c>
      <x:c r="N1176" t="str">
        <x:v>SKU-010</x:v>
      </x:c>
      <x:c r="O1176" t="n">
        <x:v>1</x:v>
      </x:c>
      <x:c r="P1176" s="26" t="n">
        <x:f>F1176/O1176</x:f>
        <x:v>58.77</x:v>
      </x:c>
    </x:row>
    <x:row r="1177">
      <x:c r="A1177" t="n">
        <x:v>1176</x:v>
      </x:c>
      <x:c r="B1177" t="n">
        <x:v>64</x:v>
      </x:c>
      <x:c r="C1177" t="str">
        <x:v>Female</x:v>
      </x:c>
      <x:c r="D1177" t="str">
        <x:v>Footwear</x:v>
      </x:c>
      <x:c r="E1177" t="str">
        <x:v>Formal Shoes</x:v>
      </x:c>
      <x:c r="F1177" s="24" t="n">
        <x:v>42.22</x:v>
      </x:c>
      <x:c r="G1177" t="str">
        <x:v>Spring</x:v>
      </x:c>
      <x:c r="H1177" t="str">
        <x:v>Card</x:v>
      </x:c>
      <x:c r="I1177" t="n">
        <x:v>3.9</x:v>
      </x:c>
      <x:c r="J1177" t="n">
        <x:v>17</x:v>
      </x:c>
      <x:c r="K1177" t="n">
        <x:v>6</x:v>
      </x:c>
      <x:c r="L1177" t="str">
        <x:v>STORE-001</x:v>
      </x:c>
      <x:c r="M1177" s="22" t="n">
        <x:v>45931</x:v>
      </x:c>
      <x:c r="N1177" t="str">
        <x:v>SKU-007</x:v>
      </x:c>
      <x:c r="O1177" t="n">
        <x:v>1</x:v>
      </x:c>
      <x:c r="P1177" s="26" t="n">
        <x:f>F1177/O1177</x:f>
        <x:v>42.22</x:v>
      </x:c>
    </x:row>
    <x:row r="1178">
      <x:c r="A1178" t="n">
        <x:v>1177</x:v>
      </x:c>
      <x:c r="B1178" t="n">
        <x:v>66</x:v>
      </x:c>
      <x:c r="C1178" t="str">
        <x:v>Male</x:v>
      </x:c>
      <x:c r="D1178" t="str">
        <x:v>Footwear</x:v>
      </x:c>
      <x:c r="E1178" t="str">
        <x:v>Formal Shoes</x:v>
      </x:c>
      <x:c r="F1178" s="24" t="n">
        <x:v>158.22</x:v>
      </x:c>
      <x:c r="G1178" t="str">
        <x:v>Summer</x:v>
      </x:c>
      <x:c r="H1178" t="str">
        <x:v>Card</x:v>
      </x:c>
      <x:c r="I1178" t="n">
        <x:v>2.8</x:v>
      </x:c>
      <x:c r="J1178" t="n">
        <x:v>11</x:v>
      </x:c>
      <x:c r="K1178" t="n">
        <x:v>3</x:v>
      </x:c>
      <x:c r="L1178" t="str">
        <x:v>STORE-001</x:v>
      </x:c>
      <x:c r="M1178" s="22" t="n">
        <x:v>46073</x:v>
      </x:c>
      <x:c r="N1178" t="str">
        <x:v>SKU-007</x:v>
      </x:c>
      <x:c r="O1178" t="n">
        <x:v>2</x:v>
      </x:c>
      <x:c r="P1178" s="26" t="n">
        <x:f>F1178/O1178</x:f>
        <x:v>79.11</x:v>
      </x:c>
    </x:row>
    <x:row r="1179">
      <x:c r="A1179" t="n">
        <x:v>1178</x:v>
      </x:c>
      <x:c r="B1179" t="n">
        <x:v>55</x:v>
      </x:c>
      <x:c r="C1179" t="str">
        <x:v>Male</x:v>
      </x:c>
      <x:c r="D1179" t="str">
        <x:v>Footwear</x:v>
      </x:c>
      <x:c r="E1179" t="str">
        <x:v>Sneakers</x:v>
      </x:c>
      <x:c r="F1179" s="24" t="n">
        <x:v>77.33</x:v>
      </x:c>
      <x:c r="G1179" t="str">
        <x:v>Autumn</x:v>
      </x:c>
      <x:c r="H1179" t="str">
        <x:v>Cash on Delivery</x:v>
      </x:c>
      <x:c r="I1179" t="n">
        <x:v>3.6</x:v>
      </x:c>
      <x:c r="J1179" t="n">
        <x:v>15</x:v>
      </x:c>
      <x:c r="K1179" t="n">
        <x:v>5</x:v>
      </x:c>
      <x:c r="L1179" t="str">
        <x:v>STORE-001</x:v>
      </x:c>
      <x:c r="M1179" s="22" t="n">
        <x:v>46166</x:v>
      </x:c>
      <x:c r="N1179" t="str">
        <x:v>SKU-025</x:v>
      </x:c>
      <x:c r="O1179" t="n">
        <x:v>1</x:v>
      </x:c>
      <x:c r="P1179" s="26" t="n">
        <x:f>F1179/O1179</x:f>
        <x:v>77.33</x:v>
      </x:c>
    </x:row>
    <x:row r="1180">
      <x:c r="A1180" t="n">
        <x:v>1179</x:v>
      </x:c>
      <x:c r="B1180" t="n">
        <x:v>29</x:v>
      </x:c>
      <x:c r="C1180" t="str">
        <x:v>Male</x:v>
      </x:c>
      <x:c r="D1180" t="str">
        <x:v>Home</x:v>
      </x:c>
      <x:c r="E1180" t="str">
        <x:v>Curtains</x:v>
      </x:c>
      <x:c r="F1180" s="24" t="n">
        <x:v>255.41</x:v>
      </x:c>
      <x:c r="G1180" t="str">
        <x:v>Summer</x:v>
      </x:c>
      <x:c r="H1180" t="str">
        <x:v>Card</x:v>
      </x:c>
      <x:c r="I1180" t="n">
        <x:v>4.6</x:v>
      </x:c>
      <x:c r="J1180" t="n">
        <x:v>24</x:v>
      </x:c>
      <x:c r="K1180" t="n">
        <x:v>7</x:v>
      </x:c>
      <x:c r="L1180" t="str">
        <x:v>STORE-001</x:v>
      </x:c>
      <x:c r="M1180" s="22" t="n">
        <x:v>46075</x:v>
      </x:c>
      <x:c r="N1180" t="str">
        <x:v>SKU-003</x:v>
      </x:c>
      <x:c r="O1180" t="n">
        <x:v>1</x:v>
      </x:c>
      <x:c r="P1180" s="26" t="n">
        <x:f>F1180/O1180</x:f>
        <x:v>255.41</x:v>
      </x:c>
    </x:row>
    <x:row r="1181">
      <x:c r="A1181" t="n">
        <x:v>1180</x:v>
      </x:c>
      <x:c r="B1181" t="n">
        <x:v>39</x:v>
      </x:c>
      <x:c r="C1181" t="str">
        <x:v>Male</x:v>
      </x:c>
      <x:c r="D1181" t="str">
        <x:v>Sports</x:v>
      </x:c>
      <x:c r="E1181" t="str">
        <x:v>Yoga Mat</x:v>
      </x:c>
      <x:c r="F1181" s="24" t="n">
        <x:v>241.39</x:v>
      </x:c>
      <x:c r="G1181" t="str">
        <x:v>Spring</x:v>
      </x:c>
      <x:c r="H1181" t="str">
        <x:v>Card</x:v>
      </x:c>
      <x:c r="I1181" t="n">
        <x:v>2.1</x:v>
      </x:c>
      <x:c r="J1181" t="n">
        <x:v>18</x:v>
      </x:c>
      <x:c r="K1181" t="n">
        <x:v>9</x:v>
      </x:c>
      <x:c r="L1181" t="str">
        <x:v>STORE-001</x:v>
      </x:c>
      <x:c r="M1181" s="22" t="n">
        <x:v>46284</x:v>
      </x:c>
      <x:c r="N1181" t="str">
        <x:v>SKU-030</x:v>
      </x:c>
      <x:c r="O1181" t="n">
        <x:v>2</x:v>
      </x:c>
      <x:c r="P1181" s="26" t="n">
        <x:f>F1181/O1181</x:f>
        <x:v>120.695</x:v>
      </x:c>
    </x:row>
    <x:row r="1182">
      <x:c r="A1182" t="n">
        <x:v>1181</x:v>
      </x:c>
      <x:c r="B1182" t="n">
        <x:v>67</x:v>
      </x:c>
      <x:c r="C1182" t="str">
        <x:v>Male</x:v>
      </x:c>
      <x:c r="D1182" t="str">
        <x:v>Sports</x:v>
      </x:c>
      <x:c r="E1182" t="str">
        <x:v>Dumbbells</x:v>
      </x:c>
      <x:c r="F1182" s="24" t="n">
        <x:v>141.33</x:v>
      </x:c>
      <x:c r="G1182" t="str">
        <x:v>Winter</x:v>
      </x:c>
      <x:c r="H1182" t="str">
        <x:v>Card</x:v>
      </x:c>
      <x:c r="I1182" t="n">
        <x:v>5</x:v>
      </x:c>
      <x:c r="J1182" t="n">
        <x:v>24</x:v>
      </x:c>
      <x:c r="K1182" t="n">
        <x:v>7</x:v>
      </x:c>
      <x:c r="L1182" t="str">
        <x:v>STORE-001</x:v>
      </x:c>
      <x:c r="M1182" s="22" t="n">
        <x:v>46217</x:v>
      </x:c>
      <x:c r="N1182" t="str">
        <x:v>SKU-005</x:v>
      </x:c>
      <x:c r="O1182" t="n">
        <x:v>1</x:v>
      </x:c>
      <x:c r="P1182" s="26" t="n">
        <x:f>F1182/O1182</x:f>
        <x:v>141.33</x:v>
      </x:c>
    </x:row>
    <x:row r="1183">
      <x:c r="A1183" t="n">
        <x:v>1182</x:v>
      </x:c>
      <x:c r="B1183" t="n">
        <x:v>29</x:v>
      </x:c>
      <x:c r="C1183" t="str">
        <x:v>Female</x:v>
      </x:c>
      <x:c r="D1183" t="str">
        <x:v>Footwear</x:v>
      </x:c>
      <x:c r="E1183" t="str">
        <x:v>Sneakers</x:v>
      </x:c>
      <x:c r="F1183" s="24" t="n">
        <x:v>78.35</x:v>
      </x:c>
      <x:c r="G1183" t="str">
        <x:v>Summer</x:v>
      </x:c>
      <x:c r="H1183" t="str">
        <x:v>Cash on Delivery</x:v>
      </x:c>
      <x:c r="I1183" t="n">
        <x:v>3.8</x:v>
      </x:c>
      <x:c r="J1183" t="n">
        <x:v>16</x:v>
      </x:c>
      <x:c r="K1183" t="n">
        <x:v>3</x:v>
      </x:c>
      <x:c r="L1183" t="str">
        <x:v>STORE-001</x:v>
      </x:c>
      <x:c r="M1183" s="22" t="n">
        <x:v>46014</x:v>
      </x:c>
      <x:c r="N1183" t="str">
        <x:v>SKU-025</x:v>
      </x:c>
      <x:c r="O1183" t="n">
        <x:v>1</x:v>
      </x:c>
      <x:c r="P1183" s="26" t="n">
        <x:f>F1183/O1183</x:f>
        <x:v>78.35</x:v>
      </x:c>
    </x:row>
    <x:row r="1184">
      <x:c r="A1184" t="n">
        <x:v>1183</x:v>
      </x:c>
      <x:c r="B1184" t="n">
        <x:v>30</x:v>
      </x:c>
      <x:c r="C1184" t="str">
        <x:v>Female</x:v>
      </x:c>
      <x:c r="D1184" t="str">
        <x:v>Footwear</x:v>
      </x:c>
      <x:c r="E1184" t="str">
        <x:v>Formal Shoes</x:v>
      </x:c>
      <x:c r="F1184" s="24" t="n">
        <x:v>170.77</x:v>
      </x:c>
      <x:c r="G1184" t="str">
        <x:v>Winter</x:v>
      </x:c>
      <x:c r="H1184" t="str">
        <x:v>Card</x:v>
      </x:c>
      <x:c r="I1184" t="n">
        <x:v>4.9</x:v>
      </x:c>
      <x:c r="J1184" t="n">
        <x:v>11</x:v>
      </x:c>
      <x:c r="K1184" t="n">
        <x:v>3</x:v>
      </x:c>
      <x:c r="L1184" t="str">
        <x:v>STORE-001</x:v>
      </x:c>
      <x:c r="M1184" s="22" t="n">
        <x:v>46217</x:v>
      </x:c>
      <x:c r="N1184" t="str">
        <x:v>SKU-007</x:v>
      </x:c>
      <x:c r="O1184" t="n">
        <x:v>1</x:v>
      </x:c>
      <x:c r="P1184" s="26" t="n">
        <x:f>F1184/O1184</x:f>
        <x:v>170.77</x:v>
      </x:c>
    </x:row>
    <x:row r="1185">
      <x:c r="A1185" t="n">
        <x:v>1184</x:v>
      </x:c>
      <x:c r="B1185" t="n">
        <x:v>20</x:v>
      </x:c>
      <x:c r="C1185" t="str">
        <x:v>Male</x:v>
      </x:c>
      <x:c r="D1185" t="str">
        <x:v>Footwear</x:v>
      </x:c>
      <x:c r="E1185" t="str">
        <x:v>Sneakers</x:v>
      </x:c>
      <x:c r="F1185" s="24" t="n">
        <x:v>249.56</x:v>
      </x:c>
      <x:c r="G1185" t="str">
        <x:v>Summer</x:v>
      </x:c>
      <x:c r="H1185" t="str">
        <x:v>Card</x:v>
      </x:c>
      <x:c r="I1185" t="n">
        <x:v>2.4</x:v>
      </x:c>
      <x:c r="J1185" t="n">
        <x:v>26</x:v>
      </x:c>
      <x:c r="K1185" t="n">
        <x:v>8</x:v>
      </x:c>
      <x:c r="L1185" t="str">
        <x:v>STORE-001</x:v>
      </x:c>
      <x:c r="M1185" s="22" t="n">
        <x:v>46002</x:v>
      </x:c>
      <x:c r="N1185" t="str">
        <x:v>SKU-025</x:v>
      </x:c>
      <x:c r="O1185" t="n">
        <x:v>1</x:v>
      </x:c>
      <x:c r="P1185" s="26" t="n">
        <x:f>F1185/O1185</x:f>
        <x:v>249.56</x:v>
      </x:c>
    </x:row>
    <x:row r="1186">
      <x:c r="A1186" t="n">
        <x:v>1185</x:v>
      </x:c>
      <x:c r="B1186" t="n">
        <x:v>44</x:v>
      </x:c>
      <x:c r="C1186" t="str">
        <x:v>Female</x:v>
      </x:c>
      <x:c r="D1186" t="str">
        <x:v>Beauty</x:v>
      </x:c>
      <x:c r="E1186" t="str">
        <x:v>Skincare Kit</x:v>
      </x:c>
      <x:c r="F1186" s="24" t="n">
        <x:v>69.64</x:v>
      </x:c>
      <x:c r="G1186" t="str">
        <x:v>Summer</x:v>
      </x:c>
      <x:c r="H1186" t="str">
        <x:v>Cash on Delivery</x:v>
      </x:c>
      <x:c r="I1186" t="n">
        <x:v>2.7</x:v>
      </x:c>
      <x:c r="J1186" t="n">
        <x:v>10</x:v>
      </x:c>
      <x:c r="K1186" t="n">
        <x:v>5</x:v>
      </x:c>
      <x:c r="L1186" t="str">
        <x:v>STORE-001</x:v>
      </x:c>
      <x:c r="M1186" s="22" t="n">
        <x:v>46043</x:v>
      </x:c>
      <x:c r="N1186" t="str">
        <x:v>SKU-021</x:v>
      </x:c>
      <x:c r="O1186" t="n">
        <x:v>1</x:v>
      </x:c>
      <x:c r="P1186" s="26" t="n">
        <x:f>F1186/O1186</x:f>
        <x:v>69.64</x:v>
      </x:c>
    </x:row>
    <x:row r="1187">
      <x:c r="A1187" t="n">
        <x:v>1186</x:v>
      </x:c>
      <x:c r="B1187" t="n">
        <x:v>61</x:v>
      </x:c>
      <x:c r="C1187" t="str">
        <x:v>Male</x:v>
      </x:c>
      <x:c r="D1187" t="str">
        <x:v>Sports</x:v>
      </x:c>
      <x:c r="E1187" t="str">
        <x:v>Dumbbells</x:v>
      </x:c>
      <x:c r="F1187" s="24" t="n">
        <x:v>31.66</x:v>
      </x:c>
      <x:c r="G1187" t="str">
        <x:v>Winter</x:v>
      </x:c>
      <x:c r="H1187" t="str">
        <x:v>Cash on Delivery</x:v>
      </x:c>
      <x:c r="I1187" t="n">
        <x:v>4</x:v>
      </x:c>
      <x:c r="J1187" t="n">
        <x:v>20</x:v>
      </x:c>
      <x:c r="K1187" t="n">
        <x:v>5</x:v>
      </x:c>
      <x:c r="L1187" t="str">
        <x:v>STORE-001</x:v>
      </x:c>
      <x:c r="M1187" s="22" t="n">
        <x:v>46203</x:v>
      </x:c>
      <x:c r="N1187" t="str">
        <x:v>SKU-005</x:v>
      </x:c>
      <x:c r="O1187" t="n">
        <x:v>1</x:v>
      </x:c>
      <x:c r="P1187" s="26" t="n">
        <x:f>F1187/O1187</x:f>
        <x:v>31.66</x:v>
      </x:c>
    </x:row>
    <x:row r="1188">
      <x:c r="A1188" t="n">
        <x:v>1187</x:v>
      </x:c>
      <x:c r="B1188" t="n">
        <x:v>25</x:v>
      </x:c>
      <x:c r="C1188" t="str">
        <x:v>Female</x:v>
      </x:c>
      <x:c r="D1188" t="str">
        <x:v>Beauty</x:v>
      </x:c>
      <x:c r="E1188" t="str">
        <x:v>Skincare Kit</x:v>
      </x:c>
      <x:c r="F1188" s="24" t="n">
        <x:v>56.01</x:v>
      </x:c>
      <x:c r="G1188" t="str">
        <x:v>Spring</x:v>
      </x:c>
      <x:c r="H1188" t="str">
        <x:v>Cash on Delivery</x:v>
      </x:c>
      <x:c r="I1188" t="n">
        <x:v>3.1</x:v>
      </x:c>
      <x:c r="J1188" t="n">
        <x:v>10</x:v>
      </x:c>
      <x:c r="K1188" t="n">
        <x:v>5</x:v>
      </x:c>
      <x:c r="L1188" t="str">
        <x:v>STORE-001</x:v>
      </x:c>
      <x:c r="M1188" s="22" t="n">
        <x:v>46292</x:v>
      </x:c>
      <x:c r="N1188" t="str">
        <x:v>SKU-021</x:v>
      </x:c>
      <x:c r="O1188" t="n">
        <x:v>1</x:v>
      </x:c>
      <x:c r="P1188" s="26" t="n">
        <x:f>F1188/O1188</x:f>
        <x:v>56.01</x:v>
      </x:c>
    </x:row>
    <x:row r="1189">
      <x:c r="A1189" t="n">
        <x:v>1188</x:v>
      </x:c>
      <x:c r="B1189" t="n">
        <x:v>57</x:v>
      </x:c>
      <x:c r="C1189" t="str">
        <x:v>Male</x:v>
      </x:c>
      <x:c r="D1189" t="str">
        <x:v>Footwear</x:v>
      </x:c>
      <x:c r="E1189" t="str">
        <x:v>Formal Shoes</x:v>
      </x:c>
      <x:c r="F1189" s="24" t="n">
        <x:v>191.16</x:v>
      </x:c>
      <x:c r="G1189" t="str">
        <x:v>Spring</x:v>
      </x:c>
      <x:c r="H1189" t="str">
        <x:v>Card</x:v>
      </x:c>
      <x:c r="I1189" t="n">
        <x:v>3.8</x:v>
      </x:c>
      <x:c r="J1189" t="n">
        <x:v>15</x:v>
      </x:c>
      <x:c r="K1189" t="n">
        <x:v>5</x:v>
      </x:c>
      <x:c r="L1189" t="str">
        <x:v>STORE-001</x:v>
      </x:c>
      <x:c r="M1189" s="22" t="n">
        <x:v>46288</x:v>
      </x:c>
      <x:c r="N1189" t="str">
        <x:v>SKU-007</x:v>
      </x:c>
      <x:c r="O1189" t="n">
        <x:v>2</x:v>
      </x:c>
      <x:c r="P1189" s="26" t="n">
        <x:f>F1189/O1189</x:f>
        <x:v>95.58</x:v>
      </x:c>
    </x:row>
    <x:row r="1190">
      <x:c r="A1190" t="n">
        <x:v>1189</x:v>
      </x:c>
      <x:c r="B1190" t="n">
        <x:v>32</x:v>
      </x:c>
      <x:c r="C1190" t="str">
        <x:v>Female</x:v>
      </x:c>
      <x:c r="D1190" t="str">
        <x:v>Footwear</x:v>
      </x:c>
      <x:c r="E1190" t="str">
        <x:v>Formal Shoes</x:v>
      </x:c>
      <x:c r="F1190" s="24" t="n">
        <x:v>200.69</x:v>
      </x:c>
      <x:c r="G1190" t="str">
        <x:v>Summer</x:v>
      </x:c>
      <x:c r="H1190" t="str">
        <x:v>Card</x:v>
      </x:c>
      <x:c r="I1190" t="n">
        <x:v>3.9</x:v>
      </x:c>
      <x:c r="J1190" t="n">
        <x:v>10</x:v>
      </x:c>
      <x:c r="K1190" t="n">
        <x:v>5</x:v>
      </x:c>
      <x:c r="L1190" t="str">
        <x:v>STORE-001</x:v>
      </x:c>
      <x:c r="M1190" s="22" t="n">
        <x:v>45995</x:v>
      </x:c>
      <x:c r="N1190" t="str">
        <x:v>SKU-007</x:v>
      </x:c>
      <x:c r="O1190" t="n">
        <x:v>1</x:v>
      </x:c>
      <x:c r="P1190" s="26" t="n">
        <x:f>F1190/O1190</x:f>
        <x:v>200.69</x:v>
      </x:c>
    </x:row>
    <x:row r="1191">
      <x:c r="A1191" t="n">
        <x:v>1190</x:v>
      </x:c>
      <x:c r="B1191" t="n">
        <x:v>33</x:v>
      </x:c>
      <x:c r="C1191" t="str">
        <x:v>Male</x:v>
      </x:c>
      <x:c r="D1191" t="str">
        <x:v>Mens Clothing</x:v>
      </x:c>
      <x:c r="E1191" t="str">
        <x:v>Shirt</x:v>
      </x:c>
      <x:c r="F1191" s="24" t="n">
        <x:v>30.68</x:v>
      </x:c>
      <x:c r="G1191" t="str">
        <x:v>Spring</x:v>
      </x:c>
      <x:c r="H1191" t="str">
        <x:v>Card</x:v>
      </x:c>
      <x:c r="I1191" t="n">
        <x:v>3.7</x:v>
      </x:c>
      <x:c r="J1191" t="n">
        <x:v>10</x:v>
      </x:c>
      <x:c r="K1191" t="n">
        <x:v>5</x:v>
      </x:c>
      <x:c r="L1191" t="str">
        <x:v>STORE-001</x:v>
      </x:c>
      <x:c r="M1191" s="22" t="n">
        <x:v>46272</x:v>
      </x:c>
      <x:c r="N1191" t="str">
        <x:v>SKU-020</x:v>
      </x:c>
      <x:c r="O1191" t="n">
        <x:v>2</x:v>
      </x:c>
      <x:c r="P1191" s="26" t="n">
        <x:f>F1191/O1191</x:f>
        <x:v>15.34</x:v>
      </x:c>
    </x:row>
    <x:row r="1192">
      <x:c r="A1192" t="n">
        <x:v>1191</x:v>
      </x:c>
      <x:c r="B1192" t="n">
        <x:v>38</x:v>
      </x:c>
      <x:c r="C1192" t="str">
        <x:v>Male</x:v>
      </x:c>
      <x:c r="D1192" t="str">
        <x:v>Sports</x:v>
      </x:c>
      <x:c r="E1192" t="str">
        <x:v>Dumbbells</x:v>
      </x:c>
      <x:c r="F1192" s="24" t="n">
        <x:v>225</x:v>
      </x:c>
      <x:c r="G1192" t="str">
        <x:v>Summer</x:v>
      </x:c>
      <x:c r="H1192" t="str">
        <x:v>Card</x:v>
      </x:c>
      <x:c r="I1192" t="n">
        <x:v>3.7</x:v>
      </x:c>
      <x:c r="J1192" t="n">
        <x:v>2</x:v>
      </x:c>
      <x:c r="K1192" t="n">
        <x:v>1</x:v>
      </x:c>
      <x:c r="L1192" t="str">
        <x:v>STORE-001</x:v>
      </x:c>
      <x:c r="M1192" s="22" t="n">
        <x:v>46081</x:v>
      </x:c>
      <x:c r="N1192" t="str">
        <x:v>SKU-005</x:v>
      </x:c>
      <x:c r="O1192" t="n">
        <x:v>1</x:v>
      </x:c>
      <x:c r="P1192" s="26" t="n">
        <x:f>F1192/O1192</x:f>
        <x:v>225</x:v>
      </x:c>
    </x:row>
    <x:row r="1193">
      <x:c r="A1193" t="n">
        <x:v>1192</x:v>
      </x:c>
      <x:c r="B1193" t="n">
        <x:v>31</x:v>
      </x:c>
      <x:c r="C1193" t="str">
        <x:v>Female</x:v>
      </x:c>
      <x:c r="D1193" t="str">
        <x:v>Beauty</x:v>
      </x:c>
      <x:c r="E1193" t="str">
        <x:v>Skincare Kit</x:v>
      </x:c>
      <x:c r="F1193" s="24" t="n">
        <x:v>39.45</x:v>
      </x:c>
      <x:c r="G1193" t="str">
        <x:v>Summer</x:v>
      </x:c>
      <x:c r="H1193" t="str">
        <x:v>Cash on Delivery</x:v>
      </x:c>
      <x:c r="I1193" t="n">
        <x:v>4.2</x:v>
      </x:c>
      <x:c r="J1193" t="n">
        <x:v>18</x:v>
      </x:c>
      <x:c r="K1193" t="n">
        <x:v>9</x:v>
      </x:c>
      <x:c r="L1193" t="str">
        <x:v>STORE-001</x:v>
      </x:c>
      <x:c r="M1193" s="22" t="n">
        <x:v>46066</x:v>
      </x:c>
      <x:c r="N1193" t="str">
        <x:v>SKU-021</x:v>
      </x:c>
      <x:c r="O1193" t="n">
        <x:v>1</x:v>
      </x:c>
      <x:c r="P1193" s="26" t="n">
        <x:f>F1193/O1193</x:f>
        <x:v>39.45</x:v>
      </x:c>
    </x:row>
    <x:row r="1194">
      <x:c r="A1194" t="n">
        <x:v>1193</x:v>
      </x:c>
      <x:c r="B1194" t="n">
        <x:v>65</x:v>
      </x:c>
      <x:c r="C1194" t="str">
        <x:v>Female</x:v>
      </x:c>
      <x:c r="D1194" t="str">
        <x:v>Footwear</x:v>
      </x:c>
      <x:c r="E1194" t="str">
        <x:v>Sneakers</x:v>
      </x:c>
      <x:c r="F1194" s="24" t="n">
        <x:v>131.71</x:v>
      </x:c>
      <x:c r="G1194" t="str">
        <x:v>Autumn</x:v>
      </x:c>
      <x:c r="H1194" t="str">
        <x:v>Card</x:v>
      </x:c>
      <x:c r="I1194" t="n">
        <x:v>3.5</x:v>
      </x:c>
      <x:c r="J1194" t="n">
        <x:v>13</x:v>
      </x:c>
      <x:c r="K1194" t="n">
        <x:v>4</x:v>
      </x:c>
      <x:c r="L1194" t="str">
        <x:v>STORE-001</x:v>
      </x:c>
      <x:c r="M1194" s="22" t="n">
        <x:v>46147</x:v>
      </x:c>
      <x:c r="N1194" t="str">
        <x:v>SKU-025</x:v>
      </x:c>
      <x:c r="O1194" t="n">
        <x:v>1</x:v>
      </x:c>
      <x:c r="P1194" s="26" t="n">
        <x:f>F1194/O1194</x:f>
        <x:v>131.71</x:v>
      </x:c>
    </x:row>
    <x:row r="1195">
      <x:c r="A1195" t="n">
        <x:v>1194</x:v>
      </x:c>
      <x:c r="B1195" t="n">
        <x:v>43</x:v>
      </x:c>
      <x:c r="C1195" t="str">
        <x:v>Male</x:v>
      </x:c>
      <x:c r="D1195" t="str">
        <x:v>Footwear</x:v>
      </x:c>
      <x:c r="E1195" t="str">
        <x:v>Formal Shoes</x:v>
      </x:c>
      <x:c r="F1195" s="24" t="n">
        <x:v>141.39</x:v>
      </x:c>
      <x:c r="G1195" t="str">
        <x:v>Autumn</x:v>
      </x:c>
      <x:c r="H1195" t="str">
        <x:v>Card</x:v>
      </x:c>
      <x:c r="I1195" t="n">
        <x:v>4.3</x:v>
      </x:c>
      <x:c r="J1195" t="n">
        <x:v>17</x:v>
      </x:c>
      <x:c r="K1195" t="n">
        <x:v>6</x:v>
      </x:c>
      <x:c r="L1195" t="str">
        <x:v>STORE-001</x:v>
      </x:c>
      <x:c r="M1195" s="22" t="n">
        <x:v>46106</x:v>
      </x:c>
      <x:c r="N1195" t="str">
        <x:v>SKU-007</x:v>
      </x:c>
      <x:c r="O1195" t="n">
        <x:v>1</x:v>
      </x:c>
      <x:c r="P1195" s="26" t="n">
        <x:f>F1195/O1195</x:f>
        <x:v>141.39</x:v>
      </x:c>
    </x:row>
    <x:row r="1196">
      <x:c r="A1196" t="n">
        <x:v>1195</x:v>
      </x:c>
      <x:c r="B1196" t="n">
        <x:v>33</x:v>
      </x:c>
      <x:c r="C1196" t="str">
        <x:v>Male</x:v>
      </x:c>
      <x:c r="D1196" t="str">
        <x:v>Home</x:v>
      </x:c>
      <x:c r="E1196" t="str">
        <x:v>Kitchen Set</x:v>
      </x:c>
      <x:c r="F1196" s="24" t="n">
        <x:v>48.08</x:v>
      </x:c>
      <x:c r="G1196" t="str">
        <x:v>Summer</x:v>
      </x:c>
      <x:c r="H1196" t="str">
        <x:v>Card</x:v>
      </x:c>
      <x:c r="I1196" t="n">
        <x:v>3.8</x:v>
      </x:c>
      <x:c r="J1196" t="n">
        <x:v>30</x:v>
      </x:c>
      <x:c r="K1196" t="n">
        <x:v>10</x:v>
      </x:c>
      <x:c r="L1196" t="str">
        <x:v>STORE-001</x:v>
      </x:c>
      <x:c r="M1196" s="22" t="n">
        <x:v>46041</x:v>
      </x:c>
      <x:c r="N1196" t="str">
        <x:v>SKU-012</x:v>
      </x:c>
      <x:c r="O1196" t="n">
        <x:v>3</x:v>
      </x:c>
      <x:c r="P1196" s="26" t="n">
        <x:f>F1196/O1196</x:f>
        <x:v>16.026666666666667</x:v>
      </x:c>
    </x:row>
    <x:row r="1197">
      <x:c r="A1197" t="n">
        <x:v>1196</x:v>
      </x:c>
      <x:c r="B1197" t="n">
        <x:v>29</x:v>
      </x:c>
      <x:c r="C1197" t="str">
        <x:v>Female</x:v>
      </x:c>
      <x:c r="D1197" t="str">
        <x:v>Footwear</x:v>
      </x:c>
      <x:c r="E1197" t="str">
        <x:v>Formal Shoes</x:v>
      </x:c>
      <x:c r="F1197" s="24" t="n">
        <x:v>143.49</x:v>
      </x:c>
      <x:c r="G1197" t="str">
        <x:v>Spring</x:v>
      </x:c>
      <x:c r="H1197" t="str">
        <x:v>Card</x:v>
      </x:c>
      <x:c r="I1197" t="n">
        <x:v>2.4</x:v>
      </x:c>
      <x:c r="J1197" t="n">
        <x:v>18</x:v>
      </x:c>
      <x:c r="K1197" t="n">
        <x:v>4</x:v>
      </x:c>
      <x:c r="L1197" t="str">
        <x:v>STORE-001</x:v>
      </x:c>
      <x:c r="M1197" s="22" t="n">
        <x:v>46268</x:v>
      </x:c>
      <x:c r="N1197" t="str">
        <x:v>SKU-007</x:v>
      </x:c>
      <x:c r="O1197" t="n">
        <x:v>1</x:v>
      </x:c>
      <x:c r="P1197" s="26" t="n">
        <x:f>F1197/O1197</x:f>
        <x:v>143.49</x:v>
      </x:c>
    </x:row>
    <x:row r="1198">
      <x:c r="A1198" t="n">
        <x:v>1197</x:v>
      </x:c>
      <x:c r="B1198" t="n">
        <x:v>23</x:v>
      </x:c>
      <x:c r="C1198" t="str">
        <x:v>Female</x:v>
      </x:c>
      <x:c r="D1198" t="str">
        <x:v>Groceries</x:v>
      </x:c>
      <x:c r="E1198" t="str">
        <x:v>Beverages</x:v>
      </x:c>
      <x:c r="F1198" s="24" t="n">
        <x:v>32.67</x:v>
      </x:c>
      <x:c r="G1198" t="str">
        <x:v>Spring</x:v>
      </x:c>
      <x:c r="H1198" t="str">
        <x:v>Cash on Delivery</x:v>
      </x:c>
      <x:c r="I1198" t="n">
        <x:v>4</x:v>
      </x:c>
      <x:c r="J1198" t="n">
        <x:v>19</x:v>
      </x:c>
      <x:c r="K1198" t="n">
        <x:v>7</x:v>
      </x:c>
      <x:c r="L1198" t="str">
        <x:v>STORE-001</x:v>
      </x:c>
      <x:c r="M1198" s="22" t="n">
        <x:v>46283</x:v>
      </x:c>
      <x:c r="N1198" t="str">
        <x:v>SKU-001</x:v>
      </x:c>
      <x:c r="O1198" t="n">
        <x:v>2</x:v>
      </x:c>
      <x:c r="P1198" s="26" t="n">
        <x:f>F1198/O1198</x:f>
        <x:v>16.335</x:v>
      </x:c>
    </x:row>
    <x:row r="1199">
      <x:c r="A1199" t="n">
        <x:v>1198</x:v>
      </x:c>
      <x:c r="B1199" t="n">
        <x:v>68</x:v>
      </x:c>
      <x:c r="C1199" t="str">
        <x:v>Female</x:v>
      </x:c>
      <x:c r="D1199" t="str">
        <x:v>Womens Clothing</x:v>
      </x:c>
      <x:c r="E1199" t="str">
        <x:v>Jeans</x:v>
      </x:c>
      <x:c r="F1199" s="24" t="n">
        <x:v>95.87</x:v>
      </x:c>
      <x:c r="G1199" t="str">
        <x:v>Autumn</x:v>
      </x:c>
      <x:c r="H1199" t="str">
        <x:v>Cash on Delivery</x:v>
      </x:c>
      <x:c r="I1199" t="n">
        <x:v>3.3</x:v>
      </x:c>
      <x:c r="J1199" t="n">
        <x:v>13</x:v>
      </x:c>
      <x:c r="K1199" t="n">
        <x:v>4</x:v>
      </x:c>
      <x:c r="L1199" t="str">
        <x:v>STORE-001</x:v>
      </x:c>
      <x:c r="M1199" s="22" t="n">
        <x:v>46123</x:v>
      </x:c>
      <x:c r="N1199" t="str">
        <x:v>SKU-011</x:v>
      </x:c>
      <x:c r="O1199" t="n">
        <x:v>2</x:v>
      </x:c>
      <x:c r="P1199" s="26" t="n">
        <x:f>F1199/O1199</x:f>
        <x:v>47.935</x:v>
      </x:c>
    </x:row>
    <x:row r="1200">
      <x:c r="A1200" t="n">
        <x:v>1199</x:v>
      </x:c>
      <x:c r="B1200" t="n">
        <x:v>61</x:v>
      </x:c>
      <x:c r="C1200" t="str">
        <x:v>Male</x:v>
      </x:c>
      <x:c r="D1200" t="str">
        <x:v>Sports</x:v>
      </x:c>
      <x:c r="E1200" t="str">
        <x:v>Yoga Mat</x:v>
      </x:c>
      <x:c r="F1200" s="24" t="n">
        <x:v>102.24</x:v>
      </x:c>
      <x:c r="G1200" t="str">
        <x:v>Winter</x:v>
      </x:c>
      <x:c r="H1200" t="str">
        <x:v>Card</x:v>
      </x:c>
      <x:c r="I1200" t="n">
        <x:v>3.6</x:v>
      </x:c>
      <x:c r="J1200" t="n">
        <x:v>20</x:v>
      </x:c>
      <x:c r="K1200" t="n">
        <x:v>5</x:v>
      </x:c>
      <x:c r="L1200" t="str">
        <x:v>STORE-001</x:v>
      </x:c>
      <x:c r="M1200" s="22" t="n">
        <x:v>46202</x:v>
      </x:c>
      <x:c r="N1200" t="str">
        <x:v>SKU-030</x:v>
      </x:c>
      <x:c r="O1200" t="n">
        <x:v>1</x:v>
      </x:c>
      <x:c r="P1200" s="26" t="n">
        <x:f>F1200/O1200</x:f>
        <x:v>102.24</x:v>
      </x:c>
    </x:row>
    <x:row r="1201">
      <x:c r="A1201" t="n">
        <x:v>1200</x:v>
      </x:c>
      <x:c r="B1201" t="n">
        <x:v>64</x:v>
      </x:c>
      <x:c r="C1201" t="str">
        <x:v>Male</x:v>
      </x:c>
      <x:c r="D1201" t="str">
        <x:v>Footwear</x:v>
      </x:c>
      <x:c r="E1201" t="str">
        <x:v>Sneakers</x:v>
      </x:c>
      <x:c r="F1201" s="24" t="n">
        <x:v>55.35</x:v>
      </x:c>
      <x:c r="G1201" t="str">
        <x:v>Summer</x:v>
      </x:c>
      <x:c r="H1201" t="str">
        <x:v>Card</x:v>
      </x:c>
      <x:c r="I1201" t="n">
        <x:v>4</x:v>
      </x:c>
      <x:c r="J1201" t="n">
        <x:v>26</x:v>
      </x:c>
      <x:c r="K1201" t="n">
        <x:v>8</x:v>
      </x:c>
      <x:c r="L1201" t="str">
        <x:v>STORE-001</x:v>
      </x:c>
      <x:c r="M1201" s="22" t="n">
        <x:v>46069</x:v>
      </x:c>
      <x:c r="N1201" t="str">
        <x:v>SKU-025</x:v>
      </x:c>
      <x:c r="O1201" t="n">
        <x:v>1</x:v>
      </x:c>
      <x:c r="P1201" s="26" t="n">
        <x:f>F1201/O1201</x:f>
        <x:v>55.35</x:v>
      </x:c>
    </x:row>
    <x:row r="1202">
      <x:c r="A1202" t="n">
        <x:v>1201</x:v>
      </x:c>
      <x:c r="B1202" t="n">
        <x:v>28</x:v>
      </x:c>
      <x:c r="C1202" t="str">
        <x:v>Female</x:v>
      </x:c>
      <x:c r="D1202" t="str">
        <x:v>Womens Clothing</x:v>
      </x:c>
      <x:c r="E1202" t="str">
        <x:v>Jeans</x:v>
      </x:c>
      <x:c r="F1202" s="24" t="n">
        <x:v>39.68</x:v>
      </x:c>
      <x:c r="G1202" t="str">
        <x:v>Summer</x:v>
      </x:c>
      <x:c r="H1202" t="str">
        <x:v>Cash on Delivery</x:v>
      </x:c>
      <x:c r="I1202" t="n">
        <x:v>3.4</x:v>
      </x:c>
      <x:c r="J1202" t="n">
        <x:v>16</x:v>
      </x:c>
      <x:c r="K1202" t="n">
        <x:v>3</x:v>
      </x:c>
      <x:c r="L1202" t="str">
        <x:v>STORE-001</x:v>
      </x:c>
      <x:c r="M1202" s="22" t="n">
        <x:v>46061</x:v>
      </x:c>
      <x:c r="N1202" t="str">
        <x:v>SKU-011</x:v>
      </x:c>
      <x:c r="O1202" t="n">
        <x:v>1</x:v>
      </x:c>
      <x:c r="P1202" s="26" t="n">
        <x:f>F1202/O1202</x:f>
        <x:v>39.68</x:v>
      </x:c>
    </x:row>
    <x:row r="1203">
      <x:c r="A1203" t="n">
        <x:v>1202</x:v>
      </x:c>
      <x:c r="B1203" t="n">
        <x:v>34</x:v>
      </x:c>
      <x:c r="C1203" t="str">
        <x:v>Male</x:v>
      </x:c>
      <x:c r="D1203" t="str">
        <x:v>Mens Clothing</x:v>
      </x:c>
      <x:c r="E1203" t="str">
        <x:v>Jacket</x:v>
      </x:c>
      <x:c r="F1203" s="24" t="n">
        <x:v>188.14</x:v>
      </x:c>
      <x:c r="G1203" t="str">
        <x:v>Autumn</x:v>
      </x:c>
      <x:c r="H1203" t="str">
        <x:v>Card</x:v>
      </x:c>
      <x:c r="I1203" t="n">
        <x:v>4.2</x:v>
      </x:c>
      <x:c r="J1203" t="n">
        <x:v>8</x:v>
      </x:c>
      <x:c r="K1203" t="n">
        <x:v>4</x:v>
      </x:c>
      <x:c r="L1203" t="str">
        <x:v>STORE-001</x:v>
      </x:c>
      <x:c r="M1203" s="22" t="n">
        <x:v>46129</x:v>
      </x:c>
      <x:c r="N1203" t="str">
        <x:v>SKU-010</x:v>
      </x:c>
      <x:c r="O1203" t="n">
        <x:v>1</x:v>
      </x:c>
      <x:c r="P1203" s="26" t="n">
        <x:f>F1203/O1203</x:f>
        <x:v>188.14</x:v>
      </x:c>
    </x:row>
    <x:row r="1204">
      <x:c r="A1204" t="n">
        <x:v>1203</x:v>
      </x:c>
      <x:c r="B1204" t="n">
        <x:v>26</x:v>
      </x:c>
      <x:c r="C1204" t="str">
        <x:v>Female</x:v>
      </x:c>
      <x:c r="D1204" t="str">
        <x:v>Womens Clothing</x:v>
      </x:c>
      <x:c r="E1204" t="str">
        <x:v>Top</x:v>
      </x:c>
      <x:c r="F1204" s="24" t="n">
        <x:v>148.54</x:v>
      </x:c>
      <x:c r="G1204" t="str">
        <x:v>Winter</x:v>
      </x:c>
      <x:c r="H1204" t="str">
        <x:v>Card</x:v>
      </x:c>
      <x:c r="I1204" t="n">
        <x:v>3.6</x:v>
      </x:c>
      <x:c r="J1204" t="n">
        <x:v>26</x:v>
      </x:c>
      <x:c r="K1204" t="n">
        <x:v>8</x:v>
      </x:c>
      <x:c r="L1204" t="str">
        <x:v>STORE-001</x:v>
      </x:c>
      <x:c r="M1204" s="22" t="n">
        <x:v>46177</x:v>
      </x:c>
      <x:c r="N1204" t="str">
        <x:v>SKU-028</x:v>
      </x:c>
      <x:c r="O1204" t="n">
        <x:v>2</x:v>
      </x:c>
      <x:c r="P1204" s="26" t="n">
        <x:f>F1204/O1204</x:f>
        <x:v>74.27</x:v>
      </x:c>
    </x:row>
    <x:row r="1205">
      <x:c r="A1205" t="n">
        <x:v>1204</x:v>
      </x:c>
      <x:c r="B1205" t="n">
        <x:v>29</x:v>
      </x:c>
      <x:c r="C1205" t="str">
        <x:v>Male</x:v>
      </x:c>
      <x:c r="D1205" t="str">
        <x:v>Footwear</x:v>
      </x:c>
      <x:c r="E1205" t="str">
        <x:v>Sneakers</x:v>
      </x:c>
      <x:c r="F1205" s="24" t="n">
        <x:v>102</x:v>
      </x:c>
      <x:c r="G1205" t="str">
        <x:v>Spring</x:v>
      </x:c>
      <x:c r="H1205" t="str">
        <x:v>Card</x:v>
      </x:c>
      <x:c r="I1205" t="n">
        <x:v>3.5</x:v>
      </x:c>
      <x:c r="J1205" t="n">
        <x:v>10</x:v>
      </x:c>
      <x:c r="K1205" t="n">
        <x:v>5</x:v>
      </x:c>
      <x:c r="L1205" t="str">
        <x:v>STORE-001</x:v>
      </x:c>
      <x:c r="M1205" s="22" t="n">
        <x:v>46266</x:v>
      </x:c>
      <x:c r="N1205" t="str">
        <x:v>SKU-025</x:v>
      </x:c>
      <x:c r="O1205" t="n">
        <x:v>2</x:v>
      </x:c>
      <x:c r="P1205" s="26" t="n">
        <x:f>F1205/O1205</x:f>
        <x:v>51</x:v>
      </x:c>
    </x:row>
    <x:row r="1206">
      <x:c r="A1206" t="n">
        <x:v>1205</x:v>
      </x:c>
      <x:c r="B1206" t="n">
        <x:v>47</x:v>
      </x:c>
      <x:c r="C1206" t="str">
        <x:v>Female</x:v>
      </x:c>
      <x:c r="D1206" t="str">
        <x:v>Sports</x:v>
      </x:c>
      <x:c r="E1206" t="str">
        <x:v>Football</x:v>
      </x:c>
      <x:c r="F1206" s="24" t="n">
        <x:v>239.73</x:v>
      </x:c>
      <x:c r="G1206" t="str">
        <x:v>Summer</x:v>
      </x:c>
      <x:c r="H1206" t="str">
        <x:v>Card</x:v>
      </x:c>
      <x:c r="I1206" t="n">
        <x:v>4.8</x:v>
      </x:c>
      <x:c r="J1206" t="n">
        <x:v>24</x:v>
      </x:c>
      <x:c r="K1206" t="n">
        <x:v>7</x:v>
      </x:c>
      <x:c r="L1206" t="str">
        <x:v>STORE-001</x:v>
      </x:c>
      <x:c r="M1206" s="22" t="n">
        <x:v>46050</x:v>
      </x:c>
      <x:c r="N1206" t="str">
        <x:v>SKU-006</x:v>
      </x:c>
      <x:c r="O1206" t="n">
        <x:v>1</x:v>
      </x:c>
      <x:c r="P1206" s="26" t="n">
        <x:f>F1206/O1206</x:f>
        <x:v>239.73</x:v>
      </x:c>
    </x:row>
    <x:row r="1207">
      <x:c r="A1207" t="n">
        <x:v>1206</x:v>
      </x:c>
      <x:c r="B1207" t="n">
        <x:v>37</x:v>
      </x:c>
      <x:c r="C1207" t="str">
        <x:v>Female</x:v>
      </x:c>
      <x:c r="D1207" t="str">
        <x:v>Beauty</x:v>
      </x:c>
      <x:c r="E1207" t="str">
        <x:v>Skincare Kit</x:v>
      </x:c>
      <x:c r="F1207" s="24" t="n">
        <x:v>102.4</x:v>
      </x:c>
      <x:c r="G1207" t="str">
        <x:v>Spring</x:v>
      </x:c>
      <x:c r="H1207" t="str">
        <x:v>Card</x:v>
      </x:c>
      <x:c r="I1207" t="n">
        <x:v>4.3</x:v>
      </x:c>
      <x:c r="J1207" t="n">
        <x:v>20</x:v>
      </x:c>
      <x:c r="K1207" t="n">
        <x:v>5</x:v>
      </x:c>
      <x:c r="L1207" t="str">
        <x:v>STORE-001</x:v>
      </x:c>
      <x:c r="M1207" s="22" t="n">
        <x:v>45955</x:v>
      </x:c>
      <x:c r="N1207" t="str">
        <x:v>SKU-021</x:v>
      </x:c>
      <x:c r="O1207" t="n">
        <x:v>1</x:v>
      </x:c>
      <x:c r="P1207" s="26" t="n">
        <x:f>F1207/O1207</x:f>
        <x:v>102.4</x:v>
      </x:c>
    </x:row>
    <x:row r="1208">
      <x:c r="A1208" t="n">
        <x:v>1207</x:v>
      </x:c>
      <x:c r="B1208" t="n">
        <x:v>54</x:v>
      </x:c>
      <x:c r="C1208" t="str">
        <x:v>Female</x:v>
      </x:c>
      <x:c r="D1208" t="str">
        <x:v>Beauty</x:v>
      </x:c>
      <x:c r="E1208" t="str">
        <x:v>Skincare Kit</x:v>
      </x:c>
      <x:c r="F1208" s="24" t="n">
        <x:v>34.86</x:v>
      </x:c>
      <x:c r="G1208" t="str">
        <x:v>Winter</x:v>
      </x:c>
      <x:c r="H1208" t="str">
        <x:v>Cash on Delivery</x:v>
      </x:c>
      <x:c r="I1208" t="n">
        <x:v>3.6</x:v>
      </x:c>
      <x:c r="J1208" t="n">
        <x:v>13</x:v>
      </x:c>
      <x:c r="K1208" t="n">
        <x:v>4</x:v>
      </x:c>
      <x:c r="L1208" t="str">
        <x:v>STORE-001</x:v>
      </x:c>
      <x:c r="M1208" s="22" t="n">
        <x:v>46222</x:v>
      </x:c>
      <x:c r="N1208" t="str">
        <x:v>SKU-021</x:v>
      </x:c>
      <x:c r="O1208" t="n">
        <x:v>1</x:v>
      </x:c>
      <x:c r="P1208" s="26" t="n">
        <x:f>F1208/O1208</x:f>
        <x:v>34.86</x:v>
      </x:c>
    </x:row>
    <x:row r="1209">
      <x:c r="A1209" t="n">
        <x:v>1208</x:v>
      </x:c>
      <x:c r="B1209" t="n">
        <x:v>67</x:v>
      </x:c>
      <x:c r="C1209" t="str">
        <x:v>Female</x:v>
      </x:c>
      <x:c r="D1209" t="str">
        <x:v>Footwear</x:v>
      </x:c>
      <x:c r="E1209" t="str">
        <x:v>Formal Shoes</x:v>
      </x:c>
      <x:c r="F1209" s="24" t="n">
        <x:v>184.03</x:v>
      </x:c>
      <x:c r="G1209" t="str">
        <x:v>Summer</x:v>
      </x:c>
      <x:c r="H1209" t="str">
        <x:v>Card</x:v>
      </x:c>
      <x:c r="I1209" t="n">
        <x:v>4.1</x:v>
      </x:c>
      <x:c r="J1209" t="n">
        <x:v>24</x:v>
      </x:c>
      <x:c r="K1209" t="n">
        <x:v>7</x:v>
      </x:c>
      <x:c r="L1209" t="str">
        <x:v>STORE-001</x:v>
      </x:c>
      <x:c r="M1209" s="22" t="n">
        <x:v>46011</x:v>
      </x:c>
      <x:c r="N1209" t="str">
        <x:v>SKU-007</x:v>
      </x:c>
      <x:c r="O1209" t="n">
        <x:v>1</x:v>
      </x:c>
      <x:c r="P1209" s="26" t="n">
        <x:f>F1209/O1209</x:f>
        <x:v>184.03</x:v>
      </x:c>
    </x:row>
    <x:row r="1210">
      <x:c r="A1210" t="n">
        <x:v>1209</x:v>
      </x:c>
      <x:c r="B1210" t="n">
        <x:v>24</x:v>
      </x:c>
      <x:c r="C1210" t="str">
        <x:v>Male</x:v>
      </x:c>
      <x:c r="D1210" t="str">
        <x:v>Footwear</x:v>
      </x:c>
      <x:c r="E1210" t="str">
        <x:v>Sneakers</x:v>
      </x:c>
      <x:c r="F1210" s="24" t="n">
        <x:v>129.9</x:v>
      </x:c>
      <x:c r="G1210" t="str">
        <x:v>Winter</x:v>
      </x:c>
      <x:c r="H1210" t="str">
        <x:v>Card</x:v>
      </x:c>
      <x:c r="I1210" t="n">
        <x:v>3.8</x:v>
      </x:c>
      <x:c r="J1210" t="n">
        <x:v>16</x:v>
      </x:c>
      <x:c r="K1210" t="n">
        <x:v>8</x:v>
      </x:c>
      <x:c r="L1210" t="str">
        <x:v>STORE-001</x:v>
      </x:c>
      <x:c r="M1210" s="22" t="n">
        <x:v>46259</x:v>
      </x:c>
      <x:c r="N1210" t="str">
        <x:v>SKU-025</x:v>
      </x:c>
      <x:c r="O1210" t="n">
        <x:v>2</x:v>
      </x:c>
      <x:c r="P1210" s="26" t="n">
        <x:f>F1210/O1210</x:f>
        <x:v>64.95</x:v>
      </x:c>
    </x:row>
    <x:row r="1211">
      <x:c r="A1211" t="n">
        <x:v>1210</x:v>
      </x:c>
      <x:c r="B1211" t="n">
        <x:v>33</x:v>
      </x:c>
      <x:c r="C1211" t="str">
        <x:v>Male</x:v>
      </x:c>
      <x:c r="D1211" t="str">
        <x:v>Home</x:v>
      </x:c>
      <x:c r="E1211" t="str">
        <x:v>Kitchen Set</x:v>
      </x:c>
      <x:c r="F1211" s="24" t="n">
        <x:v>255.3</x:v>
      </x:c>
      <x:c r="G1211" t="str">
        <x:v>Winter</x:v>
      </x:c>
      <x:c r="H1211" t="str">
        <x:v>Card</x:v>
      </x:c>
      <x:c r="I1211" t="n">
        <x:v>3.3</x:v>
      </x:c>
      <x:c r="J1211" t="n">
        <x:v>26</x:v>
      </x:c>
      <x:c r="K1211" t="n">
        <x:v>8</x:v>
      </x:c>
      <x:c r="L1211" t="str">
        <x:v>STORE-001</x:v>
      </x:c>
      <x:c r="M1211" s="22" t="n">
        <x:v>46214</x:v>
      </x:c>
      <x:c r="N1211" t="str">
        <x:v>SKU-012</x:v>
      </x:c>
      <x:c r="O1211" t="n">
        <x:v>1</x:v>
      </x:c>
      <x:c r="P1211" s="26" t="n">
        <x:f>F1211/O1211</x:f>
        <x:v>255.3</x:v>
      </x:c>
    </x:row>
    <x:row r="1212">
      <x:c r="A1212" t="n">
        <x:v>1211</x:v>
      </x:c>
      <x:c r="B1212" t="n">
        <x:v>31</x:v>
      </x:c>
      <x:c r="C1212" t="str">
        <x:v>Male</x:v>
      </x:c>
      <x:c r="D1212" t="str">
        <x:v>Groceries</x:v>
      </x:c>
      <x:c r="E1212" t="str">
        <x:v>Rice Pack</x:v>
      </x:c>
      <x:c r="F1212" s="24" t="n">
        <x:v>63.06</x:v>
      </x:c>
      <x:c r="G1212" t="str">
        <x:v>Autumn</x:v>
      </x:c>
      <x:c r="H1212" t="str">
        <x:v>Cash on Delivery</x:v>
      </x:c>
      <x:c r="I1212" t="n">
        <x:v>2.5</x:v>
      </x:c>
      <x:c r="J1212" t="n">
        <x:v>15</x:v>
      </x:c>
      <x:c r="K1212" t="n">
        <x:v>5</x:v>
      </x:c>
      <x:c r="L1212" t="str">
        <x:v>STORE-001</x:v>
      </x:c>
      <x:c r="M1212" s="22" t="n">
        <x:v>46166</x:v>
      </x:c>
      <x:c r="N1212" t="str">
        <x:v>SKU-018</x:v>
      </x:c>
      <x:c r="O1212" t="n">
        <x:v>2</x:v>
      </x:c>
      <x:c r="P1212" s="26" t="n">
        <x:f>F1212/O1212</x:f>
        <x:v>31.53</x:v>
      </x:c>
    </x:row>
    <x:row r="1213">
      <x:c r="A1213" t="n">
        <x:v>1212</x:v>
      </x:c>
      <x:c r="B1213" t="n">
        <x:v>37</x:v>
      </x:c>
      <x:c r="C1213" t="str">
        <x:v>Male</x:v>
      </x:c>
      <x:c r="D1213" t="str">
        <x:v>Sports</x:v>
      </x:c>
      <x:c r="E1213" t="str">
        <x:v>Dumbbells</x:v>
      </x:c>
      <x:c r="F1213" s="24" t="n">
        <x:v>147.46</x:v>
      </x:c>
      <x:c r="G1213" t="str">
        <x:v>Autumn</x:v>
      </x:c>
      <x:c r="H1213" t="str">
        <x:v>Card</x:v>
      </x:c>
      <x:c r="I1213" t="n">
        <x:v>3.7</x:v>
      </x:c>
      <x:c r="J1213" t="n">
        <x:v>14</x:v>
      </x:c>
      <x:c r="K1213" t="n">
        <x:v>2</x:v>
      </x:c>
      <x:c r="L1213" t="str">
        <x:v>STORE-001</x:v>
      </x:c>
      <x:c r="M1213" s="22" t="n">
        <x:v>46148</x:v>
      </x:c>
      <x:c r="N1213" t="str">
        <x:v>SKU-005</x:v>
      </x:c>
      <x:c r="O1213" t="n">
        <x:v>1</x:v>
      </x:c>
      <x:c r="P1213" s="26" t="n">
        <x:f>F1213/O1213</x:f>
        <x:v>147.46</x:v>
      </x:c>
    </x:row>
    <x:row r="1214">
      <x:c r="A1214" t="n">
        <x:v>1213</x:v>
      </x:c>
      <x:c r="B1214" t="n">
        <x:v>28</x:v>
      </x:c>
      <x:c r="C1214" t="str">
        <x:v>Female</x:v>
      </x:c>
      <x:c r="D1214" t="str">
        <x:v>Beauty</x:v>
      </x:c>
      <x:c r="E1214" t="str">
        <x:v>Skincare Kit</x:v>
      </x:c>
      <x:c r="F1214" s="24" t="n">
        <x:v>68.68</x:v>
      </x:c>
      <x:c r="G1214" t="str">
        <x:v>Autumn</x:v>
      </x:c>
      <x:c r="H1214" t="str">
        <x:v>Cash on Delivery</x:v>
      </x:c>
      <x:c r="I1214" t="n">
        <x:v>3.1</x:v>
      </x:c>
      <x:c r="J1214" t="n">
        <x:v>18</x:v>
      </x:c>
      <x:c r="K1214" t="n">
        <x:v>4</x:v>
      </x:c>
      <x:c r="L1214" t="str">
        <x:v>STORE-001</x:v>
      </x:c>
      <x:c r="M1214" s="22" t="n">
        <x:v>46114</x:v>
      </x:c>
      <x:c r="N1214" t="str">
        <x:v>SKU-021</x:v>
      </x:c>
      <x:c r="O1214" t="n">
        <x:v>1</x:v>
      </x:c>
      <x:c r="P1214" s="26" t="n">
        <x:f>F1214/O1214</x:f>
        <x:v>68.68</x:v>
      </x:c>
    </x:row>
    <x:row r="1215">
      <x:c r="A1215" t="n">
        <x:v>1214</x:v>
      </x:c>
      <x:c r="B1215" t="n">
        <x:v>58</x:v>
      </x:c>
      <x:c r="C1215" t="str">
        <x:v>Female</x:v>
      </x:c>
      <x:c r="D1215" t="str">
        <x:v>Accessories</x:v>
      </x:c>
      <x:c r="E1215" t="str">
        <x:v>Handbag</x:v>
      </x:c>
      <x:c r="F1215" s="24" t="n">
        <x:v>118.34</x:v>
      </x:c>
      <x:c r="G1215" t="str">
        <x:v>Summer</x:v>
      </x:c>
      <x:c r="H1215" t="str">
        <x:v>Card</x:v>
      </x:c>
      <x:c r="I1215" t="n">
        <x:v>4.1</x:v>
      </x:c>
      <x:c r="J1215" t="n">
        <x:v>19</x:v>
      </x:c>
      <x:c r="K1215" t="n">
        <x:v>7</x:v>
      </x:c>
      <x:c r="L1215" t="str">
        <x:v>STORE-001</x:v>
      </x:c>
      <x:c r="M1215" s="22" t="n">
        <x:v>46021</x:v>
      </x:c>
      <x:c r="N1215" t="str">
        <x:v>SKU-008</x:v>
      </x:c>
      <x:c r="O1215" t="n">
        <x:v>1</x:v>
      </x:c>
      <x:c r="P1215" s="26" t="n">
        <x:f>F1215/O1215</x:f>
        <x:v>118.34</x:v>
      </x:c>
    </x:row>
    <x:row r="1216">
      <x:c r="A1216" t="n">
        <x:v>1215</x:v>
      </x:c>
      <x:c r="B1216" t="n">
        <x:v>60</x:v>
      </x:c>
      <x:c r="C1216" t="str">
        <x:v>Male</x:v>
      </x:c>
      <x:c r="D1216" t="str">
        <x:v>Mens Clothing</x:v>
      </x:c>
      <x:c r="E1216" t="str">
        <x:v>T-Shirt</x:v>
      </x:c>
      <x:c r="F1216" s="24" t="n">
        <x:v>99.54</x:v>
      </x:c>
      <x:c r="G1216" t="str">
        <x:v>Winter</x:v>
      </x:c>
      <x:c r="H1216" t="str">
        <x:v>Cash on Delivery</x:v>
      </x:c>
      <x:c r="I1216" t="n">
        <x:v>3.7</x:v>
      </x:c>
      <x:c r="J1216" t="n">
        <x:v>12</x:v>
      </x:c>
      <x:c r="K1216" t="n">
        <x:v>1</x:v>
      </x:c>
      <x:c r="L1216" t="str">
        <x:v>STORE-001</x:v>
      </x:c>
      <x:c r="M1216" s="22" t="n">
        <x:v>46258</x:v>
      </x:c>
      <x:c r="N1216" t="str">
        <x:v>SKU-027</x:v>
      </x:c>
      <x:c r="O1216" t="n">
        <x:v>1</x:v>
      </x:c>
      <x:c r="P1216" s="26" t="n">
        <x:f>F1216/O1216</x:f>
        <x:v>99.54</x:v>
      </x:c>
    </x:row>
    <x:row r="1217">
      <x:c r="A1217" t="n">
        <x:v>1216</x:v>
      </x:c>
      <x:c r="B1217" t="n">
        <x:v>28</x:v>
      </x:c>
      <x:c r="C1217" t="str">
        <x:v>Male</x:v>
      </x:c>
      <x:c r="D1217" t="str">
        <x:v>Home</x:v>
      </x:c>
      <x:c r="E1217" t="str">
        <x:v>Lamp</x:v>
      </x:c>
      <x:c r="F1217" s="24" t="n">
        <x:v>206.37</x:v>
      </x:c>
      <x:c r="G1217" t="str">
        <x:v>Summer</x:v>
      </x:c>
      <x:c r="H1217" t="str">
        <x:v>Card</x:v>
      </x:c>
      <x:c r="I1217" t="n">
        <x:v>3.1</x:v>
      </x:c>
      <x:c r="J1217" t="n">
        <x:v>16</x:v>
      </x:c>
      <x:c r="K1217" t="n">
        <x:v>8</x:v>
      </x:c>
      <x:c r="L1217" t="str">
        <x:v>STORE-001</x:v>
      </x:c>
      <x:c r="M1217" s="22" t="n">
        <x:v>46072</x:v>
      </x:c>
      <x:c r="N1217" t="str">
        <x:v>SKU-013</x:v>
      </x:c>
      <x:c r="O1217" t="n">
        <x:v>1</x:v>
      </x:c>
      <x:c r="P1217" s="26" t="n">
        <x:f>F1217/O1217</x:f>
        <x:v>206.37</x:v>
      </x:c>
    </x:row>
    <x:row r="1218">
      <x:c r="A1218" t="n">
        <x:v>1217</x:v>
      </x:c>
      <x:c r="B1218" t="n">
        <x:v>66</x:v>
      </x:c>
      <x:c r="C1218" t="str">
        <x:v>Female</x:v>
      </x:c>
      <x:c r="D1218" t="str">
        <x:v>Womens Clothing</x:v>
      </x:c>
      <x:c r="E1218" t="str">
        <x:v>Top</x:v>
      </x:c>
      <x:c r="F1218" s="24" t="n">
        <x:v>163.33</x:v>
      </x:c>
      <x:c r="G1218" t="str">
        <x:v>Spring</x:v>
      </x:c>
      <x:c r="H1218" t="str">
        <x:v>Card</x:v>
      </x:c>
      <x:c r="I1218" t="n">
        <x:v>3</x:v>
      </x:c>
      <x:c r="J1218" t="n">
        <x:v>12</x:v>
      </x:c>
      <x:c r="K1218" t="n">
        <x:v>6</x:v>
      </x:c>
      <x:c r="L1218" t="str">
        <x:v>STORE-001</x:v>
      </x:c>
      <x:c r="M1218" s="22" t="n">
        <x:v>46269</x:v>
      </x:c>
      <x:c r="N1218" t="str">
        <x:v>SKU-028</x:v>
      </x:c>
      <x:c r="O1218" t="n">
        <x:v>1</x:v>
      </x:c>
      <x:c r="P1218" s="26" t="n">
        <x:f>F1218/O1218</x:f>
        <x:v>163.33</x:v>
      </x:c>
    </x:row>
    <x:row r="1219">
      <x:c r="A1219" t="n">
        <x:v>1218</x:v>
      </x:c>
      <x:c r="B1219" t="n">
        <x:v>55</x:v>
      </x:c>
      <x:c r="C1219" t="str">
        <x:v>Male</x:v>
      </x:c>
      <x:c r="D1219" t="str">
        <x:v>Mens Clothing</x:v>
      </x:c>
      <x:c r="E1219" t="str">
        <x:v>Jacket</x:v>
      </x:c>
      <x:c r="F1219" s="24" t="n">
        <x:v>162.46</x:v>
      </x:c>
      <x:c r="G1219" t="str">
        <x:v>Winter</x:v>
      </x:c>
      <x:c r="H1219" t="str">
        <x:v>Card</x:v>
      </x:c>
      <x:c r="I1219" t="n">
        <x:v>3.2</x:v>
      </x:c>
      <x:c r="J1219" t="n">
        <x:v>4</x:v>
      </x:c>
      <x:c r="K1219" t="n">
        <x:v>2</x:v>
      </x:c>
      <x:c r="L1219" t="str">
        <x:v>STORE-001</x:v>
      </x:c>
      <x:c r="M1219" s="22" t="n">
        <x:v>46190</x:v>
      </x:c>
      <x:c r="N1219" t="str">
        <x:v>SKU-010</x:v>
      </x:c>
      <x:c r="O1219" t="n">
        <x:v>1</x:v>
      </x:c>
      <x:c r="P1219" s="26" t="n">
        <x:f>F1219/O1219</x:f>
        <x:v>162.46</x:v>
      </x:c>
    </x:row>
    <x:row r="1220">
      <x:c r="A1220" t="n">
        <x:v>1219</x:v>
      </x:c>
      <x:c r="B1220" t="n">
        <x:v>35</x:v>
      </x:c>
      <x:c r="C1220" t="str">
        <x:v>Female</x:v>
      </x:c>
      <x:c r="D1220" t="str">
        <x:v>Footwear</x:v>
      </x:c>
      <x:c r="E1220" t="str">
        <x:v>Sandals</x:v>
      </x:c>
      <x:c r="F1220" s="24" t="n">
        <x:v>242.17</x:v>
      </x:c>
      <x:c r="G1220" t="str">
        <x:v>Autumn</x:v>
      </x:c>
      <x:c r="H1220" t="str">
        <x:v>Card</x:v>
      </x:c>
      <x:c r="I1220" t="n">
        <x:v>3.8</x:v>
      </x:c>
      <x:c r="J1220" t="n">
        <x:v>21</x:v>
      </x:c>
      <x:c r="K1220" t="n">
        <x:v>8</x:v>
      </x:c>
      <x:c r="L1220" t="str">
        <x:v>STORE-001</x:v>
      </x:c>
      <x:c r="M1220" s="22" t="n">
        <x:v>46161</x:v>
      </x:c>
      <x:c r="N1220" t="str">
        <x:v>SKU-019</x:v>
      </x:c>
      <x:c r="O1220" t="n">
        <x:v>1</x:v>
      </x:c>
      <x:c r="P1220" s="26" t="n">
        <x:f>F1220/O1220</x:f>
        <x:v>242.17</x:v>
      </x:c>
    </x:row>
    <x:row r="1221">
      <x:c r="A1221" t="n">
        <x:v>1220</x:v>
      </x:c>
      <x:c r="B1221" t="n">
        <x:v>65</x:v>
      </x:c>
      <x:c r="C1221" t="str">
        <x:v>Male</x:v>
      </x:c>
      <x:c r="D1221" t="str">
        <x:v>Sports</x:v>
      </x:c>
      <x:c r="E1221" t="str">
        <x:v>Yoga Mat</x:v>
      </x:c>
      <x:c r="F1221" s="24" t="n">
        <x:v>108.5</x:v>
      </x:c>
      <x:c r="G1221" t="str">
        <x:v>Spring</x:v>
      </x:c>
      <x:c r="H1221" t="str">
        <x:v>Card</x:v>
      </x:c>
      <x:c r="I1221" t="n">
        <x:v>4.4</x:v>
      </x:c>
      <x:c r="J1221" t="n">
        <x:v>14</x:v>
      </x:c>
      <x:c r="K1221" t="n">
        <x:v>7</x:v>
      </x:c>
      <x:c r="L1221" t="str">
        <x:v>STORE-001</x:v>
      </x:c>
      <x:c r="M1221" s="22" t="n">
        <x:v>45970</x:v>
      </x:c>
      <x:c r="N1221" t="str">
        <x:v>SKU-030</x:v>
      </x:c>
      <x:c r="O1221" t="n">
        <x:v>1</x:v>
      </x:c>
      <x:c r="P1221" s="26" t="n">
        <x:f>F1221/O1221</x:f>
        <x:v>108.5</x:v>
      </x:c>
    </x:row>
    <x:row r="1222">
      <x:c r="A1222" t="n">
        <x:v>1221</x:v>
      </x:c>
      <x:c r="B1222" t="n">
        <x:v>35</x:v>
      </x:c>
      <x:c r="C1222" t="str">
        <x:v>Female</x:v>
      </x:c>
      <x:c r="D1222" t="str">
        <x:v>Accessories</x:v>
      </x:c>
      <x:c r="E1222" t="str">
        <x:v>Handbag</x:v>
      </x:c>
      <x:c r="F1222" s="24" t="n">
        <x:v>82.93</x:v>
      </x:c>
      <x:c r="G1222" t="str">
        <x:v>Autumn</x:v>
      </x:c>
      <x:c r="H1222" t="str">
        <x:v>Card</x:v>
      </x:c>
      <x:c r="I1222" t="n">
        <x:v>3.6</x:v>
      </x:c>
      <x:c r="J1222" t="n">
        <x:v>19</x:v>
      </x:c>
      <x:c r="K1222" t="n">
        <x:v>7</x:v>
      </x:c>
      <x:c r="L1222" t="str">
        <x:v>STORE-001</x:v>
      </x:c>
      <x:c r="M1222" s="22" t="n">
        <x:v>46151</x:v>
      </x:c>
      <x:c r="N1222" t="str">
        <x:v>SKU-008</x:v>
      </x:c>
      <x:c r="O1222" t="n">
        <x:v>1</x:v>
      </x:c>
      <x:c r="P1222" s="26" t="n">
        <x:f>F1222/O1222</x:f>
        <x:v>82.93</x:v>
      </x:c>
    </x:row>
    <x:row r="1223">
      <x:c r="A1223" t="n">
        <x:v>1222</x:v>
      </x:c>
      <x:c r="B1223" t="n">
        <x:v>21</x:v>
      </x:c>
      <x:c r="C1223" t="str">
        <x:v>Male</x:v>
      </x:c>
      <x:c r="D1223" t="str">
        <x:v>Electronics</x:v>
      </x:c>
      <x:c r="E1223" t="str">
        <x:v>Laptop</x:v>
      </x:c>
      <x:c r="F1223" s="24" t="n">
        <x:v>2122.12</x:v>
      </x:c>
      <x:c r="G1223" t="str">
        <x:v>Autumn</x:v>
      </x:c>
      <x:c r="H1223" t="str">
        <x:v>Card</x:v>
      </x:c>
      <x:c r="I1223" t="n">
        <x:v>4.1</x:v>
      </x:c>
      <x:c r="J1223" t="n">
        <x:v>18</x:v>
      </x:c>
      <x:c r="K1223" t="n">
        <x:v>4</x:v>
      </x:c>
      <x:c r="L1223" t="str">
        <x:v>STORE-001</x:v>
      </x:c>
      <x:c r="M1223" s="22" t="n">
        <x:v>46087</x:v>
      </x:c>
      <x:c r="N1223" t="str">
        <x:v>SKU-014</x:v>
      </x:c>
      <x:c r="O1223" t="n">
        <x:v>1</x:v>
      </x:c>
      <x:c r="P1223" s="26" t="n">
        <x:f>F1223/O1223</x:f>
        <x:v>2122.12</x:v>
      </x:c>
    </x:row>
    <x:row r="1224">
      <x:c r="A1224" t="n">
        <x:v>1223</x:v>
      </x:c>
      <x:c r="B1224" t="n">
        <x:v>31</x:v>
      </x:c>
      <x:c r="C1224" t="str">
        <x:v>Male</x:v>
      </x:c>
      <x:c r="D1224" t="str">
        <x:v>Home</x:v>
      </x:c>
      <x:c r="E1224" t="str">
        <x:v>Kitchen Set</x:v>
      </x:c>
      <x:c r="F1224" s="24" t="n">
        <x:v>187.38</x:v>
      </x:c>
      <x:c r="G1224" t="str">
        <x:v>Spring</x:v>
      </x:c>
      <x:c r="H1224" t="str">
        <x:v>Card</x:v>
      </x:c>
      <x:c r="I1224" t="n">
        <x:v>4.1</x:v>
      </x:c>
      <x:c r="J1224" t="n">
        <x:v>18</x:v>
      </x:c>
      <x:c r="K1224" t="n">
        <x:v>9</x:v>
      </x:c>
      <x:c r="L1224" t="str">
        <x:v>STORE-001</x:v>
      </x:c>
      <x:c r="M1224" s="22" t="n">
        <x:v>46291</x:v>
      </x:c>
      <x:c r="N1224" t="str">
        <x:v>SKU-012</x:v>
      </x:c>
      <x:c r="O1224" t="n">
        <x:v>2</x:v>
      </x:c>
      <x:c r="P1224" s="26" t="n">
        <x:f>F1224/O1224</x:f>
        <x:v>93.69</x:v>
      </x:c>
    </x:row>
    <x:row r="1225">
      <x:c r="A1225" t="n">
        <x:v>1224</x:v>
      </x:c>
      <x:c r="B1225" t="n">
        <x:v>42</x:v>
      </x:c>
      <x:c r="C1225" t="str">
        <x:v>Male</x:v>
      </x:c>
      <x:c r="D1225" t="str">
        <x:v>Sports</x:v>
      </x:c>
      <x:c r="E1225" t="str">
        <x:v>Yoga Mat</x:v>
      </x:c>
      <x:c r="F1225" s="24" t="n">
        <x:v>157.06</x:v>
      </x:c>
      <x:c r="G1225" t="str">
        <x:v>Winter</x:v>
      </x:c>
      <x:c r="H1225" t="str">
        <x:v>Card</x:v>
      </x:c>
      <x:c r="I1225" t="n">
        <x:v>4.2</x:v>
      </x:c>
      <x:c r="J1225" t="n">
        <x:v>20</x:v>
      </x:c>
      <x:c r="K1225" t="n">
        <x:v>5</x:v>
      </x:c>
      <x:c r="L1225" t="str">
        <x:v>STORE-001</x:v>
      </x:c>
      <x:c r="M1225" s="22" t="n">
        <x:v>46235</x:v>
      </x:c>
      <x:c r="N1225" t="str">
        <x:v>SKU-030</x:v>
      </x:c>
      <x:c r="O1225" t="n">
        <x:v>1</x:v>
      </x:c>
      <x:c r="P1225" s="26" t="n">
        <x:f>F1225/O1225</x:f>
        <x:v>157.06</x:v>
      </x:c>
    </x:row>
    <x:row r="1226">
      <x:c r="A1226" t="n">
        <x:v>1225</x:v>
      </x:c>
      <x:c r="B1226" t="n">
        <x:v>22</x:v>
      </x:c>
      <x:c r="C1226" t="str">
        <x:v>Male</x:v>
      </x:c>
      <x:c r="D1226" t="str">
        <x:v>Electronics</x:v>
      </x:c>
      <x:c r="E1226" t="str">
        <x:v>Laptop</x:v>
      </x:c>
      <x:c r="F1226" s="24" t="n">
        <x:v>1708.09</x:v>
      </x:c>
      <x:c r="G1226" t="str">
        <x:v>Spring</x:v>
      </x:c>
      <x:c r="H1226" t="str">
        <x:v>Card</x:v>
      </x:c>
      <x:c r="I1226" t="n">
        <x:v>3.7</x:v>
      </x:c>
      <x:c r="J1226" t="n">
        <x:v>6</x:v>
      </x:c>
      <x:c r="K1226" t="n">
        <x:v>3</x:v>
      </x:c>
      <x:c r="L1226" t="str">
        <x:v>STORE-001</x:v>
      </x:c>
      <x:c r="M1226" s="22" t="n">
        <x:v>46282</x:v>
      </x:c>
      <x:c r="N1226" t="str">
        <x:v>SKU-014</x:v>
      </x:c>
      <x:c r="O1226" t="n">
        <x:v>1</x:v>
      </x:c>
      <x:c r="P1226" s="26" t="n">
        <x:f>F1226/O1226</x:f>
        <x:v>1708.09</x:v>
      </x:c>
    </x:row>
    <x:row r="1227">
      <x:c r="A1227" t="n">
        <x:v>1226</x:v>
      </x:c>
      <x:c r="B1227" t="n">
        <x:v>62</x:v>
      </x:c>
      <x:c r="C1227" t="str">
        <x:v>Female</x:v>
      </x:c>
      <x:c r="D1227" t="str">
        <x:v>Footwear</x:v>
      </x:c>
      <x:c r="E1227" t="str">
        <x:v>Formal Shoes</x:v>
      </x:c>
      <x:c r="F1227" s="24" t="n">
        <x:v>156.84</x:v>
      </x:c>
      <x:c r="G1227" t="str">
        <x:v>Winter</x:v>
      </x:c>
      <x:c r="H1227" t="str">
        <x:v>Card</x:v>
      </x:c>
      <x:c r="I1227" t="n">
        <x:v>3.4</x:v>
      </x:c>
      <x:c r="J1227" t="n">
        <x:v>13</x:v>
      </x:c>
      <x:c r="K1227" t="n">
        <x:v>4</x:v>
      </x:c>
      <x:c r="L1227" t="str">
        <x:v>STORE-001</x:v>
      </x:c>
      <x:c r="M1227" s="22" t="n">
        <x:v>46230</x:v>
      </x:c>
      <x:c r="N1227" t="str">
        <x:v>SKU-007</x:v>
      </x:c>
      <x:c r="O1227" t="n">
        <x:v>1</x:v>
      </x:c>
      <x:c r="P1227" s="26" t="n">
        <x:f>F1227/O1227</x:f>
        <x:v>156.84</x:v>
      </x:c>
    </x:row>
    <x:row r="1228">
      <x:c r="A1228" t="n">
        <x:v>1227</x:v>
      </x:c>
      <x:c r="B1228" t="n">
        <x:v>28</x:v>
      </x:c>
      <x:c r="C1228" t="str">
        <x:v>Female</x:v>
      </x:c>
      <x:c r="D1228" t="str">
        <x:v>Womens Clothing</x:v>
      </x:c>
      <x:c r="E1228" t="str">
        <x:v>Skirt</x:v>
      </x:c>
      <x:c r="F1228" s="24" t="n">
        <x:v>189.2</x:v>
      </x:c>
      <x:c r="G1228" t="str">
        <x:v>Spring</x:v>
      </x:c>
      <x:c r="H1228" t="str">
        <x:v>Card</x:v>
      </x:c>
      <x:c r="I1228" t="n">
        <x:v>2.9</x:v>
      </x:c>
      <x:c r="J1228" t="n">
        <x:v>13</x:v>
      </x:c>
      <x:c r="K1228" t="n">
        <x:v>4</x:v>
      </x:c>
      <x:c r="L1228" t="str">
        <x:v>STORE-001</x:v>
      </x:c>
      <x:c r="M1228" s="22" t="n">
        <x:v>45935</x:v>
      </x:c>
      <x:c r="N1228" t="str">
        <x:v>SKU-022</x:v>
      </x:c>
      <x:c r="O1228" t="n">
        <x:v>1</x:v>
      </x:c>
      <x:c r="P1228" s="26" t="n">
        <x:f>F1228/O1228</x:f>
        <x:v>189.2</x:v>
      </x:c>
    </x:row>
    <x:row r="1229">
      <x:c r="A1229" t="n">
        <x:v>1228</x:v>
      </x:c>
      <x:c r="B1229" t="n">
        <x:v>33</x:v>
      </x:c>
      <x:c r="C1229" t="str">
        <x:v>Female</x:v>
      </x:c>
      <x:c r="D1229" t="str">
        <x:v>Home</x:v>
      </x:c>
      <x:c r="E1229" t="str">
        <x:v>Curtains</x:v>
      </x:c>
      <x:c r="F1229" s="24" t="n">
        <x:v>117.64</x:v>
      </x:c>
      <x:c r="G1229" t="str">
        <x:v>Spring</x:v>
      </x:c>
      <x:c r="H1229" t="str">
        <x:v>Card</x:v>
      </x:c>
      <x:c r="I1229" t="n">
        <x:v>3</x:v>
      </x:c>
      <x:c r="J1229" t="n">
        <x:v>14</x:v>
      </x:c>
      <x:c r="K1229" t="n">
        <x:v>7</x:v>
      </x:c>
      <x:c r="L1229" t="str">
        <x:v>STORE-001</x:v>
      </x:c>
      <x:c r="M1229" s="22" t="n">
        <x:v>45965</x:v>
      </x:c>
      <x:c r="N1229" t="str">
        <x:v>SKU-003</x:v>
      </x:c>
      <x:c r="O1229" t="n">
        <x:v>2</x:v>
      </x:c>
      <x:c r="P1229" s="26" t="n">
        <x:f>F1229/O1229</x:f>
        <x:v>58.82</x:v>
      </x:c>
    </x:row>
    <x:row r="1230">
      <x:c r="A1230" t="n">
        <x:v>1229</x:v>
      </x:c>
      <x:c r="B1230" t="n">
        <x:v>36</x:v>
      </x:c>
      <x:c r="C1230" t="str">
        <x:v>Male</x:v>
      </x:c>
      <x:c r="D1230" t="str">
        <x:v>Footwear</x:v>
      </x:c>
      <x:c r="E1230" t="str">
        <x:v>Sandals</x:v>
      </x:c>
      <x:c r="F1230" s="24" t="n">
        <x:v>147.48</x:v>
      </x:c>
      <x:c r="G1230" t="str">
        <x:v>Autumn</x:v>
      </x:c>
      <x:c r="H1230" t="str">
        <x:v>Card</x:v>
      </x:c>
      <x:c r="I1230" t="n">
        <x:v>4.3</x:v>
      </x:c>
      <x:c r="J1230" t="n">
        <x:v>15</x:v>
      </x:c>
      <x:c r="K1230" t="n">
        <x:v>5</x:v>
      </x:c>
      <x:c r="L1230" t="str">
        <x:v>STORE-001</x:v>
      </x:c>
      <x:c r="M1230" s="22" t="n">
        <x:v>46128</x:v>
      </x:c>
      <x:c r="N1230" t="str">
        <x:v>SKU-019</x:v>
      </x:c>
      <x:c r="O1230" t="n">
        <x:v>2</x:v>
      </x:c>
      <x:c r="P1230" s="26" t="n">
        <x:f>F1230/O1230</x:f>
        <x:v>73.74</x:v>
      </x:c>
    </x:row>
    <x:row r="1231">
      <x:c r="A1231" t="n">
        <x:v>1230</x:v>
      </x:c>
      <x:c r="B1231" t="n">
        <x:v>28</x:v>
      </x:c>
      <x:c r="C1231" t="str">
        <x:v>Male</x:v>
      </x:c>
      <x:c r="D1231" t="str">
        <x:v>Mens Clothing</x:v>
      </x:c>
      <x:c r="E1231" t="str">
        <x:v>Jeans</x:v>
      </x:c>
      <x:c r="F1231" s="24" t="n">
        <x:v>75.04</x:v>
      </x:c>
      <x:c r="G1231" t="str">
        <x:v>Spring</x:v>
      </x:c>
      <x:c r="H1231" t="str">
        <x:v>Cash on Delivery</x:v>
      </x:c>
      <x:c r="I1231" t="n">
        <x:v>3.8</x:v>
      </x:c>
      <x:c r="J1231" t="n">
        <x:v>4</x:v>
      </x:c>
      <x:c r="K1231" t="n">
        <x:v>2</x:v>
      </x:c>
      <x:c r="L1231" t="str">
        <x:v>STORE-001</x:v>
      </x:c>
      <x:c r="M1231" s="22" t="n">
        <x:v>46284</x:v>
      </x:c>
      <x:c r="N1231" t="str">
        <x:v>SKU-011</x:v>
      </x:c>
      <x:c r="O1231" t="n">
        <x:v>1</x:v>
      </x:c>
      <x:c r="P1231" s="26" t="n">
        <x:f>F1231/O1231</x:f>
        <x:v>75.04</x:v>
      </x:c>
    </x:row>
    <x:row r="1232">
      <x:c r="A1232" t="n">
        <x:v>1231</x:v>
      </x:c>
      <x:c r="B1232" t="n">
        <x:v>26</x:v>
      </x:c>
      <x:c r="C1232" t="str">
        <x:v>Male</x:v>
      </x:c>
      <x:c r="D1232" t="str">
        <x:v>Mens Clothing</x:v>
      </x:c>
      <x:c r="E1232" t="str">
        <x:v>T-Shirt</x:v>
      </x:c>
      <x:c r="F1232" s="24" t="n">
        <x:v>108.5</x:v>
      </x:c>
      <x:c r="G1232" t="str">
        <x:v>Autumn</x:v>
      </x:c>
      <x:c r="H1232" t="str">
        <x:v>Card</x:v>
      </x:c>
      <x:c r="I1232" t="n">
        <x:v>3.7</x:v>
      </x:c>
      <x:c r="J1232" t="n">
        <x:v>14</x:v>
      </x:c>
      <x:c r="K1232" t="n">
        <x:v>2</x:v>
      </x:c>
      <x:c r="L1232" t="str">
        <x:v>STORE-001</x:v>
      </x:c>
      <x:c r="M1232" s="22" t="n">
        <x:v>46154</x:v>
      </x:c>
      <x:c r="N1232" t="str">
        <x:v>SKU-027</x:v>
      </x:c>
      <x:c r="O1232" t="n">
        <x:v>1</x:v>
      </x:c>
      <x:c r="P1232" s="26" t="n">
        <x:f>F1232/O1232</x:f>
        <x:v>108.5</x:v>
      </x:c>
    </x:row>
    <x:row r="1233">
      <x:c r="A1233" t="n">
        <x:v>1232</x:v>
      </x:c>
      <x:c r="B1233" t="n">
        <x:v>55</x:v>
      </x:c>
      <x:c r="C1233" t="str">
        <x:v>Male</x:v>
      </x:c>
      <x:c r="D1233" t="str">
        <x:v>Electronics</x:v>
      </x:c>
      <x:c r="E1233" t="str">
        <x:v>Laptop</x:v>
      </x:c>
      <x:c r="F1233" s="24" t="n">
        <x:v>1226.67</x:v>
      </x:c>
      <x:c r="G1233" t="str">
        <x:v>Summer</x:v>
      </x:c>
      <x:c r="H1233" t="str">
        <x:v>Card</x:v>
      </x:c>
      <x:c r="I1233" t="n">
        <x:v>3.4</x:v>
      </x:c>
      <x:c r="J1233" t="n">
        <x:v>10</x:v>
      </x:c>
      <x:c r="K1233" t="n">
        <x:v>5</x:v>
      </x:c>
      <x:c r="L1233" t="str">
        <x:v>STORE-001</x:v>
      </x:c>
      <x:c r="M1233" s="22" t="n">
        <x:v>46002</x:v>
      </x:c>
      <x:c r="N1233" t="str">
        <x:v>SKU-014</x:v>
      </x:c>
      <x:c r="O1233" t="n">
        <x:v>1</x:v>
      </x:c>
      <x:c r="P1233" s="26" t="n">
        <x:f>F1233/O1233</x:f>
        <x:v>1226.67</x:v>
      </x:c>
    </x:row>
    <x:row r="1234">
      <x:c r="A1234" t="n">
        <x:v>1233</x:v>
      </x:c>
      <x:c r="B1234" t="n">
        <x:v>64</x:v>
      </x:c>
      <x:c r="C1234" t="str">
        <x:v>Female</x:v>
      </x:c>
      <x:c r="D1234" t="str">
        <x:v>Footwear</x:v>
      </x:c>
      <x:c r="E1234" t="str">
        <x:v>Formal Shoes</x:v>
      </x:c>
      <x:c r="F1234" s="24" t="n">
        <x:v>70.09</x:v>
      </x:c>
      <x:c r="G1234" t="str">
        <x:v>Spring</x:v>
      </x:c>
      <x:c r="H1234" t="str">
        <x:v>Cash on Delivery</x:v>
      </x:c>
      <x:c r="I1234" t="n">
        <x:v>4.3</x:v>
      </x:c>
      <x:c r="J1234" t="n">
        <x:v>20</x:v>
      </x:c>
      <x:c r="K1234" t="n">
        <x:v>5</x:v>
      </x:c>
      <x:c r="L1234" t="str">
        <x:v>STORE-001</x:v>
      </x:c>
      <x:c r="M1234" s="22" t="n">
        <x:v>46272</x:v>
      </x:c>
      <x:c r="N1234" t="str">
        <x:v>SKU-007</x:v>
      </x:c>
      <x:c r="O1234" t="n">
        <x:v>1</x:v>
      </x:c>
      <x:c r="P1234" s="26" t="n">
        <x:f>F1234/O1234</x:f>
        <x:v>70.09</x:v>
      </x:c>
    </x:row>
    <x:row r="1235">
      <x:c r="A1235" t="n">
        <x:v>1234</x:v>
      </x:c>
      <x:c r="B1235" t="n">
        <x:v>51</x:v>
      </x:c>
      <x:c r="C1235" t="str">
        <x:v>Female</x:v>
      </x:c>
      <x:c r="D1235" t="str">
        <x:v>Womens Clothing</x:v>
      </x:c>
      <x:c r="E1235" t="str">
        <x:v>Top</x:v>
      </x:c>
      <x:c r="F1235" s="24" t="n">
        <x:v>145.45</x:v>
      </x:c>
      <x:c r="G1235" t="str">
        <x:v>Summer</x:v>
      </x:c>
      <x:c r="H1235" t="str">
        <x:v>Card</x:v>
      </x:c>
      <x:c r="I1235" t="n">
        <x:v>2.6</x:v>
      </x:c>
      <x:c r="J1235" t="n">
        <x:v>10</x:v>
      </x:c>
      <x:c r="K1235" t="n">
        <x:v>5</x:v>
      </x:c>
      <x:c r="L1235" t="str">
        <x:v>STORE-001</x:v>
      </x:c>
      <x:c r="M1235" s="22" t="n">
        <x:v>46079</x:v>
      </x:c>
      <x:c r="N1235" t="str">
        <x:v>SKU-028</x:v>
      </x:c>
      <x:c r="O1235" t="n">
        <x:v>1</x:v>
      </x:c>
      <x:c r="P1235" s="26" t="n">
        <x:f>F1235/O1235</x:f>
        <x:v>145.45</x:v>
      </x:c>
    </x:row>
    <x:row r="1236">
      <x:c r="A1236" t="n">
        <x:v>1235</x:v>
      </x:c>
      <x:c r="B1236" t="n">
        <x:v>37</x:v>
      </x:c>
      <x:c r="C1236" t="str">
        <x:v>Female</x:v>
      </x:c>
      <x:c r="D1236" t="str">
        <x:v>Womens Clothing</x:v>
      </x:c>
      <x:c r="E1236" t="str">
        <x:v>Jeans</x:v>
      </x:c>
      <x:c r="F1236" s="24" t="n">
        <x:v>121.42</x:v>
      </x:c>
      <x:c r="G1236" t="str">
        <x:v>Winter</x:v>
      </x:c>
      <x:c r="H1236" t="str">
        <x:v>Card</x:v>
      </x:c>
      <x:c r="I1236" t="n">
        <x:v>4.7</x:v>
      </x:c>
      <x:c r="J1236" t="n">
        <x:v>8</x:v>
      </x:c>
      <x:c r="K1236" t="n">
        <x:v>4</x:v>
      </x:c>
      <x:c r="L1236" t="str">
        <x:v>STORE-001</x:v>
      </x:c>
      <x:c r="M1236" s="22" t="n">
        <x:v>46244</x:v>
      </x:c>
      <x:c r="N1236" t="str">
        <x:v>SKU-011</x:v>
      </x:c>
      <x:c r="O1236" t="n">
        <x:v>2</x:v>
      </x:c>
      <x:c r="P1236" s="26" t="n">
        <x:f>F1236/O1236</x:f>
        <x:v>60.71</x:v>
      </x:c>
    </x:row>
    <x:row r="1237">
      <x:c r="A1237" t="n">
        <x:v>1236</x:v>
      </x:c>
      <x:c r="B1237" t="n">
        <x:v>21</x:v>
      </x:c>
      <x:c r="C1237" t="str">
        <x:v>Male</x:v>
      </x:c>
      <x:c r="D1237" t="str">
        <x:v>Mens Clothing</x:v>
      </x:c>
      <x:c r="E1237" t="str">
        <x:v>Jeans</x:v>
      </x:c>
      <x:c r="F1237" s="24" t="n">
        <x:v>129.32</x:v>
      </x:c>
      <x:c r="G1237" t="str">
        <x:v>Winter</x:v>
      </x:c>
      <x:c r="H1237" t="str">
        <x:v>Card</x:v>
      </x:c>
      <x:c r="I1237" t="n">
        <x:v>3.5</x:v>
      </x:c>
      <x:c r="J1237" t="n">
        <x:v>9</x:v>
      </x:c>
      <x:c r="K1237" t="n">
        <x:v>2</x:v>
      </x:c>
      <x:c r="L1237" t="str">
        <x:v>STORE-001</x:v>
      </x:c>
      <x:c r="M1237" s="22" t="n">
        <x:v>46210</x:v>
      </x:c>
      <x:c r="N1237" t="str">
        <x:v>SKU-011</x:v>
      </x:c>
      <x:c r="O1237" t="n">
        <x:v>1</x:v>
      </x:c>
      <x:c r="P1237" s="26" t="n">
        <x:f>F1237/O1237</x:f>
        <x:v>129.32</x:v>
      </x:c>
    </x:row>
    <x:row r="1238">
      <x:c r="A1238" t="n">
        <x:v>1237</x:v>
      </x:c>
      <x:c r="B1238" t="n">
        <x:v>27</x:v>
      </x:c>
      <x:c r="C1238" t="str">
        <x:v>Female</x:v>
      </x:c>
      <x:c r="D1238" t="str">
        <x:v>Womens Clothing</x:v>
      </x:c>
      <x:c r="E1238" t="str">
        <x:v>Top</x:v>
      </x:c>
      <x:c r="F1238" s="24" t="n">
        <x:v>134.56</x:v>
      </x:c>
      <x:c r="G1238" t="str">
        <x:v>Summer</x:v>
      </x:c>
      <x:c r="H1238" t="str">
        <x:v>Card</x:v>
      </x:c>
      <x:c r="I1238" t="n">
        <x:v>3.9</x:v>
      </x:c>
      <x:c r="J1238" t="n">
        <x:v>14</x:v>
      </x:c>
      <x:c r="K1238" t="n">
        <x:v>7</x:v>
      </x:c>
      <x:c r="L1238" t="str">
        <x:v>STORE-001</x:v>
      </x:c>
      <x:c r="M1238" s="22" t="n">
        <x:v>46036</x:v>
      </x:c>
      <x:c r="N1238" t="str">
        <x:v>SKU-028</x:v>
      </x:c>
      <x:c r="O1238" t="n">
        <x:v>1</x:v>
      </x:c>
      <x:c r="P1238" s="26" t="n">
        <x:f>F1238/O1238</x:f>
        <x:v>134.56</x:v>
      </x:c>
    </x:row>
    <x:row r="1239">
      <x:c r="A1239" t="n">
        <x:v>1238</x:v>
      </x:c>
      <x:c r="B1239" t="n">
        <x:v>28</x:v>
      </x:c>
      <x:c r="C1239" t="str">
        <x:v>Male</x:v>
      </x:c>
      <x:c r="D1239" t="str">
        <x:v>Mens Clothing</x:v>
      </x:c>
      <x:c r="E1239" t="str">
        <x:v>Jeans</x:v>
      </x:c>
      <x:c r="F1239" s="24" t="n">
        <x:v>190.96</x:v>
      </x:c>
      <x:c r="G1239" t="str">
        <x:v>Spring</x:v>
      </x:c>
      <x:c r="H1239" t="str">
        <x:v>Card</x:v>
      </x:c>
      <x:c r="I1239" t="n">
        <x:v>5</x:v>
      </x:c>
      <x:c r="J1239" t="n">
        <x:v>19</x:v>
      </x:c>
      <x:c r="K1239" t="n">
        <x:v>7</x:v>
      </x:c>
      <x:c r="L1239" t="str">
        <x:v>STORE-001</x:v>
      </x:c>
      <x:c r="M1239" s="22" t="n">
        <x:v>45943</x:v>
      </x:c>
      <x:c r="N1239" t="str">
        <x:v>SKU-011</x:v>
      </x:c>
      <x:c r="O1239" t="n">
        <x:v>2</x:v>
      </x:c>
      <x:c r="P1239" s="26" t="n">
        <x:f>F1239/O1239</x:f>
        <x:v>95.48</x:v>
      </x:c>
    </x:row>
    <x:row r="1240">
      <x:c r="A1240" t="n">
        <x:v>1239</x:v>
      </x:c>
      <x:c r="B1240" t="n">
        <x:v>56</x:v>
      </x:c>
      <x:c r="C1240" t="str">
        <x:v>Female</x:v>
      </x:c>
      <x:c r="D1240" t="str">
        <x:v>Accessories</x:v>
      </x:c>
      <x:c r="E1240" t="str">
        <x:v>Wallet</x:v>
      </x:c>
      <x:c r="F1240" s="24" t="n">
        <x:v>32.97</x:v>
      </x:c>
      <x:c r="G1240" t="str">
        <x:v>Autumn</x:v>
      </x:c>
      <x:c r="H1240" t="str">
        <x:v>Cash on Delivery</x:v>
      </x:c>
      <x:c r="I1240" t="n">
        <x:v>5</x:v>
      </x:c>
      <x:c r="J1240" t="n">
        <x:v>14</x:v>
      </x:c>
      <x:c r="K1240" t="n">
        <x:v>7</x:v>
      </x:c>
      <x:c r="L1240" t="str">
        <x:v>STORE-001</x:v>
      </x:c>
      <x:c r="M1240" s="22" t="n">
        <x:v>46148</x:v>
      </x:c>
      <x:c r="N1240" t="str">
        <x:v>SKU-029</x:v>
      </x:c>
      <x:c r="O1240" t="n">
        <x:v>1</x:v>
      </x:c>
      <x:c r="P1240" s="26" t="n">
        <x:f>F1240/O1240</x:f>
        <x:v>32.97</x:v>
      </x:c>
    </x:row>
    <x:row r="1241">
      <x:c r="A1241" t="n">
        <x:v>1240</x:v>
      </x:c>
      <x:c r="B1241" t="n">
        <x:v>25</x:v>
      </x:c>
      <x:c r="C1241" t="str">
        <x:v>Male</x:v>
      </x:c>
      <x:c r="D1241" t="str">
        <x:v>Mens Clothing</x:v>
      </x:c>
      <x:c r="E1241" t="str">
        <x:v>Jeans</x:v>
      </x:c>
      <x:c r="F1241" s="24" t="n">
        <x:v>140.93</x:v>
      </x:c>
      <x:c r="G1241" t="str">
        <x:v>Spring</x:v>
      </x:c>
      <x:c r="H1241" t="str">
        <x:v>Card</x:v>
      </x:c>
      <x:c r="I1241" t="n">
        <x:v>3.6</x:v>
      </x:c>
      <x:c r="J1241" t="n">
        <x:v>8</x:v>
      </x:c>
      <x:c r="K1241" t="n">
        <x:v>4</x:v>
      </x:c>
      <x:c r="L1241" t="str">
        <x:v>STORE-001</x:v>
      </x:c>
      <x:c r="M1241" s="22" t="n">
        <x:v>46290</x:v>
      </x:c>
      <x:c r="N1241" t="str">
        <x:v>SKU-011</x:v>
      </x:c>
      <x:c r="O1241" t="n">
        <x:v>1</x:v>
      </x:c>
      <x:c r="P1241" s="26" t="n">
        <x:f>F1241/O1241</x:f>
        <x:v>140.93</x:v>
      </x:c>
    </x:row>
    <x:row r="1242">
      <x:c r="A1242" t="n">
        <x:v>1241</x:v>
      </x:c>
      <x:c r="B1242" t="n">
        <x:v>35</x:v>
      </x:c>
      <x:c r="C1242" t="str">
        <x:v>Female</x:v>
      </x:c>
      <x:c r="D1242" t="str">
        <x:v>Womens Clothing</x:v>
      </x:c>
      <x:c r="E1242" t="str">
        <x:v>Top</x:v>
      </x:c>
      <x:c r="F1242" s="24" t="n">
        <x:v>96.4</x:v>
      </x:c>
      <x:c r="G1242" t="str">
        <x:v>Autumn</x:v>
      </x:c>
      <x:c r="H1242" t="str">
        <x:v>Card</x:v>
      </x:c>
      <x:c r="I1242" t="n">
        <x:v>4.3</x:v>
      </x:c>
      <x:c r="J1242" t="n">
        <x:v>9</x:v>
      </x:c>
      <x:c r="K1242" t="n">
        <x:v>2</x:v>
      </x:c>
      <x:c r="L1242" t="str">
        <x:v>STORE-001</x:v>
      </x:c>
      <x:c r="M1242" s="22" t="n">
        <x:v>46083</x:v>
      </x:c>
      <x:c r="N1242" t="str">
        <x:v>SKU-028</x:v>
      </x:c>
      <x:c r="O1242" t="n">
        <x:v>1</x:v>
      </x:c>
      <x:c r="P1242" s="26" t="n">
        <x:f>F1242/O1242</x:f>
        <x:v>96.4</x:v>
      </x:c>
    </x:row>
    <x:row r="1243">
      <x:c r="A1243" t="n">
        <x:v>1242</x:v>
      </x:c>
      <x:c r="B1243" t="n">
        <x:v>55</x:v>
      </x:c>
      <x:c r="C1243" t="str">
        <x:v>Female</x:v>
      </x:c>
      <x:c r="D1243" t="str">
        <x:v>Womens Clothing</x:v>
      </x:c>
      <x:c r="E1243" t="str">
        <x:v>Dress</x:v>
      </x:c>
      <x:c r="F1243" s="24" t="n">
        <x:v>136.21</x:v>
      </x:c>
      <x:c r="G1243" t="str">
        <x:v>Autumn</x:v>
      </x:c>
      <x:c r="H1243" t="str">
        <x:v>Card</x:v>
      </x:c>
      <x:c r="I1243" t="n">
        <x:v>3</x:v>
      </x:c>
      <x:c r="J1243" t="n">
        <x:v>12</x:v>
      </x:c>
      <x:c r="K1243" t="n">
        <x:v>6</x:v>
      </x:c>
      <x:c r="L1243" t="str">
        <x:v>STORE-001</x:v>
      </x:c>
      <x:c r="M1243" s="22" t="n">
        <x:v>46083</x:v>
      </x:c>
      <x:c r="N1243" t="str">
        <x:v>SKU-004</x:v>
      </x:c>
      <x:c r="O1243" t="n">
        <x:v>1</x:v>
      </x:c>
      <x:c r="P1243" s="26" t="n">
        <x:f>F1243/O1243</x:f>
        <x:v>136.21</x:v>
      </x:c>
    </x:row>
    <x:row r="1244">
      <x:c r="A1244" t="n">
        <x:v>1243</x:v>
      </x:c>
      <x:c r="B1244" t="n">
        <x:v>52</x:v>
      </x:c>
      <x:c r="C1244" t="str">
        <x:v>Female</x:v>
      </x:c>
      <x:c r="D1244" t="str">
        <x:v>Home</x:v>
      </x:c>
      <x:c r="E1244" t="str">
        <x:v>Curtains</x:v>
      </x:c>
      <x:c r="F1244" s="24" t="n">
        <x:v>44.41</x:v>
      </x:c>
      <x:c r="G1244" t="str">
        <x:v>Spring</x:v>
      </x:c>
      <x:c r="H1244" t="str">
        <x:v>Cash on Delivery</x:v>
      </x:c>
      <x:c r="I1244" t="n">
        <x:v>3</x:v>
      </x:c>
      <x:c r="J1244" t="n">
        <x:v>11</x:v>
      </x:c>
      <x:c r="K1244" t="n">
        <x:v>3</x:v>
      </x:c>
      <x:c r="L1244" t="str">
        <x:v>STORE-001</x:v>
      </x:c>
      <x:c r="M1244" s="22" t="n">
        <x:v>45980</x:v>
      </x:c>
      <x:c r="N1244" t="str">
        <x:v>SKU-003</x:v>
      </x:c>
      <x:c r="O1244" t="n">
        <x:v>1</x:v>
      </x:c>
      <x:c r="P1244" s="26" t="n">
        <x:f>F1244/O1244</x:f>
        <x:v>44.41</x:v>
      </x:c>
    </x:row>
    <x:row r="1245">
      <x:c r="A1245" t="n">
        <x:v>1244</x:v>
      </x:c>
      <x:c r="B1245" t="n">
        <x:v>67</x:v>
      </x:c>
      <x:c r="C1245" t="str">
        <x:v>Female</x:v>
      </x:c>
      <x:c r="D1245" t="str">
        <x:v>Beauty</x:v>
      </x:c>
      <x:c r="E1245" t="str">
        <x:v>Perfume</x:v>
      </x:c>
      <x:c r="F1245" s="24" t="n">
        <x:v>91.85</x:v>
      </x:c>
      <x:c r="G1245" t="str">
        <x:v>Winter</x:v>
      </x:c>
      <x:c r="H1245" t="str">
        <x:v>Card</x:v>
      </x:c>
      <x:c r="I1245" t="n">
        <x:v>3.2</x:v>
      </x:c>
      <x:c r="J1245" t="n">
        <x:v>10</x:v>
      </x:c>
      <x:c r="K1245" t="n">
        <x:v>5</x:v>
      </x:c>
      <x:c r="L1245" t="str">
        <x:v>STORE-001</x:v>
      </x:c>
      <x:c r="M1245" s="22" t="n">
        <x:v>46185</x:v>
      </x:c>
      <x:c r="N1245" t="str">
        <x:v>SKU-017</x:v>
      </x:c>
      <x:c r="O1245" t="n">
        <x:v>3</x:v>
      </x:c>
      <x:c r="P1245" s="26" t="n">
        <x:f>F1245/O1245</x:f>
        <x:v>30.616666666666664</x:v>
      </x:c>
    </x:row>
    <x:row r="1246">
      <x:c r="A1246" t="n">
        <x:v>1245</x:v>
      </x:c>
      <x:c r="B1246" t="n">
        <x:v>35</x:v>
      </x:c>
      <x:c r="C1246" t="str">
        <x:v>Male</x:v>
      </x:c>
      <x:c r="D1246" t="str">
        <x:v>Electronics</x:v>
      </x:c>
      <x:c r="E1246" t="str">
        <x:v>Mobile Phone</x:v>
      </x:c>
      <x:c r="F1246" s="24" t="n">
        <x:v>2677.54</x:v>
      </x:c>
      <x:c r="G1246" t="str">
        <x:v>Summer</x:v>
      </x:c>
      <x:c r="H1246" t="str">
        <x:v>Card</x:v>
      </x:c>
      <x:c r="I1246" t="n">
        <x:v>4.3</x:v>
      </x:c>
      <x:c r="J1246" t="n">
        <x:v>28</x:v>
      </x:c>
      <x:c r="K1246" t="n">
        <x:v>9</x:v>
      </x:c>
      <x:c r="L1246" t="str">
        <x:v>STORE-001</x:v>
      </x:c>
      <x:c r="M1246" s="22" t="n">
        <x:v>46032</x:v>
      </x:c>
      <x:c r="N1246" t="str">
        <x:v>SKU-016</x:v>
      </x:c>
      <x:c r="O1246" t="n">
        <x:v>1</x:v>
      </x:c>
      <x:c r="P1246" s="26" t="n">
        <x:f>F1246/O1246</x:f>
        <x:v>2677.54</x:v>
      </x:c>
    </x:row>
    <x:row r="1247">
      <x:c r="A1247" t="n">
        <x:v>1246</x:v>
      </x:c>
      <x:c r="B1247" t="n">
        <x:v>49</x:v>
      </x:c>
      <x:c r="C1247" t="str">
        <x:v>Female</x:v>
      </x:c>
      <x:c r="D1247" t="str">
        <x:v>Beauty</x:v>
      </x:c>
      <x:c r="E1247" t="str">
        <x:v>Skincare Kit</x:v>
      </x:c>
      <x:c r="F1247" s="24" t="n">
        <x:v>106.28</x:v>
      </x:c>
      <x:c r="G1247" t="str">
        <x:v>Autumn</x:v>
      </x:c>
      <x:c r="H1247" t="str">
        <x:v>Card</x:v>
      </x:c>
      <x:c r="I1247" t="n">
        <x:v>4.4</x:v>
      </x:c>
      <x:c r="J1247" t="n">
        <x:v>12</x:v>
      </x:c>
      <x:c r="K1247" t="n">
        <x:v>6</x:v>
      </x:c>
      <x:c r="L1247" t="str">
        <x:v>STORE-001</x:v>
      </x:c>
      <x:c r="M1247" s="22" t="n">
        <x:v>46118</x:v>
      </x:c>
      <x:c r="N1247" t="str">
        <x:v>SKU-021</x:v>
      </x:c>
      <x:c r="O1247" t="n">
        <x:v>1</x:v>
      </x:c>
      <x:c r="P1247" s="26" t="n">
        <x:f>F1247/O1247</x:f>
        <x:v>106.28</x:v>
      </x:c>
    </x:row>
    <x:row r="1248">
      <x:c r="A1248" t="n">
        <x:v>1247</x:v>
      </x:c>
      <x:c r="B1248" t="n">
        <x:v>64</x:v>
      </x:c>
      <x:c r="C1248" t="str">
        <x:v>Male</x:v>
      </x:c>
      <x:c r="D1248" t="str">
        <x:v>Electronics</x:v>
      </x:c>
      <x:c r="E1248" t="str">
        <x:v>Smart Watch</x:v>
      </x:c>
      <x:c r="F1248" s="24" t="n">
        <x:v>2907.6</x:v>
      </x:c>
      <x:c r="G1248" t="str">
        <x:v>Spring</x:v>
      </x:c>
      <x:c r="H1248" t="str">
        <x:v>Card</x:v>
      </x:c>
      <x:c r="I1248" t="n">
        <x:v>4.5</x:v>
      </x:c>
      <x:c r="J1248" t="n">
        <x:v>16</x:v>
      </x:c>
      <x:c r="K1248" t="n">
        <x:v>3</x:v>
      </x:c>
      <x:c r="L1248" t="str">
        <x:v>STORE-001</x:v>
      </x:c>
      <x:c r="M1248" s="22" t="n">
        <x:v>45946</x:v>
      </x:c>
      <x:c r="N1248" t="str">
        <x:v>SKU-023</x:v>
      </x:c>
      <x:c r="O1248" t="n">
        <x:v>1</x:v>
      </x:c>
      <x:c r="P1248" s="26" t="n">
        <x:f>F1248/O1248</x:f>
        <x:v>2907.6</x:v>
      </x:c>
    </x:row>
    <x:row r="1249">
      <x:c r="A1249" t="n">
        <x:v>1248</x:v>
      </x:c>
      <x:c r="B1249" t="n">
        <x:v>20</x:v>
      </x:c>
      <x:c r="C1249" t="str">
        <x:v>Male</x:v>
      </x:c>
      <x:c r="D1249" t="str">
        <x:v>Footwear</x:v>
      </x:c>
      <x:c r="E1249" t="str">
        <x:v>Formal Shoes</x:v>
      </x:c>
      <x:c r="F1249" s="24" t="n">
        <x:v>176.9</x:v>
      </x:c>
      <x:c r="G1249" t="str">
        <x:v>Autumn</x:v>
      </x:c>
      <x:c r="H1249" t="str">
        <x:v>Card</x:v>
      </x:c>
      <x:c r="I1249" t="n">
        <x:v>3.9</x:v>
      </x:c>
      <x:c r="J1249" t="n">
        <x:v>15</x:v>
      </x:c>
      <x:c r="K1249" t="n">
        <x:v>5</x:v>
      </x:c>
      <x:c r="L1249" t="str">
        <x:v>STORE-001</x:v>
      </x:c>
      <x:c r="M1249" s="22" t="n">
        <x:v>46099</x:v>
      </x:c>
      <x:c r="N1249" t="str">
        <x:v>SKU-007</x:v>
      </x:c>
      <x:c r="O1249" t="n">
        <x:v>2</x:v>
      </x:c>
      <x:c r="P1249" s="26" t="n">
        <x:f>F1249/O1249</x:f>
        <x:v>88.45</x:v>
      </x:c>
    </x:row>
    <x:row r="1250">
      <x:c r="A1250" t="n">
        <x:v>1249</x:v>
      </x:c>
      <x:c r="B1250" t="n">
        <x:v>52</x:v>
      </x:c>
      <x:c r="C1250" t="str">
        <x:v>Female</x:v>
      </x:c>
      <x:c r="D1250" t="str">
        <x:v>Womens Clothing</x:v>
      </x:c>
      <x:c r="E1250" t="str">
        <x:v>Dress</x:v>
      </x:c>
      <x:c r="F1250" s="24" t="n">
        <x:v>89.05</x:v>
      </x:c>
      <x:c r="G1250" t="str">
        <x:v>Winter</x:v>
      </x:c>
      <x:c r="H1250" t="str">
        <x:v>Cash on Delivery</x:v>
      </x:c>
      <x:c r="I1250" t="n">
        <x:v>3.7</x:v>
      </x:c>
      <x:c r="J1250" t="n">
        <x:v>7</x:v>
      </x:c>
      <x:c r="K1250" t="n">
        <x:v>1</x:v>
      </x:c>
      <x:c r="L1250" t="str">
        <x:v>STORE-001</x:v>
      </x:c>
      <x:c r="M1250" s="22" t="n">
        <x:v>46202</x:v>
      </x:c>
      <x:c r="N1250" t="str">
        <x:v>SKU-004</x:v>
      </x:c>
      <x:c r="O1250" t="n">
        <x:v>1</x:v>
      </x:c>
      <x:c r="P1250" s="26" t="n">
        <x:f>F1250/O1250</x:f>
        <x:v>89.05</x:v>
      </x:c>
    </x:row>
    <x:row r="1251">
      <x:c r="A1251" t="n">
        <x:v>1250</x:v>
      </x:c>
      <x:c r="B1251" t="n">
        <x:v>37</x:v>
      </x:c>
      <x:c r="C1251" t="str">
        <x:v>Male</x:v>
      </x:c>
      <x:c r="D1251" t="str">
        <x:v>Groceries</x:v>
      </x:c>
      <x:c r="E1251" t="str">
        <x:v>Cooking Oil</x:v>
      </x:c>
      <x:c r="F1251" s="24" t="n">
        <x:v>57.93</x:v>
      </x:c>
      <x:c r="G1251" t="str">
        <x:v>Spring</x:v>
      </x:c>
      <x:c r="H1251" t="str">
        <x:v>Card</x:v>
      </x:c>
      <x:c r="I1251" t="n">
        <x:v>2.7</x:v>
      </x:c>
      <x:c r="J1251" t="n">
        <x:v>4</x:v>
      </x:c>
      <x:c r="K1251" t="n">
        <x:v>2</x:v>
      </x:c>
      <x:c r="L1251" t="str">
        <x:v>STORE-001</x:v>
      </x:c>
      <x:c r="M1251" s="22" t="n">
        <x:v>45958</x:v>
      </x:c>
      <x:c r="N1251" t="str">
        <x:v>SKU-002</x:v>
      </x:c>
      <x:c r="O1251" t="n">
        <x:v>1</x:v>
      </x:c>
      <x:c r="P1251" s="26" t="n">
        <x:f>F1251/O1251</x:f>
        <x:v>57.93</x:v>
      </x:c>
    </x:row>
    <x:row r="1252">
      <x:c r="A1252" t="n">
        <x:v>1251</x:v>
      </x:c>
      <x:c r="B1252" t="n">
        <x:v>44</x:v>
      </x:c>
      <x:c r="C1252" t="str">
        <x:v>Female</x:v>
      </x:c>
      <x:c r="D1252" t="str">
        <x:v>Accessories</x:v>
      </x:c>
      <x:c r="E1252" t="str">
        <x:v>Sunglasses</x:v>
      </x:c>
      <x:c r="F1252" s="24" t="n">
        <x:v>22.1</x:v>
      </x:c>
      <x:c r="G1252" t="str">
        <x:v>Spring</x:v>
      </x:c>
      <x:c r="H1252" t="str">
        <x:v>Cash on Delivery</x:v>
      </x:c>
      <x:c r="I1252" t="n">
        <x:v>4.2</x:v>
      </x:c>
      <x:c r="J1252" t="n">
        <x:v>12</x:v>
      </x:c>
      <x:c r="K1252" t="n">
        <x:v>6</x:v>
      </x:c>
      <x:c r="L1252" t="str">
        <x:v>STORE-001</x:v>
      </x:c>
      <x:c r="M1252" s="22" t="n">
        <x:v>46293</x:v>
      </x:c>
      <x:c r="N1252" t="str">
        <x:v>SKU-026</x:v>
      </x:c>
      <x:c r="O1252" t="n">
        <x:v>1</x:v>
      </x:c>
      <x:c r="P1252" s="26" t="n">
        <x:f>F1252/O1252</x:f>
        <x:v>22.1</x:v>
      </x:c>
    </x:row>
    <x:row r="1253">
      <x:c r="A1253" t="n">
        <x:v>1252</x:v>
      </x:c>
      <x:c r="B1253" t="n">
        <x:v>66</x:v>
      </x:c>
      <x:c r="C1253" t="str">
        <x:v>Male</x:v>
      </x:c>
      <x:c r="D1253" t="str">
        <x:v>Sports</x:v>
      </x:c>
      <x:c r="E1253" t="str">
        <x:v>Yoga Mat</x:v>
      </x:c>
      <x:c r="F1253" s="24" t="n">
        <x:v>81.13</x:v>
      </x:c>
      <x:c r="G1253" t="str">
        <x:v>Autumn</x:v>
      </x:c>
      <x:c r="H1253" t="str">
        <x:v>Cash on Delivery</x:v>
      </x:c>
      <x:c r="I1253" t="n">
        <x:v>3.3</x:v>
      </x:c>
      <x:c r="J1253" t="n">
        <x:v>9</x:v>
      </x:c>
      <x:c r="K1253" t="n">
        <x:v>2</x:v>
      </x:c>
      <x:c r="L1253" t="str">
        <x:v>STORE-001</x:v>
      </x:c>
      <x:c r="M1253" s="22" t="n">
        <x:v>46111</x:v>
      </x:c>
      <x:c r="N1253" t="str">
        <x:v>SKU-030</x:v>
      </x:c>
      <x:c r="O1253" t="n">
        <x:v>1</x:v>
      </x:c>
      <x:c r="P1253" s="26" t="n">
        <x:f>F1253/O1253</x:f>
        <x:v>81.13</x:v>
      </x:c>
    </x:row>
    <x:row r="1254">
      <x:c r="A1254" t="n">
        <x:v>1253</x:v>
      </x:c>
      <x:c r="B1254" t="n">
        <x:v>28</x:v>
      </x:c>
      <x:c r="C1254" t="str">
        <x:v>Female</x:v>
      </x:c>
      <x:c r="D1254" t="str">
        <x:v>Accessories</x:v>
      </x:c>
      <x:c r="E1254" t="str">
        <x:v>Wallet</x:v>
      </x:c>
      <x:c r="F1254" s="24" t="n">
        <x:v>165.53</x:v>
      </x:c>
      <x:c r="G1254" t="str">
        <x:v>Autumn</x:v>
      </x:c>
      <x:c r="H1254" t="str">
        <x:v>Card</x:v>
      </x:c>
      <x:c r="I1254" t="n">
        <x:v>5</x:v>
      </x:c>
      <x:c r="J1254" t="n">
        <x:v>15</x:v>
      </x:c>
      <x:c r="K1254" t="n">
        <x:v>5</x:v>
      </x:c>
      <x:c r="L1254" t="str">
        <x:v>STORE-001</x:v>
      </x:c>
      <x:c r="M1254" s="22" t="n">
        <x:v>46169</x:v>
      </x:c>
      <x:c r="N1254" t="str">
        <x:v>SKU-029</x:v>
      </x:c>
      <x:c r="O1254" t="n">
        <x:v>3</x:v>
      </x:c>
      <x:c r="P1254" s="26" t="n">
        <x:f>F1254/O1254</x:f>
        <x:v>55.17666666666667</x:v>
      </x:c>
    </x:row>
    <x:row r="1255">
      <x:c r="A1255" t="n">
        <x:v>1254</x:v>
      </x:c>
      <x:c r="B1255" t="n">
        <x:v>30</x:v>
      </x:c>
      <x:c r="C1255" t="str">
        <x:v>Male</x:v>
      </x:c>
      <x:c r="D1255" t="str">
        <x:v>Footwear</x:v>
      </x:c>
      <x:c r="E1255" t="str">
        <x:v>Sneakers</x:v>
      </x:c>
      <x:c r="F1255" s="24" t="n">
        <x:v>222.83</x:v>
      </x:c>
      <x:c r="G1255" t="str">
        <x:v>Spring</x:v>
      </x:c>
      <x:c r="H1255" t="str">
        <x:v>Card</x:v>
      </x:c>
      <x:c r="I1255" t="n">
        <x:v>3.8</x:v>
      </x:c>
      <x:c r="J1255" t="n">
        <x:v>6</x:v>
      </x:c>
      <x:c r="K1255" t="n">
        <x:v>3</x:v>
      </x:c>
      <x:c r="L1255" t="str">
        <x:v>STORE-001</x:v>
      </x:c>
      <x:c r="M1255" s="22" t="n">
        <x:v>45956</x:v>
      </x:c>
      <x:c r="N1255" t="str">
        <x:v>SKU-025</x:v>
      </x:c>
      <x:c r="O1255" t="n">
        <x:v>1</x:v>
      </x:c>
      <x:c r="P1255" s="26" t="n">
        <x:f>F1255/O1255</x:f>
        <x:v>222.83</x:v>
      </x:c>
    </x:row>
    <x:row r="1256">
      <x:c r="A1256" t="n">
        <x:v>1255</x:v>
      </x:c>
      <x:c r="B1256" t="n">
        <x:v>70</x:v>
      </x:c>
      <x:c r="C1256" t="str">
        <x:v>Male</x:v>
      </x:c>
      <x:c r="D1256" t="str">
        <x:v>Electronics</x:v>
      </x:c>
      <x:c r="E1256" t="str">
        <x:v>Laptop</x:v>
      </x:c>
      <x:c r="F1256" s="24" t="n">
        <x:v>2919.39</x:v>
      </x:c>
      <x:c r="G1256" t="str">
        <x:v>Winter</x:v>
      </x:c>
      <x:c r="H1256" t="str">
        <x:v>Card</x:v>
      </x:c>
      <x:c r="I1256" t="n">
        <x:v>3.5</x:v>
      </x:c>
      <x:c r="J1256" t="n">
        <x:v>13</x:v>
      </x:c>
      <x:c r="K1256" t="n">
        <x:v>4</x:v>
      </x:c>
      <x:c r="L1256" t="str">
        <x:v>STORE-001</x:v>
      </x:c>
      <x:c r="M1256" s="22" t="n">
        <x:v>46203</x:v>
      </x:c>
      <x:c r="N1256" t="str">
        <x:v>SKU-014</x:v>
      </x:c>
      <x:c r="O1256" t="n">
        <x:v>1</x:v>
      </x:c>
      <x:c r="P1256" s="26" t="n">
        <x:f>F1256/O1256</x:f>
        <x:v>2919.39</x:v>
      </x:c>
    </x:row>
    <x:row r="1257">
      <x:c r="A1257" t="n">
        <x:v>1256</x:v>
      </x:c>
      <x:c r="B1257" t="n">
        <x:v>44</x:v>
      </x:c>
      <x:c r="C1257" t="str">
        <x:v>Female</x:v>
      </x:c>
      <x:c r="D1257" t="str">
        <x:v>Beauty</x:v>
      </x:c>
      <x:c r="E1257" t="str">
        <x:v>Skincare Kit</x:v>
      </x:c>
      <x:c r="F1257" s="24" t="n">
        <x:v>143.9</x:v>
      </x:c>
      <x:c r="G1257" t="str">
        <x:v>Spring</x:v>
      </x:c>
      <x:c r="H1257" t="str">
        <x:v>Card</x:v>
      </x:c>
      <x:c r="I1257" t="n">
        <x:v>4.7</x:v>
      </x:c>
      <x:c r="J1257" t="n">
        <x:v>26</x:v>
      </x:c>
      <x:c r="K1257" t="n">
        <x:v>8</x:v>
      </x:c>
      <x:c r="L1257" t="str">
        <x:v>STORE-001</x:v>
      </x:c>
      <x:c r="M1257" s="22" t="n">
        <x:v>46281</x:v>
      </x:c>
      <x:c r="N1257" t="str">
        <x:v>SKU-021</x:v>
      </x:c>
      <x:c r="O1257" t="n">
        <x:v>1</x:v>
      </x:c>
      <x:c r="P1257" s="26" t="n">
        <x:f>F1257/O1257</x:f>
        <x:v>143.9</x:v>
      </x:c>
    </x:row>
    <x:row r="1258">
      <x:c r="A1258" t="n">
        <x:v>1257</x:v>
      </x:c>
      <x:c r="B1258" t="n">
        <x:v>45</x:v>
      </x:c>
      <x:c r="C1258" t="str">
        <x:v>Female</x:v>
      </x:c>
      <x:c r="D1258" t="str">
        <x:v>Beauty</x:v>
      </x:c>
      <x:c r="E1258" t="str">
        <x:v>Perfume</x:v>
      </x:c>
      <x:c r="F1258" s="24" t="n">
        <x:v>85.13</x:v>
      </x:c>
      <x:c r="G1258" t="str">
        <x:v>Autumn</x:v>
      </x:c>
      <x:c r="H1258" t="str">
        <x:v>Cash on Delivery</x:v>
      </x:c>
      <x:c r="I1258" t="n">
        <x:v>3.4</x:v>
      </x:c>
      <x:c r="J1258" t="n">
        <x:v>10</x:v>
      </x:c>
      <x:c r="K1258" t="n">
        <x:v>5</x:v>
      </x:c>
      <x:c r="L1258" t="str">
        <x:v>STORE-001</x:v>
      </x:c>
      <x:c r="M1258" s="22" t="n">
        <x:v>46141</x:v>
      </x:c>
      <x:c r="N1258" t="str">
        <x:v>SKU-017</x:v>
      </x:c>
      <x:c r="O1258" t="n">
        <x:v>1</x:v>
      </x:c>
      <x:c r="P1258" s="26" t="n">
        <x:f>F1258/O1258</x:f>
        <x:v>85.13</x:v>
      </x:c>
    </x:row>
    <x:row r="1259">
      <x:c r="A1259" t="n">
        <x:v>1258</x:v>
      </x:c>
      <x:c r="B1259" t="n">
        <x:v>41</x:v>
      </x:c>
      <x:c r="C1259" t="str">
        <x:v>Male</x:v>
      </x:c>
      <x:c r="D1259" t="str">
        <x:v>Groceries</x:v>
      </x:c>
      <x:c r="E1259" t="str">
        <x:v>Cooking Oil</x:v>
      </x:c>
      <x:c r="F1259" s="24" t="n">
        <x:v>8.87</x:v>
      </x:c>
      <x:c r="G1259" t="str">
        <x:v>Winter</x:v>
      </x:c>
      <x:c r="H1259" t="str">
        <x:v>Card</x:v>
      </x:c>
      <x:c r="I1259" t="n">
        <x:v>4.4</x:v>
      </x:c>
      <x:c r="J1259" t="n">
        <x:v>16</x:v>
      </x:c>
      <x:c r="K1259" t="n">
        <x:v>3</x:v>
      </x:c>
      <x:c r="L1259" t="str">
        <x:v>STORE-001</x:v>
      </x:c>
      <x:c r="M1259" s="22" t="n">
        <x:v>46223</x:v>
      </x:c>
      <x:c r="N1259" t="str">
        <x:v>SKU-002</x:v>
      </x:c>
      <x:c r="O1259" t="n">
        <x:v>1</x:v>
      </x:c>
      <x:c r="P1259" s="26" t="n">
        <x:f>F1259/O1259</x:f>
        <x:v>8.87</x:v>
      </x:c>
    </x:row>
    <x:row r="1260">
      <x:c r="A1260" t="n">
        <x:v>1259</x:v>
      </x:c>
      <x:c r="B1260" t="n">
        <x:v>42</x:v>
      </x:c>
      <x:c r="C1260" t="str">
        <x:v>Male</x:v>
      </x:c>
      <x:c r="D1260" t="str">
        <x:v>Footwear</x:v>
      </x:c>
      <x:c r="E1260" t="str">
        <x:v>Sneakers</x:v>
      </x:c>
      <x:c r="F1260" s="24" t="n">
        <x:v>166.69</x:v>
      </x:c>
      <x:c r="G1260" t="str">
        <x:v>Autumn</x:v>
      </x:c>
      <x:c r="H1260" t="str">
        <x:v>Card</x:v>
      </x:c>
      <x:c r="I1260" t="n">
        <x:v>2.8</x:v>
      </x:c>
      <x:c r="J1260" t="n">
        <x:v>6</x:v>
      </x:c>
      <x:c r="K1260" t="n">
        <x:v>3</x:v>
      </x:c>
      <x:c r="L1260" t="str">
        <x:v>STORE-001</x:v>
      </x:c>
      <x:c r="M1260" s="22" t="n">
        <x:v>46118</x:v>
      </x:c>
      <x:c r="N1260" t="str">
        <x:v>SKU-025</x:v>
      </x:c>
      <x:c r="O1260" t="n">
        <x:v>1</x:v>
      </x:c>
      <x:c r="P1260" s="26" t="n">
        <x:f>F1260/O1260</x:f>
        <x:v>166.69</x:v>
      </x:c>
    </x:row>
    <x:row r="1261">
      <x:c r="A1261" t="n">
        <x:v>1260</x:v>
      </x:c>
      <x:c r="B1261" t="n">
        <x:v>51</x:v>
      </x:c>
      <x:c r="C1261" t="str">
        <x:v>Male</x:v>
      </x:c>
      <x:c r="D1261" t="str">
        <x:v>Footwear</x:v>
      </x:c>
      <x:c r="E1261" t="str">
        <x:v>Formal Shoes</x:v>
      </x:c>
      <x:c r="F1261" s="24" t="n">
        <x:v>195.92</x:v>
      </x:c>
      <x:c r="G1261" t="str">
        <x:v>Spring</x:v>
      </x:c>
      <x:c r="H1261" t="str">
        <x:v>Card</x:v>
      </x:c>
      <x:c r="I1261" t="n">
        <x:v>2.8</x:v>
      </x:c>
      <x:c r="J1261" t="n">
        <x:v>19</x:v>
      </x:c>
      <x:c r="K1261" t="n">
        <x:v>7</x:v>
      </x:c>
      <x:c r="L1261" t="str">
        <x:v>STORE-001</x:v>
      </x:c>
      <x:c r="M1261" s="22" t="n">
        <x:v>46269</x:v>
      </x:c>
      <x:c r="N1261" t="str">
        <x:v>SKU-007</x:v>
      </x:c>
      <x:c r="O1261" t="n">
        <x:v>1</x:v>
      </x:c>
      <x:c r="P1261" s="26" t="n">
        <x:f>F1261/O1261</x:f>
        <x:v>195.92</x:v>
      </x:c>
    </x:row>
    <x:row r="1262">
      <x:c r="A1262" t="n">
        <x:v>1261</x:v>
      </x:c>
      <x:c r="B1262" t="n">
        <x:v>59</x:v>
      </x:c>
      <x:c r="C1262" t="str">
        <x:v>Male</x:v>
      </x:c>
      <x:c r="D1262" t="str">
        <x:v>Mens Clothing</x:v>
      </x:c>
      <x:c r="E1262" t="str">
        <x:v>Jeans</x:v>
      </x:c>
      <x:c r="F1262" s="24" t="n">
        <x:v>165.21</x:v>
      </x:c>
      <x:c r="G1262" t="str">
        <x:v>Spring</x:v>
      </x:c>
      <x:c r="H1262" t="str">
        <x:v>Card</x:v>
      </x:c>
      <x:c r="I1262" t="n">
        <x:v>3.8</x:v>
      </x:c>
      <x:c r="J1262" t="n">
        <x:v>14</x:v>
      </x:c>
      <x:c r="K1262" t="n">
        <x:v>7</x:v>
      </x:c>
      <x:c r="L1262" t="str">
        <x:v>STORE-001</x:v>
      </x:c>
      <x:c r="M1262" s="22" t="n">
        <x:v>46284</x:v>
      </x:c>
      <x:c r="N1262" t="str">
        <x:v>SKU-011</x:v>
      </x:c>
      <x:c r="O1262" t="n">
        <x:v>1</x:v>
      </x:c>
      <x:c r="P1262" s="26" t="n">
        <x:f>F1262/O1262</x:f>
        <x:v>165.21</x:v>
      </x:c>
    </x:row>
    <x:row r="1263">
      <x:c r="A1263" t="n">
        <x:v>1262</x:v>
      </x:c>
      <x:c r="B1263" t="n">
        <x:v>58</x:v>
      </x:c>
      <x:c r="C1263" t="str">
        <x:v>Male</x:v>
      </x:c>
      <x:c r="D1263" t="str">
        <x:v>Electronics</x:v>
      </x:c>
      <x:c r="E1263" t="str">
        <x:v>Smart Watch</x:v>
      </x:c>
      <x:c r="F1263" s="24" t="n">
        <x:v>500.44</x:v>
      </x:c>
      <x:c r="G1263" t="str">
        <x:v>Summer</x:v>
      </x:c>
      <x:c r="H1263" t="str">
        <x:v>Card</x:v>
      </x:c>
      <x:c r="I1263" t="n">
        <x:v>4.4</x:v>
      </x:c>
      <x:c r="J1263" t="n">
        <x:v>16</x:v>
      </x:c>
      <x:c r="K1263" t="n">
        <x:v>3</x:v>
      </x:c>
      <x:c r="L1263" t="str">
        <x:v>STORE-001</x:v>
      </x:c>
      <x:c r="M1263" s="22" t="n">
        <x:v>46048</x:v>
      </x:c>
      <x:c r="N1263" t="str">
        <x:v>SKU-023</x:v>
      </x:c>
      <x:c r="O1263" t="n">
        <x:v>2</x:v>
      </x:c>
      <x:c r="P1263" s="26" t="n">
        <x:f>F1263/O1263</x:f>
        <x:v>250.22</x:v>
      </x:c>
    </x:row>
    <x:row r="1264">
      <x:c r="A1264" t="n">
        <x:v>1263</x:v>
      </x:c>
      <x:c r="B1264" t="n">
        <x:v>56</x:v>
      </x:c>
      <x:c r="C1264" t="str">
        <x:v>Male</x:v>
      </x:c>
      <x:c r="D1264" t="str">
        <x:v>Sports</x:v>
      </x:c>
      <x:c r="E1264" t="str">
        <x:v>Yoga Mat</x:v>
      </x:c>
      <x:c r="F1264" s="24" t="n">
        <x:v>95.43</x:v>
      </x:c>
      <x:c r="G1264" t="str">
        <x:v>Spring</x:v>
      </x:c>
      <x:c r="H1264" t="str">
        <x:v>Cash on Delivery</x:v>
      </x:c>
      <x:c r="I1264" t="n">
        <x:v>4</x:v>
      </x:c>
      <x:c r="J1264" t="n">
        <x:v>6</x:v>
      </x:c>
      <x:c r="K1264" t="n">
        <x:v>3</x:v>
      </x:c>
      <x:c r="L1264" t="str">
        <x:v>STORE-001</x:v>
      </x:c>
      <x:c r="M1264" s="22" t="n">
        <x:v>46270</x:v>
      </x:c>
      <x:c r="N1264" t="str">
        <x:v>SKU-030</x:v>
      </x:c>
      <x:c r="O1264" t="n">
        <x:v>1</x:v>
      </x:c>
      <x:c r="P1264" s="26" t="n">
        <x:f>F1264/O1264</x:f>
        <x:v>95.43</x:v>
      </x:c>
    </x:row>
    <x:row r="1265">
      <x:c r="A1265" t="n">
        <x:v>1264</x:v>
      </x:c>
      <x:c r="B1265" t="n">
        <x:v>52</x:v>
      </x:c>
      <x:c r="C1265" t="str">
        <x:v>Male</x:v>
      </x:c>
      <x:c r="D1265" t="str">
        <x:v>Electronics</x:v>
      </x:c>
      <x:c r="E1265" t="str">
        <x:v>Smart Watch</x:v>
      </x:c>
      <x:c r="F1265" s="24" t="n">
        <x:v>2764.97</x:v>
      </x:c>
      <x:c r="G1265" t="str">
        <x:v>Winter</x:v>
      </x:c>
      <x:c r="H1265" t="str">
        <x:v>Card</x:v>
      </x:c>
      <x:c r="I1265" t="n">
        <x:v>2.7</x:v>
      </x:c>
      <x:c r="J1265" t="n">
        <x:v>9</x:v>
      </x:c>
      <x:c r="K1265" t="n">
        <x:v>2</x:v>
      </x:c>
      <x:c r="L1265" t="str">
        <x:v>STORE-001</x:v>
      </x:c>
      <x:c r="M1265" s="22" t="n">
        <x:v>46233</x:v>
      </x:c>
      <x:c r="N1265" t="str">
        <x:v>SKU-023</x:v>
      </x:c>
      <x:c r="O1265" t="n">
        <x:v>1</x:v>
      </x:c>
      <x:c r="P1265" s="26" t="n">
        <x:f>F1265/O1265</x:f>
        <x:v>2764.97</x:v>
      </x:c>
    </x:row>
    <x:row r="1266">
      <x:c r="A1266" t="n">
        <x:v>1265</x:v>
      </x:c>
      <x:c r="B1266" t="n">
        <x:v>41</x:v>
      </x:c>
      <x:c r="C1266" t="str">
        <x:v>Male</x:v>
      </x:c>
      <x:c r="D1266" t="str">
        <x:v>Groceries</x:v>
      </x:c>
      <x:c r="E1266" t="str">
        <x:v>Cooking Oil</x:v>
      </x:c>
      <x:c r="F1266" s="24" t="n">
        <x:v>60.98</x:v>
      </x:c>
      <x:c r="G1266" t="str">
        <x:v>Spring</x:v>
      </x:c>
      <x:c r="H1266" t="str">
        <x:v>Card</x:v>
      </x:c>
      <x:c r="I1266" t="n">
        <x:v>2.8</x:v>
      </x:c>
      <x:c r="J1266" t="n">
        <x:v>14</x:v>
      </x:c>
      <x:c r="K1266" t="n">
        <x:v>7</x:v>
      </x:c>
      <x:c r="L1266" t="str">
        <x:v>STORE-001</x:v>
      </x:c>
      <x:c r="M1266" s="22" t="n">
        <x:v>46281</x:v>
      </x:c>
      <x:c r="N1266" t="str">
        <x:v>SKU-002</x:v>
      </x:c>
      <x:c r="O1266" t="n">
        <x:v>2</x:v>
      </x:c>
      <x:c r="P1266" s="26" t="n">
        <x:f>F1266/O1266</x:f>
        <x:v>30.49</x:v>
      </x:c>
    </x:row>
    <x:row r="1267">
      <x:c r="A1267" t="n">
        <x:v>1266</x:v>
      </x:c>
      <x:c r="B1267" t="n">
        <x:v>37</x:v>
      </x:c>
      <x:c r="C1267" t="str">
        <x:v>Male</x:v>
      </x:c>
      <x:c r="D1267" t="str">
        <x:v>Electronics</x:v>
      </x:c>
      <x:c r="E1267" t="str">
        <x:v>Smart Watch</x:v>
      </x:c>
      <x:c r="F1267" s="24" t="n">
        <x:v>943.53</x:v>
      </x:c>
      <x:c r="G1267" t="str">
        <x:v>Spring</x:v>
      </x:c>
      <x:c r="H1267" t="str">
        <x:v>Card</x:v>
      </x:c>
      <x:c r="I1267" t="n">
        <x:v>4.7</x:v>
      </x:c>
      <x:c r="J1267" t="n">
        <x:v>2</x:v>
      </x:c>
      <x:c r="K1267" t="n">
        <x:v>1</x:v>
      </x:c>
      <x:c r="L1267" t="str">
        <x:v>STORE-001</x:v>
      </x:c>
      <x:c r="M1267" s="22" t="n">
        <x:v>46294</x:v>
      </x:c>
      <x:c r="N1267" t="str">
        <x:v>SKU-023</x:v>
      </x:c>
      <x:c r="O1267" t="n">
        <x:v>1</x:v>
      </x:c>
      <x:c r="P1267" s="26" t="n">
        <x:f>F1267/O1267</x:f>
        <x:v>943.53</x:v>
      </x:c>
    </x:row>
    <x:row r="1268">
      <x:c r="A1268" t="n">
        <x:v>1267</x:v>
      </x:c>
      <x:c r="B1268" t="n">
        <x:v>51</x:v>
      </x:c>
      <x:c r="C1268" t="str">
        <x:v>Male</x:v>
      </x:c>
      <x:c r="D1268" t="str">
        <x:v>Sports</x:v>
      </x:c>
      <x:c r="E1268" t="str">
        <x:v>Yoga Mat</x:v>
      </x:c>
      <x:c r="F1268" s="24" t="n">
        <x:v>246.18</x:v>
      </x:c>
      <x:c r="G1268" t="str">
        <x:v>Spring</x:v>
      </x:c>
      <x:c r="H1268" t="str">
        <x:v>Card</x:v>
      </x:c>
      <x:c r="I1268" t="n">
        <x:v>3.6</x:v>
      </x:c>
      <x:c r="J1268" t="n">
        <x:v>8</x:v>
      </x:c>
      <x:c r="K1268" t="n">
        <x:v>4</x:v>
      </x:c>
      <x:c r="L1268" t="str">
        <x:v>STORE-001</x:v>
      </x:c>
      <x:c r="M1268" s="22" t="n">
        <x:v>46292</x:v>
      </x:c>
      <x:c r="N1268" t="str">
        <x:v>SKU-030</x:v>
      </x:c>
      <x:c r="O1268" t="n">
        <x:v>2</x:v>
      </x:c>
      <x:c r="P1268" s="26" t="n">
        <x:f>F1268/O1268</x:f>
        <x:v>123.09</x:v>
      </x:c>
    </x:row>
    <x:row r="1269">
      <x:c r="A1269" t="n">
        <x:v>1268</x:v>
      </x:c>
      <x:c r="B1269" t="n">
        <x:v>65</x:v>
      </x:c>
      <x:c r="C1269" t="str">
        <x:v>Male</x:v>
      </x:c>
      <x:c r="D1269" t="str">
        <x:v>Electronics</x:v>
      </x:c>
      <x:c r="E1269" t="str">
        <x:v>Headphones</x:v>
      </x:c>
      <x:c r="F1269" s="24" t="n">
        <x:v>1135.9</x:v>
      </x:c>
      <x:c r="G1269" t="str">
        <x:v>Winter</x:v>
      </x:c>
      <x:c r="H1269" t="str">
        <x:v>Card</x:v>
      </x:c>
      <x:c r="I1269" t="n">
        <x:v>3.5</x:v>
      </x:c>
      <x:c r="J1269" t="n">
        <x:v>13</x:v>
      </x:c>
      <x:c r="K1269" t="n">
        <x:v>4</x:v>
      </x:c>
      <x:c r="L1269" t="str">
        <x:v>STORE-001</x:v>
      </x:c>
      <x:c r="M1269" s="22" t="n">
        <x:v>46183</x:v>
      </x:c>
      <x:c r="N1269" t="str">
        <x:v>SKU-009</x:v>
      </x:c>
      <x:c r="O1269" t="n">
        <x:v>1</x:v>
      </x:c>
      <x:c r="P1269" s="26" t="n">
        <x:f>F1269/O1269</x:f>
        <x:v>1135.9</x:v>
      </x:c>
    </x:row>
    <x:row r="1270">
      <x:c r="A1270" t="n">
        <x:v>1269</x:v>
      </x:c>
      <x:c r="B1270" t="n">
        <x:v>45</x:v>
      </x:c>
      <x:c r="C1270" t="str">
        <x:v>Male</x:v>
      </x:c>
      <x:c r="D1270" t="str">
        <x:v>Electronics</x:v>
      </x:c>
      <x:c r="E1270" t="str">
        <x:v>Headphones</x:v>
      </x:c>
      <x:c r="F1270" s="24" t="n">
        <x:v>1704.22</x:v>
      </x:c>
      <x:c r="G1270" t="str">
        <x:v>Summer</x:v>
      </x:c>
      <x:c r="H1270" t="str">
        <x:v>Card</x:v>
      </x:c>
      <x:c r="I1270" t="n">
        <x:v>4.1</x:v>
      </x:c>
      <x:c r="J1270" t="n">
        <x:v>15</x:v>
      </x:c>
      <x:c r="K1270" t="n">
        <x:v>5</x:v>
      </x:c>
      <x:c r="L1270" t="str">
        <x:v>STORE-001</x:v>
      </x:c>
      <x:c r="M1270" s="22" t="n">
        <x:v>46054</x:v>
      </x:c>
      <x:c r="N1270" t="str">
        <x:v>SKU-009</x:v>
      </x:c>
      <x:c r="O1270" t="n">
        <x:v>1</x:v>
      </x:c>
      <x:c r="P1270" s="26" t="n">
        <x:f>F1270/O1270</x:f>
        <x:v>1704.22</x:v>
      </x:c>
    </x:row>
    <x:row r="1271">
      <x:c r="A1271" t="n">
        <x:v>1270</x:v>
      </x:c>
      <x:c r="B1271" t="n">
        <x:v>23</x:v>
      </x:c>
      <x:c r="C1271" t="str">
        <x:v>Male</x:v>
      </x:c>
      <x:c r="D1271" t="str">
        <x:v>Footwear</x:v>
      </x:c>
      <x:c r="E1271" t="str">
        <x:v>Formal Shoes</x:v>
      </x:c>
      <x:c r="F1271" s="24" t="n">
        <x:v>92.79</x:v>
      </x:c>
      <x:c r="G1271" t="str">
        <x:v>Autumn</x:v>
      </x:c>
      <x:c r="H1271" t="str">
        <x:v>Card</x:v>
      </x:c>
      <x:c r="I1271" t="n">
        <x:v>4.9</x:v>
      </x:c>
      <x:c r="J1271" t="n">
        <x:v>13</x:v>
      </x:c>
      <x:c r="K1271" t="n">
        <x:v>4</x:v>
      </x:c>
      <x:c r="L1271" t="str">
        <x:v>STORE-001</x:v>
      </x:c>
      <x:c r="M1271" s="22" t="n">
        <x:v>46166</x:v>
      </x:c>
      <x:c r="N1271" t="str">
        <x:v>SKU-007</x:v>
      </x:c>
      <x:c r="O1271" t="n">
        <x:v>2</x:v>
      </x:c>
      <x:c r="P1271" s="26" t="n">
        <x:f>F1271/O1271</x:f>
        <x:v>46.395</x:v>
      </x:c>
    </x:row>
    <x:row r="1272">
      <x:c r="A1272" t="n">
        <x:v>1271</x:v>
      </x:c>
      <x:c r="B1272" t="n">
        <x:v>55</x:v>
      </x:c>
      <x:c r="C1272" t="str">
        <x:v>Male</x:v>
      </x:c>
      <x:c r="D1272" t="str">
        <x:v>Mens Clothing</x:v>
      </x:c>
      <x:c r="E1272" t="str">
        <x:v>Jeans</x:v>
      </x:c>
      <x:c r="F1272" s="24" t="n">
        <x:v>165.27</x:v>
      </x:c>
      <x:c r="G1272" t="str">
        <x:v>Spring</x:v>
      </x:c>
      <x:c r="H1272" t="str">
        <x:v>Card</x:v>
      </x:c>
      <x:c r="I1272" t="n">
        <x:v>3.5</x:v>
      </x:c>
      <x:c r="J1272" t="n">
        <x:v>17</x:v>
      </x:c>
      <x:c r="K1272" t="n">
        <x:v>6</x:v>
      </x:c>
      <x:c r="L1272" t="str">
        <x:v>STORE-001</x:v>
      </x:c>
      <x:c r="M1272" s="22" t="n">
        <x:v>45971</x:v>
      </x:c>
      <x:c r="N1272" t="str">
        <x:v>SKU-011</x:v>
      </x:c>
      <x:c r="O1272" t="n">
        <x:v>2</x:v>
      </x:c>
      <x:c r="P1272" s="26" t="n">
        <x:f>F1272/O1272</x:f>
        <x:v>82.635</x:v>
      </x:c>
    </x:row>
    <x:row r="1273">
      <x:c r="A1273" t="n">
        <x:v>1272</x:v>
      </x:c>
      <x:c r="B1273" t="n">
        <x:v>45</x:v>
      </x:c>
      <x:c r="C1273" t="str">
        <x:v>Female</x:v>
      </x:c>
      <x:c r="D1273" t="str">
        <x:v>Beauty</x:v>
      </x:c>
      <x:c r="E1273" t="str">
        <x:v>Makeup Set</x:v>
      </x:c>
      <x:c r="F1273" s="24" t="n">
        <x:v>72.32</x:v>
      </x:c>
      <x:c r="G1273" t="str">
        <x:v>Summer</x:v>
      </x:c>
      <x:c r="H1273" t="str">
        <x:v>Cash on Delivery</x:v>
      </x:c>
      <x:c r="I1273" t="n">
        <x:v>3.4</x:v>
      </x:c>
      <x:c r="J1273" t="n">
        <x:v>17</x:v>
      </x:c>
      <x:c r="K1273" t="n">
        <x:v>6</x:v>
      </x:c>
      <x:c r="L1273" t="str">
        <x:v>STORE-001</x:v>
      </x:c>
      <x:c r="M1273" s="22" t="n">
        <x:v>46046</x:v>
      </x:c>
      <x:c r="N1273" t="str">
        <x:v>SKU-015</x:v>
      </x:c>
      <x:c r="O1273" t="n">
        <x:v>1</x:v>
      </x:c>
      <x:c r="P1273" s="26" t="n">
        <x:f>F1273/O1273</x:f>
        <x:v>72.32</x:v>
      </x:c>
    </x:row>
    <x:row r="1274">
      <x:c r="A1274" t="n">
        <x:v>1273</x:v>
      </x:c>
      <x:c r="B1274" t="n">
        <x:v>55</x:v>
      </x:c>
      <x:c r="C1274" t="str">
        <x:v>Male</x:v>
      </x:c>
      <x:c r="D1274" t="str">
        <x:v>Electronics</x:v>
      </x:c>
      <x:c r="E1274" t="str">
        <x:v>Headphones</x:v>
      </x:c>
      <x:c r="F1274" s="24" t="n">
        <x:v>1843.01</x:v>
      </x:c>
      <x:c r="G1274" t="str">
        <x:v>Spring</x:v>
      </x:c>
      <x:c r="H1274" t="str">
        <x:v>Card</x:v>
      </x:c>
      <x:c r="I1274" t="n">
        <x:v>2.9</x:v>
      </x:c>
      <x:c r="J1274" t="n">
        <x:v>20</x:v>
      </x:c>
      <x:c r="K1274" t="n">
        <x:v>10</x:v>
      </x:c>
      <x:c r="L1274" t="str">
        <x:v>STORE-001</x:v>
      </x:c>
      <x:c r="M1274" s="22" t="n">
        <x:v>46284</x:v>
      </x:c>
      <x:c r="N1274" t="str">
        <x:v>SKU-009</x:v>
      </x:c>
      <x:c r="O1274" t="n">
        <x:v>1</x:v>
      </x:c>
      <x:c r="P1274" s="26" t="n">
        <x:f>F1274/O1274</x:f>
        <x:v>1843.01</x:v>
      </x:c>
    </x:row>
    <x:row r="1275">
      <x:c r="A1275" t="n">
        <x:v>1274</x:v>
      </x:c>
      <x:c r="B1275" t="n">
        <x:v>45</x:v>
      </x:c>
      <x:c r="C1275" t="str">
        <x:v>Male</x:v>
      </x:c>
      <x:c r="D1275" t="str">
        <x:v>Sports</x:v>
      </x:c>
      <x:c r="E1275" t="str">
        <x:v>Football</x:v>
      </x:c>
      <x:c r="F1275" s="24" t="n">
        <x:v>40.4</x:v>
      </x:c>
      <x:c r="G1275" t="str">
        <x:v>Summer</x:v>
      </x:c>
      <x:c r="H1275" t="str">
        <x:v>Card</x:v>
      </x:c>
      <x:c r="I1275" t="n">
        <x:v>3.3</x:v>
      </x:c>
      <x:c r="J1275" t="n">
        <x:v>10</x:v>
      </x:c>
      <x:c r="K1275" t="n">
        <x:v>5</x:v>
      </x:c>
      <x:c r="L1275" t="str">
        <x:v>STORE-001</x:v>
      </x:c>
      <x:c r="M1275" s="22" t="n">
        <x:v>45998</x:v>
      </x:c>
      <x:c r="N1275" t="str">
        <x:v>SKU-006</x:v>
      </x:c>
      <x:c r="O1275" t="n">
        <x:v>1</x:v>
      </x:c>
      <x:c r="P1275" s="26" t="n">
        <x:f>F1275/O1275</x:f>
        <x:v>40.4</x:v>
      </x:c>
    </x:row>
    <x:row r="1276">
      <x:c r="A1276" t="n">
        <x:v>1275</x:v>
      </x:c>
      <x:c r="B1276" t="n">
        <x:v>29</x:v>
      </x:c>
      <x:c r="C1276" t="str">
        <x:v>Male</x:v>
      </x:c>
      <x:c r="D1276" t="str">
        <x:v>Sports</x:v>
      </x:c>
      <x:c r="E1276" t="str">
        <x:v>Yoga Mat</x:v>
      </x:c>
      <x:c r="F1276" s="24" t="n">
        <x:v>80.31</x:v>
      </x:c>
      <x:c r="G1276" t="str">
        <x:v>Winter</x:v>
      </x:c>
      <x:c r="H1276" t="str">
        <x:v>Cash on Delivery</x:v>
      </x:c>
      <x:c r="I1276" t="n">
        <x:v>4.3</x:v>
      </x:c>
      <x:c r="J1276" t="n">
        <x:v>11</x:v>
      </x:c>
      <x:c r="K1276" t="n">
        <x:v>3</x:v>
      </x:c>
      <x:c r="L1276" t="str">
        <x:v>STORE-001</x:v>
      </x:c>
      <x:c r="M1276" s="22" t="n">
        <x:v>46188</x:v>
      </x:c>
      <x:c r="N1276" t="str">
        <x:v>SKU-030</x:v>
      </x:c>
      <x:c r="O1276" t="n">
        <x:v>3</x:v>
      </x:c>
      <x:c r="P1276" s="26" t="n">
        <x:f>F1276/O1276</x:f>
        <x:v>26.77</x:v>
      </x:c>
    </x:row>
    <x:row r="1277">
      <x:c r="A1277" t="n">
        <x:v>1276</x:v>
      </x:c>
      <x:c r="B1277" t="n">
        <x:v>27</x:v>
      </x:c>
      <x:c r="C1277" t="str">
        <x:v>Female</x:v>
      </x:c>
      <x:c r="D1277" t="str">
        <x:v>Footwear</x:v>
      </x:c>
      <x:c r="E1277" t="str">
        <x:v>Sandals</x:v>
      </x:c>
      <x:c r="F1277" s="24" t="n">
        <x:v>197.36</x:v>
      </x:c>
      <x:c r="G1277" t="str">
        <x:v>Autumn</x:v>
      </x:c>
      <x:c r="H1277" t="str">
        <x:v>Card</x:v>
      </x:c>
      <x:c r="I1277" t="n">
        <x:v>3.5</x:v>
      </x:c>
      <x:c r="J1277" t="n">
        <x:v>16</x:v>
      </x:c>
      <x:c r="K1277" t="n">
        <x:v>3</x:v>
      </x:c>
      <x:c r="L1277" t="str">
        <x:v>STORE-001</x:v>
      </x:c>
      <x:c r="M1277" s="22" t="n">
        <x:v>46102</x:v>
      </x:c>
      <x:c r="N1277" t="str">
        <x:v>SKU-019</x:v>
      </x:c>
      <x:c r="O1277" t="n">
        <x:v>1</x:v>
      </x:c>
      <x:c r="P1277" s="26" t="n">
        <x:f>F1277/O1277</x:f>
        <x:v>197.36</x:v>
      </x:c>
    </x:row>
    <x:row r="1278">
      <x:c r="A1278" t="n">
        <x:v>1277</x:v>
      </x:c>
      <x:c r="B1278" t="n">
        <x:v>22</x:v>
      </x:c>
      <x:c r="C1278" t="str">
        <x:v>Male</x:v>
      </x:c>
      <x:c r="D1278" t="str">
        <x:v>Footwear</x:v>
      </x:c>
      <x:c r="E1278" t="str">
        <x:v>Sandals</x:v>
      </x:c>
      <x:c r="F1278" s="24" t="n">
        <x:v>153.96</x:v>
      </x:c>
      <x:c r="G1278" t="str">
        <x:v>Spring</x:v>
      </x:c>
      <x:c r="H1278" t="str">
        <x:v>Card</x:v>
      </x:c>
      <x:c r="I1278" t="n">
        <x:v>4.7</x:v>
      </x:c>
      <x:c r="J1278" t="n">
        <x:v>11</x:v>
      </x:c>
      <x:c r="K1278" t="n">
        <x:v>3</x:v>
      </x:c>
      <x:c r="L1278" t="str">
        <x:v>STORE-001</x:v>
      </x:c>
      <x:c r="M1278" s="22" t="n">
        <x:v>45952</x:v>
      </x:c>
      <x:c r="N1278" t="str">
        <x:v>SKU-019</x:v>
      </x:c>
      <x:c r="O1278" t="n">
        <x:v>1</x:v>
      </x:c>
      <x:c r="P1278" s="26" t="n">
        <x:f>F1278/O1278</x:f>
        <x:v>153.96</x:v>
      </x:c>
    </x:row>
    <x:row r="1279">
      <x:c r="A1279" t="n">
        <x:v>1278</x:v>
      </x:c>
      <x:c r="B1279" t="n">
        <x:v>55</x:v>
      </x:c>
      <x:c r="C1279" t="str">
        <x:v>Male</x:v>
      </x:c>
      <x:c r="D1279" t="str">
        <x:v>Footwear</x:v>
      </x:c>
      <x:c r="E1279" t="str">
        <x:v>Sandals</x:v>
      </x:c>
      <x:c r="F1279" s="24" t="n">
        <x:v>46.48</x:v>
      </x:c>
      <x:c r="G1279" t="str">
        <x:v>Summer</x:v>
      </x:c>
      <x:c r="H1279" t="str">
        <x:v>Cash on Delivery</x:v>
      </x:c>
      <x:c r="I1279" t="n">
        <x:v>3.1</x:v>
      </x:c>
      <x:c r="J1279" t="n">
        <x:v>6</x:v>
      </x:c>
      <x:c r="K1279" t="n">
        <x:v>3</x:v>
      </x:c>
      <x:c r="L1279" t="str">
        <x:v>STORE-001</x:v>
      </x:c>
      <x:c r="M1279" s="22" t="n">
        <x:v>46032</x:v>
      </x:c>
      <x:c r="N1279" t="str">
        <x:v>SKU-019</x:v>
      </x:c>
      <x:c r="O1279" t="n">
        <x:v>1</x:v>
      </x:c>
      <x:c r="P1279" s="26" t="n">
        <x:f>F1279/O1279</x:f>
        <x:v>46.48</x:v>
      </x:c>
    </x:row>
    <x:row r="1280">
      <x:c r="A1280" t="n">
        <x:v>1279</x:v>
      </x:c>
      <x:c r="B1280" t="n">
        <x:v>40</x:v>
      </x:c>
      <x:c r="C1280" t="str">
        <x:v>Male</x:v>
      </x:c>
      <x:c r="D1280" t="str">
        <x:v>Home</x:v>
      </x:c>
      <x:c r="E1280" t="str">
        <x:v>Kitchen Set</x:v>
      </x:c>
      <x:c r="F1280" s="24" t="n">
        <x:v>129.11</x:v>
      </x:c>
      <x:c r="G1280" t="str">
        <x:v>Summer</x:v>
      </x:c>
      <x:c r="H1280" t="str">
        <x:v>Card</x:v>
      </x:c>
      <x:c r="I1280" t="n">
        <x:v>3.1</x:v>
      </x:c>
      <x:c r="J1280" t="n">
        <x:v>20</x:v>
      </x:c>
      <x:c r="K1280" t="n">
        <x:v>5</x:v>
      </x:c>
      <x:c r="L1280" t="str">
        <x:v>STORE-001</x:v>
      </x:c>
      <x:c r="M1280" s="22" t="n">
        <x:v>46021</x:v>
      </x:c>
      <x:c r="N1280" t="str">
        <x:v>SKU-012</x:v>
      </x:c>
      <x:c r="O1280" t="n">
        <x:v>1</x:v>
      </x:c>
      <x:c r="P1280" s="26" t="n">
        <x:f>F1280/O1280</x:f>
        <x:v>129.11</x:v>
      </x:c>
    </x:row>
    <x:row r="1281">
      <x:c r="A1281" t="n">
        <x:v>1280</x:v>
      </x:c>
      <x:c r="B1281" t="n">
        <x:v>63</x:v>
      </x:c>
      <x:c r="C1281" t="str">
        <x:v>Male</x:v>
      </x:c>
      <x:c r="D1281" t="str">
        <x:v>Sports</x:v>
      </x:c>
      <x:c r="E1281" t="str">
        <x:v>Yoga Mat</x:v>
      </x:c>
      <x:c r="F1281" s="24" t="n">
        <x:v>130.98</x:v>
      </x:c>
      <x:c r="G1281" t="str">
        <x:v>Summer</x:v>
      </x:c>
      <x:c r="H1281" t="str">
        <x:v>Card</x:v>
      </x:c>
      <x:c r="I1281" t="n">
        <x:v>3.3</x:v>
      </x:c>
      <x:c r="J1281" t="n">
        <x:v>10</x:v>
      </x:c>
      <x:c r="K1281" t="n">
        <x:v>5</x:v>
      </x:c>
      <x:c r="L1281" t="str">
        <x:v>STORE-001</x:v>
      </x:c>
      <x:c r="M1281" s="22" t="n">
        <x:v>46046</x:v>
      </x:c>
      <x:c r="N1281" t="str">
        <x:v>SKU-030</x:v>
      </x:c>
      <x:c r="O1281" t="n">
        <x:v>1</x:v>
      </x:c>
      <x:c r="P1281" s="26" t="n">
        <x:f>F1281/O1281</x:f>
        <x:v>130.98</x:v>
      </x:c>
    </x:row>
    <x:row r="1282">
      <x:c r="A1282" t="n">
        <x:v>1281</x:v>
      </x:c>
      <x:c r="B1282" t="n">
        <x:v>43</x:v>
      </x:c>
      <x:c r="C1282" t="str">
        <x:v>Male</x:v>
      </x:c>
      <x:c r="D1282" t="str">
        <x:v>Sports</x:v>
      </x:c>
      <x:c r="E1282" t="str">
        <x:v>Dumbbells</x:v>
      </x:c>
      <x:c r="F1282" s="24" t="n">
        <x:v>116.56</x:v>
      </x:c>
      <x:c r="G1282" t="str">
        <x:v>Summer</x:v>
      </x:c>
      <x:c r="H1282" t="str">
        <x:v>Card</x:v>
      </x:c>
      <x:c r="I1282" t="n">
        <x:v>3.1</x:v>
      </x:c>
      <x:c r="J1282" t="n">
        <x:v>25</x:v>
      </x:c>
      <x:c r="K1282" t="n">
        <x:v>10</x:v>
      </x:c>
      <x:c r="L1282" t="str">
        <x:v>STORE-001</x:v>
      </x:c>
      <x:c r="M1282" s="22" t="n">
        <x:v>46041</x:v>
      </x:c>
      <x:c r="N1282" t="str">
        <x:v>SKU-005</x:v>
      </x:c>
      <x:c r="O1282" t="n">
        <x:v>4</x:v>
      </x:c>
      <x:c r="P1282" s="26" t="n">
        <x:f>F1282/O1282</x:f>
        <x:v>29.14</x:v>
      </x:c>
    </x:row>
    <x:row r="1283">
      <x:c r="A1283" t="n">
        <x:v>1282</x:v>
      </x:c>
      <x:c r="B1283" t="n">
        <x:v>34</x:v>
      </x:c>
      <x:c r="C1283" t="str">
        <x:v>Male</x:v>
      </x:c>
      <x:c r="D1283" t="str">
        <x:v>Electronics</x:v>
      </x:c>
      <x:c r="E1283" t="str">
        <x:v>Headphones</x:v>
      </x:c>
      <x:c r="F1283" s="24" t="n">
        <x:v>1105.45</x:v>
      </x:c>
      <x:c r="G1283" t="str">
        <x:v>Winter</x:v>
      </x:c>
      <x:c r="H1283" t="str">
        <x:v>Card</x:v>
      </x:c>
      <x:c r="I1283" t="n">
        <x:v>5</x:v>
      </x:c>
      <x:c r="J1283" t="n">
        <x:v>24</x:v>
      </x:c>
      <x:c r="K1283" t="n">
        <x:v>7</x:v>
      </x:c>
      <x:c r="L1283" t="str">
        <x:v>STORE-001</x:v>
      </x:c>
      <x:c r="M1283" s="22" t="n">
        <x:v>46175</x:v>
      </x:c>
      <x:c r="N1283" t="str">
        <x:v>SKU-009</x:v>
      </x:c>
      <x:c r="O1283" t="n">
        <x:v>1</x:v>
      </x:c>
      <x:c r="P1283" s="26" t="n">
        <x:f>F1283/O1283</x:f>
        <x:v>1105.45</x:v>
      </x:c>
    </x:row>
    <x:row r="1284">
      <x:c r="A1284" t="n">
        <x:v>1283</x:v>
      </x:c>
      <x:c r="B1284" t="n">
        <x:v>46</x:v>
      </x:c>
      <x:c r="C1284" t="str">
        <x:v>Male</x:v>
      </x:c>
      <x:c r="D1284" t="str">
        <x:v>Footwear</x:v>
      </x:c>
      <x:c r="E1284" t="str">
        <x:v>Sneakers</x:v>
      </x:c>
      <x:c r="F1284" s="24" t="n">
        <x:v>192.39</x:v>
      </x:c>
      <x:c r="G1284" t="str">
        <x:v>Autumn</x:v>
      </x:c>
      <x:c r="H1284" t="str">
        <x:v>Card</x:v>
      </x:c>
      <x:c r="I1284" t="n">
        <x:v>3.9</x:v>
      </x:c>
      <x:c r="J1284" t="n">
        <x:v>9</x:v>
      </x:c>
      <x:c r="K1284" t="n">
        <x:v>2</x:v>
      </x:c>
      <x:c r="L1284" t="str">
        <x:v>STORE-001</x:v>
      </x:c>
      <x:c r="M1284" s="22" t="n">
        <x:v>46154</x:v>
      </x:c>
      <x:c r="N1284" t="str">
        <x:v>SKU-025</x:v>
      </x:c>
      <x:c r="O1284" t="n">
        <x:v>2</x:v>
      </x:c>
      <x:c r="P1284" s="26" t="n">
        <x:f>F1284/O1284</x:f>
        <x:v>96.195</x:v>
      </x:c>
    </x:row>
    <x:row r="1285">
      <x:c r="A1285" t="n">
        <x:v>1284</x:v>
      </x:c>
      <x:c r="B1285" t="n">
        <x:v>51</x:v>
      </x:c>
      <x:c r="C1285" t="str">
        <x:v>Female</x:v>
      </x:c>
      <x:c r="D1285" t="str">
        <x:v>Womens Clothing</x:v>
      </x:c>
      <x:c r="E1285" t="str">
        <x:v>Dress</x:v>
      </x:c>
      <x:c r="F1285" s="24" t="n">
        <x:v>184.44</x:v>
      </x:c>
      <x:c r="G1285" t="str">
        <x:v>Spring</x:v>
      </x:c>
      <x:c r="H1285" t="str">
        <x:v>Card</x:v>
      </x:c>
      <x:c r="I1285" t="n">
        <x:v>3.6</x:v>
      </x:c>
      <x:c r="J1285" t="n">
        <x:v>15</x:v>
      </x:c>
      <x:c r="K1285" t="n">
        <x:v>5</x:v>
      </x:c>
      <x:c r="L1285" t="str">
        <x:v>STORE-001</x:v>
      </x:c>
      <x:c r="M1285" s="22" t="n">
        <x:v>45973</x:v>
      </x:c>
      <x:c r="N1285" t="str">
        <x:v>SKU-004</x:v>
      </x:c>
      <x:c r="O1285" t="n">
        <x:v>2</x:v>
      </x:c>
      <x:c r="P1285" s="26" t="n">
        <x:f>F1285/O1285</x:f>
        <x:v>92.22</x:v>
      </x:c>
    </x:row>
    <x:row r="1286">
      <x:c r="A1286" t="n">
        <x:v>1285</x:v>
      </x:c>
      <x:c r="B1286" t="n">
        <x:v>25</x:v>
      </x:c>
      <x:c r="C1286" t="str">
        <x:v>Male</x:v>
      </x:c>
      <x:c r="D1286" t="str">
        <x:v>Home</x:v>
      </x:c>
      <x:c r="E1286" t="str">
        <x:v>Kitchen Set</x:v>
      </x:c>
      <x:c r="F1286" s="24" t="n">
        <x:v>227.36</x:v>
      </x:c>
      <x:c r="G1286" t="str">
        <x:v>Spring</x:v>
      </x:c>
      <x:c r="H1286" t="str">
        <x:v>Card</x:v>
      </x:c>
      <x:c r="I1286" t="n">
        <x:v>3.2</x:v>
      </x:c>
      <x:c r="J1286" t="n">
        <x:v>15</x:v>
      </x:c>
      <x:c r="K1286" t="n">
        <x:v>5</x:v>
      </x:c>
      <x:c r="L1286" t="str">
        <x:v>STORE-001</x:v>
      </x:c>
      <x:c r="M1286" s="22" t="n">
        <x:v>46266</x:v>
      </x:c>
      <x:c r="N1286" t="str">
        <x:v>SKU-012</x:v>
      </x:c>
      <x:c r="O1286" t="n">
        <x:v>1</x:v>
      </x:c>
      <x:c r="P1286" s="26" t="n">
        <x:f>F1286/O1286</x:f>
        <x:v>227.36</x:v>
      </x:c>
    </x:row>
    <x:row r="1287">
      <x:c r="A1287" t="n">
        <x:v>1286</x:v>
      </x:c>
      <x:c r="B1287" t="n">
        <x:v>55</x:v>
      </x:c>
      <x:c r="C1287" t="str">
        <x:v>Male</x:v>
      </x:c>
      <x:c r="D1287" t="str">
        <x:v>Mens Clothing</x:v>
      </x:c>
      <x:c r="E1287" t="str">
        <x:v>Jacket</x:v>
      </x:c>
      <x:c r="F1287" s="24" t="n">
        <x:v>91.95</x:v>
      </x:c>
      <x:c r="G1287" t="str">
        <x:v>Summer</x:v>
      </x:c>
      <x:c r="H1287" t="str">
        <x:v>Card</x:v>
      </x:c>
      <x:c r="I1287" t="n">
        <x:v>4.1</x:v>
      </x:c>
      <x:c r="J1287" t="n">
        <x:v>20</x:v>
      </x:c>
      <x:c r="K1287" t="n">
        <x:v>5</x:v>
      </x:c>
      <x:c r="L1287" t="str">
        <x:v>STORE-001</x:v>
      </x:c>
      <x:c r="M1287" s="22" t="n">
        <x:v>46033</x:v>
      </x:c>
      <x:c r="N1287" t="str">
        <x:v>SKU-010</x:v>
      </x:c>
      <x:c r="O1287" t="n">
        <x:v>1</x:v>
      </x:c>
      <x:c r="P1287" s="26" t="n">
        <x:f>F1287/O1287</x:f>
        <x:v>91.95</x:v>
      </x:c>
    </x:row>
    <x:row r="1288">
      <x:c r="A1288" t="n">
        <x:v>1287</x:v>
      </x:c>
      <x:c r="B1288" t="n">
        <x:v>40</x:v>
      </x:c>
      <x:c r="C1288" t="str">
        <x:v>Female</x:v>
      </x:c>
      <x:c r="D1288" t="str">
        <x:v>Sports</x:v>
      </x:c>
      <x:c r="E1288" t="str">
        <x:v>Dumbbells</x:v>
      </x:c>
      <x:c r="F1288" s="24" t="n">
        <x:v>71.11</x:v>
      </x:c>
      <x:c r="G1288" t="str">
        <x:v>Winter</x:v>
      </x:c>
      <x:c r="H1288" t="str">
        <x:v>Cash on Delivery</x:v>
      </x:c>
      <x:c r="I1288" t="n">
        <x:v>4.6</x:v>
      </x:c>
      <x:c r="J1288" t="n">
        <x:v>18</x:v>
      </x:c>
      <x:c r="K1288" t="n">
        <x:v>4</x:v>
      </x:c>
      <x:c r="L1288" t="str">
        <x:v>STORE-001</x:v>
      </x:c>
      <x:c r="M1288" s="22" t="n">
        <x:v>46174</x:v>
      </x:c>
      <x:c r="N1288" t="str">
        <x:v>SKU-005</x:v>
      </x:c>
      <x:c r="O1288" t="n">
        <x:v>1</x:v>
      </x:c>
      <x:c r="P1288" s="26" t="n">
        <x:f>F1288/O1288</x:f>
        <x:v>71.11</x:v>
      </x:c>
    </x:row>
    <x:row r="1289">
      <x:c r="A1289" t="n">
        <x:v>1288</x:v>
      </x:c>
      <x:c r="B1289" t="n">
        <x:v>36</x:v>
      </x:c>
      <x:c r="C1289" t="str">
        <x:v>Male</x:v>
      </x:c>
      <x:c r="D1289" t="str">
        <x:v>Footwear</x:v>
      </x:c>
      <x:c r="E1289" t="str">
        <x:v>Formal Shoes</x:v>
      </x:c>
      <x:c r="F1289" s="24" t="n">
        <x:v>114.22</x:v>
      </x:c>
      <x:c r="G1289" t="str">
        <x:v>Autumn</x:v>
      </x:c>
      <x:c r="H1289" t="str">
        <x:v>Card</x:v>
      </x:c>
      <x:c r="I1289" t="n">
        <x:v>3.9</x:v>
      </x:c>
      <x:c r="J1289" t="n">
        <x:v>22</x:v>
      </x:c>
      <x:c r="K1289" t="n">
        <x:v>6</x:v>
      </x:c>
      <x:c r="L1289" t="str">
        <x:v>STORE-001</x:v>
      </x:c>
      <x:c r="M1289" s="22" t="n">
        <x:v>46139</x:v>
      </x:c>
      <x:c r="N1289" t="str">
        <x:v>SKU-007</x:v>
      </x:c>
      <x:c r="O1289" t="n">
        <x:v>1</x:v>
      </x:c>
      <x:c r="P1289" s="26" t="n">
        <x:f>F1289/O1289</x:f>
        <x:v>114.22</x:v>
      </x:c>
    </x:row>
    <x:row r="1290">
      <x:c r="A1290" t="n">
        <x:v>1289</x:v>
      </x:c>
      <x:c r="B1290" t="n">
        <x:v>70</x:v>
      </x:c>
      <x:c r="C1290" t="str">
        <x:v>Female</x:v>
      </x:c>
      <x:c r="D1290" t="str">
        <x:v>Beauty</x:v>
      </x:c>
      <x:c r="E1290" t="str">
        <x:v>Skincare Kit</x:v>
      </x:c>
      <x:c r="F1290" s="24" t="n">
        <x:v>104.25</x:v>
      </x:c>
      <x:c r="G1290" t="str">
        <x:v>Winter</x:v>
      </x:c>
      <x:c r="H1290" t="str">
        <x:v>Card</x:v>
      </x:c>
      <x:c r="I1290" t="n">
        <x:v>3.9</x:v>
      </x:c>
      <x:c r="J1290" t="n">
        <x:v>10</x:v>
      </x:c>
      <x:c r="K1290" t="n">
        <x:v>5</x:v>
      </x:c>
      <x:c r="L1290" t="str">
        <x:v>STORE-001</x:v>
      </x:c>
      <x:c r="M1290" s="22" t="n">
        <x:v>46226</x:v>
      </x:c>
      <x:c r="N1290" t="str">
        <x:v>SKU-021</x:v>
      </x:c>
      <x:c r="O1290" t="n">
        <x:v>4</x:v>
      </x:c>
      <x:c r="P1290" s="26" t="n">
        <x:f>F1290/O1290</x:f>
        <x:v>26.0625</x:v>
      </x:c>
    </x:row>
    <x:row r="1291">
      <x:c r="A1291" t="n">
        <x:v>1290</x:v>
      </x:c>
      <x:c r="B1291" t="n">
        <x:v>20</x:v>
      </x:c>
      <x:c r="C1291" t="str">
        <x:v>Female</x:v>
      </x:c>
      <x:c r="D1291" t="str">
        <x:v>Womens Clothing</x:v>
      </x:c>
      <x:c r="E1291" t="str">
        <x:v>Skirt</x:v>
      </x:c>
      <x:c r="F1291" s="24" t="n">
        <x:v>151.63</x:v>
      </x:c>
      <x:c r="G1291" t="str">
        <x:v>Winter</x:v>
      </x:c>
      <x:c r="H1291" t="str">
        <x:v>Card</x:v>
      </x:c>
      <x:c r="I1291" t="n">
        <x:v>2</x:v>
      </x:c>
      <x:c r="J1291" t="n">
        <x:v>12</x:v>
      </x:c>
      <x:c r="K1291" t="n">
        <x:v>6</x:v>
      </x:c>
      <x:c r="L1291" t="str">
        <x:v>STORE-001</x:v>
      </x:c>
      <x:c r="M1291" s="22" t="n">
        <x:v>46205</x:v>
      </x:c>
      <x:c r="N1291" t="str">
        <x:v>SKU-022</x:v>
      </x:c>
      <x:c r="O1291" t="n">
        <x:v>1</x:v>
      </x:c>
      <x:c r="P1291" s="26" t="n">
        <x:f>F1291/O1291</x:f>
        <x:v>151.63</x:v>
      </x:c>
    </x:row>
    <x:row r="1292">
      <x:c r="A1292" t="n">
        <x:v>1291</x:v>
      </x:c>
      <x:c r="B1292" t="n">
        <x:v>35</x:v>
      </x:c>
      <x:c r="C1292" t="str">
        <x:v>Male</x:v>
      </x:c>
      <x:c r="D1292" t="str">
        <x:v>Sports</x:v>
      </x:c>
      <x:c r="E1292" t="str">
        <x:v>Dumbbells</x:v>
      </x:c>
      <x:c r="F1292" s="24" t="n">
        <x:v>113.99</x:v>
      </x:c>
      <x:c r="G1292" t="str">
        <x:v>Summer</x:v>
      </x:c>
      <x:c r="H1292" t="str">
        <x:v>Card</x:v>
      </x:c>
      <x:c r="I1292" t="n">
        <x:v>3.3</x:v>
      </x:c>
      <x:c r="J1292" t="n">
        <x:v>8</x:v>
      </x:c>
      <x:c r="K1292" t="n">
        <x:v>4</x:v>
      </x:c>
      <x:c r="L1292" t="str">
        <x:v>STORE-001</x:v>
      </x:c>
      <x:c r="M1292" s="22" t="n">
        <x:v>46002</x:v>
      </x:c>
      <x:c r="N1292" t="str">
        <x:v>SKU-005</x:v>
      </x:c>
      <x:c r="O1292" t="n">
        <x:v>1</x:v>
      </x:c>
      <x:c r="P1292" s="26" t="n">
        <x:f>F1292/O1292</x:f>
        <x:v>113.99</x:v>
      </x:c>
    </x:row>
    <x:row r="1293">
      <x:c r="A1293" t="n">
        <x:v>1292</x:v>
      </x:c>
      <x:c r="B1293" t="n">
        <x:v>37</x:v>
      </x:c>
      <x:c r="C1293" t="str">
        <x:v>Female</x:v>
      </x:c>
      <x:c r="D1293" t="str">
        <x:v>Footwear</x:v>
      </x:c>
      <x:c r="E1293" t="str">
        <x:v>Sandals</x:v>
      </x:c>
      <x:c r="F1293" s="24" t="n">
        <x:v>149.77</x:v>
      </x:c>
      <x:c r="G1293" t="str">
        <x:v>Spring</x:v>
      </x:c>
      <x:c r="H1293" t="str">
        <x:v>Card</x:v>
      </x:c>
      <x:c r="I1293" t="n">
        <x:v>4</x:v>
      </x:c>
      <x:c r="J1293" t="n">
        <x:v>25</x:v>
      </x:c>
      <x:c r="K1293" t="n">
        <x:v>10</x:v>
      </x:c>
      <x:c r="L1293" t="str">
        <x:v>STORE-001</x:v>
      </x:c>
      <x:c r="M1293" s="22" t="n">
        <x:v>45982</x:v>
      </x:c>
      <x:c r="N1293" t="str">
        <x:v>SKU-019</x:v>
      </x:c>
      <x:c r="O1293" t="n">
        <x:v>2</x:v>
      </x:c>
      <x:c r="P1293" s="26" t="n">
        <x:f>F1293/O1293</x:f>
        <x:v>74.885</x:v>
      </x:c>
    </x:row>
    <x:row r="1294">
      <x:c r="A1294" t="n">
        <x:v>1293</x:v>
      </x:c>
      <x:c r="B1294" t="n">
        <x:v>35</x:v>
      </x:c>
      <x:c r="C1294" t="str">
        <x:v>Female</x:v>
      </x:c>
      <x:c r="D1294" t="str">
        <x:v>Sports</x:v>
      </x:c>
      <x:c r="E1294" t="str">
        <x:v>Football</x:v>
      </x:c>
      <x:c r="F1294" s="24" t="n">
        <x:v>149.11</x:v>
      </x:c>
      <x:c r="G1294" t="str">
        <x:v>Spring</x:v>
      </x:c>
      <x:c r="H1294" t="str">
        <x:v>Card</x:v>
      </x:c>
      <x:c r="I1294" t="n">
        <x:v>3.1</x:v>
      </x:c>
      <x:c r="J1294" t="n">
        <x:v>14</x:v>
      </x:c>
      <x:c r="K1294" t="n">
        <x:v>7</x:v>
      </x:c>
      <x:c r="L1294" t="str">
        <x:v>STORE-001</x:v>
      </x:c>
      <x:c r="M1294" s="22" t="n">
        <x:v>46285</x:v>
      </x:c>
      <x:c r="N1294" t="str">
        <x:v>SKU-006</x:v>
      </x:c>
      <x:c r="O1294" t="n">
        <x:v>1</x:v>
      </x:c>
      <x:c r="P1294" s="26" t="n">
        <x:f>F1294/O1294</x:f>
        <x:v>149.11</x:v>
      </x:c>
    </x:row>
    <x:row r="1295">
      <x:c r="A1295" t="n">
        <x:v>1294</x:v>
      </x:c>
      <x:c r="B1295" t="n">
        <x:v>47</x:v>
      </x:c>
      <x:c r="C1295" t="str">
        <x:v>Female</x:v>
      </x:c>
      <x:c r="D1295" t="str">
        <x:v>Accessories</x:v>
      </x:c>
      <x:c r="E1295" t="str">
        <x:v>Wallet</x:v>
      </x:c>
      <x:c r="F1295" s="24" t="n">
        <x:v>44.02</x:v>
      </x:c>
      <x:c r="G1295" t="str">
        <x:v>Autumn</x:v>
      </x:c>
      <x:c r="H1295" t="str">
        <x:v>Cash on Delivery</x:v>
      </x:c>
      <x:c r="I1295" t="n">
        <x:v>4.4</x:v>
      </x:c>
      <x:c r="J1295" t="n">
        <x:v>6</x:v>
      </x:c>
      <x:c r="K1295" t="n">
        <x:v>3</x:v>
      </x:c>
      <x:c r="L1295" t="str">
        <x:v>STORE-001</x:v>
      </x:c>
      <x:c r="M1295" s="22" t="n">
        <x:v>46132</x:v>
      </x:c>
      <x:c r="N1295" t="str">
        <x:v>SKU-029</x:v>
      </x:c>
      <x:c r="O1295" t="n">
        <x:v>1</x:v>
      </x:c>
      <x:c r="P1295" s="26" t="n">
        <x:f>F1295/O1295</x:f>
        <x:v>44.02</x:v>
      </x:c>
    </x:row>
    <x:row r="1296">
      <x:c r="A1296" t="n">
        <x:v>1295</x:v>
      </x:c>
      <x:c r="B1296" t="n">
        <x:v>60</x:v>
      </x:c>
      <x:c r="C1296" t="str">
        <x:v>Male</x:v>
      </x:c>
      <x:c r="D1296" t="str">
        <x:v>Mens Clothing</x:v>
      </x:c>
      <x:c r="E1296" t="str">
        <x:v>Jacket</x:v>
      </x:c>
      <x:c r="F1296" s="24" t="n">
        <x:v>42.96</x:v>
      </x:c>
      <x:c r="G1296" t="str">
        <x:v>Spring</x:v>
      </x:c>
      <x:c r="H1296" t="str">
        <x:v>Card</x:v>
      </x:c>
      <x:c r="I1296" t="n">
        <x:v>5</x:v>
      </x:c>
      <x:c r="J1296" t="n">
        <x:v>25</x:v>
      </x:c>
      <x:c r="K1296" t="n">
        <x:v>10</x:v>
      </x:c>
      <x:c r="L1296" t="str">
        <x:v>STORE-001</x:v>
      </x:c>
      <x:c r="M1296" s="22" t="n">
        <x:v>45959</x:v>
      </x:c>
      <x:c r="N1296" t="str">
        <x:v>SKU-010</x:v>
      </x:c>
      <x:c r="O1296" t="n">
        <x:v>1</x:v>
      </x:c>
      <x:c r="P1296" s="26" t="n">
        <x:f>F1296/O1296</x:f>
        <x:v>42.96</x:v>
      </x:c>
    </x:row>
    <x:row r="1297">
      <x:c r="A1297" t="n">
        <x:v>1296</x:v>
      </x:c>
      <x:c r="B1297" t="n">
        <x:v>55</x:v>
      </x:c>
      <x:c r="C1297" t="str">
        <x:v>Female</x:v>
      </x:c>
      <x:c r="D1297" t="str">
        <x:v>Womens Clothing</x:v>
      </x:c>
      <x:c r="E1297" t="str">
        <x:v>Dress</x:v>
      </x:c>
      <x:c r="F1297" s="24" t="n">
        <x:v>186.61</x:v>
      </x:c>
      <x:c r="G1297" t="str">
        <x:v>Summer</x:v>
      </x:c>
      <x:c r="H1297" t="str">
        <x:v>Card</x:v>
      </x:c>
      <x:c r="I1297" t="n">
        <x:v>3.2</x:v>
      </x:c>
      <x:c r="J1297" t="n">
        <x:v>14</x:v>
      </x:c>
      <x:c r="K1297" t="n">
        <x:v>7</x:v>
      </x:c>
      <x:c r="L1297" t="str">
        <x:v>STORE-001</x:v>
      </x:c>
      <x:c r="M1297" s="22" t="n">
        <x:v>46000</x:v>
      </x:c>
      <x:c r="N1297" t="str">
        <x:v>SKU-004</x:v>
      </x:c>
      <x:c r="O1297" t="n">
        <x:v>2</x:v>
      </x:c>
      <x:c r="P1297" s="26" t="n">
        <x:f>F1297/O1297</x:f>
        <x:v>93.305</x:v>
      </x:c>
    </x:row>
    <x:row r="1298">
      <x:c r="A1298" t="n">
        <x:v>1297</x:v>
      </x:c>
      <x:c r="B1298" t="n">
        <x:v>36</x:v>
      </x:c>
      <x:c r="C1298" t="str">
        <x:v>Male</x:v>
      </x:c>
      <x:c r="D1298" t="str">
        <x:v>Groceries</x:v>
      </x:c>
      <x:c r="E1298" t="str">
        <x:v>Rice Pack</x:v>
      </x:c>
      <x:c r="F1298" s="24" t="n">
        <x:v>20.05</x:v>
      </x:c>
      <x:c r="G1298" t="str">
        <x:v>Spring</x:v>
      </x:c>
      <x:c r="H1298" t="str">
        <x:v>Cash on Delivery</x:v>
      </x:c>
      <x:c r="I1298" t="n">
        <x:v>3.9</x:v>
      </x:c>
      <x:c r="J1298" t="n">
        <x:v>13</x:v>
      </x:c>
      <x:c r="K1298" t="n">
        <x:v>4</x:v>
      </x:c>
      <x:c r="L1298" t="str">
        <x:v>STORE-001</x:v>
      </x:c>
      <x:c r="M1298" s="22" t="n">
        <x:v>45949</x:v>
      </x:c>
      <x:c r="N1298" t="str">
        <x:v>SKU-018</x:v>
      </x:c>
      <x:c r="O1298" t="n">
        <x:v>2</x:v>
      </x:c>
      <x:c r="P1298" s="26" t="n">
        <x:f>F1298/O1298</x:f>
        <x:v>10.025</x:v>
      </x:c>
    </x:row>
    <x:row r="1299">
      <x:c r="A1299" t="n">
        <x:v>1298</x:v>
      </x:c>
      <x:c r="B1299" t="n">
        <x:v>31</x:v>
      </x:c>
      <x:c r="C1299" t="str">
        <x:v>Male</x:v>
      </x:c>
      <x:c r="D1299" t="str">
        <x:v>Electronics</x:v>
      </x:c>
      <x:c r="E1299" t="str">
        <x:v>Laptop</x:v>
      </x:c>
      <x:c r="F1299" s="24" t="n">
        <x:v>2520.3</x:v>
      </x:c>
      <x:c r="G1299" t="str">
        <x:v>Summer</x:v>
      </x:c>
      <x:c r="H1299" t="str">
        <x:v>Card</x:v>
      </x:c>
      <x:c r="I1299" t="n">
        <x:v>2.7</x:v>
      </x:c>
      <x:c r="J1299" t="n">
        <x:v>14</x:v>
      </x:c>
      <x:c r="K1299" t="n">
        <x:v>7</x:v>
      </x:c>
      <x:c r="L1299" t="str">
        <x:v>STORE-001</x:v>
      </x:c>
      <x:c r="M1299" s="22" t="n">
        <x:v>46066</x:v>
      </x:c>
      <x:c r="N1299" t="str">
        <x:v>SKU-014</x:v>
      </x:c>
      <x:c r="O1299" t="n">
        <x:v>1</x:v>
      </x:c>
      <x:c r="P1299" s="26" t="n">
        <x:f>F1299/O1299</x:f>
        <x:v>2520.3</x:v>
      </x:c>
    </x:row>
    <x:row r="1300">
      <x:c r="A1300" t="n">
        <x:v>1299</x:v>
      </x:c>
      <x:c r="B1300" t="n">
        <x:v>51</x:v>
      </x:c>
      <x:c r="C1300" t="str">
        <x:v>Female</x:v>
      </x:c>
      <x:c r="D1300" t="str">
        <x:v>Womens Clothing</x:v>
      </x:c>
      <x:c r="E1300" t="str">
        <x:v>Dress</x:v>
      </x:c>
      <x:c r="F1300" s="24" t="n">
        <x:v>119.82</x:v>
      </x:c>
      <x:c r="G1300" t="str">
        <x:v>Winter</x:v>
      </x:c>
      <x:c r="H1300" t="str">
        <x:v>Card</x:v>
      </x:c>
      <x:c r="I1300" t="n">
        <x:v>4.3</x:v>
      </x:c>
      <x:c r="J1300" t="n">
        <x:v>21</x:v>
      </x:c>
      <x:c r="K1300" t="n">
        <x:v>8</x:v>
      </x:c>
      <x:c r="L1300" t="str">
        <x:v>STORE-001</x:v>
      </x:c>
      <x:c r="M1300" s="22" t="n">
        <x:v>46252</x:v>
      </x:c>
      <x:c r="N1300" t="str">
        <x:v>SKU-004</x:v>
      </x:c>
      <x:c r="O1300" t="n">
        <x:v>1</x:v>
      </x:c>
      <x:c r="P1300" s="26" t="n">
        <x:f>F1300/O1300</x:f>
        <x:v>119.82</x:v>
      </x:c>
    </x:row>
    <x:row r="1301">
      <x:c r="A1301" t="n">
        <x:v>1300</x:v>
      </x:c>
      <x:c r="B1301" t="n">
        <x:v>62</x:v>
      </x:c>
      <x:c r="C1301" t="str">
        <x:v>Male</x:v>
      </x:c>
      <x:c r="D1301" t="str">
        <x:v>Footwear</x:v>
      </x:c>
      <x:c r="E1301" t="str">
        <x:v>Formal Shoes</x:v>
      </x:c>
      <x:c r="F1301" s="24" t="n">
        <x:v>144.67</x:v>
      </x:c>
      <x:c r="G1301" t="str">
        <x:v>Autumn</x:v>
      </x:c>
      <x:c r="H1301" t="str">
        <x:v>Card</x:v>
      </x:c>
      <x:c r="I1301" t="n">
        <x:v>3.7</x:v>
      </x:c>
      <x:c r="J1301" t="n">
        <x:v>14</x:v>
      </x:c>
      <x:c r="K1301" t="n">
        <x:v>7</x:v>
      </x:c>
      <x:c r="L1301" t="str">
        <x:v>STORE-001</x:v>
      </x:c>
      <x:c r="M1301" s="22" t="n">
        <x:v>46110</x:v>
      </x:c>
      <x:c r="N1301" t="str">
        <x:v>SKU-007</x:v>
      </x:c>
      <x:c r="O1301" t="n">
        <x:v>1</x:v>
      </x:c>
      <x:c r="P1301" s="26" t="n">
        <x:f>F1301/O1301</x:f>
        <x:v>144.67</x:v>
      </x:c>
    </x:row>
    <x:row r="1302">
      <x:c r="A1302" t="n">
        <x:v>1301</x:v>
      </x:c>
      <x:c r="B1302" t="n">
        <x:v>29</x:v>
      </x:c>
      <x:c r="C1302" t="str">
        <x:v>Female</x:v>
      </x:c>
      <x:c r="D1302" t="str">
        <x:v>Beauty</x:v>
      </x:c>
      <x:c r="E1302" t="str">
        <x:v>Perfume</x:v>
      </x:c>
      <x:c r="F1302" s="24" t="n">
        <x:v>38.64</x:v>
      </x:c>
      <x:c r="G1302" t="str">
        <x:v>Autumn</x:v>
      </x:c>
      <x:c r="H1302" t="str">
        <x:v>Cash on Delivery</x:v>
      </x:c>
      <x:c r="I1302" t="n">
        <x:v>4</x:v>
      </x:c>
      <x:c r="J1302" t="n">
        <x:v>16</x:v>
      </x:c>
      <x:c r="K1302" t="n">
        <x:v>3</x:v>
      </x:c>
      <x:c r="L1302" t="str">
        <x:v>STORE-001</x:v>
      </x:c>
      <x:c r="M1302" s="22" t="n">
        <x:v>46093</x:v>
      </x:c>
      <x:c r="N1302" t="str">
        <x:v>SKU-017</x:v>
      </x:c>
      <x:c r="O1302" t="n">
        <x:v>1</x:v>
      </x:c>
      <x:c r="P1302" s="26" t="n">
        <x:f>F1302/O1302</x:f>
        <x:v>38.64</x:v>
      </x:c>
    </x:row>
    <x:row r="1303">
      <x:c r="A1303" t="n">
        <x:v>1302</x:v>
      </x:c>
      <x:c r="B1303" t="n">
        <x:v>28</x:v>
      </x:c>
      <x:c r="C1303" t="str">
        <x:v>Male</x:v>
      </x:c>
      <x:c r="D1303" t="str">
        <x:v>Sports</x:v>
      </x:c>
      <x:c r="E1303" t="str">
        <x:v>Football</x:v>
      </x:c>
      <x:c r="F1303" s="24" t="n">
        <x:v>64.16</x:v>
      </x:c>
      <x:c r="G1303" t="str">
        <x:v>Winter</x:v>
      </x:c>
      <x:c r="H1303" t="str">
        <x:v>Cash on Delivery</x:v>
      </x:c>
      <x:c r="I1303" t="n">
        <x:v>3.7</x:v>
      </x:c>
      <x:c r="J1303" t="n">
        <x:v>28</x:v>
      </x:c>
      <x:c r="K1303" t="n">
        <x:v>9</x:v>
      </x:c>
      <x:c r="L1303" t="str">
        <x:v>STORE-001</x:v>
      </x:c>
      <x:c r="M1303" s="22" t="n">
        <x:v>46242</x:v>
      </x:c>
      <x:c r="N1303" t="str">
        <x:v>SKU-006</x:v>
      </x:c>
      <x:c r="O1303" t="n">
        <x:v>2</x:v>
      </x:c>
      <x:c r="P1303" s="26" t="n">
        <x:f>F1303/O1303</x:f>
        <x:v>32.08</x:v>
      </x:c>
    </x:row>
    <x:row r="1304">
      <x:c r="A1304" t="n">
        <x:v>1303</x:v>
      </x:c>
      <x:c r="B1304" t="n">
        <x:v>35</x:v>
      </x:c>
      <x:c r="C1304" t="str">
        <x:v>Male</x:v>
      </x:c>
      <x:c r="D1304" t="str">
        <x:v>Sports</x:v>
      </x:c>
      <x:c r="E1304" t="str">
        <x:v>Yoga Mat</x:v>
      </x:c>
      <x:c r="F1304" s="24" t="n">
        <x:v>238.78</x:v>
      </x:c>
      <x:c r="G1304" t="str">
        <x:v>Summer</x:v>
      </x:c>
      <x:c r="H1304" t="str">
        <x:v>Card</x:v>
      </x:c>
      <x:c r="I1304" t="n">
        <x:v>3.8</x:v>
      </x:c>
      <x:c r="J1304" t="n">
        <x:v>9</x:v>
      </x:c>
      <x:c r="K1304" t="n">
        <x:v>2</x:v>
      </x:c>
      <x:c r="L1304" t="str">
        <x:v>STORE-001</x:v>
      </x:c>
      <x:c r="M1304" s="22" t="n">
        <x:v>46024</x:v>
      </x:c>
      <x:c r="N1304" t="str">
        <x:v>SKU-030</x:v>
      </x:c>
      <x:c r="O1304" t="n">
        <x:v>1</x:v>
      </x:c>
      <x:c r="P1304" s="26" t="n">
        <x:f>F1304/O1304</x:f>
        <x:v>238.78</x:v>
      </x:c>
    </x:row>
    <x:row r="1305">
      <x:c r="A1305" t="n">
        <x:v>1304</x:v>
      </x:c>
      <x:c r="B1305" t="n">
        <x:v>34</x:v>
      </x:c>
      <x:c r="C1305" t="str">
        <x:v>Female</x:v>
      </x:c>
      <x:c r="D1305" t="str">
        <x:v>Accessories</x:v>
      </x:c>
      <x:c r="E1305" t="str">
        <x:v>Sunglasses</x:v>
      </x:c>
      <x:c r="F1305" s="24" t="n">
        <x:v>159.39</x:v>
      </x:c>
      <x:c r="G1305" t="str">
        <x:v>Spring</x:v>
      </x:c>
      <x:c r="H1305" t="str">
        <x:v>Card</x:v>
      </x:c>
      <x:c r="I1305" t="n">
        <x:v>3</x:v>
      </x:c>
      <x:c r="J1305" t="n">
        <x:v>6</x:v>
      </x:c>
      <x:c r="K1305" t="n">
        <x:v>3</x:v>
      </x:c>
      <x:c r="L1305" t="str">
        <x:v>STORE-001</x:v>
      </x:c>
      <x:c r="M1305" s="22" t="n">
        <x:v>45964</x:v>
      </x:c>
      <x:c r="N1305" t="str">
        <x:v>SKU-026</x:v>
      </x:c>
      <x:c r="O1305" t="n">
        <x:v>1</x:v>
      </x:c>
      <x:c r="P1305" s="26" t="n">
        <x:f>F1305/O1305</x:f>
        <x:v>159.39</x:v>
      </x:c>
    </x:row>
    <x:row r="1306">
      <x:c r="A1306" t="n">
        <x:v>1305</x:v>
      </x:c>
      <x:c r="B1306" t="n">
        <x:v>22</x:v>
      </x:c>
      <x:c r="C1306" t="str">
        <x:v>Female</x:v>
      </x:c>
      <x:c r="D1306" t="str">
        <x:v>Groceries</x:v>
      </x:c>
      <x:c r="E1306" t="str">
        <x:v>Cooking Oil</x:v>
      </x:c>
      <x:c r="F1306" s="24" t="n">
        <x:v>60.87</x:v>
      </x:c>
      <x:c r="G1306" t="str">
        <x:v>Winter</x:v>
      </x:c>
      <x:c r="H1306" t="str">
        <x:v>Card</x:v>
      </x:c>
      <x:c r="I1306" t="n">
        <x:v>3.6</x:v>
      </x:c>
      <x:c r="J1306" t="n">
        <x:v>14</x:v>
      </x:c>
      <x:c r="K1306" t="n">
        <x:v>7</x:v>
      </x:c>
      <x:c r="L1306" t="str">
        <x:v>STORE-001</x:v>
      </x:c>
      <x:c r="M1306" s="22" t="n">
        <x:v>46175</x:v>
      </x:c>
      <x:c r="N1306" t="str">
        <x:v>SKU-002</x:v>
      </x:c>
      <x:c r="O1306" t="n">
        <x:v>1</x:v>
      </x:c>
      <x:c r="P1306" s="26" t="n">
        <x:f>F1306/O1306</x:f>
        <x:v>60.87</x:v>
      </x:c>
    </x:row>
    <x:row r="1307">
      <x:c r="A1307" t="n">
        <x:v>1306</x:v>
      </x:c>
      <x:c r="B1307" t="n">
        <x:v>70</x:v>
      </x:c>
      <x:c r="C1307" t="str">
        <x:v>Male</x:v>
      </x:c>
      <x:c r="D1307" t="str">
        <x:v>Footwear</x:v>
      </x:c>
      <x:c r="E1307" t="str">
        <x:v>Formal Shoes</x:v>
      </x:c>
      <x:c r="F1307" s="24" t="n">
        <x:v>61.28</x:v>
      </x:c>
      <x:c r="G1307" t="str">
        <x:v>Summer</x:v>
      </x:c>
      <x:c r="H1307" t="str">
        <x:v>Card</x:v>
      </x:c>
      <x:c r="I1307" t="n">
        <x:v>4.6</x:v>
      </x:c>
      <x:c r="J1307" t="n">
        <x:v>14</x:v>
      </x:c>
      <x:c r="K1307" t="n">
        <x:v>7</x:v>
      </x:c>
      <x:c r="L1307" t="str">
        <x:v>STORE-001</x:v>
      </x:c>
      <x:c r="M1307" s="22" t="n">
        <x:v>46035</x:v>
      </x:c>
      <x:c r="N1307" t="str">
        <x:v>SKU-007</x:v>
      </x:c>
      <x:c r="O1307" t="n">
        <x:v>1</x:v>
      </x:c>
      <x:c r="P1307" s="26" t="n">
        <x:f>F1307/O1307</x:f>
        <x:v>61.28</x:v>
      </x:c>
    </x:row>
    <x:row r="1308">
      <x:c r="A1308" t="n">
        <x:v>1307</x:v>
      </x:c>
      <x:c r="B1308" t="n">
        <x:v>42</x:v>
      </x:c>
      <x:c r="C1308" t="str">
        <x:v>Male</x:v>
      </x:c>
      <x:c r="D1308" t="str">
        <x:v>Footwear</x:v>
      </x:c>
      <x:c r="E1308" t="str">
        <x:v>Sandals</x:v>
      </x:c>
      <x:c r="F1308" s="24" t="n">
        <x:v>219.14</x:v>
      </x:c>
      <x:c r="G1308" t="str">
        <x:v>Winter</x:v>
      </x:c>
      <x:c r="H1308" t="str">
        <x:v>Card</x:v>
      </x:c>
      <x:c r="I1308" t="n">
        <x:v>4.2</x:v>
      </x:c>
      <x:c r="J1308" t="n">
        <x:v>18</x:v>
      </x:c>
      <x:c r="K1308" t="n">
        <x:v>4</x:v>
      </x:c>
      <x:c r="L1308" t="str">
        <x:v>STORE-001</x:v>
      </x:c>
      <x:c r="M1308" s="22" t="n">
        <x:v>46211</x:v>
      </x:c>
      <x:c r="N1308" t="str">
        <x:v>SKU-019</x:v>
      </x:c>
      <x:c r="O1308" t="n">
        <x:v>2</x:v>
      </x:c>
      <x:c r="P1308" s="26" t="n">
        <x:f>F1308/O1308</x:f>
        <x:v>109.57</x:v>
      </x:c>
    </x:row>
    <x:row r="1309">
      <x:c r="A1309" t="n">
        <x:v>1308</x:v>
      </x:c>
      <x:c r="B1309" t="n">
        <x:v>22</x:v>
      </x:c>
      <x:c r="C1309" t="str">
        <x:v>Female</x:v>
      </x:c>
      <x:c r="D1309" t="str">
        <x:v>Womens Clothing</x:v>
      </x:c>
      <x:c r="E1309" t="str">
        <x:v>Skirt</x:v>
      </x:c>
      <x:c r="F1309" s="24" t="n">
        <x:v>125.23</x:v>
      </x:c>
      <x:c r="G1309" t="str">
        <x:v>Winter</x:v>
      </x:c>
      <x:c r="H1309" t="str">
        <x:v>Card</x:v>
      </x:c>
      <x:c r="I1309" t="n">
        <x:v>4.8</x:v>
      </x:c>
      <x:c r="J1309" t="n">
        <x:v>13</x:v>
      </x:c>
      <x:c r="K1309" t="n">
        <x:v>4</x:v>
      </x:c>
      <x:c r="L1309" t="str">
        <x:v>STORE-001</x:v>
      </x:c>
      <x:c r="M1309" s="22" t="n">
        <x:v>46235</x:v>
      </x:c>
      <x:c r="N1309" t="str">
        <x:v>SKU-022</x:v>
      </x:c>
      <x:c r="O1309" t="n">
        <x:v>1</x:v>
      </x:c>
      <x:c r="P1309" s="26" t="n">
        <x:f>F1309/O1309</x:f>
        <x:v>125.23</x:v>
      </x:c>
    </x:row>
    <x:row r="1310">
      <x:c r="A1310" t="n">
        <x:v>1309</x:v>
      </x:c>
      <x:c r="B1310" t="n">
        <x:v>39</x:v>
      </x:c>
      <x:c r="C1310" t="str">
        <x:v>Female</x:v>
      </x:c>
      <x:c r="D1310" t="str">
        <x:v>Accessories</x:v>
      </x:c>
      <x:c r="E1310" t="str">
        <x:v>Wallet</x:v>
      </x:c>
      <x:c r="F1310" s="24" t="n">
        <x:v>77.93</x:v>
      </x:c>
      <x:c r="G1310" t="str">
        <x:v>Summer</x:v>
      </x:c>
      <x:c r="H1310" t="str">
        <x:v>Card</x:v>
      </x:c>
      <x:c r="I1310" t="n">
        <x:v>3.5</x:v>
      </x:c>
      <x:c r="J1310" t="n">
        <x:v>10</x:v>
      </x:c>
      <x:c r="K1310" t="n">
        <x:v>5</x:v>
      </x:c>
      <x:c r="L1310" t="str">
        <x:v>STORE-001</x:v>
      </x:c>
      <x:c r="M1310" s="22" t="n">
        <x:v>46064</x:v>
      </x:c>
      <x:c r="N1310" t="str">
        <x:v>SKU-029</x:v>
      </x:c>
      <x:c r="O1310" t="n">
        <x:v>3</x:v>
      </x:c>
      <x:c r="P1310" s="26" t="n">
        <x:f>F1310/O1310</x:f>
        <x:v>25.97666666666667</x:v>
      </x:c>
    </x:row>
    <x:row r="1311">
      <x:c r="A1311" t="n">
        <x:v>1310</x:v>
      </x:c>
      <x:c r="B1311" t="n">
        <x:v>48</x:v>
      </x:c>
      <x:c r="C1311" t="str">
        <x:v>Male</x:v>
      </x:c>
      <x:c r="D1311" t="str">
        <x:v>Electronics</x:v>
      </x:c>
      <x:c r="E1311" t="str">
        <x:v>Smart Watch</x:v>
      </x:c>
      <x:c r="F1311" s="24" t="n">
        <x:v>579.51</x:v>
      </x:c>
      <x:c r="G1311" t="str">
        <x:v>Spring</x:v>
      </x:c>
      <x:c r="H1311" t="str">
        <x:v>Card</x:v>
      </x:c>
      <x:c r="I1311" t="n">
        <x:v>2.5</x:v>
      </x:c>
      <x:c r="J1311" t="n">
        <x:v>11</x:v>
      </x:c>
      <x:c r="K1311" t="n">
        <x:v>3</x:v>
      </x:c>
      <x:c r="L1311" t="str">
        <x:v>STORE-001</x:v>
      </x:c>
      <x:c r="M1311" s="22" t="n">
        <x:v>46282</x:v>
      </x:c>
      <x:c r="N1311" t="str">
        <x:v>SKU-023</x:v>
      </x:c>
      <x:c r="O1311" t="n">
        <x:v>1</x:v>
      </x:c>
      <x:c r="P1311" s="26" t="n">
        <x:f>F1311/O1311</x:f>
        <x:v>579.51</x:v>
      </x:c>
    </x:row>
    <x:row r="1312">
      <x:c r="A1312" t="n">
        <x:v>1311</x:v>
      </x:c>
      <x:c r="B1312" t="n">
        <x:v>58</x:v>
      </x:c>
      <x:c r="C1312" t="str">
        <x:v>Male</x:v>
      </x:c>
      <x:c r="D1312" t="str">
        <x:v>Mens Clothing</x:v>
      </x:c>
      <x:c r="E1312" t="str">
        <x:v>Jacket</x:v>
      </x:c>
      <x:c r="F1312" s="24" t="n">
        <x:v>142.47</x:v>
      </x:c>
      <x:c r="G1312" t="str">
        <x:v>Spring</x:v>
      </x:c>
      <x:c r="H1312" t="str">
        <x:v>Card</x:v>
      </x:c>
      <x:c r="I1312" t="n">
        <x:v>3.5</x:v>
      </x:c>
      <x:c r="J1312" t="n">
        <x:v>20</x:v>
      </x:c>
      <x:c r="K1312" t="n">
        <x:v>5</x:v>
      </x:c>
      <x:c r="L1312" t="str">
        <x:v>STORE-001</x:v>
      </x:c>
      <x:c r="M1312" s="22" t="n">
        <x:v>45987</x:v>
      </x:c>
      <x:c r="N1312" t="str">
        <x:v>SKU-010</x:v>
      </x:c>
      <x:c r="O1312" t="n">
        <x:v>1</x:v>
      </x:c>
      <x:c r="P1312" s="26" t="n">
        <x:f>F1312/O1312</x:f>
        <x:v>142.47</x:v>
      </x:c>
    </x:row>
    <x:row r="1313">
      <x:c r="A1313" t="n">
        <x:v>1312</x:v>
      </x:c>
      <x:c r="B1313" t="n">
        <x:v>21</x:v>
      </x:c>
      <x:c r="C1313" t="str">
        <x:v>Male</x:v>
      </x:c>
      <x:c r="D1313" t="str">
        <x:v>Sports</x:v>
      </x:c>
      <x:c r="E1313" t="str">
        <x:v>Yoga Mat</x:v>
      </x:c>
      <x:c r="F1313" s="24" t="n">
        <x:v>34.03</x:v>
      </x:c>
      <x:c r="G1313" t="str">
        <x:v>Summer</x:v>
      </x:c>
      <x:c r="H1313" t="str">
        <x:v>Cash on Delivery</x:v>
      </x:c>
      <x:c r="I1313" t="n">
        <x:v>3.3</x:v>
      </x:c>
      <x:c r="J1313" t="n">
        <x:v>6</x:v>
      </x:c>
      <x:c r="K1313" t="n">
        <x:v>3</x:v>
      </x:c>
      <x:c r="L1313" t="str">
        <x:v>STORE-001</x:v>
      </x:c>
      <x:c r="M1313" s="22" t="n">
        <x:v>45995</x:v>
      </x:c>
      <x:c r="N1313" t="str">
        <x:v>SKU-030</x:v>
      </x:c>
      <x:c r="O1313" t="n">
        <x:v>1</x:v>
      </x:c>
      <x:c r="P1313" s="26" t="n">
        <x:f>F1313/O1313</x:f>
        <x:v>34.03</x:v>
      </x:c>
    </x:row>
    <x:row r="1314">
      <x:c r="A1314" t="n">
        <x:v>1313</x:v>
      </x:c>
      <x:c r="B1314" t="n">
        <x:v>56</x:v>
      </x:c>
      <x:c r="C1314" t="str">
        <x:v>Male</x:v>
      </x:c>
      <x:c r="D1314" t="str">
        <x:v>Mens Clothing</x:v>
      </x:c>
      <x:c r="E1314" t="str">
        <x:v>Jeans</x:v>
      </x:c>
      <x:c r="F1314" s="24" t="n">
        <x:v>191.15</x:v>
      </x:c>
      <x:c r="G1314" t="str">
        <x:v>Summer</x:v>
      </x:c>
      <x:c r="H1314" t="str">
        <x:v>Card</x:v>
      </x:c>
      <x:c r="I1314" t="n">
        <x:v>3.2</x:v>
      </x:c>
      <x:c r="J1314" t="n">
        <x:v>30</x:v>
      </x:c>
      <x:c r="K1314" t="n">
        <x:v>10</x:v>
      </x:c>
      <x:c r="L1314" t="str">
        <x:v>STORE-001</x:v>
      </x:c>
      <x:c r="M1314" s="22" t="n">
        <x:v>45996</x:v>
      </x:c>
      <x:c r="N1314" t="str">
        <x:v>SKU-011</x:v>
      </x:c>
      <x:c r="O1314" t="n">
        <x:v>2</x:v>
      </x:c>
      <x:c r="P1314" s="26" t="n">
        <x:f>F1314/O1314</x:f>
        <x:v>95.575</x:v>
      </x:c>
    </x:row>
    <x:row r="1315">
      <x:c r="A1315" t="n">
        <x:v>1314</x:v>
      </x:c>
      <x:c r="B1315" t="n">
        <x:v>57</x:v>
      </x:c>
      <x:c r="C1315" t="str">
        <x:v>Female</x:v>
      </x:c>
      <x:c r="D1315" t="str">
        <x:v>Groceries</x:v>
      </x:c>
      <x:c r="E1315" t="str">
        <x:v>Cooking Oil</x:v>
      </x:c>
      <x:c r="F1315" s="24" t="n">
        <x:v>57.36</x:v>
      </x:c>
      <x:c r="G1315" t="str">
        <x:v>Summer</x:v>
      </x:c>
      <x:c r="H1315" t="str">
        <x:v>Card</x:v>
      </x:c>
      <x:c r="I1315" t="n">
        <x:v>3.8</x:v>
      </x:c>
      <x:c r="J1315" t="n">
        <x:v>20</x:v>
      </x:c>
      <x:c r="K1315" t="n">
        <x:v>5</x:v>
      </x:c>
      <x:c r="L1315" t="str">
        <x:v>STORE-001</x:v>
      </x:c>
      <x:c r="M1315" s="22" t="n">
        <x:v>45998</x:v>
      </x:c>
      <x:c r="N1315" t="str">
        <x:v>SKU-002</x:v>
      </x:c>
      <x:c r="O1315" t="n">
        <x:v>3</x:v>
      </x:c>
      <x:c r="P1315" s="26" t="n">
        <x:f>F1315/O1315</x:f>
        <x:v>19.12</x:v>
      </x:c>
    </x:row>
    <x:row r="1316">
      <x:c r="A1316" t="n">
        <x:v>1315</x:v>
      </x:c>
      <x:c r="B1316" t="n">
        <x:v>40</x:v>
      </x:c>
      <x:c r="C1316" t="str">
        <x:v>Male</x:v>
      </x:c>
      <x:c r="D1316" t="str">
        <x:v>Sports</x:v>
      </x:c>
      <x:c r="E1316" t="str">
        <x:v>Yoga Mat</x:v>
      </x:c>
      <x:c r="F1316" s="24" t="n">
        <x:v>235.9</x:v>
      </x:c>
      <x:c r="G1316" t="str">
        <x:v>Autumn</x:v>
      </x:c>
      <x:c r="H1316" t="str">
        <x:v>Card</x:v>
      </x:c>
      <x:c r="I1316" t="n">
        <x:v>3.5</x:v>
      </x:c>
      <x:c r="J1316" t="n">
        <x:v>13</x:v>
      </x:c>
      <x:c r="K1316" t="n">
        <x:v>4</x:v>
      </x:c>
      <x:c r="L1316" t="str">
        <x:v>STORE-001</x:v>
      </x:c>
      <x:c r="M1316" s="22" t="n">
        <x:v>46093</x:v>
      </x:c>
      <x:c r="N1316" t="str">
        <x:v>SKU-030</x:v>
      </x:c>
      <x:c r="O1316" t="n">
        <x:v>1</x:v>
      </x:c>
      <x:c r="P1316" s="26" t="n">
        <x:f>F1316/O1316</x:f>
        <x:v>235.9</x:v>
      </x:c>
    </x:row>
    <x:row r="1317">
      <x:c r="A1317" t="n">
        <x:v>1316</x:v>
      </x:c>
      <x:c r="B1317" t="n">
        <x:v>53</x:v>
      </x:c>
      <x:c r="C1317" t="str">
        <x:v>Male</x:v>
      </x:c>
      <x:c r="D1317" t="str">
        <x:v>Electronics</x:v>
      </x:c>
      <x:c r="E1317" t="str">
        <x:v>Smart Watch</x:v>
      </x:c>
      <x:c r="F1317" s="24" t="n">
        <x:v>1327.45</x:v>
      </x:c>
      <x:c r="G1317" t="str">
        <x:v>Summer</x:v>
      </x:c>
      <x:c r="H1317" t="str">
        <x:v>Card</x:v>
      </x:c>
      <x:c r="I1317" t="n">
        <x:v>3.9</x:v>
      </x:c>
      <x:c r="J1317" t="n">
        <x:v>6</x:v>
      </x:c>
      <x:c r="K1317" t="n">
        <x:v>3</x:v>
      </x:c>
      <x:c r="L1317" t="str">
        <x:v>STORE-001</x:v>
      </x:c>
      <x:c r="M1317" s="22" t="n">
        <x:v>46050</x:v>
      </x:c>
      <x:c r="N1317" t="str">
        <x:v>SKU-023</x:v>
      </x:c>
      <x:c r="O1317" t="n">
        <x:v>1</x:v>
      </x:c>
      <x:c r="P1317" s="26" t="n">
        <x:f>F1317/O1317</x:f>
        <x:v>1327.45</x:v>
      </x:c>
    </x:row>
    <x:row r="1318">
      <x:c r="A1318" t="n">
        <x:v>1317</x:v>
      </x:c>
      <x:c r="B1318" t="n">
        <x:v>69</x:v>
      </x:c>
      <x:c r="C1318" t="str">
        <x:v>Male</x:v>
      </x:c>
      <x:c r="D1318" t="str">
        <x:v>Home</x:v>
      </x:c>
      <x:c r="E1318" t="str">
        <x:v>Kitchen Set</x:v>
      </x:c>
      <x:c r="F1318" s="24" t="n">
        <x:v>120.8</x:v>
      </x:c>
      <x:c r="G1318" t="str">
        <x:v>Spring</x:v>
      </x:c>
      <x:c r="H1318" t="str">
        <x:v>Card</x:v>
      </x:c>
      <x:c r="I1318" t="n">
        <x:v>4.8</x:v>
      </x:c>
      <x:c r="J1318" t="n">
        <x:v>20</x:v>
      </x:c>
      <x:c r="K1318" t="n">
        <x:v>5</x:v>
      </x:c>
      <x:c r="L1318" t="str">
        <x:v>STORE-001</x:v>
      </x:c>
      <x:c r="M1318" s="22" t="n">
        <x:v>46279</x:v>
      </x:c>
      <x:c r="N1318" t="str">
        <x:v>SKU-012</x:v>
      </x:c>
      <x:c r="O1318" t="n">
        <x:v>3</x:v>
      </x:c>
      <x:c r="P1318" s="26" t="n">
        <x:f>F1318/O1318</x:f>
        <x:v>40.266666666666666</x:v>
      </x:c>
    </x:row>
    <x:row r="1319">
      <x:c r="A1319" t="n">
        <x:v>1318</x:v>
      </x:c>
      <x:c r="B1319" t="n">
        <x:v>30</x:v>
      </x:c>
      <x:c r="C1319" t="str">
        <x:v>Male</x:v>
      </x:c>
      <x:c r="D1319" t="str">
        <x:v>Electronics</x:v>
      </x:c>
      <x:c r="E1319" t="str">
        <x:v>Laptop</x:v>
      </x:c>
      <x:c r="F1319" s="24" t="n">
        <x:v>2944.78</x:v>
      </x:c>
      <x:c r="G1319" t="str">
        <x:v>Spring</x:v>
      </x:c>
      <x:c r="H1319" t="str">
        <x:v>Card</x:v>
      </x:c>
      <x:c r="I1319" t="n">
        <x:v>4</x:v>
      </x:c>
      <x:c r="J1319" t="n">
        <x:v>23</x:v>
      </x:c>
      <x:c r="K1319" t="n">
        <x:v>9</x:v>
      </x:c>
      <x:c r="L1319" t="str">
        <x:v>STORE-001</x:v>
      </x:c>
      <x:c r="M1319" s="22" t="n">
        <x:v>45958</x:v>
      </x:c>
      <x:c r="N1319" t="str">
        <x:v>SKU-014</x:v>
      </x:c>
      <x:c r="O1319" t="n">
        <x:v>2</x:v>
      </x:c>
      <x:c r="P1319" s="26" t="n">
        <x:f>F1319/O1319</x:f>
        <x:v>1472.39</x:v>
      </x:c>
    </x:row>
    <x:row r="1320">
      <x:c r="A1320" t="n">
        <x:v>1319</x:v>
      </x:c>
      <x:c r="B1320" t="n">
        <x:v>52</x:v>
      </x:c>
      <x:c r="C1320" t="str">
        <x:v>Female</x:v>
      </x:c>
      <x:c r="D1320" t="str">
        <x:v>Beauty</x:v>
      </x:c>
      <x:c r="E1320" t="str">
        <x:v>Skincare Kit</x:v>
      </x:c>
      <x:c r="F1320" s="24" t="n">
        <x:v>105.98</x:v>
      </x:c>
      <x:c r="G1320" t="str">
        <x:v>Spring</x:v>
      </x:c>
      <x:c r="H1320" t="str">
        <x:v>Card</x:v>
      </x:c>
      <x:c r="I1320" t="n">
        <x:v>3.9</x:v>
      </x:c>
      <x:c r="J1320" t="n">
        <x:v>19</x:v>
      </x:c>
      <x:c r="K1320" t="n">
        <x:v>7</x:v>
      </x:c>
      <x:c r="L1320" t="str">
        <x:v>STORE-001</x:v>
      </x:c>
      <x:c r="M1320" s="22" t="n">
        <x:v>45979</x:v>
      </x:c>
      <x:c r="N1320" t="str">
        <x:v>SKU-021</x:v>
      </x:c>
      <x:c r="O1320" t="n">
        <x:v>1</x:v>
      </x:c>
      <x:c r="P1320" s="26" t="n">
        <x:f>F1320/O1320</x:f>
        <x:v>105.98</x:v>
      </x:c>
    </x:row>
    <x:row r="1321">
      <x:c r="A1321" t="n">
        <x:v>1320</x:v>
      </x:c>
      <x:c r="B1321" t="n">
        <x:v>24</x:v>
      </x:c>
      <x:c r="C1321" t="str">
        <x:v>Male</x:v>
      </x:c>
      <x:c r="D1321" t="str">
        <x:v>Sports</x:v>
      </x:c>
      <x:c r="E1321" t="str">
        <x:v>Football</x:v>
      </x:c>
      <x:c r="F1321" s="24" t="n">
        <x:v>71.53</x:v>
      </x:c>
      <x:c r="G1321" t="str">
        <x:v>Autumn</x:v>
      </x:c>
      <x:c r="H1321" t="str">
        <x:v>Card</x:v>
      </x:c>
      <x:c r="I1321" t="n">
        <x:v>4</x:v>
      </x:c>
      <x:c r="J1321" t="n">
        <x:v>11</x:v>
      </x:c>
      <x:c r="K1321" t="n">
        <x:v>3</x:v>
      </x:c>
      <x:c r="L1321" t="str">
        <x:v>STORE-001</x:v>
      </x:c>
      <x:c r="M1321" s="22" t="n">
        <x:v>46098</x:v>
      </x:c>
      <x:c r="N1321" t="str">
        <x:v>SKU-006</x:v>
      </x:c>
      <x:c r="O1321" t="n">
        <x:v>4</x:v>
      </x:c>
      <x:c r="P1321" s="26" t="n">
        <x:f>F1321/O1321</x:f>
        <x:v>17.8825</x:v>
      </x:c>
    </x:row>
    <x:row r="1322">
      <x:c r="A1322" t="n">
        <x:v>1321</x:v>
      </x:c>
      <x:c r="B1322" t="n">
        <x:v>51</x:v>
      </x:c>
      <x:c r="C1322" t="str">
        <x:v>Female</x:v>
      </x:c>
      <x:c r="D1322" t="str">
        <x:v>Beauty</x:v>
      </x:c>
      <x:c r="E1322" t="str">
        <x:v>Skincare Kit</x:v>
      </x:c>
      <x:c r="F1322" s="24" t="n">
        <x:v>30.99</x:v>
      </x:c>
      <x:c r="G1322" t="str">
        <x:v>Summer</x:v>
      </x:c>
      <x:c r="H1322" t="str">
        <x:v>Cash on Delivery</x:v>
      </x:c>
      <x:c r="I1322" t="n">
        <x:v>3.4</x:v>
      </x:c>
      <x:c r="J1322" t="n">
        <x:v>8</x:v>
      </x:c>
      <x:c r="K1322" t="n">
        <x:v>4</x:v>
      </x:c>
      <x:c r="L1322" t="str">
        <x:v>STORE-001</x:v>
      </x:c>
      <x:c r="M1322" s="22" t="n">
        <x:v>46029</x:v>
      </x:c>
      <x:c r="N1322" t="str">
        <x:v>SKU-021</x:v>
      </x:c>
      <x:c r="O1322" t="n">
        <x:v>1</x:v>
      </x:c>
      <x:c r="P1322" s="26" t="n">
        <x:f>F1322/O1322</x:f>
        <x:v>30.99</x:v>
      </x:c>
    </x:row>
    <x:row r="1323">
      <x:c r="A1323" t="n">
        <x:v>1322</x:v>
      </x:c>
      <x:c r="B1323" t="n">
        <x:v>50</x:v>
      </x:c>
      <x:c r="C1323" t="str">
        <x:v>Female</x:v>
      </x:c>
      <x:c r="D1323" t="str">
        <x:v>Beauty</x:v>
      </x:c>
      <x:c r="E1323" t="str">
        <x:v>Makeup Set</x:v>
      </x:c>
      <x:c r="F1323" s="24" t="n">
        <x:v>53.04</x:v>
      </x:c>
      <x:c r="G1323" t="str">
        <x:v>Summer</x:v>
      </x:c>
      <x:c r="H1323" t="str">
        <x:v>Cash on Delivery</x:v>
      </x:c>
      <x:c r="I1323" t="n">
        <x:v>3.7</x:v>
      </x:c>
      <x:c r="J1323" t="n">
        <x:v>10</x:v>
      </x:c>
      <x:c r="K1323" t="n">
        <x:v>0</x:v>
      </x:c>
      <x:c r="L1323" t="str">
        <x:v>STORE-001</x:v>
      </x:c>
      <x:c r="M1323" s="22" t="n">
        <x:v>46015</x:v>
      </x:c>
      <x:c r="N1323" t="str">
        <x:v>SKU-015</x:v>
      </x:c>
      <x:c r="O1323" t="n">
        <x:v>2</x:v>
      </x:c>
      <x:c r="P1323" s="26" t="n">
        <x:f>F1323/O1323</x:f>
        <x:v>26.52</x:v>
      </x:c>
    </x:row>
    <x:row r="1324">
      <x:c r="A1324" t="n">
        <x:v>1323</x:v>
      </x:c>
      <x:c r="B1324" t="n">
        <x:v>52</x:v>
      </x:c>
      <x:c r="C1324" t="str">
        <x:v>Female</x:v>
      </x:c>
      <x:c r="D1324" t="str">
        <x:v>Beauty</x:v>
      </x:c>
      <x:c r="E1324" t="str">
        <x:v>Skincare Kit</x:v>
      </x:c>
      <x:c r="F1324" s="24" t="n">
        <x:v>50.77</x:v>
      </x:c>
      <x:c r="G1324" t="str">
        <x:v>Winter</x:v>
      </x:c>
      <x:c r="H1324" t="str">
        <x:v>Cash on Delivery</x:v>
      </x:c>
      <x:c r="I1324" t="n">
        <x:v>4.4</x:v>
      </x:c>
      <x:c r="J1324" t="n">
        <x:v>12</x:v>
      </x:c>
      <x:c r="K1324" t="n">
        <x:v>6</x:v>
      </x:c>
      <x:c r="L1324" t="str">
        <x:v>STORE-001</x:v>
      </x:c>
      <x:c r="M1324" s="22" t="n">
        <x:v>46222</x:v>
      </x:c>
      <x:c r="N1324" t="str">
        <x:v>SKU-021</x:v>
      </x:c>
      <x:c r="O1324" t="n">
        <x:v>1</x:v>
      </x:c>
      <x:c r="P1324" s="26" t="n">
        <x:f>F1324/O1324</x:f>
        <x:v>50.77</x:v>
      </x:c>
    </x:row>
    <x:row r="1325">
      <x:c r="A1325" t="n">
        <x:v>1324</x:v>
      </x:c>
      <x:c r="B1325" t="n">
        <x:v>23</x:v>
      </x:c>
      <x:c r="C1325" t="str">
        <x:v>Female</x:v>
      </x:c>
      <x:c r="D1325" t="str">
        <x:v>Beauty</x:v>
      </x:c>
      <x:c r="E1325" t="str">
        <x:v>Skincare Kit</x:v>
      </x:c>
      <x:c r="F1325" s="24" t="n">
        <x:v>25.79</x:v>
      </x:c>
      <x:c r="G1325" t="str">
        <x:v>Autumn</x:v>
      </x:c>
      <x:c r="H1325" t="str">
        <x:v>Card</x:v>
      </x:c>
      <x:c r="I1325" t="n">
        <x:v>4.6</x:v>
      </x:c>
      <x:c r="J1325" t="n">
        <x:v>16</x:v>
      </x:c>
      <x:c r="K1325" t="n">
        <x:v>8</x:v>
      </x:c>
      <x:c r="L1325" t="str">
        <x:v>STORE-001</x:v>
      </x:c>
      <x:c r="M1325" s="22" t="n">
        <x:v>46135</x:v>
      </x:c>
      <x:c r="N1325" t="str">
        <x:v>SKU-021</x:v>
      </x:c>
      <x:c r="O1325" t="n">
        <x:v>1</x:v>
      </x:c>
      <x:c r="P1325" s="26" t="n">
        <x:f>F1325/O1325</x:f>
        <x:v>25.79</x:v>
      </x:c>
    </x:row>
    <x:row r="1326">
      <x:c r="A1326" t="n">
        <x:v>1325</x:v>
      </x:c>
      <x:c r="B1326" t="n">
        <x:v>64</x:v>
      </x:c>
      <x:c r="C1326" t="str">
        <x:v>Male</x:v>
      </x:c>
      <x:c r="D1326" t="str">
        <x:v>Sports</x:v>
      </x:c>
      <x:c r="E1326" t="str">
        <x:v>Dumbbells</x:v>
      </x:c>
      <x:c r="F1326" s="24" t="n">
        <x:v>194.44</x:v>
      </x:c>
      <x:c r="G1326" t="str">
        <x:v>Winter</x:v>
      </x:c>
      <x:c r="H1326" t="str">
        <x:v>Card</x:v>
      </x:c>
      <x:c r="I1326" t="n">
        <x:v>4.3</x:v>
      </x:c>
      <x:c r="J1326" t="n">
        <x:v>30</x:v>
      </x:c>
      <x:c r="K1326" t="n">
        <x:v>10</x:v>
      </x:c>
      <x:c r="L1326" t="str">
        <x:v>STORE-001</x:v>
      </x:c>
      <x:c r="M1326" s="22" t="n">
        <x:v>46257</x:v>
      </x:c>
      <x:c r="N1326" t="str">
        <x:v>SKU-005</x:v>
      </x:c>
      <x:c r="O1326" t="n">
        <x:v>3</x:v>
      </x:c>
      <x:c r="P1326" s="26" t="n">
        <x:f>F1326/O1326</x:f>
        <x:v>64.81333333333333</x:v>
      </x:c>
    </x:row>
    <x:row r="1327">
      <x:c r="A1327" t="n">
        <x:v>1326</x:v>
      </x:c>
      <x:c r="B1327" t="n">
        <x:v>25</x:v>
      </x:c>
      <x:c r="C1327" t="str">
        <x:v>Female</x:v>
      </x:c>
      <x:c r="D1327" t="str">
        <x:v>Footwear</x:v>
      </x:c>
      <x:c r="E1327" t="str">
        <x:v>Formal Shoes</x:v>
      </x:c>
      <x:c r="F1327" s="24" t="n">
        <x:v>160.51</x:v>
      </x:c>
      <x:c r="G1327" t="str">
        <x:v>Summer</x:v>
      </x:c>
      <x:c r="H1327" t="str">
        <x:v>Card</x:v>
      </x:c>
      <x:c r="I1327" t="n">
        <x:v>3.4</x:v>
      </x:c>
      <x:c r="J1327" t="n">
        <x:v>15</x:v>
      </x:c>
      <x:c r="K1327" t="n">
        <x:v>5</x:v>
      </x:c>
      <x:c r="L1327" t="str">
        <x:v>STORE-001</x:v>
      </x:c>
      <x:c r="M1327" s="22" t="n">
        <x:v>46047</x:v>
      </x:c>
      <x:c r="N1327" t="str">
        <x:v>SKU-007</x:v>
      </x:c>
      <x:c r="O1327" t="n">
        <x:v>1</x:v>
      </x:c>
      <x:c r="P1327" s="26" t="n">
        <x:f>F1327/O1327</x:f>
        <x:v>160.51</x:v>
      </x:c>
    </x:row>
    <x:row r="1328">
      <x:c r="A1328" t="n">
        <x:v>1327</x:v>
      </x:c>
      <x:c r="B1328" t="n">
        <x:v>67</x:v>
      </x:c>
      <x:c r="C1328" t="str">
        <x:v>Male</x:v>
      </x:c>
      <x:c r="D1328" t="str">
        <x:v>Sports</x:v>
      </x:c>
      <x:c r="E1328" t="str">
        <x:v>Yoga Mat</x:v>
      </x:c>
      <x:c r="F1328" s="24" t="n">
        <x:v>36.44</x:v>
      </x:c>
      <x:c r="G1328" t="str">
        <x:v>Spring</x:v>
      </x:c>
      <x:c r="H1328" t="str">
        <x:v>Card</x:v>
      </x:c>
      <x:c r="I1328" t="n">
        <x:v>3</x:v>
      </x:c>
      <x:c r="J1328" t="n">
        <x:v>13</x:v>
      </x:c>
      <x:c r="K1328" t="n">
        <x:v>4</x:v>
      </x:c>
      <x:c r="L1328" t="str">
        <x:v>STORE-001</x:v>
      </x:c>
      <x:c r="M1328" s="22" t="n">
        <x:v>46267</x:v>
      </x:c>
      <x:c r="N1328" t="str">
        <x:v>SKU-030</x:v>
      </x:c>
      <x:c r="O1328" t="n">
        <x:v>1</x:v>
      </x:c>
      <x:c r="P1328" s="26" t="n">
        <x:f>F1328/O1328</x:f>
        <x:v>36.44</x:v>
      </x:c>
    </x:row>
    <x:row r="1329">
      <x:c r="A1329" t="n">
        <x:v>1328</x:v>
      </x:c>
      <x:c r="B1329" t="n">
        <x:v>57</x:v>
      </x:c>
      <x:c r="C1329" t="str">
        <x:v>Female</x:v>
      </x:c>
      <x:c r="D1329" t="str">
        <x:v>Accessories</x:v>
      </x:c>
      <x:c r="E1329" t="str">
        <x:v>Sunglasses</x:v>
      </x:c>
      <x:c r="F1329" s="24" t="n">
        <x:v>80.59</x:v>
      </x:c>
      <x:c r="G1329" t="str">
        <x:v>Summer</x:v>
      </x:c>
      <x:c r="H1329" t="str">
        <x:v>Cash on Delivery</x:v>
      </x:c>
      <x:c r="I1329" t="n">
        <x:v>3.1</x:v>
      </x:c>
      <x:c r="J1329" t="n">
        <x:v>16</x:v>
      </x:c>
      <x:c r="K1329" t="n">
        <x:v>3</x:v>
      </x:c>
      <x:c r="L1329" t="str">
        <x:v>STORE-001</x:v>
      </x:c>
      <x:c r="M1329" s="22" t="n">
        <x:v>46025</x:v>
      </x:c>
      <x:c r="N1329" t="str">
        <x:v>SKU-026</x:v>
      </x:c>
      <x:c r="O1329" t="n">
        <x:v>3</x:v>
      </x:c>
      <x:c r="P1329" s="26" t="n">
        <x:f>F1329/O1329</x:f>
        <x:v>26.863333333333333</x:v>
      </x:c>
    </x:row>
    <x:row r="1330">
      <x:c r="A1330" t="n">
        <x:v>1329</x:v>
      </x:c>
      <x:c r="B1330" t="n">
        <x:v>36</x:v>
      </x:c>
      <x:c r="C1330" t="str">
        <x:v>Female</x:v>
      </x:c>
      <x:c r="D1330" t="str">
        <x:v>Womens Clothing</x:v>
      </x:c>
      <x:c r="E1330" t="str">
        <x:v>Skirt</x:v>
      </x:c>
      <x:c r="F1330" s="24" t="n">
        <x:v>194.05</x:v>
      </x:c>
      <x:c r="G1330" t="str">
        <x:v>Winter</x:v>
      </x:c>
      <x:c r="H1330" t="str">
        <x:v>Card</x:v>
      </x:c>
      <x:c r="I1330" t="n">
        <x:v>3.3</x:v>
      </x:c>
      <x:c r="J1330" t="n">
        <x:v>8</x:v>
      </x:c>
      <x:c r="K1330" t="n">
        <x:v>4</x:v>
      </x:c>
      <x:c r="L1330" t="str">
        <x:v>STORE-001</x:v>
      </x:c>
      <x:c r="M1330" s="22" t="n">
        <x:v>46264</x:v>
      </x:c>
      <x:c r="N1330" t="str">
        <x:v>SKU-022</x:v>
      </x:c>
      <x:c r="O1330" t="n">
        <x:v>1</x:v>
      </x:c>
      <x:c r="P1330" s="26" t="n">
        <x:f>F1330/O1330</x:f>
        <x:v>194.05</x:v>
      </x:c>
    </x:row>
    <x:row r="1331">
      <x:c r="A1331" t="n">
        <x:v>1330</x:v>
      </x:c>
      <x:c r="B1331" t="n">
        <x:v>62</x:v>
      </x:c>
      <x:c r="C1331" t="str">
        <x:v>Male</x:v>
      </x:c>
      <x:c r="D1331" t="str">
        <x:v>Mens Clothing</x:v>
      </x:c>
      <x:c r="E1331" t="str">
        <x:v>Shirt</x:v>
      </x:c>
      <x:c r="F1331" s="24" t="n">
        <x:v>143.18</x:v>
      </x:c>
      <x:c r="G1331" t="str">
        <x:v>Spring</x:v>
      </x:c>
      <x:c r="H1331" t="str">
        <x:v>Card</x:v>
      </x:c>
      <x:c r="I1331" t="n">
        <x:v>2.8</x:v>
      </x:c>
      <x:c r="J1331" t="n">
        <x:v>24</x:v>
      </x:c>
      <x:c r="K1331" t="n">
        <x:v>7</x:v>
      </x:c>
      <x:c r="L1331" t="str">
        <x:v>STORE-001</x:v>
      </x:c>
      <x:c r="M1331" s="22" t="n">
        <x:v>45982</x:v>
      </x:c>
      <x:c r="N1331" t="str">
        <x:v>SKU-020</x:v>
      </x:c>
      <x:c r="O1331" t="n">
        <x:v>1</x:v>
      </x:c>
      <x:c r="P1331" s="26" t="n">
        <x:f>F1331/O1331</x:f>
        <x:v>143.18</x:v>
      </x:c>
    </x:row>
    <x:row r="1332">
      <x:c r="A1332" t="n">
        <x:v>1331</x:v>
      </x:c>
      <x:c r="B1332" t="n">
        <x:v>47</x:v>
      </x:c>
      <x:c r="C1332" t="str">
        <x:v>Male</x:v>
      </x:c>
      <x:c r="D1332" t="str">
        <x:v>Electronics</x:v>
      </x:c>
      <x:c r="E1332" t="str">
        <x:v>Mobile Phone</x:v>
      </x:c>
      <x:c r="F1332" s="24" t="n">
        <x:v>1170.37</x:v>
      </x:c>
      <x:c r="G1332" t="str">
        <x:v>Autumn</x:v>
      </x:c>
      <x:c r="H1332" t="str">
        <x:v>Card</x:v>
      </x:c>
      <x:c r="I1332" t="n">
        <x:v>3.4</x:v>
      </x:c>
      <x:c r="J1332" t="n">
        <x:v>16</x:v>
      </x:c>
      <x:c r="K1332" t="n">
        <x:v>3</x:v>
      </x:c>
      <x:c r="L1332" t="str">
        <x:v>STORE-001</x:v>
      </x:c>
      <x:c r="M1332" s="22" t="n">
        <x:v>46122</x:v>
      </x:c>
      <x:c r="N1332" t="str">
        <x:v>SKU-016</x:v>
      </x:c>
      <x:c r="O1332" t="n">
        <x:v>1</x:v>
      </x:c>
      <x:c r="P1332" s="26" t="n">
        <x:f>F1332/O1332</x:f>
        <x:v>1170.37</x:v>
      </x:c>
    </x:row>
    <x:row r="1333">
      <x:c r="A1333" t="n">
        <x:v>1332</x:v>
      </x:c>
      <x:c r="B1333" t="n">
        <x:v>25</x:v>
      </x:c>
      <x:c r="C1333" t="str">
        <x:v>Female</x:v>
      </x:c>
      <x:c r="D1333" t="str">
        <x:v>Womens Clothing</x:v>
      </x:c>
      <x:c r="E1333" t="str">
        <x:v>Dress</x:v>
      </x:c>
      <x:c r="F1333" s="24" t="n">
        <x:v>164.39</x:v>
      </x:c>
      <x:c r="G1333" t="str">
        <x:v>Winter</x:v>
      </x:c>
      <x:c r="H1333" t="str">
        <x:v>Card</x:v>
      </x:c>
      <x:c r="I1333" t="n">
        <x:v>3.6</x:v>
      </x:c>
      <x:c r="J1333" t="n">
        <x:v>18</x:v>
      </x:c>
      <x:c r="K1333" t="n">
        <x:v>4</x:v>
      </x:c>
      <x:c r="L1333" t="str">
        <x:v>STORE-001</x:v>
      </x:c>
      <x:c r="M1333" s="22" t="n">
        <x:v>46192</x:v>
      </x:c>
      <x:c r="N1333" t="str">
        <x:v>SKU-004</x:v>
      </x:c>
      <x:c r="O1333" t="n">
        <x:v>1</x:v>
      </x:c>
      <x:c r="P1333" s="26" t="n">
        <x:f>F1333/O1333</x:f>
        <x:v>164.39</x:v>
      </x:c>
    </x:row>
    <x:row r="1334">
      <x:c r="A1334" t="n">
        <x:v>1333</x:v>
      </x:c>
      <x:c r="B1334" t="n">
        <x:v>56</x:v>
      </x:c>
      <x:c r="C1334" t="str">
        <x:v>Male</x:v>
      </x:c>
      <x:c r="D1334" t="str">
        <x:v>Sports</x:v>
      </x:c>
      <x:c r="E1334" t="str">
        <x:v>Yoga Mat</x:v>
      </x:c>
      <x:c r="F1334" s="24" t="n">
        <x:v>52.53</x:v>
      </x:c>
      <x:c r="G1334" t="str">
        <x:v>Summer</x:v>
      </x:c>
      <x:c r="H1334" t="str">
        <x:v>Cash on Delivery</x:v>
      </x:c>
      <x:c r="I1334" t="n">
        <x:v>3.1</x:v>
      </x:c>
      <x:c r="J1334" t="n">
        <x:v>14</x:v>
      </x:c>
      <x:c r="K1334" t="n">
        <x:v>2</x:v>
      </x:c>
      <x:c r="L1334" t="str">
        <x:v>STORE-001</x:v>
      </x:c>
      <x:c r="M1334" s="22" t="n">
        <x:v>46081</x:v>
      </x:c>
      <x:c r="N1334" t="str">
        <x:v>SKU-030</x:v>
      </x:c>
      <x:c r="O1334" t="n">
        <x:v>1</x:v>
      </x:c>
      <x:c r="P1334" s="26" t="n">
        <x:f>F1334/O1334</x:f>
        <x:v>52.53</x:v>
      </x:c>
    </x:row>
    <x:row r="1335">
      <x:c r="A1335" t="n">
        <x:v>1334</x:v>
      </x:c>
      <x:c r="B1335" t="n">
        <x:v>55</x:v>
      </x:c>
      <x:c r="C1335" t="str">
        <x:v>Female</x:v>
      </x:c>
      <x:c r="D1335" t="str">
        <x:v>Footwear</x:v>
      </x:c>
      <x:c r="E1335" t="str">
        <x:v>Sandals</x:v>
      </x:c>
      <x:c r="F1335" s="24" t="n">
        <x:v>46.45</x:v>
      </x:c>
      <x:c r="G1335" t="str">
        <x:v>Winter</x:v>
      </x:c>
      <x:c r="H1335" t="str">
        <x:v>Card</x:v>
      </x:c>
      <x:c r="I1335" t="n">
        <x:v>4.9</x:v>
      </x:c>
      <x:c r="J1335" t="n">
        <x:v>16</x:v>
      </x:c>
      <x:c r="K1335" t="n">
        <x:v>8</x:v>
      </x:c>
      <x:c r="L1335" t="str">
        <x:v>STORE-001</x:v>
      </x:c>
      <x:c r="M1335" s="22" t="n">
        <x:v>46223</x:v>
      </x:c>
      <x:c r="N1335" t="str">
        <x:v>SKU-019</x:v>
      </x:c>
      <x:c r="O1335" t="n">
        <x:v>1</x:v>
      </x:c>
      <x:c r="P1335" s="26" t="n">
        <x:f>F1335/O1335</x:f>
        <x:v>46.45</x:v>
      </x:c>
    </x:row>
    <x:row r="1336">
      <x:c r="A1336" t="n">
        <x:v>1335</x:v>
      </x:c>
      <x:c r="B1336" t="n">
        <x:v>34</x:v>
      </x:c>
      <x:c r="C1336" t="str">
        <x:v>Male</x:v>
      </x:c>
      <x:c r="D1336" t="str">
        <x:v>Footwear</x:v>
      </x:c>
      <x:c r="E1336" t="str">
        <x:v>Sneakers</x:v>
      </x:c>
      <x:c r="F1336" s="24" t="n">
        <x:v>85.32</x:v>
      </x:c>
      <x:c r="G1336" t="str">
        <x:v>Summer</x:v>
      </x:c>
      <x:c r="H1336" t="str">
        <x:v>Cash on Delivery</x:v>
      </x:c>
      <x:c r="I1336" t="n">
        <x:v>4.8</x:v>
      </x:c>
      <x:c r="J1336" t="n">
        <x:v>15</x:v>
      </x:c>
      <x:c r="K1336" t="n">
        <x:v>5</x:v>
      </x:c>
      <x:c r="L1336" t="str">
        <x:v>STORE-001</x:v>
      </x:c>
      <x:c r="M1336" s="22" t="n">
        <x:v>45996</x:v>
      </x:c>
      <x:c r="N1336" t="str">
        <x:v>SKU-025</x:v>
      </x:c>
      <x:c r="O1336" t="n">
        <x:v>1</x:v>
      </x:c>
      <x:c r="P1336" s="26" t="n">
        <x:f>F1336/O1336</x:f>
        <x:v>85.32</x:v>
      </x:c>
    </x:row>
    <x:row r="1337">
      <x:c r="A1337" t="n">
        <x:v>1336</x:v>
      </x:c>
      <x:c r="B1337" t="n">
        <x:v>58</x:v>
      </x:c>
      <x:c r="C1337" t="str">
        <x:v>Male</x:v>
      </x:c>
      <x:c r="D1337" t="str">
        <x:v>Electronics</x:v>
      </x:c>
      <x:c r="E1337" t="str">
        <x:v>Mobile Phone</x:v>
      </x:c>
      <x:c r="F1337" s="24" t="n">
        <x:v>1082.29</x:v>
      </x:c>
      <x:c r="G1337" t="str">
        <x:v>Summer</x:v>
      </x:c>
      <x:c r="H1337" t="str">
        <x:v>Card</x:v>
      </x:c>
      <x:c r="I1337" t="n">
        <x:v>3.2</x:v>
      </x:c>
      <x:c r="J1337" t="n">
        <x:v>8</x:v>
      </x:c>
      <x:c r="K1337" t="n">
        <x:v>4</x:v>
      </x:c>
      <x:c r="L1337" t="str">
        <x:v>STORE-001</x:v>
      </x:c>
      <x:c r="M1337" s="22" t="n">
        <x:v>45999</x:v>
      </x:c>
      <x:c r="N1337" t="str">
        <x:v>SKU-016</x:v>
      </x:c>
      <x:c r="O1337" t="n">
        <x:v>1</x:v>
      </x:c>
      <x:c r="P1337" s="26" t="n">
        <x:f>F1337/O1337</x:f>
        <x:v>1082.29</x:v>
      </x:c>
    </x:row>
    <x:row r="1338">
      <x:c r="A1338" t="n">
        <x:v>1337</x:v>
      </x:c>
      <x:c r="B1338" t="n">
        <x:v>60</x:v>
      </x:c>
      <x:c r="C1338" t="str">
        <x:v>Female</x:v>
      </x:c>
      <x:c r="D1338" t="str">
        <x:v>Accessories</x:v>
      </x:c>
      <x:c r="E1338" t="str">
        <x:v>Wallet</x:v>
      </x:c>
      <x:c r="F1338" s="24" t="n">
        <x:v>97.14</x:v>
      </x:c>
      <x:c r="G1338" t="str">
        <x:v>Autumn</x:v>
      </x:c>
      <x:c r="H1338" t="str">
        <x:v>Cash on Delivery</x:v>
      </x:c>
      <x:c r="I1338" t="n">
        <x:v>3.3</x:v>
      </x:c>
      <x:c r="J1338" t="n">
        <x:v>17</x:v>
      </x:c>
      <x:c r="K1338" t="n">
        <x:v>6</x:v>
      </x:c>
      <x:c r="L1338" t="str">
        <x:v>STORE-001</x:v>
      </x:c>
      <x:c r="M1338" s="22" t="n">
        <x:v>46155</x:v>
      </x:c>
      <x:c r="N1338" t="str">
        <x:v>SKU-029</x:v>
      </x:c>
      <x:c r="O1338" t="n">
        <x:v>2</x:v>
      </x:c>
      <x:c r="P1338" s="26" t="n">
        <x:f>F1338/O1338</x:f>
        <x:v>48.57</x:v>
      </x:c>
    </x:row>
    <x:row r="1339">
      <x:c r="A1339" t="n">
        <x:v>1338</x:v>
      </x:c>
      <x:c r="B1339" t="n">
        <x:v>22</x:v>
      </x:c>
      <x:c r="C1339" t="str">
        <x:v>Female</x:v>
      </x:c>
      <x:c r="D1339" t="str">
        <x:v>Womens Clothing</x:v>
      </x:c>
      <x:c r="E1339" t="str">
        <x:v>Top</x:v>
      </x:c>
      <x:c r="F1339" s="24" t="n">
        <x:v>72.12</x:v>
      </x:c>
      <x:c r="G1339" t="str">
        <x:v>Autumn</x:v>
      </x:c>
      <x:c r="H1339" t="str">
        <x:v>Cash on Delivery</x:v>
      </x:c>
      <x:c r="I1339" t="n">
        <x:v>2.4</x:v>
      </x:c>
      <x:c r="J1339" t="n">
        <x:v>8</x:v>
      </x:c>
      <x:c r="K1339" t="n">
        <x:v>4</x:v>
      </x:c>
      <x:c r="L1339" t="str">
        <x:v>STORE-001</x:v>
      </x:c>
      <x:c r="M1339" s="22" t="n">
        <x:v>46089</x:v>
      </x:c>
      <x:c r="N1339" t="str">
        <x:v>SKU-028</x:v>
      </x:c>
      <x:c r="O1339" t="n">
        <x:v>1</x:v>
      </x:c>
      <x:c r="P1339" s="26" t="n">
        <x:f>F1339/O1339</x:f>
        <x:v>72.12</x:v>
      </x:c>
    </x:row>
    <x:row r="1340">
      <x:c r="A1340" t="n">
        <x:v>1339</x:v>
      </x:c>
      <x:c r="B1340" t="n">
        <x:v>31</x:v>
      </x:c>
      <x:c r="C1340" t="str">
        <x:v>Female</x:v>
      </x:c>
      <x:c r="D1340" t="str">
        <x:v>Womens Clothing</x:v>
      </x:c>
      <x:c r="E1340" t="str">
        <x:v>Jeans</x:v>
      </x:c>
      <x:c r="F1340" s="24" t="n">
        <x:v>115.32</x:v>
      </x:c>
      <x:c r="G1340" t="str">
        <x:v>Summer</x:v>
      </x:c>
      <x:c r="H1340" t="str">
        <x:v>Card</x:v>
      </x:c>
      <x:c r="I1340" t="n">
        <x:v>2.6</x:v>
      </x:c>
      <x:c r="J1340" t="n">
        <x:v>12</x:v>
      </x:c>
      <x:c r="K1340" t="n">
        <x:v>6</x:v>
      </x:c>
      <x:c r="L1340" t="str">
        <x:v>STORE-001</x:v>
      </x:c>
      <x:c r="M1340" s="22" t="n">
        <x:v>46023</x:v>
      </x:c>
      <x:c r="N1340" t="str">
        <x:v>SKU-011</x:v>
      </x:c>
      <x:c r="O1340" t="n">
        <x:v>1</x:v>
      </x:c>
      <x:c r="P1340" s="26" t="n">
        <x:f>F1340/O1340</x:f>
        <x:v>115.32</x:v>
      </x:c>
    </x:row>
    <x:row r="1341">
      <x:c r="A1341" t="n">
        <x:v>1340</x:v>
      </x:c>
      <x:c r="B1341" t="n">
        <x:v>51</x:v>
      </x:c>
      <x:c r="C1341" t="str">
        <x:v>Female</x:v>
      </x:c>
      <x:c r="D1341" t="str">
        <x:v>Beauty</x:v>
      </x:c>
      <x:c r="E1341" t="str">
        <x:v>Skincare Kit</x:v>
      </x:c>
      <x:c r="F1341" s="24" t="n">
        <x:v>76.33</x:v>
      </x:c>
      <x:c r="G1341" t="str">
        <x:v>Spring</x:v>
      </x:c>
      <x:c r="H1341" t="str">
        <x:v>Card</x:v>
      </x:c>
      <x:c r="I1341" t="n">
        <x:v>4</x:v>
      </x:c>
      <x:c r="J1341" t="n">
        <x:v>9</x:v>
      </x:c>
      <x:c r="K1341" t="n">
        <x:v>2</x:v>
      </x:c>
      <x:c r="L1341" t="str">
        <x:v>STORE-001</x:v>
      </x:c>
      <x:c r="M1341" s="22" t="n">
        <x:v>46277</x:v>
      </x:c>
      <x:c r="N1341" t="str">
        <x:v>SKU-021</x:v>
      </x:c>
      <x:c r="O1341" t="n">
        <x:v>4</x:v>
      </x:c>
      <x:c r="P1341" s="26" t="n">
        <x:f>F1341/O1341</x:f>
        <x:v>19.0825</x:v>
      </x:c>
    </x:row>
    <x:row r="1342">
      <x:c r="A1342" t="n">
        <x:v>1341</x:v>
      </x:c>
      <x:c r="B1342" t="n">
        <x:v>62</x:v>
      </x:c>
      <x:c r="C1342" t="str">
        <x:v>Male</x:v>
      </x:c>
      <x:c r="D1342" t="str">
        <x:v>Mens Clothing</x:v>
      </x:c>
      <x:c r="E1342" t="str">
        <x:v>Jacket</x:v>
      </x:c>
      <x:c r="F1342" s="24" t="n">
        <x:v>181.25</x:v>
      </x:c>
      <x:c r="G1342" t="str">
        <x:v>Summer</x:v>
      </x:c>
      <x:c r="H1342" t="str">
        <x:v>Card</x:v>
      </x:c>
      <x:c r="I1342" t="n">
        <x:v>2.8</x:v>
      </x:c>
      <x:c r="J1342" t="n">
        <x:v>21</x:v>
      </x:c>
      <x:c r="K1342" t="n">
        <x:v>8</x:v>
      </x:c>
      <x:c r="L1342" t="str">
        <x:v>STORE-001</x:v>
      </x:c>
      <x:c r="M1342" s="22" t="n">
        <x:v>46008</x:v>
      </x:c>
      <x:c r="N1342" t="str">
        <x:v>SKU-010</x:v>
      </x:c>
      <x:c r="O1342" t="n">
        <x:v>1</x:v>
      </x:c>
      <x:c r="P1342" s="26" t="n">
        <x:f>F1342/O1342</x:f>
        <x:v>181.25</x:v>
      </x:c>
    </x:row>
    <x:row r="1343">
      <x:c r="A1343" t="n">
        <x:v>1342</x:v>
      </x:c>
      <x:c r="B1343" t="n">
        <x:v>62</x:v>
      </x:c>
      <x:c r="C1343" t="str">
        <x:v>Male</x:v>
      </x:c>
      <x:c r="D1343" t="str">
        <x:v>Home</x:v>
      </x:c>
      <x:c r="E1343" t="str">
        <x:v>Kitchen Set</x:v>
      </x:c>
      <x:c r="F1343" s="24" t="n">
        <x:v>178.48</x:v>
      </x:c>
      <x:c r="G1343" t="str">
        <x:v>Spring</x:v>
      </x:c>
      <x:c r="H1343" t="str">
        <x:v>Card</x:v>
      </x:c>
      <x:c r="I1343" t="n">
        <x:v>2.9</x:v>
      </x:c>
      <x:c r="J1343" t="n">
        <x:v>20</x:v>
      </x:c>
      <x:c r="K1343" t="n">
        <x:v>5</x:v>
      </x:c>
      <x:c r="L1343" t="str">
        <x:v>STORE-001</x:v>
      </x:c>
      <x:c r="M1343" s="22" t="n">
        <x:v>45950</x:v>
      </x:c>
      <x:c r="N1343" t="str">
        <x:v>SKU-012</x:v>
      </x:c>
      <x:c r="O1343" t="n">
        <x:v>3</x:v>
      </x:c>
      <x:c r="P1343" s="26" t="n">
        <x:f>F1343/O1343</x:f>
        <x:v>59.49333333333333</x:v>
      </x:c>
    </x:row>
    <x:row r="1344">
      <x:c r="A1344" t="n">
        <x:v>1343</x:v>
      </x:c>
      <x:c r="B1344" t="n">
        <x:v>49</x:v>
      </x:c>
      <x:c r="C1344" t="str">
        <x:v>Male</x:v>
      </x:c>
      <x:c r="D1344" t="str">
        <x:v>Sports</x:v>
      </x:c>
      <x:c r="E1344" t="str">
        <x:v>Yoga Mat</x:v>
      </x:c>
      <x:c r="F1344" s="24" t="n">
        <x:v>28.95</x:v>
      </x:c>
      <x:c r="G1344" t="str">
        <x:v>Summer</x:v>
      </x:c>
      <x:c r="H1344" t="str">
        <x:v>Cash on Delivery</x:v>
      </x:c>
      <x:c r="I1344" t="n">
        <x:v>3.4</x:v>
      </x:c>
      <x:c r="J1344" t="n">
        <x:v>24</x:v>
      </x:c>
      <x:c r="K1344" t="n">
        <x:v>7</x:v>
      </x:c>
      <x:c r="L1344" t="str">
        <x:v>STORE-001</x:v>
      </x:c>
      <x:c r="M1344" s="22" t="n">
        <x:v>46072</x:v>
      </x:c>
      <x:c r="N1344" t="str">
        <x:v>SKU-030</x:v>
      </x:c>
      <x:c r="O1344" t="n">
        <x:v>1</x:v>
      </x:c>
      <x:c r="P1344" s="26" t="n">
        <x:f>F1344/O1344</x:f>
        <x:v>28.95</x:v>
      </x:c>
    </x:row>
    <x:row r="1345">
      <x:c r="A1345" t="n">
        <x:v>1344</x:v>
      </x:c>
      <x:c r="B1345" t="n">
        <x:v>55</x:v>
      </x:c>
      <x:c r="C1345" t="str">
        <x:v>Female</x:v>
      </x:c>
      <x:c r="D1345" t="str">
        <x:v>Footwear</x:v>
      </x:c>
      <x:c r="E1345" t="str">
        <x:v>Sandals</x:v>
      </x:c>
      <x:c r="F1345" s="24" t="n">
        <x:v>96.28</x:v>
      </x:c>
      <x:c r="G1345" t="str">
        <x:v>Spring</x:v>
      </x:c>
      <x:c r="H1345" t="str">
        <x:v>Card</x:v>
      </x:c>
      <x:c r="I1345" t="n">
        <x:v>4</x:v>
      </x:c>
      <x:c r="J1345" t="n">
        <x:v>17</x:v>
      </x:c>
      <x:c r="K1345" t="n">
        <x:v>6</x:v>
      </x:c>
      <x:c r="L1345" t="str">
        <x:v>STORE-001</x:v>
      </x:c>
      <x:c r="M1345" s="22" t="n">
        <x:v>45984</x:v>
      </x:c>
      <x:c r="N1345" t="str">
        <x:v>SKU-019</x:v>
      </x:c>
      <x:c r="O1345" t="n">
        <x:v>1</x:v>
      </x:c>
      <x:c r="P1345" s="26" t="n">
        <x:f>F1345/O1345</x:f>
        <x:v>96.28</x:v>
      </x:c>
    </x:row>
    <x:row r="1346">
      <x:c r="A1346" t="n">
        <x:v>1345</x:v>
      </x:c>
      <x:c r="B1346" t="n">
        <x:v>36</x:v>
      </x:c>
      <x:c r="C1346" t="str">
        <x:v>Male</x:v>
      </x:c>
      <x:c r="D1346" t="str">
        <x:v>Groceries</x:v>
      </x:c>
      <x:c r="E1346" t="str">
        <x:v>Cooking Oil</x:v>
      </x:c>
      <x:c r="F1346" s="24" t="n">
        <x:v>17.13</x:v>
      </x:c>
      <x:c r="G1346" t="str">
        <x:v>Winter</x:v>
      </x:c>
      <x:c r="H1346" t="str">
        <x:v>Cash on Delivery</x:v>
      </x:c>
      <x:c r="I1346" t="n">
        <x:v>2.9</x:v>
      </x:c>
      <x:c r="J1346" t="n">
        <x:v>9</x:v>
      </x:c>
      <x:c r="K1346" t="n">
        <x:v>2</x:v>
      </x:c>
      <x:c r="L1346" t="str">
        <x:v>STORE-001</x:v>
      </x:c>
      <x:c r="M1346" s="22" t="n">
        <x:v>46194</x:v>
      </x:c>
      <x:c r="N1346" t="str">
        <x:v>SKU-002</x:v>
      </x:c>
      <x:c r="O1346" t="n">
        <x:v>2</x:v>
      </x:c>
      <x:c r="P1346" s="26" t="n">
        <x:f>F1346/O1346</x:f>
        <x:v>8.565</x:v>
      </x:c>
    </x:row>
    <x:row r="1347">
      <x:c r="A1347" t="n">
        <x:v>1346</x:v>
      </x:c>
      <x:c r="B1347" t="n">
        <x:v>41</x:v>
      </x:c>
      <x:c r="C1347" t="str">
        <x:v>Female</x:v>
      </x:c>
      <x:c r="D1347" t="str">
        <x:v>Home</x:v>
      </x:c>
      <x:c r="E1347" t="str">
        <x:v>Kitchen Set</x:v>
      </x:c>
      <x:c r="F1347" s="24" t="n">
        <x:v>233.88</x:v>
      </x:c>
      <x:c r="G1347" t="str">
        <x:v>Summer</x:v>
      </x:c>
      <x:c r="H1347" t="str">
        <x:v>Card</x:v>
      </x:c>
      <x:c r="I1347" t="n">
        <x:v>4.4</x:v>
      </x:c>
      <x:c r="J1347" t="n">
        <x:v>14</x:v>
      </x:c>
      <x:c r="K1347" t="n">
        <x:v>7</x:v>
      </x:c>
      <x:c r="L1347" t="str">
        <x:v>STORE-001</x:v>
      </x:c>
      <x:c r="M1347" s="22" t="n">
        <x:v>46001</x:v>
      </x:c>
      <x:c r="N1347" t="str">
        <x:v>SKU-012</x:v>
      </x:c>
      <x:c r="O1347" t="n">
        <x:v>2</x:v>
      </x:c>
      <x:c r="P1347" s="26" t="n">
        <x:f>F1347/O1347</x:f>
        <x:v>116.94</x:v>
      </x:c>
    </x:row>
    <x:row r="1348">
      <x:c r="A1348" t="n">
        <x:v>1347</x:v>
      </x:c>
      <x:c r="B1348" t="n">
        <x:v>33</x:v>
      </x:c>
      <x:c r="C1348" t="str">
        <x:v>Female</x:v>
      </x:c>
      <x:c r="D1348" t="str">
        <x:v>Footwear</x:v>
      </x:c>
      <x:c r="E1348" t="str">
        <x:v>Sandals</x:v>
      </x:c>
      <x:c r="F1348" s="24" t="n">
        <x:v>125.68</x:v>
      </x:c>
      <x:c r="G1348" t="str">
        <x:v>Winter</x:v>
      </x:c>
      <x:c r="H1348" t="str">
        <x:v>Card</x:v>
      </x:c>
      <x:c r="I1348" t="n">
        <x:v>4.5</x:v>
      </x:c>
      <x:c r="J1348" t="n">
        <x:v>24</x:v>
      </x:c>
      <x:c r="K1348" t="n">
        <x:v>7</x:v>
      </x:c>
      <x:c r="L1348" t="str">
        <x:v>STORE-001</x:v>
      </x:c>
      <x:c r="M1348" s="22" t="n">
        <x:v>46200</x:v>
      </x:c>
      <x:c r="N1348" t="str">
        <x:v>SKU-019</x:v>
      </x:c>
      <x:c r="O1348" t="n">
        <x:v>1</x:v>
      </x:c>
      <x:c r="P1348" s="26" t="n">
        <x:f>F1348/O1348</x:f>
        <x:v>125.68</x:v>
      </x:c>
    </x:row>
    <x:row r="1349">
      <x:c r="A1349" t="n">
        <x:v>1348</x:v>
      </x:c>
      <x:c r="B1349" t="n">
        <x:v>22</x:v>
      </x:c>
      <x:c r="C1349" t="str">
        <x:v>Male</x:v>
      </x:c>
      <x:c r="D1349" t="str">
        <x:v>Home</x:v>
      </x:c>
      <x:c r="E1349" t="str">
        <x:v>Lamp</x:v>
      </x:c>
      <x:c r="F1349" s="24" t="n">
        <x:v>132.3</x:v>
      </x:c>
      <x:c r="G1349" t="str">
        <x:v>Autumn</x:v>
      </x:c>
      <x:c r="H1349" t="str">
        <x:v>Card</x:v>
      </x:c>
      <x:c r="I1349" t="n">
        <x:v>4.4</x:v>
      </x:c>
      <x:c r="J1349" t="n">
        <x:v>8</x:v>
      </x:c>
      <x:c r="K1349" t="n">
        <x:v>4</x:v>
      </x:c>
      <x:c r="L1349" t="str">
        <x:v>STORE-001</x:v>
      </x:c>
      <x:c r="M1349" s="22" t="n">
        <x:v>46118</x:v>
      </x:c>
      <x:c r="N1349" t="str">
        <x:v>SKU-013</x:v>
      </x:c>
      <x:c r="O1349" t="n">
        <x:v>1</x:v>
      </x:c>
      <x:c r="P1349" s="26" t="n">
        <x:f>F1349/O1349</x:f>
        <x:v>132.3</x:v>
      </x:c>
    </x:row>
    <x:row r="1350">
      <x:c r="A1350" t="n">
        <x:v>1349</x:v>
      </x:c>
      <x:c r="B1350" t="n">
        <x:v>65</x:v>
      </x:c>
      <x:c r="C1350" t="str">
        <x:v>Female</x:v>
      </x:c>
      <x:c r="D1350" t="str">
        <x:v>Womens Clothing</x:v>
      </x:c>
      <x:c r="E1350" t="str">
        <x:v>Jeans</x:v>
      </x:c>
      <x:c r="F1350" s="24" t="n">
        <x:v>80.24</x:v>
      </x:c>
      <x:c r="G1350" t="str">
        <x:v>Summer</x:v>
      </x:c>
      <x:c r="H1350" t="str">
        <x:v>Card</x:v>
      </x:c>
      <x:c r="I1350" t="n">
        <x:v>3.3</x:v>
      </x:c>
      <x:c r="J1350" t="n">
        <x:v>6</x:v>
      </x:c>
      <x:c r="K1350" t="n">
        <x:v>3</x:v>
      </x:c>
      <x:c r="L1350" t="str">
        <x:v>STORE-001</x:v>
      </x:c>
      <x:c r="M1350" s="22" t="n">
        <x:v>46039</x:v>
      </x:c>
      <x:c r="N1350" t="str">
        <x:v>SKU-011</x:v>
      </x:c>
      <x:c r="O1350" t="n">
        <x:v>1</x:v>
      </x:c>
      <x:c r="P1350" s="26" t="n">
        <x:f>F1350/O1350</x:f>
        <x:v>80.24</x:v>
      </x:c>
    </x:row>
    <x:row r="1351">
      <x:c r="A1351" t="n">
        <x:v>1350</x:v>
      </x:c>
      <x:c r="B1351" t="n">
        <x:v>58</x:v>
      </x:c>
      <x:c r="C1351" t="str">
        <x:v>Female</x:v>
      </x:c>
      <x:c r="D1351" t="str">
        <x:v>Womens Clothing</x:v>
      </x:c>
      <x:c r="E1351" t="str">
        <x:v>Top</x:v>
      </x:c>
      <x:c r="F1351" s="24" t="n">
        <x:v>197.63</x:v>
      </x:c>
      <x:c r="G1351" t="str">
        <x:v>Spring</x:v>
      </x:c>
      <x:c r="H1351" t="str">
        <x:v>Card</x:v>
      </x:c>
      <x:c r="I1351" t="n">
        <x:v>4.2</x:v>
      </x:c>
      <x:c r="J1351" t="n">
        <x:v>30</x:v>
      </x:c>
      <x:c r="K1351" t="n">
        <x:v>10</x:v>
      </x:c>
      <x:c r="L1351" t="str">
        <x:v>STORE-001</x:v>
      </x:c>
      <x:c r="M1351" s="22" t="n">
        <x:v>46272</x:v>
      </x:c>
      <x:c r="N1351" t="str">
        <x:v>SKU-028</x:v>
      </x:c>
      <x:c r="O1351" t="n">
        <x:v>2</x:v>
      </x:c>
      <x:c r="P1351" s="26" t="n">
        <x:f>F1351/O1351</x:f>
        <x:v>98.815</x:v>
      </x:c>
    </x:row>
    <x:row r="1352">
      <x:c r="A1352" t="n">
        <x:v>1351</x:v>
      </x:c>
      <x:c r="B1352" t="n">
        <x:v>58</x:v>
      </x:c>
      <x:c r="C1352" t="str">
        <x:v>Male</x:v>
      </x:c>
      <x:c r="D1352" t="str">
        <x:v>Sports</x:v>
      </x:c>
      <x:c r="E1352" t="str">
        <x:v>Football</x:v>
      </x:c>
      <x:c r="F1352" s="24" t="n">
        <x:v>144</x:v>
      </x:c>
      <x:c r="G1352" t="str">
        <x:v>Autumn</x:v>
      </x:c>
      <x:c r="H1352" t="str">
        <x:v>Card</x:v>
      </x:c>
      <x:c r="I1352" t="n">
        <x:v>4.4</x:v>
      </x:c>
      <x:c r="J1352" t="n">
        <x:v>24</x:v>
      </x:c>
      <x:c r="K1352" t="n">
        <x:v>7</x:v>
      </x:c>
      <x:c r="L1352" t="str">
        <x:v>STORE-001</x:v>
      </x:c>
      <x:c r="M1352" s="22" t="n">
        <x:v>46088</x:v>
      </x:c>
      <x:c r="N1352" t="str">
        <x:v>SKU-006</x:v>
      </x:c>
      <x:c r="O1352" t="n">
        <x:v>1</x:v>
      </x:c>
      <x:c r="P1352" s="26" t="n">
        <x:f>F1352/O1352</x:f>
        <x:v>144</x:v>
      </x:c>
    </x:row>
    <x:row r="1353">
      <x:c r="A1353" t="n">
        <x:v>1352</x:v>
      </x:c>
      <x:c r="B1353" t="n">
        <x:v>67</x:v>
      </x:c>
      <x:c r="C1353" t="str">
        <x:v>Female</x:v>
      </x:c>
      <x:c r="D1353" t="str">
        <x:v>Accessories</x:v>
      </x:c>
      <x:c r="E1353" t="str">
        <x:v>Sunglasses</x:v>
      </x:c>
      <x:c r="F1353" s="24" t="n">
        <x:v>173.81</x:v>
      </x:c>
      <x:c r="G1353" t="str">
        <x:v>Summer</x:v>
      </x:c>
      <x:c r="H1353" t="str">
        <x:v>Card</x:v>
      </x:c>
      <x:c r="I1353" t="n">
        <x:v>2.7</x:v>
      </x:c>
      <x:c r="J1353" t="n">
        <x:v>8</x:v>
      </x:c>
      <x:c r="K1353" t="n">
        <x:v>4</x:v>
      </x:c>
      <x:c r="L1353" t="str">
        <x:v>STORE-001</x:v>
      </x:c>
      <x:c r="M1353" s="22" t="n">
        <x:v>46035</x:v>
      </x:c>
      <x:c r="N1353" t="str">
        <x:v>SKU-026</x:v>
      </x:c>
      <x:c r="O1353" t="n">
        <x:v>1</x:v>
      </x:c>
      <x:c r="P1353" s="26" t="n">
        <x:f>F1353/O1353</x:f>
        <x:v>173.81</x:v>
      </x:c>
    </x:row>
    <x:row r="1354">
      <x:c r="A1354" t="n">
        <x:v>1353</x:v>
      </x:c>
      <x:c r="B1354" t="n">
        <x:v>54</x:v>
      </x:c>
      <x:c r="C1354" t="str">
        <x:v>Female</x:v>
      </x:c>
      <x:c r="D1354" t="str">
        <x:v>Womens Clothing</x:v>
      </x:c>
      <x:c r="E1354" t="str">
        <x:v>Dress</x:v>
      </x:c>
      <x:c r="F1354" s="24" t="n">
        <x:v>130.33</x:v>
      </x:c>
      <x:c r="G1354" t="str">
        <x:v>Summer</x:v>
      </x:c>
      <x:c r="H1354" t="str">
        <x:v>Card</x:v>
      </x:c>
      <x:c r="I1354" t="n">
        <x:v>3.9</x:v>
      </x:c>
      <x:c r="J1354" t="n">
        <x:v>16</x:v>
      </x:c>
      <x:c r="K1354" t="n">
        <x:v>8</x:v>
      </x:c>
      <x:c r="L1354" t="str">
        <x:v>STORE-001</x:v>
      </x:c>
      <x:c r="M1354" s="22" t="n">
        <x:v>46069</x:v>
      </x:c>
      <x:c r="N1354" t="str">
        <x:v>SKU-004</x:v>
      </x:c>
      <x:c r="O1354" t="n">
        <x:v>2</x:v>
      </x:c>
      <x:c r="P1354" s="26" t="n">
        <x:f>F1354/O1354</x:f>
        <x:v>65.165</x:v>
      </x:c>
    </x:row>
    <x:row r="1355">
      <x:c r="A1355" t="n">
        <x:v>1354</x:v>
      </x:c>
      <x:c r="B1355" t="n">
        <x:v>52</x:v>
      </x:c>
      <x:c r="C1355" t="str">
        <x:v>Female</x:v>
      </x:c>
      <x:c r="D1355" t="str">
        <x:v>Accessories</x:v>
      </x:c>
      <x:c r="E1355" t="str">
        <x:v>Wallet</x:v>
      </x:c>
      <x:c r="F1355" s="24" t="n">
        <x:v>151.17</x:v>
      </x:c>
      <x:c r="G1355" t="str">
        <x:v>Spring</x:v>
      </x:c>
      <x:c r="H1355" t="str">
        <x:v>Card</x:v>
      </x:c>
      <x:c r="I1355" t="n">
        <x:v>2.7</x:v>
      </x:c>
      <x:c r="J1355" t="n">
        <x:v>21</x:v>
      </x:c>
      <x:c r="K1355" t="n">
        <x:v>8</x:v>
      </x:c>
      <x:c r="L1355" t="str">
        <x:v>STORE-001</x:v>
      </x:c>
      <x:c r="M1355" s="22" t="n">
        <x:v>46291</x:v>
      </x:c>
      <x:c r="N1355" t="str">
        <x:v>SKU-029</x:v>
      </x:c>
      <x:c r="O1355" t="n">
        <x:v>2</x:v>
      </x:c>
      <x:c r="P1355" s="26" t="n">
        <x:f>F1355/O1355</x:f>
        <x:v>75.585</x:v>
      </x:c>
    </x:row>
    <x:row r="1356">
      <x:c r="A1356" t="n">
        <x:v>1355</x:v>
      </x:c>
      <x:c r="B1356" t="n">
        <x:v>43</x:v>
      </x:c>
      <x:c r="C1356" t="str">
        <x:v>Female</x:v>
      </x:c>
      <x:c r="D1356" t="str">
        <x:v>Beauty</x:v>
      </x:c>
      <x:c r="E1356" t="str">
        <x:v>Skincare Kit</x:v>
      </x:c>
      <x:c r="F1356" s="24" t="n">
        <x:v>56.31</x:v>
      </x:c>
      <x:c r="G1356" t="str">
        <x:v>Spring</x:v>
      </x:c>
      <x:c r="H1356" t="str">
        <x:v>Cash on Delivery</x:v>
      </x:c>
      <x:c r="I1356" t="n">
        <x:v>5</x:v>
      </x:c>
      <x:c r="J1356" t="n">
        <x:v>6</x:v>
      </x:c>
      <x:c r="K1356" t="n">
        <x:v>3</x:v>
      </x:c>
      <x:c r="L1356" t="str">
        <x:v>STORE-001</x:v>
      </x:c>
      <x:c r="M1356" s="22" t="n">
        <x:v>46295</x:v>
      </x:c>
      <x:c r="N1356" t="str">
        <x:v>SKU-021</x:v>
      </x:c>
      <x:c r="O1356" t="n">
        <x:v>1</x:v>
      </x:c>
      <x:c r="P1356" s="26" t="n">
        <x:f>F1356/O1356</x:f>
        <x:v>56.31</x:v>
      </x:c>
    </x:row>
    <x:row r="1357">
      <x:c r="A1357" t="n">
        <x:v>1356</x:v>
      </x:c>
      <x:c r="B1357" t="n">
        <x:v>39</x:v>
      </x:c>
      <x:c r="C1357" t="str">
        <x:v>Female</x:v>
      </x:c>
      <x:c r="D1357" t="str">
        <x:v>Footwear</x:v>
      </x:c>
      <x:c r="E1357" t="str">
        <x:v>Formal Shoes</x:v>
      </x:c>
      <x:c r="F1357" s="24" t="n">
        <x:v>79.95</x:v>
      </x:c>
      <x:c r="G1357" t="str">
        <x:v>Summer</x:v>
      </x:c>
      <x:c r="H1357" t="str">
        <x:v>Card</x:v>
      </x:c>
      <x:c r="I1357" t="n">
        <x:v>3.4</x:v>
      </x:c>
      <x:c r="J1357" t="n">
        <x:v>30</x:v>
      </x:c>
      <x:c r="K1357" t="n">
        <x:v>10</x:v>
      </x:c>
      <x:c r="L1357" t="str">
        <x:v>STORE-001</x:v>
      </x:c>
      <x:c r="M1357" s="22" t="n">
        <x:v>45995</x:v>
      </x:c>
      <x:c r="N1357" t="str">
        <x:v>SKU-007</x:v>
      </x:c>
      <x:c r="O1357" t="n">
        <x:v>1</x:v>
      </x:c>
      <x:c r="P1357" s="26" t="n">
        <x:f>F1357/O1357</x:f>
        <x:v>79.95</x:v>
      </x:c>
    </x:row>
    <x:row r="1358">
      <x:c r="A1358" t="n">
        <x:v>1357</x:v>
      </x:c>
      <x:c r="B1358" t="n">
        <x:v>60</x:v>
      </x:c>
      <x:c r="C1358" t="str">
        <x:v>Male</x:v>
      </x:c>
      <x:c r="D1358" t="str">
        <x:v>Electronics</x:v>
      </x:c>
      <x:c r="E1358" t="str">
        <x:v>Smart Watch</x:v>
      </x:c>
      <x:c r="F1358" s="24" t="n">
        <x:v>1905.2</x:v>
      </x:c>
      <x:c r="G1358" t="str">
        <x:v>Winter</x:v>
      </x:c>
      <x:c r="H1358" t="str">
        <x:v>Card</x:v>
      </x:c>
      <x:c r="I1358" t="n">
        <x:v>3.3</x:v>
      </x:c>
      <x:c r="J1358" t="n">
        <x:v>21</x:v>
      </x:c>
      <x:c r="K1358" t="n">
        <x:v>8</x:v>
      </x:c>
      <x:c r="L1358" t="str">
        <x:v>STORE-001</x:v>
      </x:c>
      <x:c r="M1358" s="22" t="n">
        <x:v>46218</x:v>
      </x:c>
      <x:c r="N1358" t="str">
        <x:v>SKU-023</x:v>
      </x:c>
      <x:c r="O1358" t="n">
        <x:v>1</x:v>
      </x:c>
      <x:c r="P1358" s="26" t="n">
        <x:f>F1358/O1358</x:f>
        <x:v>1905.2</x:v>
      </x:c>
    </x:row>
    <x:row r="1359">
      <x:c r="A1359" t="n">
        <x:v>1358</x:v>
      </x:c>
      <x:c r="B1359" t="n">
        <x:v>30</x:v>
      </x:c>
      <x:c r="C1359" t="str">
        <x:v>Female</x:v>
      </x:c>
      <x:c r="D1359" t="str">
        <x:v>Home</x:v>
      </x:c>
      <x:c r="E1359" t="str">
        <x:v>Kitchen Set</x:v>
      </x:c>
      <x:c r="F1359" s="24" t="n">
        <x:v>172.51</x:v>
      </x:c>
      <x:c r="G1359" t="str">
        <x:v>Summer</x:v>
      </x:c>
      <x:c r="H1359" t="str">
        <x:v>Card</x:v>
      </x:c>
      <x:c r="I1359" t="n">
        <x:v>2.4</x:v>
      </x:c>
      <x:c r="J1359" t="n">
        <x:v>22</x:v>
      </x:c>
      <x:c r="K1359" t="n">
        <x:v>6</x:v>
      </x:c>
      <x:c r="L1359" t="str">
        <x:v>STORE-001</x:v>
      </x:c>
      <x:c r="M1359" s="22" t="n">
        <x:v>46026</x:v>
      </x:c>
      <x:c r="N1359" t="str">
        <x:v>SKU-012</x:v>
      </x:c>
      <x:c r="O1359" t="n">
        <x:v>2</x:v>
      </x:c>
      <x:c r="P1359" s="26" t="n">
        <x:f>F1359/O1359</x:f>
        <x:v>86.255</x:v>
      </x:c>
    </x:row>
    <x:row r="1360">
      <x:c r="A1360" t="n">
        <x:v>1359</x:v>
      </x:c>
      <x:c r="B1360" t="n">
        <x:v>28</x:v>
      </x:c>
      <x:c r="C1360" t="str">
        <x:v>Female</x:v>
      </x:c>
      <x:c r="D1360" t="str">
        <x:v>Footwear</x:v>
      </x:c>
      <x:c r="E1360" t="str">
        <x:v>Sneakers</x:v>
      </x:c>
      <x:c r="F1360" s="24" t="n">
        <x:v>162.07</x:v>
      </x:c>
      <x:c r="G1360" t="str">
        <x:v>Spring</x:v>
      </x:c>
      <x:c r="H1360" t="str">
        <x:v>Card</x:v>
      </x:c>
      <x:c r="I1360" t="n">
        <x:v>2.7</x:v>
      </x:c>
      <x:c r="J1360" t="n">
        <x:v>11</x:v>
      </x:c>
      <x:c r="K1360" t="n">
        <x:v>3</x:v>
      </x:c>
      <x:c r="L1360" t="str">
        <x:v>STORE-001</x:v>
      </x:c>
      <x:c r="M1360" s="22" t="n">
        <x:v>45946</x:v>
      </x:c>
      <x:c r="N1360" t="str">
        <x:v>SKU-025</x:v>
      </x:c>
      <x:c r="O1360" t="n">
        <x:v>1</x:v>
      </x:c>
      <x:c r="P1360" s="26" t="n">
        <x:f>F1360/O1360</x:f>
        <x:v>162.07</x:v>
      </x:c>
    </x:row>
    <x:row r="1361">
      <x:c r="A1361" t="n">
        <x:v>1360</x:v>
      </x:c>
      <x:c r="B1361" t="n">
        <x:v>60</x:v>
      </x:c>
      <x:c r="C1361" t="str">
        <x:v>Female</x:v>
      </x:c>
      <x:c r="D1361" t="str">
        <x:v>Womens Clothing</x:v>
      </x:c>
      <x:c r="E1361" t="str">
        <x:v>Dress</x:v>
      </x:c>
      <x:c r="F1361" s="24" t="n">
        <x:v>75.11</x:v>
      </x:c>
      <x:c r="G1361" t="str">
        <x:v>Summer</x:v>
      </x:c>
      <x:c r="H1361" t="str">
        <x:v>Card</x:v>
      </x:c>
      <x:c r="I1361" t="n">
        <x:v>4</x:v>
      </x:c>
      <x:c r="J1361" t="n">
        <x:v>12</x:v>
      </x:c>
      <x:c r="K1361" t="n">
        <x:v>6</x:v>
      </x:c>
      <x:c r="L1361" t="str">
        <x:v>STORE-001</x:v>
      </x:c>
      <x:c r="M1361" s="22" t="n">
        <x:v>45998</x:v>
      </x:c>
      <x:c r="N1361" t="str">
        <x:v>SKU-004</x:v>
      </x:c>
      <x:c r="O1361" t="n">
        <x:v>1</x:v>
      </x:c>
      <x:c r="P1361" s="26" t="n">
        <x:f>F1361/O1361</x:f>
        <x:v>75.11</x:v>
      </x:c>
    </x:row>
    <x:row r="1362">
      <x:c r="A1362" t="n">
        <x:v>1361</x:v>
      </x:c>
      <x:c r="B1362" t="n">
        <x:v>52</x:v>
      </x:c>
      <x:c r="C1362" t="str">
        <x:v>Female</x:v>
      </x:c>
      <x:c r="D1362" t="str">
        <x:v>Groceries</x:v>
      </x:c>
      <x:c r="E1362" t="str">
        <x:v>Cooking Oil</x:v>
      </x:c>
      <x:c r="F1362" s="24" t="n">
        <x:v>66.05</x:v>
      </x:c>
      <x:c r="G1362" t="str">
        <x:v>Summer</x:v>
      </x:c>
      <x:c r="H1362" t="str">
        <x:v>Cash on Delivery</x:v>
      </x:c>
      <x:c r="I1362" t="n">
        <x:v>3.7</x:v>
      </x:c>
      <x:c r="J1362" t="n">
        <x:v>10</x:v>
      </x:c>
      <x:c r="K1362" t="n">
        <x:v>5</x:v>
      </x:c>
      <x:c r="L1362" t="str">
        <x:v>STORE-001</x:v>
      </x:c>
      <x:c r="M1362" s="22" t="n">
        <x:v>46015</x:v>
      </x:c>
      <x:c r="N1362" t="str">
        <x:v>SKU-002</x:v>
      </x:c>
      <x:c r="O1362" t="n">
        <x:v>1</x:v>
      </x:c>
      <x:c r="P1362" s="26" t="n">
        <x:f>F1362/O1362</x:f>
        <x:v>66.05</x:v>
      </x:c>
    </x:row>
    <x:row r="1363">
      <x:c r="A1363" t="n">
        <x:v>1362</x:v>
      </x:c>
      <x:c r="B1363" t="n">
        <x:v>32</x:v>
      </x:c>
      <x:c r="C1363" t="str">
        <x:v>Male</x:v>
      </x:c>
      <x:c r="D1363" t="str">
        <x:v>Sports</x:v>
      </x:c>
      <x:c r="E1363" t="str">
        <x:v>Football</x:v>
      </x:c>
      <x:c r="F1363" s="24" t="n">
        <x:v>136.35</x:v>
      </x:c>
      <x:c r="G1363" t="str">
        <x:v>Spring</x:v>
      </x:c>
      <x:c r="H1363" t="str">
        <x:v>Card</x:v>
      </x:c>
      <x:c r="I1363" t="n">
        <x:v>3.3</x:v>
      </x:c>
      <x:c r="J1363" t="n">
        <x:v>16</x:v>
      </x:c>
      <x:c r="K1363" t="n">
        <x:v>3</x:v>
      </x:c>
      <x:c r="L1363" t="str">
        <x:v>STORE-001</x:v>
      </x:c>
      <x:c r="M1363" s="22" t="n">
        <x:v>45967</x:v>
      </x:c>
      <x:c r="N1363" t="str">
        <x:v>SKU-006</x:v>
      </x:c>
      <x:c r="O1363" t="n">
        <x:v>2</x:v>
      </x:c>
      <x:c r="P1363" s="26" t="n">
        <x:f>F1363/O1363</x:f>
        <x:v>68.175</x:v>
      </x:c>
    </x:row>
    <x:row r="1364">
      <x:c r="A1364" t="n">
        <x:v>1363</x:v>
      </x:c>
      <x:c r="B1364" t="n">
        <x:v>39</x:v>
      </x:c>
      <x:c r="C1364" t="str">
        <x:v>Female</x:v>
      </x:c>
      <x:c r="D1364" t="str">
        <x:v>Beauty</x:v>
      </x:c>
      <x:c r="E1364" t="str">
        <x:v>Makeup Set</x:v>
      </x:c>
      <x:c r="F1364" s="24" t="n">
        <x:v>141.19</x:v>
      </x:c>
      <x:c r="G1364" t="str">
        <x:v>Winter</x:v>
      </x:c>
      <x:c r="H1364" t="str">
        <x:v>Card</x:v>
      </x:c>
      <x:c r="I1364" t="n">
        <x:v>1.5</x:v>
      </x:c>
      <x:c r="J1364" t="n">
        <x:v>14</x:v>
      </x:c>
      <x:c r="K1364" t="n">
        <x:v>7</x:v>
      </x:c>
      <x:c r="L1364" t="str">
        <x:v>STORE-001</x:v>
      </x:c>
      <x:c r="M1364" s="22" t="n">
        <x:v>46238</x:v>
      </x:c>
      <x:c r="N1364" t="str">
        <x:v>SKU-015</x:v>
      </x:c>
      <x:c r="O1364" t="n">
        <x:v>3</x:v>
      </x:c>
      <x:c r="P1364" s="26" t="n">
        <x:f>F1364/O1364</x:f>
        <x:v>47.06333333333333</x:v>
      </x:c>
    </x:row>
    <x:row r="1365">
      <x:c r="A1365" t="n">
        <x:v>1364</x:v>
      </x:c>
      <x:c r="B1365" t="n">
        <x:v>42</x:v>
      </x:c>
      <x:c r="C1365" t="str">
        <x:v>Female</x:v>
      </x:c>
      <x:c r="D1365" t="str">
        <x:v>Footwear</x:v>
      </x:c>
      <x:c r="E1365" t="str">
        <x:v>Formal Shoes</x:v>
      </x:c>
      <x:c r="F1365" s="24" t="n">
        <x:v>76.55</x:v>
      </x:c>
      <x:c r="G1365" t="str">
        <x:v>Autumn</x:v>
      </x:c>
      <x:c r="H1365" t="str">
        <x:v>Cash on Delivery</x:v>
      </x:c>
      <x:c r="I1365" t="n">
        <x:v>3.6</x:v>
      </x:c>
      <x:c r="J1365" t="n">
        <x:v>15</x:v>
      </x:c>
      <x:c r="K1365" t="n">
        <x:v>5</x:v>
      </x:c>
      <x:c r="L1365" t="str">
        <x:v>STORE-001</x:v>
      </x:c>
      <x:c r="M1365" s="22" t="n">
        <x:v>46091</x:v>
      </x:c>
      <x:c r="N1365" t="str">
        <x:v>SKU-007</x:v>
      </x:c>
      <x:c r="O1365" t="n">
        <x:v>1</x:v>
      </x:c>
      <x:c r="P1365" s="26" t="n">
        <x:f>F1365/O1365</x:f>
        <x:v>76.55</x:v>
      </x:c>
    </x:row>
    <x:row r="1366">
      <x:c r="A1366" t="n">
        <x:v>1365</x:v>
      </x:c>
      <x:c r="B1366" t="n">
        <x:v>52</x:v>
      </x:c>
      <x:c r="C1366" t="str">
        <x:v>Male</x:v>
      </x:c>
      <x:c r="D1366" t="str">
        <x:v>Footwear</x:v>
      </x:c>
      <x:c r="E1366" t="str">
        <x:v>Formal Shoes</x:v>
      </x:c>
      <x:c r="F1366" s="24" t="n">
        <x:v>248.92</x:v>
      </x:c>
      <x:c r="G1366" t="str">
        <x:v>Spring</x:v>
      </x:c>
      <x:c r="H1366" t="str">
        <x:v>Card</x:v>
      </x:c>
      <x:c r="I1366" t="n">
        <x:v>3.4</x:v>
      </x:c>
      <x:c r="J1366" t="n">
        <x:v>13</x:v>
      </x:c>
      <x:c r="K1366" t="n">
        <x:v>4</x:v>
      </x:c>
      <x:c r="L1366" t="str">
        <x:v>STORE-001</x:v>
      </x:c>
      <x:c r="M1366" s="22" t="n">
        <x:v>46280</x:v>
      </x:c>
      <x:c r="N1366" t="str">
        <x:v>SKU-007</x:v>
      </x:c>
      <x:c r="O1366" t="n">
        <x:v>1</x:v>
      </x:c>
      <x:c r="P1366" s="26" t="n">
        <x:f>F1366/O1366</x:f>
        <x:v>248.92</x:v>
      </x:c>
    </x:row>
    <x:row r="1367">
      <x:c r="A1367" t="n">
        <x:v>1366</x:v>
      </x:c>
      <x:c r="B1367" t="n">
        <x:v>54</x:v>
      </x:c>
      <x:c r="C1367" t="str">
        <x:v>Male</x:v>
      </x:c>
      <x:c r="D1367" t="str">
        <x:v>Footwear</x:v>
      </x:c>
      <x:c r="E1367" t="str">
        <x:v>Sneakers</x:v>
      </x:c>
      <x:c r="F1367" s="24" t="n">
        <x:v>247.98</x:v>
      </x:c>
      <x:c r="G1367" t="str">
        <x:v>Spring</x:v>
      </x:c>
      <x:c r="H1367" t="str">
        <x:v>Card</x:v>
      </x:c>
      <x:c r="I1367" t="n">
        <x:v>3.6</x:v>
      </x:c>
      <x:c r="J1367" t="n">
        <x:v>10</x:v>
      </x:c>
      <x:c r="K1367" t="n">
        <x:v>5</x:v>
      </x:c>
      <x:c r="L1367" t="str">
        <x:v>STORE-001</x:v>
      </x:c>
      <x:c r="M1367" s="22" t="n">
        <x:v>45953</x:v>
      </x:c>
      <x:c r="N1367" t="str">
        <x:v>SKU-025</x:v>
      </x:c>
      <x:c r="O1367" t="n">
        <x:v>1</x:v>
      </x:c>
      <x:c r="P1367" s="26" t="n">
        <x:f>F1367/O1367</x:f>
        <x:v>247.98</x:v>
      </x:c>
    </x:row>
    <x:row r="1368">
      <x:c r="A1368" t="n">
        <x:v>1367</x:v>
      </x:c>
      <x:c r="B1368" t="n">
        <x:v>64</x:v>
      </x:c>
      <x:c r="C1368" t="str">
        <x:v>Male</x:v>
      </x:c>
      <x:c r="D1368" t="str">
        <x:v>Electronics</x:v>
      </x:c>
      <x:c r="E1368" t="str">
        <x:v>Smart Watch</x:v>
      </x:c>
      <x:c r="F1368" s="24" t="n">
        <x:v>1925.6</x:v>
      </x:c>
      <x:c r="G1368" t="str">
        <x:v>Spring</x:v>
      </x:c>
      <x:c r="H1368" t="str">
        <x:v>Card</x:v>
      </x:c>
      <x:c r="I1368" t="n">
        <x:v>2.6</x:v>
      </x:c>
      <x:c r="J1368" t="n">
        <x:v>13</x:v>
      </x:c>
      <x:c r="K1368" t="n">
        <x:v>4</x:v>
      </x:c>
      <x:c r="L1368" t="str">
        <x:v>STORE-001</x:v>
      </x:c>
      <x:c r="M1368" s="22" t="n">
        <x:v>46294</x:v>
      </x:c>
      <x:c r="N1368" t="str">
        <x:v>SKU-023</x:v>
      </x:c>
      <x:c r="O1368" t="n">
        <x:v>2</x:v>
      </x:c>
      <x:c r="P1368" s="26" t="n">
        <x:f>F1368/O1368</x:f>
        <x:v>962.8</x:v>
      </x:c>
    </x:row>
    <x:row r="1369">
      <x:c r="A1369" t="n">
        <x:v>1368</x:v>
      </x:c>
      <x:c r="B1369" t="n">
        <x:v>51</x:v>
      </x:c>
      <x:c r="C1369" t="str">
        <x:v>Male</x:v>
      </x:c>
      <x:c r="D1369" t="str">
        <x:v>Sports</x:v>
      </x:c>
      <x:c r="E1369" t="str">
        <x:v>Dumbbells</x:v>
      </x:c>
      <x:c r="F1369" s="24" t="n">
        <x:v>139.66</x:v>
      </x:c>
      <x:c r="G1369" t="str">
        <x:v>Winter</x:v>
      </x:c>
      <x:c r="H1369" t="str">
        <x:v>Card</x:v>
      </x:c>
      <x:c r="I1369" t="n">
        <x:v>3.6</x:v>
      </x:c>
      <x:c r="J1369" t="n">
        <x:v>9</x:v>
      </x:c>
      <x:c r="K1369" t="n">
        <x:v>2</x:v>
      </x:c>
      <x:c r="L1369" t="str">
        <x:v>STORE-001</x:v>
      </x:c>
      <x:c r="M1369" s="22" t="n">
        <x:v>46258</x:v>
      </x:c>
      <x:c r="N1369" t="str">
        <x:v>SKU-005</x:v>
      </x:c>
      <x:c r="O1369" t="n">
        <x:v>4</x:v>
      </x:c>
      <x:c r="P1369" s="26" t="n">
        <x:f>F1369/O1369</x:f>
        <x:v>34.915</x:v>
      </x:c>
    </x:row>
    <x:row r="1370">
      <x:c r="A1370" t="n">
        <x:v>1369</x:v>
      </x:c>
      <x:c r="B1370" t="n">
        <x:v>65</x:v>
      </x:c>
      <x:c r="C1370" t="str">
        <x:v>Male</x:v>
      </x:c>
      <x:c r="D1370" t="str">
        <x:v>Mens Clothing</x:v>
      </x:c>
      <x:c r="E1370" t="str">
        <x:v>Jeans</x:v>
      </x:c>
      <x:c r="F1370" s="24" t="n">
        <x:v>199.78</x:v>
      </x:c>
      <x:c r="G1370" t="str">
        <x:v>Autumn</x:v>
      </x:c>
      <x:c r="H1370" t="str">
        <x:v>Card</x:v>
      </x:c>
      <x:c r="I1370" t="n">
        <x:v>3.5</x:v>
      </x:c>
      <x:c r="J1370" t="n">
        <x:v>15</x:v>
      </x:c>
      <x:c r="K1370" t="n">
        <x:v>5</x:v>
      </x:c>
      <x:c r="L1370" t="str">
        <x:v>STORE-001</x:v>
      </x:c>
      <x:c r="M1370" s="22" t="n">
        <x:v>46126</x:v>
      </x:c>
      <x:c r="N1370" t="str">
        <x:v>SKU-011</x:v>
      </x:c>
      <x:c r="O1370" t="n">
        <x:v>2</x:v>
      </x:c>
      <x:c r="P1370" s="26" t="n">
        <x:f>F1370/O1370</x:f>
        <x:v>99.89</x:v>
      </x:c>
    </x:row>
    <x:row r="1371">
      <x:c r="A1371" t="n">
        <x:v>1370</x:v>
      </x:c>
      <x:c r="B1371" t="n">
        <x:v>22</x:v>
      </x:c>
      <x:c r="C1371" t="str">
        <x:v>Female</x:v>
      </x:c>
      <x:c r="D1371" t="str">
        <x:v>Beauty</x:v>
      </x:c>
      <x:c r="E1371" t="str">
        <x:v>Skincare Kit</x:v>
      </x:c>
      <x:c r="F1371" s="24" t="n">
        <x:v>45.19</x:v>
      </x:c>
      <x:c r="G1371" t="str">
        <x:v>Summer</x:v>
      </x:c>
      <x:c r="H1371" t="str">
        <x:v>Card</x:v>
      </x:c>
      <x:c r="I1371" t="n">
        <x:v>4.7</x:v>
      </x:c>
      <x:c r="J1371" t="n">
        <x:v>12</x:v>
      </x:c>
      <x:c r="K1371" t="n">
        <x:v>6</x:v>
      </x:c>
      <x:c r="L1371" t="str">
        <x:v>STORE-001</x:v>
      </x:c>
      <x:c r="M1371" s="22" t="n">
        <x:v>46034</x:v>
      </x:c>
      <x:c r="N1371" t="str">
        <x:v>SKU-021</x:v>
      </x:c>
      <x:c r="O1371" t="n">
        <x:v>1</x:v>
      </x:c>
      <x:c r="P1371" s="26" t="n">
        <x:f>F1371/O1371</x:f>
        <x:v>45.19</x:v>
      </x:c>
    </x:row>
    <x:row r="1372">
      <x:c r="A1372" t="n">
        <x:v>1371</x:v>
      </x:c>
      <x:c r="B1372" t="n">
        <x:v>30</x:v>
      </x:c>
      <x:c r="C1372" t="str">
        <x:v>Female</x:v>
      </x:c>
      <x:c r="D1372" t="str">
        <x:v>Footwear</x:v>
      </x:c>
      <x:c r="E1372" t="str">
        <x:v>Sneakers</x:v>
      </x:c>
      <x:c r="F1372" s="24" t="n">
        <x:v>206.49</x:v>
      </x:c>
      <x:c r="G1372" t="str">
        <x:v>Summer</x:v>
      </x:c>
      <x:c r="H1372" t="str">
        <x:v>Card</x:v>
      </x:c>
      <x:c r="I1372" t="n">
        <x:v>3.6</x:v>
      </x:c>
      <x:c r="J1372" t="n">
        <x:v>20</x:v>
      </x:c>
      <x:c r="K1372" t="n">
        <x:v>5</x:v>
      </x:c>
      <x:c r="L1372" t="str">
        <x:v>STORE-001</x:v>
      </x:c>
      <x:c r="M1372" s="22" t="n">
        <x:v>46077</x:v>
      </x:c>
      <x:c r="N1372" t="str">
        <x:v>SKU-025</x:v>
      </x:c>
      <x:c r="O1372" t="n">
        <x:v>3</x:v>
      </x:c>
      <x:c r="P1372" s="26" t="n">
        <x:f>F1372/O1372</x:f>
        <x:v>68.83</x:v>
      </x:c>
    </x:row>
    <x:row r="1373">
      <x:c r="A1373" t="n">
        <x:v>1372</x:v>
      </x:c>
      <x:c r="B1373" t="n">
        <x:v>52</x:v>
      </x:c>
      <x:c r="C1373" t="str">
        <x:v>Male</x:v>
      </x:c>
      <x:c r="D1373" t="str">
        <x:v>Electronics</x:v>
      </x:c>
      <x:c r="E1373" t="str">
        <x:v>Mobile Phone</x:v>
      </x:c>
      <x:c r="F1373" s="24" t="n">
        <x:v>1357.56</x:v>
      </x:c>
      <x:c r="G1373" t="str">
        <x:v>Autumn</x:v>
      </x:c>
      <x:c r="H1373" t="str">
        <x:v>Card</x:v>
      </x:c>
      <x:c r="I1373" t="n">
        <x:v>5</x:v>
      </x:c>
      <x:c r="J1373" t="n">
        <x:v>16</x:v>
      </x:c>
      <x:c r="K1373" t="n">
        <x:v>8</x:v>
      </x:c>
      <x:c r="L1373" t="str">
        <x:v>STORE-001</x:v>
      </x:c>
      <x:c r="M1373" s="22" t="n">
        <x:v>46124</x:v>
      </x:c>
      <x:c r="N1373" t="str">
        <x:v>SKU-016</x:v>
      </x:c>
      <x:c r="O1373" t="n">
        <x:v>1</x:v>
      </x:c>
      <x:c r="P1373" s="26" t="n">
        <x:f>F1373/O1373</x:f>
        <x:v>1357.56</x:v>
      </x:c>
    </x:row>
    <x:row r="1374">
      <x:c r="A1374" t="n">
        <x:v>1373</x:v>
      </x:c>
      <x:c r="B1374" t="n">
        <x:v>26</x:v>
      </x:c>
      <x:c r="C1374" t="str">
        <x:v>Female</x:v>
      </x:c>
      <x:c r="D1374" t="str">
        <x:v>Footwear</x:v>
      </x:c>
      <x:c r="E1374" t="str">
        <x:v>Sneakers</x:v>
      </x:c>
      <x:c r="F1374" s="24" t="n">
        <x:v>160.69</x:v>
      </x:c>
      <x:c r="G1374" t="str">
        <x:v>Autumn</x:v>
      </x:c>
      <x:c r="H1374" t="str">
        <x:v>Card</x:v>
      </x:c>
      <x:c r="I1374" t="n">
        <x:v>4.3</x:v>
      </x:c>
      <x:c r="J1374" t="n">
        <x:v>15</x:v>
      </x:c>
      <x:c r="K1374" t="n">
        <x:v>5</x:v>
      </x:c>
      <x:c r="L1374" t="str">
        <x:v>STORE-001</x:v>
      </x:c>
      <x:c r="M1374" s="22" t="n">
        <x:v>46132</x:v>
      </x:c>
      <x:c r="N1374" t="str">
        <x:v>SKU-025</x:v>
      </x:c>
      <x:c r="O1374" t="n">
        <x:v>1</x:v>
      </x:c>
      <x:c r="P1374" s="26" t="n">
        <x:f>F1374/O1374</x:f>
        <x:v>160.69</x:v>
      </x:c>
    </x:row>
    <x:row r="1375">
      <x:c r="A1375" t="n">
        <x:v>1374</x:v>
      </x:c>
      <x:c r="B1375" t="n">
        <x:v>29</x:v>
      </x:c>
      <x:c r="C1375" t="str">
        <x:v>Female</x:v>
      </x:c>
      <x:c r="D1375" t="str">
        <x:v>Sports</x:v>
      </x:c>
      <x:c r="E1375" t="str">
        <x:v>Yoga Mat</x:v>
      </x:c>
      <x:c r="F1375" s="24" t="n">
        <x:v>239.09</x:v>
      </x:c>
      <x:c r="G1375" t="str">
        <x:v>Summer</x:v>
      </x:c>
      <x:c r="H1375" t="str">
        <x:v>Card</x:v>
      </x:c>
      <x:c r="I1375" t="n">
        <x:v>4</x:v>
      </x:c>
      <x:c r="J1375" t="n">
        <x:v>6</x:v>
      </x:c>
      <x:c r="K1375" t="n">
        <x:v>3</x:v>
      </x:c>
      <x:c r="L1375" t="str">
        <x:v>STORE-001</x:v>
      </x:c>
      <x:c r="M1375" s="22" t="n">
        <x:v>46022</x:v>
      </x:c>
      <x:c r="N1375" t="str">
        <x:v>SKU-030</x:v>
      </x:c>
      <x:c r="O1375" t="n">
        <x:v>1</x:v>
      </x:c>
      <x:c r="P1375" s="26" t="n">
        <x:f>F1375/O1375</x:f>
        <x:v>239.09</x:v>
      </x:c>
    </x:row>
    <x:row r="1376">
      <x:c r="A1376" t="n">
        <x:v>1375</x:v>
      </x:c>
      <x:c r="B1376" t="n">
        <x:v>61</x:v>
      </x:c>
      <x:c r="C1376" t="str">
        <x:v>Male</x:v>
      </x:c>
      <x:c r="D1376" t="str">
        <x:v>Electronics</x:v>
      </x:c>
      <x:c r="E1376" t="str">
        <x:v>Headphones</x:v>
      </x:c>
      <x:c r="F1376" s="24" t="n">
        <x:v>2519.73</x:v>
      </x:c>
      <x:c r="G1376" t="str">
        <x:v>Summer</x:v>
      </x:c>
      <x:c r="H1376" t="str">
        <x:v>Card</x:v>
      </x:c>
      <x:c r="I1376" t="n">
        <x:v>3.5</x:v>
      </x:c>
      <x:c r="J1376" t="n">
        <x:v>20</x:v>
      </x:c>
      <x:c r="K1376" t="n">
        <x:v>5</x:v>
      </x:c>
      <x:c r="L1376" t="str">
        <x:v>STORE-001</x:v>
      </x:c>
      <x:c r="M1376" s="22" t="n">
        <x:v>46078</x:v>
      </x:c>
      <x:c r="N1376" t="str">
        <x:v>SKU-009</x:v>
      </x:c>
      <x:c r="O1376" t="n">
        <x:v>1</x:v>
      </x:c>
      <x:c r="P1376" s="26" t="n">
        <x:f>F1376/O1376</x:f>
        <x:v>2519.73</x:v>
      </x:c>
    </x:row>
    <x:row r="1377">
      <x:c r="A1377" t="n">
        <x:v>1376</x:v>
      </x:c>
      <x:c r="B1377" t="n">
        <x:v>62</x:v>
      </x:c>
      <x:c r="C1377" t="str">
        <x:v>Female</x:v>
      </x:c>
      <x:c r="D1377" t="str">
        <x:v>Footwear</x:v>
      </x:c>
      <x:c r="E1377" t="str">
        <x:v>Formal Shoes</x:v>
      </x:c>
      <x:c r="F1377" s="24" t="n">
        <x:v>218.99</x:v>
      </x:c>
      <x:c r="G1377" t="str">
        <x:v>Autumn</x:v>
      </x:c>
      <x:c r="H1377" t="str">
        <x:v>Card</x:v>
      </x:c>
      <x:c r="I1377" t="n">
        <x:v>3.6</x:v>
      </x:c>
      <x:c r="J1377" t="n">
        <x:v>16</x:v>
      </x:c>
      <x:c r="K1377" t="n">
        <x:v>3</x:v>
      </x:c>
      <x:c r="L1377" t="str">
        <x:v>STORE-001</x:v>
      </x:c>
      <x:c r="M1377" s="22" t="n">
        <x:v>46148</x:v>
      </x:c>
      <x:c r="N1377" t="str">
        <x:v>SKU-007</x:v>
      </x:c>
      <x:c r="O1377" t="n">
        <x:v>1</x:v>
      </x:c>
      <x:c r="P1377" s="26" t="n">
        <x:f>F1377/O1377</x:f>
        <x:v>218.99</x:v>
      </x:c>
    </x:row>
    <x:row r="1378">
      <x:c r="A1378" t="n">
        <x:v>1377</x:v>
      </x:c>
      <x:c r="B1378" t="n">
        <x:v>64</x:v>
      </x:c>
      <x:c r="C1378" t="str">
        <x:v>Male</x:v>
      </x:c>
      <x:c r="D1378" t="str">
        <x:v>Footwear</x:v>
      </x:c>
      <x:c r="E1378" t="str">
        <x:v>Formal Shoes</x:v>
      </x:c>
      <x:c r="F1378" s="24" t="n">
        <x:v>244.01</x:v>
      </x:c>
      <x:c r="G1378" t="str">
        <x:v>Spring</x:v>
      </x:c>
      <x:c r="H1378" t="str">
        <x:v>Card</x:v>
      </x:c>
      <x:c r="I1378" t="n">
        <x:v>4.1</x:v>
      </x:c>
      <x:c r="J1378" t="n">
        <x:v>15</x:v>
      </x:c>
      <x:c r="K1378" t="n">
        <x:v>5</x:v>
      </x:c>
      <x:c r="L1378" t="str">
        <x:v>STORE-001</x:v>
      </x:c>
      <x:c r="M1378" s="22" t="n">
        <x:v>45938</x:v>
      </x:c>
      <x:c r="N1378" t="str">
        <x:v>SKU-007</x:v>
      </x:c>
      <x:c r="O1378" t="n">
        <x:v>1</x:v>
      </x:c>
      <x:c r="P1378" s="26" t="n">
        <x:f>F1378/O1378</x:f>
        <x:v>244.01</x:v>
      </x:c>
    </x:row>
    <x:row r="1379">
      <x:c r="A1379" t="n">
        <x:v>1378</x:v>
      </x:c>
      <x:c r="B1379" t="n">
        <x:v>31</x:v>
      </x:c>
      <x:c r="C1379" t="str">
        <x:v>Female</x:v>
      </x:c>
      <x:c r="D1379" t="str">
        <x:v>Home</x:v>
      </x:c>
      <x:c r="E1379" t="str">
        <x:v>Lamp</x:v>
      </x:c>
      <x:c r="F1379" s="24" t="n">
        <x:v>140.23</x:v>
      </x:c>
      <x:c r="G1379" t="str">
        <x:v>Autumn</x:v>
      </x:c>
      <x:c r="H1379" t="str">
        <x:v>Card</x:v>
      </x:c>
      <x:c r="I1379" t="n">
        <x:v>3</x:v>
      </x:c>
      <x:c r="J1379" t="n">
        <x:v>9</x:v>
      </x:c>
      <x:c r="K1379" t="n">
        <x:v>2</x:v>
      </x:c>
      <x:c r="L1379" t="str">
        <x:v>STORE-001</x:v>
      </x:c>
      <x:c r="M1379" s="22" t="n">
        <x:v>46144</x:v>
      </x:c>
      <x:c r="N1379" t="str">
        <x:v>SKU-013</x:v>
      </x:c>
      <x:c r="O1379" t="n">
        <x:v>1</x:v>
      </x:c>
      <x:c r="P1379" s="26" t="n">
        <x:f>F1379/O1379</x:f>
        <x:v>140.23</x:v>
      </x:c>
    </x:row>
    <x:row r="1380">
      <x:c r="A1380" t="n">
        <x:v>1379</x:v>
      </x:c>
      <x:c r="B1380" t="n">
        <x:v>49</x:v>
      </x:c>
      <x:c r="C1380" t="str">
        <x:v>Male</x:v>
      </x:c>
      <x:c r="D1380" t="str">
        <x:v>Electronics</x:v>
      </x:c>
      <x:c r="E1380" t="str">
        <x:v>Smart Watch</x:v>
      </x:c>
      <x:c r="F1380" s="24" t="n">
        <x:v>2191.92</x:v>
      </x:c>
      <x:c r="G1380" t="str">
        <x:v>Summer</x:v>
      </x:c>
      <x:c r="H1380" t="str">
        <x:v>Card</x:v>
      </x:c>
      <x:c r="I1380" t="n">
        <x:v>2.8</x:v>
      </x:c>
      <x:c r="J1380" t="n">
        <x:v>13</x:v>
      </x:c>
      <x:c r="K1380" t="n">
        <x:v>4</x:v>
      </x:c>
      <x:c r="L1380" t="str">
        <x:v>STORE-001</x:v>
      </x:c>
      <x:c r="M1380" s="22" t="n">
        <x:v>45993</x:v>
      </x:c>
      <x:c r="N1380" t="str">
        <x:v>SKU-023</x:v>
      </x:c>
      <x:c r="O1380" t="n">
        <x:v>1</x:v>
      </x:c>
      <x:c r="P1380" s="26" t="n">
        <x:f>F1380/O1380</x:f>
        <x:v>2191.92</x:v>
      </x:c>
    </x:row>
    <x:row r="1381">
      <x:c r="A1381" t="n">
        <x:v>1380</x:v>
      </x:c>
      <x:c r="B1381" t="n">
        <x:v>46</x:v>
      </x:c>
      <x:c r="C1381" t="str">
        <x:v>Female</x:v>
      </x:c>
      <x:c r="D1381" t="str">
        <x:v>Home</x:v>
      </x:c>
      <x:c r="E1381" t="str">
        <x:v>Curtains</x:v>
      </x:c>
      <x:c r="F1381" s="24" t="n">
        <x:v>145.73</x:v>
      </x:c>
      <x:c r="G1381" t="str">
        <x:v>Autumn</x:v>
      </x:c>
      <x:c r="H1381" t="str">
        <x:v>Card</x:v>
      </x:c>
      <x:c r="I1381" t="n">
        <x:v>2.7</x:v>
      </x:c>
      <x:c r="J1381" t="n">
        <x:v>14</x:v>
      </x:c>
      <x:c r="K1381" t="n">
        <x:v>2</x:v>
      </x:c>
      <x:c r="L1381" t="str">
        <x:v>STORE-001</x:v>
      </x:c>
      <x:c r="M1381" s="22" t="n">
        <x:v>46161</x:v>
      </x:c>
      <x:c r="N1381" t="str">
        <x:v>SKU-003</x:v>
      </x:c>
      <x:c r="O1381" t="n">
        <x:v>2</x:v>
      </x:c>
      <x:c r="P1381" s="26" t="n">
        <x:f>F1381/O1381</x:f>
        <x:v>72.865</x:v>
      </x:c>
    </x:row>
    <x:row r="1382">
      <x:c r="A1382" t="n">
        <x:v>1381</x:v>
      </x:c>
      <x:c r="B1382" t="n">
        <x:v>32</x:v>
      </x:c>
      <x:c r="C1382" t="str">
        <x:v>Female</x:v>
      </x:c>
      <x:c r="D1382" t="str">
        <x:v>Womens Clothing</x:v>
      </x:c>
      <x:c r="E1382" t="str">
        <x:v>Top</x:v>
      </x:c>
      <x:c r="F1382" s="24" t="n">
        <x:v>194.29</x:v>
      </x:c>
      <x:c r="G1382" t="str">
        <x:v>Summer</x:v>
      </x:c>
      <x:c r="H1382" t="str">
        <x:v>Card</x:v>
      </x:c>
      <x:c r="I1382" t="n">
        <x:v>3.6</x:v>
      </x:c>
      <x:c r="J1382" t="n">
        <x:v>10</x:v>
      </x:c>
      <x:c r="K1382" t="n">
        <x:v>5</x:v>
      </x:c>
      <x:c r="L1382" t="str">
        <x:v>STORE-001</x:v>
      </x:c>
      <x:c r="M1382" s="22" t="n">
        <x:v>46075</x:v>
      </x:c>
      <x:c r="N1382" t="str">
        <x:v>SKU-028</x:v>
      </x:c>
      <x:c r="O1382" t="n">
        <x:v>1</x:v>
      </x:c>
      <x:c r="P1382" s="26" t="n">
        <x:f>F1382/O1382</x:f>
        <x:v>194.29</x:v>
      </x:c>
    </x:row>
    <x:row r="1383">
      <x:c r="A1383" t="n">
        <x:v>1382</x:v>
      </x:c>
      <x:c r="B1383" t="n">
        <x:v>29</x:v>
      </x:c>
      <x:c r="C1383" t="str">
        <x:v>Male</x:v>
      </x:c>
      <x:c r="D1383" t="str">
        <x:v>Home</x:v>
      </x:c>
      <x:c r="E1383" t="str">
        <x:v>Curtains</x:v>
      </x:c>
      <x:c r="F1383" s="24" t="n">
        <x:v>219.13</x:v>
      </x:c>
      <x:c r="G1383" t="str">
        <x:v>Summer</x:v>
      </x:c>
      <x:c r="H1383" t="str">
        <x:v>Card</x:v>
      </x:c>
      <x:c r="I1383" t="n">
        <x:v>2.8</x:v>
      </x:c>
      <x:c r="J1383" t="n">
        <x:v>20</x:v>
      </x:c>
      <x:c r="K1383" t="n">
        <x:v>5</x:v>
      </x:c>
      <x:c r="L1383" t="str">
        <x:v>STORE-001</x:v>
      </x:c>
      <x:c r="M1383" s="22" t="n">
        <x:v>46017</x:v>
      </x:c>
      <x:c r="N1383" t="str">
        <x:v>SKU-003</x:v>
      </x:c>
      <x:c r="O1383" t="n">
        <x:v>2</x:v>
      </x:c>
      <x:c r="P1383" s="26" t="n">
        <x:f>F1383/O1383</x:f>
        <x:v>109.565</x:v>
      </x:c>
    </x:row>
    <x:row r="1384">
      <x:c r="A1384" t="n">
        <x:v>1383</x:v>
      </x:c>
      <x:c r="B1384" t="n">
        <x:v>53</x:v>
      </x:c>
      <x:c r="C1384" t="str">
        <x:v>Female</x:v>
      </x:c>
      <x:c r="D1384" t="str">
        <x:v>Beauty</x:v>
      </x:c>
      <x:c r="E1384" t="str">
        <x:v>Perfume</x:v>
      </x:c>
      <x:c r="F1384" s="24" t="n">
        <x:v>73</x:v>
      </x:c>
      <x:c r="G1384" t="str">
        <x:v>Autumn</x:v>
      </x:c>
      <x:c r="H1384" t="str">
        <x:v>Card</x:v>
      </x:c>
      <x:c r="I1384" t="n">
        <x:v>2.8</x:v>
      </x:c>
      <x:c r="J1384" t="n">
        <x:v>18</x:v>
      </x:c>
      <x:c r="K1384" t="n">
        <x:v>4</x:v>
      </x:c>
      <x:c r="L1384" t="str">
        <x:v>STORE-001</x:v>
      </x:c>
      <x:c r="M1384" s="22" t="n">
        <x:v>46094</x:v>
      </x:c>
      <x:c r="N1384" t="str">
        <x:v>SKU-017</x:v>
      </x:c>
      <x:c r="O1384" t="n">
        <x:v>1</x:v>
      </x:c>
      <x:c r="P1384" s="26" t="n">
        <x:f>F1384/O1384</x:f>
        <x:v>73</x:v>
      </x:c>
    </x:row>
    <x:row r="1385">
      <x:c r="A1385" t="n">
        <x:v>1384</x:v>
      </x:c>
      <x:c r="B1385" t="n">
        <x:v>56</x:v>
      </x:c>
      <x:c r="C1385" t="str">
        <x:v>Male</x:v>
      </x:c>
      <x:c r="D1385" t="str">
        <x:v>Sports</x:v>
      </x:c>
      <x:c r="E1385" t="str">
        <x:v>Yoga Mat</x:v>
      </x:c>
      <x:c r="F1385" s="24" t="n">
        <x:v>206.69</x:v>
      </x:c>
      <x:c r="G1385" t="str">
        <x:v>Summer</x:v>
      </x:c>
      <x:c r="H1385" t="str">
        <x:v>Card</x:v>
      </x:c>
      <x:c r="I1385" t="n">
        <x:v>4.1</x:v>
      </x:c>
      <x:c r="J1385" t="n">
        <x:v>15</x:v>
      </x:c>
      <x:c r="K1385" t="n">
        <x:v>5</x:v>
      </x:c>
      <x:c r="L1385" t="str">
        <x:v>STORE-001</x:v>
      </x:c>
      <x:c r="M1385" s="22" t="n">
        <x:v>46025</x:v>
      </x:c>
      <x:c r="N1385" t="str">
        <x:v>SKU-030</x:v>
      </x:c>
      <x:c r="O1385" t="n">
        <x:v>1</x:v>
      </x:c>
      <x:c r="P1385" s="26" t="n">
        <x:f>F1385/O1385</x:f>
        <x:v>206.69</x:v>
      </x:c>
    </x:row>
    <x:row r="1386">
      <x:c r="A1386" t="n">
        <x:v>1385</x:v>
      </x:c>
      <x:c r="B1386" t="n">
        <x:v>49</x:v>
      </x:c>
      <x:c r="C1386" t="str">
        <x:v>Male</x:v>
      </x:c>
      <x:c r="D1386" t="str">
        <x:v>Footwear</x:v>
      </x:c>
      <x:c r="E1386" t="str">
        <x:v>Sandals</x:v>
      </x:c>
      <x:c r="F1386" s="24" t="n">
        <x:v>171.39</x:v>
      </x:c>
      <x:c r="G1386" t="str">
        <x:v>Winter</x:v>
      </x:c>
      <x:c r="H1386" t="str">
        <x:v>Card</x:v>
      </x:c>
      <x:c r="I1386" t="n">
        <x:v>5</x:v>
      </x:c>
      <x:c r="J1386" t="n">
        <x:v>13</x:v>
      </x:c>
      <x:c r="K1386" t="n">
        <x:v>4</x:v>
      </x:c>
      <x:c r="L1386" t="str">
        <x:v>STORE-001</x:v>
      </x:c>
      <x:c r="M1386" s="22" t="n">
        <x:v>46243</x:v>
      </x:c>
      <x:c r="N1386" t="str">
        <x:v>SKU-019</x:v>
      </x:c>
      <x:c r="O1386" t="n">
        <x:v>1</x:v>
      </x:c>
      <x:c r="P1386" s="26" t="n">
        <x:f>F1386/O1386</x:f>
        <x:v>171.39</x:v>
      </x:c>
    </x:row>
    <x:row r="1387">
      <x:c r="A1387" t="n">
        <x:v>1386</x:v>
      </x:c>
      <x:c r="B1387" t="n">
        <x:v>49</x:v>
      </x:c>
      <x:c r="C1387" t="str">
        <x:v>Female</x:v>
      </x:c>
      <x:c r="D1387" t="str">
        <x:v>Home</x:v>
      </x:c>
      <x:c r="E1387" t="str">
        <x:v>Lamp</x:v>
      </x:c>
      <x:c r="F1387" s="24" t="n">
        <x:v>281.41</x:v>
      </x:c>
      <x:c r="G1387" t="str">
        <x:v>Autumn</x:v>
      </x:c>
      <x:c r="H1387" t="str">
        <x:v>Card</x:v>
      </x:c>
      <x:c r="I1387" t="n">
        <x:v>4.6</x:v>
      </x:c>
      <x:c r="J1387" t="n">
        <x:v>10</x:v>
      </x:c>
      <x:c r="K1387" t="n">
        <x:v>5</x:v>
      </x:c>
      <x:c r="L1387" t="str">
        <x:v>STORE-001</x:v>
      </x:c>
      <x:c r="M1387" s="22" t="n">
        <x:v>46090</x:v>
      </x:c>
      <x:c r="N1387" t="str">
        <x:v>SKU-013</x:v>
      </x:c>
      <x:c r="O1387" t="n">
        <x:v>1</x:v>
      </x:c>
      <x:c r="P1387" s="26" t="n">
        <x:f>F1387/O1387</x:f>
        <x:v>281.41</x:v>
      </x:c>
    </x:row>
    <x:row r="1388">
      <x:c r="A1388" t="n">
        <x:v>1387</x:v>
      </x:c>
      <x:c r="B1388" t="n">
        <x:v>42</x:v>
      </x:c>
      <x:c r="C1388" t="str">
        <x:v>Male</x:v>
      </x:c>
      <x:c r="D1388" t="str">
        <x:v>Groceries</x:v>
      </x:c>
      <x:c r="E1388" t="str">
        <x:v>Cooking Oil</x:v>
      </x:c>
      <x:c r="F1388" s="24" t="n">
        <x:v>65.66</x:v>
      </x:c>
      <x:c r="G1388" t="str">
        <x:v>Summer</x:v>
      </x:c>
      <x:c r="H1388" t="str">
        <x:v>Cash on Delivery</x:v>
      </x:c>
      <x:c r="I1388" t="n">
        <x:v>3.1</x:v>
      </x:c>
      <x:c r="J1388" t="n">
        <x:v>20</x:v>
      </x:c>
      <x:c r="K1388" t="n">
        <x:v>5</x:v>
      </x:c>
      <x:c r="L1388" t="str">
        <x:v>STORE-001</x:v>
      </x:c>
      <x:c r="M1388" s="22" t="n">
        <x:v>46037</x:v>
      </x:c>
      <x:c r="N1388" t="str">
        <x:v>SKU-002</x:v>
      </x:c>
      <x:c r="O1388" t="n">
        <x:v>4</x:v>
      </x:c>
      <x:c r="P1388" s="26" t="n">
        <x:f>F1388/O1388</x:f>
        <x:v>16.415</x:v>
      </x:c>
    </x:row>
    <x:row r="1389">
      <x:c r="A1389" t="n">
        <x:v>1388</x:v>
      </x:c>
      <x:c r="B1389" t="n">
        <x:v>66</x:v>
      </x:c>
      <x:c r="C1389" t="str">
        <x:v>Male</x:v>
      </x:c>
      <x:c r="D1389" t="str">
        <x:v>Mens Clothing</x:v>
      </x:c>
      <x:c r="E1389" t="str">
        <x:v>T-Shirt</x:v>
      </x:c>
      <x:c r="F1389" s="24" t="n">
        <x:v>117.92</x:v>
      </x:c>
      <x:c r="G1389" t="str">
        <x:v>Summer</x:v>
      </x:c>
      <x:c r="H1389" t="str">
        <x:v>Card</x:v>
      </x:c>
      <x:c r="I1389" t="n">
        <x:v>3.1</x:v>
      </x:c>
      <x:c r="J1389" t="n">
        <x:v>18</x:v>
      </x:c>
      <x:c r="K1389" t="n">
        <x:v>9</x:v>
      </x:c>
      <x:c r="L1389" t="str">
        <x:v>STORE-001</x:v>
      </x:c>
      <x:c r="M1389" s="22" t="n">
        <x:v>46008</x:v>
      </x:c>
      <x:c r="N1389" t="str">
        <x:v>SKU-027</x:v>
      </x:c>
      <x:c r="O1389" t="n">
        <x:v>1</x:v>
      </x:c>
      <x:c r="P1389" s="26" t="n">
        <x:f>F1389/O1389</x:f>
        <x:v>117.92</x:v>
      </x:c>
    </x:row>
    <x:row r="1390">
      <x:c r="A1390" t="n">
        <x:v>1389</x:v>
      </x:c>
      <x:c r="B1390" t="n">
        <x:v>57</x:v>
      </x:c>
      <x:c r="C1390" t="str">
        <x:v>Female</x:v>
      </x:c>
      <x:c r="D1390" t="str">
        <x:v>Accessories</x:v>
      </x:c>
      <x:c r="E1390" t="str">
        <x:v>Wallet</x:v>
      </x:c>
      <x:c r="F1390" s="24" t="n">
        <x:v>85.12</x:v>
      </x:c>
      <x:c r="G1390" t="str">
        <x:v>Autumn</x:v>
      </x:c>
      <x:c r="H1390" t="str">
        <x:v>Cash on Delivery</x:v>
      </x:c>
      <x:c r="I1390" t="n">
        <x:v>3</x:v>
      </x:c>
      <x:c r="J1390" t="n">
        <x:v>10</x:v>
      </x:c>
      <x:c r="K1390" t="n">
        <x:v>5</x:v>
      </x:c>
      <x:c r="L1390" t="str">
        <x:v>STORE-001</x:v>
      </x:c>
      <x:c r="M1390" s="22" t="n">
        <x:v>46102</x:v>
      </x:c>
      <x:c r="N1390" t="str">
        <x:v>SKU-029</x:v>
      </x:c>
      <x:c r="O1390" t="n">
        <x:v>1</x:v>
      </x:c>
      <x:c r="P1390" s="26" t="n">
        <x:f>F1390/O1390</x:f>
        <x:v>85.12</x:v>
      </x:c>
    </x:row>
    <x:row r="1391">
      <x:c r="A1391" t="n">
        <x:v>1390</x:v>
      </x:c>
      <x:c r="B1391" t="n">
        <x:v>21</x:v>
      </x:c>
      <x:c r="C1391" t="str">
        <x:v>Male</x:v>
      </x:c>
      <x:c r="D1391" t="str">
        <x:v>Electronics</x:v>
      </x:c>
      <x:c r="E1391" t="str">
        <x:v>Headphones</x:v>
      </x:c>
      <x:c r="F1391" s="24" t="n">
        <x:v>522.74</x:v>
      </x:c>
      <x:c r="G1391" t="str">
        <x:v>Summer</x:v>
      </x:c>
      <x:c r="H1391" t="str">
        <x:v>Card</x:v>
      </x:c>
      <x:c r="I1391" t="n">
        <x:v>4.8</x:v>
      </x:c>
      <x:c r="J1391" t="n">
        <x:v>24</x:v>
      </x:c>
      <x:c r="K1391" t="n">
        <x:v>7</x:v>
      </x:c>
      <x:c r="L1391" t="str">
        <x:v>STORE-001</x:v>
      </x:c>
      <x:c r="M1391" s="22" t="n">
        <x:v>46022</x:v>
      </x:c>
      <x:c r="N1391" t="str">
        <x:v>SKU-009</x:v>
      </x:c>
      <x:c r="O1391" t="n">
        <x:v>1</x:v>
      </x:c>
      <x:c r="P1391" s="26" t="n">
        <x:f>F1391/O1391</x:f>
        <x:v>522.74</x:v>
      </x:c>
    </x:row>
    <x:row r="1392">
      <x:c r="A1392" t="n">
        <x:v>1391</x:v>
      </x:c>
      <x:c r="B1392" t="n">
        <x:v>70</x:v>
      </x:c>
      <x:c r="C1392" t="str">
        <x:v>Male</x:v>
      </x:c>
      <x:c r="D1392" t="str">
        <x:v>Sports</x:v>
      </x:c>
      <x:c r="E1392" t="str">
        <x:v>Dumbbells</x:v>
      </x:c>
      <x:c r="F1392" s="24" t="n">
        <x:v>146.3</x:v>
      </x:c>
      <x:c r="G1392" t="str">
        <x:v>Summer</x:v>
      </x:c>
      <x:c r="H1392" t="str">
        <x:v>Card</x:v>
      </x:c>
      <x:c r="I1392" t="n">
        <x:v>3.3</x:v>
      </x:c>
      <x:c r="J1392" t="n">
        <x:v>20</x:v>
      </x:c>
      <x:c r="K1392" t="n">
        <x:v>5</x:v>
      </x:c>
      <x:c r="L1392" t="str">
        <x:v>STORE-001</x:v>
      </x:c>
      <x:c r="M1392" s="22" t="n">
        <x:v>46052</x:v>
      </x:c>
      <x:c r="N1392" t="str">
        <x:v>SKU-005</x:v>
      </x:c>
      <x:c r="O1392" t="n">
        <x:v>1</x:v>
      </x:c>
      <x:c r="P1392" s="26" t="n">
        <x:f>F1392/O1392</x:f>
        <x:v>146.3</x:v>
      </x:c>
    </x:row>
    <x:row r="1393">
      <x:c r="A1393" t="n">
        <x:v>1392</x:v>
      </x:c>
      <x:c r="B1393" t="n">
        <x:v>57</x:v>
      </x:c>
      <x:c r="C1393" t="str">
        <x:v>Male</x:v>
      </x:c>
      <x:c r="D1393" t="str">
        <x:v>Footwear</x:v>
      </x:c>
      <x:c r="E1393" t="str">
        <x:v>Sneakers</x:v>
      </x:c>
      <x:c r="F1393" s="24" t="n">
        <x:v>188.81</x:v>
      </x:c>
      <x:c r="G1393" t="str">
        <x:v>Spring</x:v>
      </x:c>
      <x:c r="H1393" t="str">
        <x:v>Card</x:v>
      </x:c>
      <x:c r="I1393" t="n">
        <x:v>4.1</x:v>
      </x:c>
      <x:c r="J1393" t="n">
        <x:v>11</x:v>
      </x:c>
      <x:c r="K1393" t="n">
        <x:v>3</x:v>
      </x:c>
      <x:c r="L1393" t="str">
        <x:v>STORE-001</x:v>
      </x:c>
      <x:c r="M1393" s="22" t="n">
        <x:v>45964</x:v>
      </x:c>
      <x:c r="N1393" t="str">
        <x:v>SKU-025</x:v>
      </x:c>
      <x:c r="O1393" t="n">
        <x:v>1</x:v>
      </x:c>
      <x:c r="P1393" s="26" t="n">
        <x:f>F1393/O1393</x:f>
        <x:v>188.81</x:v>
      </x:c>
    </x:row>
    <x:row r="1394">
      <x:c r="A1394" t="n">
        <x:v>1393</x:v>
      </x:c>
      <x:c r="B1394" t="n">
        <x:v>24</x:v>
      </x:c>
      <x:c r="C1394" t="str">
        <x:v>Male</x:v>
      </x:c>
      <x:c r="D1394" t="str">
        <x:v>Electronics</x:v>
      </x:c>
      <x:c r="E1394" t="str">
        <x:v>Smart Watch</x:v>
      </x:c>
      <x:c r="F1394" s="24" t="n">
        <x:v>973.64</x:v>
      </x:c>
      <x:c r="G1394" t="str">
        <x:v>Autumn</x:v>
      </x:c>
      <x:c r="H1394" t="str">
        <x:v>Card</x:v>
      </x:c>
      <x:c r="I1394" t="n">
        <x:v>4.3</x:v>
      </x:c>
      <x:c r="J1394" t="n">
        <x:v>16</x:v>
      </x:c>
      <x:c r="K1394" t="n">
        <x:v>3</x:v>
      </x:c>
      <x:c r="L1394" t="str">
        <x:v>STORE-001</x:v>
      </x:c>
      <x:c r="M1394" s="22" t="n">
        <x:v>46166</x:v>
      </x:c>
      <x:c r="N1394" t="str">
        <x:v>SKU-023</x:v>
      </x:c>
      <x:c r="O1394" t="n">
        <x:v>1</x:v>
      </x:c>
      <x:c r="P1394" s="26" t="n">
        <x:f>F1394/O1394</x:f>
        <x:v>973.64</x:v>
      </x:c>
    </x:row>
    <x:row r="1395">
      <x:c r="A1395" t="n">
        <x:v>1394</x:v>
      </x:c>
      <x:c r="B1395" t="n">
        <x:v>61</x:v>
      </x:c>
      <x:c r="C1395" t="str">
        <x:v>Male</x:v>
      </x:c>
      <x:c r="D1395" t="str">
        <x:v>Electronics</x:v>
      </x:c>
      <x:c r="E1395" t="str">
        <x:v>Mobile Phone</x:v>
      </x:c>
      <x:c r="F1395" s="24" t="n">
        <x:v>1496.01</x:v>
      </x:c>
      <x:c r="G1395" t="str">
        <x:v>Winter</x:v>
      </x:c>
      <x:c r="H1395" t="str">
        <x:v>Card</x:v>
      </x:c>
      <x:c r="I1395" t="n">
        <x:v>4</x:v>
      </x:c>
      <x:c r="J1395" t="n">
        <x:v>13</x:v>
      </x:c>
      <x:c r="K1395" t="n">
        <x:v>4</x:v>
      </x:c>
      <x:c r="L1395" t="str">
        <x:v>STORE-001</x:v>
      </x:c>
      <x:c r="M1395" s="22" t="n">
        <x:v>46185</x:v>
      </x:c>
      <x:c r="N1395" t="str">
        <x:v>SKU-016</x:v>
      </x:c>
      <x:c r="O1395" t="n">
        <x:v>1</x:v>
      </x:c>
      <x:c r="P1395" s="26" t="n">
        <x:f>F1395/O1395</x:f>
        <x:v>1496.01</x:v>
      </x:c>
    </x:row>
    <x:row r="1396">
      <x:c r="A1396" t="n">
        <x:v>1395</x:v>
      </x:c>
      <x:c r="B1396" t="n">
        <x:v>56</x:v>
      </x:c>
      <x:c r="C1396" t="str">
        <x:v>Female</x:v>
      </x:c>
      <x:c r="D1396" t="str">
        <x:v>Footwear</x:v>
      </x:c>
      <x:c r="E1396" t="str">
        <x:v>Formal Shoes</x:v>
      </x:c>
      <x:c r="F1396" s="24" t="n">
        <x:v>228.28</x:v>
      </x:c>
      <x:c r="G1396" t="str">
        <x:v>Summer</x:v>
      </x:c>
      <x:c r="H1396" t="str">
        <x:v>Card</x:v>
      </x:c>
      <x:c r="I1396" t="n">
        <x:v>4.1</x:v>
      </x:c>
      <x:c r="J1396" t="n">
        <x:v>6</x:v>
      </x:c>
      <x:c r="K1396" t="n">
        <x:v>3</x:v>
      </x:c>
      <x:c r="L1396" t="str">
        <x:v>STORE-001</x:v>
      </x:c>
      <x:c r="M1396" s="22" t="n">
        <x:v>46076</x:v>
      </x:c>
      <x:c r="N1396" t="str">
        <x:v>SKU-007</x:v>
      </x:c>
      <x:c r="O1396" t="n">
        <x:v>1</x:v>
      </x:c>
      <x:c r="P1396" s="26" t="n">
        <x:f>F1396/O1396</x:f>
        <x:v>228.28</x:v>
      </x:c>
    </x:row>
    <x:row r="1397">
      <x:c r="A1397" t="n">
        <x:v>1396</x:v>
      </x:c>
      <x:c r="B1397" t="n">
        <x:v>40</x:v>
      </x:c>
      <x:c r="C1397" t="str">
        <x:v>Female</x:v>
      </x:c>
      <x:c r="D1397" t="str">
        <x:v>Accessories</x:v>
      </x:c>
      <x:c r="E1397" t="str">
        <x:v>Sunglasses</x:v>
      </x:c>
      <x:c r="F1397" s="24" t="n">
        <x:v>119.97</x:v>
      </x:c>
      <x:c r="G1397" t="str">
        <x:v>Summer</x:v>
      </x:c>
      <x:c r="H1397" t="str">
        <x:v>Card</x:v>
      </x:c>
      <x:c r="I1397" t="n">
        <x:v>4</x:v>
      </x:c>
      <x:c r="J1397" t="n">
        <x:v>13</x:v>
      </x:c>
      <x:c r="K1397" t="n">
        <x:v>4</x:v>
      </x:c>
      <x:c r="L1397" t="str">
        <x:v>STORE-001</x:v>
      </x:c>
      <x:c r="M1397" s="22" t="n">
        <x:v>46020</x:v>
      </x:c>
      <x:c r="N1397" t="str">
        <x:v>SKU-026</x:v>
      </x:c>
      <x:c r="O1397" t="n">
        <x:v>2</x:v>
      </x:c>
      <x:c r="P1397" s="26" t="n">
        <x:f>F1397/O1397</x:f>
        <x:v>59.985</x:v>
      </x:c>
    </x:row>
    <x:row r="1398">
      <x:c r="A1398" t="n">
        <x:v>1397</x:v>
      </x:c>
      <x:c r="B1398" t="n">
        <x:v>23</x:v>
      </x:c>
      <x:c r="C1398" t="str">
        <x:v>Female</x:v>
      </x:c>
      <x:c r="D1398" t="str">
        <x:v>Womens Clothing</x:v>
      </x:c>
      <x:c r="E1398" t="str">
        <x:v>Jeans</x:v>
      </x:c>
      <x:c r="F1398" s="24" t="n">
        <x:v>123.01</x:v>
      </x:c>
      <x:c r="G1398" t="str">
        <x:v>Spring</x:v>
      </x:c>
      <x:c r="H1398" t="str">
        <x:v>Card</x:v>
      </x:c>
      <x:c r="I1398" t="n">
        <x:v>3.9</x:v>
      </x:c>
      <x:c r="J1398" t="n">
        <x:v>17</x:v>
      </x:c>
      <x:c r="K1398" t="n">
        <x:v>6</x:v>
      </x:c>
      <x:c r="L1398" t="str">
        <x:v>STORE-001</x:v>
      </x:c>
      <x:c r="M1398" s="22" t="n">
        <x:v>46267</x:v>
      </x:c>
      <x:c r="N1398" t="str">
        <x:v>SKU-011</x:v>
      </x:c>
      <x:c r="O1398" t="n">
        <x:v>1</x:v>
      </x:c>
      <x:c r="P1398" s="26" t="n">
        <x:f>F1398/O1398</x:f>
        <x:v>123.01</x:v>
      </x:c>
    </x:row>
    <x:row r="1399">
      <x:c r="A1399" t="n">
        <x:v>1398</x:v>
      </x:c>
      <x:c r="B1399" t="n">
        <x:v>43</x:v>
      </x:c>
      <x:c r="C1399" t="str">
        <x:v>Female</x:v>
      </x:c>
      <x:c r="D1399" t="str">
        <x:v>Accessories</x:v>
      </x:c>
      <x:c r="E1399" t="str">
        <x:v>Handbag</x:v>
      </x:c>
      <x:c r="F1399" s="24" t="n">
        <x:v>162.25</x:v>
      </x:c>
      <x:c r="G1399" t="str">
        <x:v>Spring</x:v>
      </x:c>
      <x:c r="H1399" t="str">
        <x:v>Card</x:v>
      </x:c>
      <x:c r="I1399" t="n">
        <x:v>4.2</x:v>
      </x:c>
      <x:c r="J1399" t="n">
        <x:v>6</x:v>
      </x:c>
      <x:c r="K1399" t="n">
        <x:v>3</x:v>
      </x:c>
      <x:c r="L1399" t="str">
        <x:v>STORE-001</x:v>
      </x:c>
      <x:c r="M1399" s="22" t="n">
        <x:v>46282</x:v>
      </x:c>
      <x:c r="N1399" t="str">
        <x:v>SKU-008</x:v>
      </x:c>
      <x:c r="O1399" t="n">
        <x:v>1</x:v>
      </x:c>
      <x:c r="P1399" s="26" t="n">
        <x:f>F1399/O1399</x:f>
        <x:v>162.25</x:v>
      </x:c>
    </x:row>
    <x:row r="1400">
      <x:c r="A1400" t="n">
        <x:v>1399</x:v>
      </x:c>
      <x:c r="B1400" t="n">
        <x:v>54</x:v>
      </x:c>
      <x:c r="C1400" t="str">
        <x:v>Female</x:v>
      </x:c>
      <x:c r="D1400" t="str">
        <x:v>Footwear</x:v>
      </x:c>
      <x:c r="E1400" t="str">
        <x:v>Sneakers</x:v>
      </x:c>
      <x:c r="F1400" s="24" t="n">
        <x:v>194.79</x:v>
      </x:c>
      <x:c r="G1400" t="str">
        <x:v>Winter</x:v>
      </x:c>
      <x:c r="H1400" t="str">
        <x:v>Card</x:v>
      </x:c>
      <x:c r="I1400" t="n">
        <x:v>2.2</x:v>
      </x:c>
      <x:c r="J1400" t="n">
        <x:v>16</x:v>
      </x:c>
      <x:c r="K1400" t="n">
        <x:v>8</x:v>
      </x:c>
      <x:c r="L1400" t="str">
        <x:v>STORE-001</x:v>
      </x:c>
      <x:c r="M1400" s="22" t="n">
        <x:v>46195</x:v>
      </x:c>
      <x:c r="N1400" t="str">
        <x:v>SKU-025</x:v>
      </x:c>
      <x:c r="O1400" t="n">
        <x:v>3</x:v>
      </x:c>
      <x:c r="P1400" s="26" t="n">
        <x:f>F1400/O1400</x:f>
        <x:v>64.92999999999999</x:v>
      </x:c>
    </x:row>
    <x:row r="1401">
      <x:c r="A1401" t="n">
        <x:v>1400</x:v>
      </x:c>
      <x:c r="B1401" t="n">
        <x:v>50</x:v>
      </x:c>
      <x:c r="C1401" t="str">
        <x:v>Male</x:v>
      </x:c>
      <x:c r="D1401" t="str">
        <x:v>Sports</x:v>
      </x:c>
      <x:c r="E1401" t="str">
        <x:v>Dumbbells</x:v>
      </x:c>
      <x:c r="F1401" s="24" t="n">
        <x:v>126.38</x:v>
      </x:c>
      <x:c r="G1401" t="str">
        <x:v>Autumn</x:v>
      </x:c>
      <x:c r="H1401" t="str">
        <x:v>Card</x:v>
      </x:c>
      <x:c r="I1401" t="n">
        <x:v>3.4</x:v>
      </x:c>
      <x:c r="J1401" t="n">
        <x:v>6</x:v>
      </x:c>
      <x:c r="K1401" t="n">
        <x:v>3</x:v>
      </x:c>
      <x:c r="L1401" t="str">
        <x:v>STORE-001</x:v>
      </x:c>
      <x:c r="M1401" s="22" t="n">
        <x:v>46173</x:v>
      </x:c>
      <x:c r="N1401" t="str">
        <x:v>SKU-005</x:v>
      </x:c>
      <x:c r="O1401" t="n">
        <x:v>1</x:v>
      </x:c>
      <x:c r="P1401" s="26" t="n">
        <x:f>F1401/O1401</x:f>
        <x:v>126.38</x:v>
      </x:c>
    </x:row>
    <x:row r="1402">
      <x:c r="A1402" t="n">
        <x:v>1401</x:v>
      </x:c>
      <x:c r="B1402" t="n">
        <x:v>67</x:v>
      </x:c>
      <x:c r="C1402" t="str">
        <x:v>Female</x:v>
      </x:c>
      <x:c r="D1402" t="str">
        <x:v>Footwear</x:v>
      </x:c>
      <x:c r="E1402" t="str">
        <x:v>Sandals</x:v>
      </x:c>
      <x:c r="F1402" s="24" t="n">
        <x:v>246.6</x:v>
      </x:c>
      <x:c r="G1402" t="str">
        <x:v>Spring</x:v>
      </x:c>
      <x:c r="H1402" t="str">
        <x:v>Card</x:v>
      </x:c>
      <x:c r="I1402" t="n">
        <x:v>4.8</x:v>
      </x:c>
      <x:c r="J1402" t="n">
        <x:v>15</x:v>
      </x:c>
      <x:c r="K1402" t="n">
        <x:v>5</x:v>
      </x:c>
      <x:c r="L1402" t="str">
        <x:v>STORE-001</x:v>
      </x:c>
      <x:c r="M1402" s="22" t="n">
        <x:v>45947</x:v>
      </x:c>
      <x:c r="N1402" t="str">
        <x:v>SKU-019</x:v>
      </x:c>
      <x:c r="O1402" t="n">
        <x:v>1</x:v>
      </x:c>
      <x:c r="P1402" s="26" t="n">
        <x:f>F1402/O1402</x:f>
        <x:v>246.6</x:v>
      </x:c>
    </x:row>
    <x:row r="1403">
      <x:c r="A1403" t="n">
        <x:v>1402</x:v>
      </x:c>
      <x:c r="B1403" t="n">
        <x:v>59</x:v>
      </x:c>
      <x:c r="C1403" t="str">
        <x:v>Male</x:v>
      </x:c>
      <x:c r="D1403" t="str">
        <x:v>Mens Clothing</x:v>
      </x:c>
      <x:c r="E1403" t="str">
        <x:v>Shirt</x:v>
      </x:c>
      <x:c r="F1403" s="24" t="n">
        <x:v>116.03</x:v>
      </x:c>
      <x:c r="G1403" t="str">
        <x:v>Spring</x:v>
      </x:c>
      <x:c r="H1403" t="str">
        <x:v>Card</x:v>
      </x:c>
      <x:c r="I1403" t="n">
        <x:v>2.6</x:v>
      </x:c>
      <x:c r="J1403" t="n">
        <x:v>7</x:v>
      </x:c>
      <x:c r="K1403" t="n">
        <x:v>1</x:v>
      </x:c>
      <x:c r="L1403" t="str">
        <x:v>STORE-001</x:v>
      </x:c>
      <x:c r="M1403" s="22" t="n">
        <x:v>45986</x:v>
      </x:c>
      <x:c r="N1403" t="str">
        <x:v>SKU-020</x:v>
      </x:c>
      <x:c r="O1403" t="n">
        <x:v>1</x:v>
      </x:c>
      <x:c r="P1403" s="26" t="n">
        <x:f>F1403/O1403</x:f>
        <x:v>116.03</x:v>
      </x:c>
    </x:row>
    <x:row r="1404">
      <x:c r="A1404" t="n">
        <x:v>1403</x:v>
      </x:c>
      <x:c r="B1404" t="n">
        <x:v>21</x:v>
      </x:c>
      <x:c r="C1404" t="str">
        <x:v>Female</x:v>
      </x:c>
      <x:c r="D1404" t="str">
        <x:v>Accessories</x:v>
      </x:c>
      <x:c r="E1404" t="str">
        <x:v>Wallet</x:v>
      </x:c>
      <x:c r="F1404" s="24" t="n">
        <x:v>157.32</x:v>
      </x:c>
      <x:c r="G1404" t="str">
        <x:v>Winter</x:v>
      </x:c>
      <x:c r="H1404" t="str">
        <x:v>Card</x:v>
      </x:c>
      <x:c r="I1404" t="n">
        <x:v>3.1</x:v>
      </x:c>
      <x:c r="J1404" t="n">
        <x:v>18</x:v>
      </x:c>
      <x:c r="K1404" t="n">
        <x:v>4</x:v>
      </x:c>
      <x:c r="L1404" t="str">
        <x:v>STORE-001</x:v>
      </x:c>
      <x:c r="M1404" s="22" t="n">
        <x:v>46176</x:v>
      </x:c>
      <x:c r="N1404" t="str">
        <x:v>SKU-029</x:v>
      </x:c>
      <x:c r="O1404" t="n">
        <x:v>1</x:v>
      </x:c>
      <x:c r="P1404" s="26" t="n">
        <x:f>F1404/O1404</x:f>
        <x:v>157.32</x:v>
      </x:c>
    </x:row>
    <x:row r="1405">
      <x:c r="A1405" t="n">
        <x:v>1404</x:v>
      </x:c>
      <x:c r="B1405" t="n">
        <x:v>26</x:v>
      </x:c>
      <x:c r="C1405" t="str">
        <x:v>Female</x:v>
      </x:c>
      <x:c r="D1405" t="str">
        <x:v>Beauty</x:v>
      </x:c>
      <x:c r="E1405" t="str">
        <x:v>Makeup Set</x:v>
      </x:c>
      <x:c r="F1405" s="24" t="n">
        <x:v>96.17</x:v>
      </x:c>
      <x:c r="G1405" t="str">
        <x:v>Summer</x:v>
      </x:c>
      <x:c r="H1405" t="str">
        <x:v>Cash on Delivery</x:v>
      </x:c>
      <x:c r="I1405" t="n">
        <x:v>3.5</x:v>
      </x:c>
      <x:c r="J1405" t="n">
        <x:v>15</x:v>
      </x:c>
      <x:c r="K1405" t="n">
        <x:v>5</x:v>
      </x:c>
      <x:c r="L1405" t="str">
        <x:v>STORE-001</x:v>
      </x:c>
      <x:c r="M1405" s="22" t="n">
        <x:v>46005</x:v>
      </x:c>
      <x:c r="N1405" t="str">
        <x:v>SKU-015</x:v>
      </x:c>
      <x:c r="O1405" t="n">
        <x:v>1</x:v>
      </x:c>
      <x:c r="P1405" s="26" t="n">
        <x:f>F1405/O1405</x:f>
        <x:v>96.17</x:v>
      </x:c>
    </x:row>
    <x:row r="1406">
      <x:c r="A1406" t="n">
        <x:v>1405</x:v>
      </x:c>
      <x:c r="B1406" t="n">
        <x:v>21</x:v>
      </x:c>
      <x:c r="C1406" t="str">
        <x:v>Female</x:v>
      </x:c>
      <x:c r="D1406" t="str">
        <x:v>Footwear</x:v>
      </x:c>
      <x:c r="E1406" t="str">
        <x:v>Sneakers</x:v>
      </x:c>
      <x:c r="F1406" s="24" t="n">
        <x:v>103.99</x:v>
      </x:c>
      <x:c r="G1406" t="str">
        <x:v>Spring</x:v>
      </x:c>
      <x:c r="H1406" t="str">
        <x:v>Card</x:v>
      </x:c>
      <x:c r="I1406" t="n">
        <x:v>4.3</x:v>
      </x:c>
      <x:c r="J1406" t="n">
        <x:v>11</x:v>
      </x:c>
      <x:c r="K1406" t="n">
        <x:v>3</x:v>
      </x:c>
      <x:c r="L1406" t="str">
        <x:v>STORE-001</x:v>
      </x:c>
      <x:c r="M1406" s="22" t="n">
        <x:v>45959</x:v>
      </x:c>
      <x:c r="N1406" t="str">
        <x:v>SKU-025</x:v>
      </x:c>
      <x:c r="O1406" t="n">
        <x:v>1</x:v>
      </x:c>
      <x:c r="P1406" s="26" t="n">
        <x:f>F1406/O1406</x:f>
        <x:v>103.99</x:v>
      </x:c>
    </x:row>
    <x:row r="1407">
      <x:c r="A1407" t="n">
        <x:v>1406</x:v>
      </x:c>
      <x:c r="B1407" t="n">
        <x:v>57</x:v>
      </x:c>
      <x:c r="C1407" t="str">
        <x:v>Male</x:v>
      </x:c>
      <x:c r="D1407" t="str">
        <x:v>Electronics</x:v>
      </x:c>
      <x:c r="E1407" t="str">
        <x:v>Smart Watch</x:v>
      </x:c>
      <x:c r="F1407" s="24" t="n">
        <x:v>629.5</x:v>
      </x:c>
      <x:c r="G1407" t="str">
        <x:v>Spring</x:v>
      </x:c>
      <x:c r="H1407" t="str">
        <x:v>Card</x:v>
      </x:c>
      <x:c r="I1407" t="n">
        <x:v>3.7</x:v>
      </x:c>
      <x:c r="J1407" t="n">
        <x:v>15</x:v>
      </x:c>
      <x:c r="K1407" t="n">
        <x:v>5</x:v>
      </x:c>
      <x:c r="L1407" t="str">
        <x:v>STORE-001</x:v>
      </x:c>
      <x:c r="M1407" s="22" t="n">
        <x:v>45981</x:v>
      </x:c>
      <x:c r="N1407" t="str">
        <x:v>SKU-023</x:v>
      </x:c>
      <x:c r="O1407" t="n">
        <x:v>1</x:v>
      </x:c>
      <x:c r="P1407" s="26" t="n">
        <x:f>F1407/O1407</x:f>
        <x:v>629.5</x:v>
      </x:c>
    </x:row>
    <x:row r="1408">
      <x:c r="A1408" t="n">
        <x:v>1407</x:v>
      </x:c>
      <x:c r="B1408" t="n">
        <x:v>23</x:v>
      </x:c>
      <x:c r="C1408" t="str">
        <x:v>Male</x:v>
      </x:c>
      <x:c r="D1408" t="str">
        <x:v>Electronics</x:v>
      </x:c>
      <x:c r="E1408" t="str">
        <x:v>Smart Watch</x:v>
      </x:c>
      <x:c r="F1408" s="24" t="n">
        <x:v>1444.5</x:v>
      </x:c>
      <x:c r="G1408" t="str">
        <x:v>Spring</x:v>
      </x:c>
      <x:c r="H1408" t="str">
        <x:v>Card</x:v>
      </x:c>
      <x:c r="I1408" t="n">
        <x:v>3.2</x:v>
      </x:c>
      <x:c r="J1408" t="n">
        <x:v>14</x:v>
      </x:c>
      <x:c r="K1408" t="n">
        <x:v>2</x:v>
      </x:c>
      <x:c r="L1408" t="str">
        <x:v>STORE-001</x:v>
      </x:c>
      <x:c r="M1408" s="22" t="n">
        <x:v>46268</x:v>
      </x:c>
      <x:c r="N1408" t="str">
        <x:v>SKU-023</x:v>
      </x:c>
      <x:c r="O1408" t="n">
        <x:v>2</x:v>
      </x:c>
      <x:c r="P1408" s="26" t="n">
        <x:f>F1408/O1408</x:f>
        <x:v>722.25</x:v>
      </x:c>
    </x:row>
    <x:row r="1409">
      <x:c r="A1409" t="n">
        <x:v>1408</x:v>
      </x:c>
      <x:c r="B1409" t="n">
        <x:v>57</x:v>
      </x:c>
      <x:c r="C1409" t="str">
        <x:v>Male</x:v>
      </x:c>
      <x:c r="D1409" t="str">
        <x:v>Mens Clothing</x:v>
      </x:c>
      <x:c r="E1409" t="str">
        <x:v>Jacket</x:v>
      </x:c>
      <x:c r="F1409" s="24" t="n">
        <x:v>36.46</x:v>
      </x:c>
      <x:c r="G1409" t="str">
        <x:v>Summer</x:v>
      </x:c>
      <x:c r="H1409" t="str">
        <x:v>Card</x:v>
      </x:c>
      <x:c r="I1409" t="n">
        <x:v>2.6</x:v>
      </x:c>
      <x:c r="J1409" t="n">
        <x:v>4</x:v>
      </x:c>
      <x:c r="K1409" t="n">
        <x:v>2</x:v>
      </x:c>
      <x:c r="L1409" t="str">
        <x:v>STORE-001</x:v>
      </x:c>
      <x:c r="M1409" s="22" t="n">
        <x:v>46015</x:v>
      </x:c>
      <x:c r="N1409" t="str">
        <x:v>SKU-010</x:v>
      </x:c>
      <x:c r="O1409" t="n">
        <x:v>2</x:v>
      </x:c>
      <x:c r="P1409" s="26" t="n">
        <x:f>F1409/O1409</x:f>
        <x:v>18.23</x:v>
      </x:c>
    </x:row>
    <x:row r="1410">
      <x:c r="A1410" t="n">
        <x:v>1409</x:v>
      </x:c>
      <x:c r="B1410" t="n">
        <x:v>31</x:v>
      </x:c>
      <x:c r="C1410" t="str">
        <x:v>Female</x:v>
      </x:c>
      <x:c r="D1410" t="str">
        <x:v>Beauty</x:v>
      </x:c>
      <x:c r="E1410" t="str">
        <x:v>Perfume</x:v>
      </x:c>
      <x:c r="F1410" s="24" t="n">
        <x:v>80.36</x:v>
      </x:c>
      <x:c r="G1410" t="str">
        <x:v>Summer</x:v>
      </x:c>
      <x:c r="H1410" t="str">
        <x:v>Cash on Delivery</x:v>
      </x:c>
      <x:c r="I1410" t="n">
        <x:v>4.5</x:v>
      </x:c>
      <x:c r="J1410" t="n">
        <x:v>17</x:v>
      </x:c>
      <x:c r="K1410" t="n">
        <x:v>6</x:v>
      </x:c>
      <x:c r="L1410" t="str">
        <x:v>STORE-001</x:v>
      </x:c>
      <x:c r="M1410" s="22" t="n">
        <x:v>46024</x:v>
      </x:c>
      <x:c r="N1410" t="str">
        <x:v>SKU-017</x:v>
      </x:c>
      <x:c r="O1410" t="n">
        <x:v>2</x:v>
      </x:c>
      <x:c r="P1410" s="26" t="n">
        <x:f>F1410/O1410</x:f>
        <x:v>40.18</x:v>
      </x:c>
    </x:row>
    <x:row r="1411">
      <x:c r="A1411" t="n">
        <x:v>1410</x:v>
      </x:c>
      <x:c r="B1411" t="n">
        <x:v>57</x:v>
      </x:c>
      <x:c r="C1411" t="str">
        <x:v>Male</x:v>
      </x:c>
      <x:c r="D1411" t="str">
        <x:v>Electronics</x:v>
      </x:c>
      <x:c r="E1411" t="str">
        <x:v>Headphones</x:v>
      </x:c>
      <x:c r="F1411" s="24" t="n">
        <x:v>2547.41</x:v>
      </x:c>
      <x:c r="G1411" t="str">
        <x:v>Spring</x:v>
      </x:c>
      <x:c r="H1411" t="str">
        <x:v>Card</x:v>
      </x:c>
      <x:c r="I1411" t="n">
        <x:v>3.7</x:v>
      </x:c>
      <x:c r="J1411" t="n">
        <x:v>16</x:v>
      </x:c>
      <x:c r="K1411" t="n">
        <x:v>3</x:v>
      </x:c>
      <x:c r="L1411" t="str">
        <x:v>STORE-001</x:v>
      </x:c>
      <x:c r="M1411" s="22" t="n">
        <x:v>45983</x:v>
      </x:c>
      <x:c r="N1411" t="str">
        <x:v>SKU-009</x:v>
      </x:c>
      <x:c r="O1411" t="n">
        <x:v>1</x:v>
      </x:c>
      <x:c r="P1411" s="26" t="n">
        <x:f>F1411/O1411</x:f>
        <x:v>2547.41</x:v>
      </x:c>
    </x:row>
    <x:row r="1412">
      <x:c r="A1412" t="n">
        <x:v>1411</x:v>
      </x:c>
      <x:c r="B1412" t="n">
        <x:v>55</x:v>
      </x:c>
      <x:c r="C1412" t="str">
        <x:v>Female</x:v>
      </x:c>
      <x:c r="D1412" t="str">
        <x:v>Footwear</x:v>
      </x:c>
      <x:c r="E1412" t="str">
        <x:v>Sneakers</x:v>
      </x:c>
      <x:c r="F1412" s="24" t="n">
        <x:v>75.06</x:v>
      </x:c>
      <x:c r="G1412" t="str">
        <x:v>Summer</x:v>
      </x:c>
      <x:c r="H1412" t="str">
        <x:v>Card</x:v>
      </x:c>
      <x:c r="I1412" t="n">
        <x:v>3.9</x:v>
      </x:c>
      <x:c r="J1412" t="n">
        <x:v>12</x:v>
      </x:c>
      <x:c r="K1412" t="n">
        <x:v>1</x:v>
      </x:c>
      <x:c r="L1412" t="str">
        <x:v>STORE-001</x:v>
      </x:c>
      <x:c r="M1412" s="22" t="n">
        <x:v>46033</x:v>
      </x:c>
      <x:c r="N1412" t="str">
        <x:v>SKU-025</x:v>
      </x:c>
      <x:c r="O1412" t="n">
        <x:v>1</x:v>
      </x:c>
      <x:c r="P1412" s="26" t="n">
        <x:f>F1412/O1412</x:f>
        <x:v>75.06</x:v>
      </x:c>
    </x:row>
    <x:row r="1413">
      <x:c r="A1413" t="n">
        <x:v>1412</x:v>
      </x:c>
      <x:c r="B1413" t="n">
        <x:v>47</x:v>
      </x:c>
      <x:c r="C1413" t="str">
        <x:v>Female</x:v>
      </x:c>
      <x:c r="D1413" t="str">
        <x:v>Beauty</x:v>
      </x:c>
      <x:c r="E1413" t="str">
        <x:v>Skincare Kit</x:v>
      </x:c>
      <x:c r="F1413" s="24" t="n">
        <x:v>42.38</x:v>
      </x:c>
      <x:c r="G1413" t="str">
        <x:v>Summer</x:v>
      </x:c>
      <x:c r="H1413" t="str">
        <x:v>Cash on Delivery</x:v>
      </x:c>
      <x:c r="I1413" t="n">
        <x:v>3.4</x:v>
      </x:c>
      <x:c r="J1413" t="n">
        <x:v>17</x:v>
      </x:c>
      <x:c r="K1413" t="n">
        <x:v>6</x:v>
      </x:c>
      <x:c r="L1413" t="str">
        <x:v>STORE-001</x:v>
      </x:c>
      <x:c r="M1413" s="22" t="n">
        <x:v>46065</x:v>
      </x:c>
      <x:c r="N1413" t="str">
        <x:v>SKU-021</x:v>
      </x:c>
      <x:c r="O1413" t="n">
        <x:v>1</x:v>
      </x:c>
      <x:c r="P1413" s="26" t="n">
        <x:f>F1413/O1413</x:f>
        <x:v>42.38</x:v>
      </x:c>
    </x:row>
    <x:row r="1414">
      <x:c r="A1414" t="n">
        <x:v>1413</x:v>
      </x:c>
      <x:c r="B1414" t="n">
        <x:v>52</x:v>
      </x:c>
      <x:c r="C1414" t="str">
        <x:v>Female</x:v>
      </x:c>
      <x:c r="D1414" t="str">
        <x:v>Beauty</x:v>
      </x:c>
      <x:c r="E1414" t="str">
        <x:v>Skincare Kit</x:v>
      </x:c>
      <x:c r="F1414" s="24" t="n">
        <x:v>134.53</x:v>
      </x:c>
      <x:c r="G1414" t="str">
        <x:v>Autumn</x:v>
      </x:c>
      <x:c r="H1414" t="str">
        <x:v>Card</x:v>
      </x:c>
      <x:c r="I1414" t="n">
        <x:v>3.8</x:v>
      </x:c>
      <x:c r="J1414" t="n">
        <x:v>26</x:v>
      </x:c>
      <x:c r="K1414" t="n">
        <x:v>8</x:v>
      </x:c>
      <x:c r="L1414" t="str">
        <x:v>STORE-001</x:v>
      </x:c>
      <x:c r="M1414" s="22" t="n">
        <x:v>46111</x:v>
      </x:c>
      <x:c r="N1414" t="str">
        <x:v>SKU-021</x:v>
      </x:c>
      <x:c r="O1414" t="n">
        <x:v>3</x:v>
      </x:c>
      <x:c r="P1414" s="26" t="n">
        <x:f>F1414/O1414</x:f>
        <x:v>44.843333333333334</x:v>
      </x:c>
    </x:row>
    <x:row r="1415">
      <x:c r="A1415" t="n">
        <x:v>1414</x:v>
      </x:c>
      <x:c r="B1415" t="n">
        <x:v>23</x:v>
      </x:c>
      <x:c r="C1415" t="str">
        <x:v>Male</x:v>
      </x:c>
      <x:c r="D1415" t="str">
        <x:v>Footwear</x:v>
      </x:c>
      <x:c r="E1415" t="str">
        <x:v>Formal Shoes</x:v>
      </x:c>
      <x:c r="F1415" s="24" t="n">
        <x:v>214.52</x:v>
      </x:c>
      <x:c r="G1415" t="str">
        <x:v>Summer</x:v>
      </x:c>
      <x:c r="H1415" t="str">
        <x:v>Card</x:v>
      </x:c>
      <x:c r="I1415" t="n">
        <x:v>2.6</x:v>
      </x:c>
      <x:c r="J1415" t="n">
        <x:v>4</x:v>
      </x:c>
      <x:c r="K1415" t="n">
        <x:v>2</x:v>
      </x:c>
      <x:c r="L1415" t="str">
        <x:v>STORE-001</x:v>
      </x:c>
      <x:c r="M1415" s="22" t="n">
        <x:v>46034</x:v>
      </x:c>
      <x:c r="N1415" t="str">
        <x:v>SKU-007</x:v>
      </x:c>
      <x:c r="O1415" t="n">
        <x:v>1</x:v>
      </x:c>
      <x:c r="P1415" s="26" t="n">
        <x:f>F1415/O1415</x:f>
        <x:v>214.52</x:v>
      </x:c>
    </x:row>
    <x:row r="1416">
      <x:c r="A1416" t="n">
        <x:v>1415</x:v>
      </x:c>
      <x:c r="B1416" t="n">
        <x:v>24</x:v>
      </x:c>
      <x:c r="C1416" t="str">
        <x:v>Female</x:v>
      </x:c>
      <x:c r="D1416" t="str">
        <x:v>Beauty</x:v>
      </x:c>
      <x:c r="E1416" t="str">
        <x:v>Skincare Kit</x:v>
      </x:c>
      <x:c r="F1416" s="24" t="n">
        <x:v>42.87</x:v>
      </x:c>
      <x:c r="G1416" t="str">
        <x:v>Spring</x:v>
      </x:c>
      <x:c r="H1416" t="str">
        <x:v>Card</x:v>
      </x:c>
      <x:c r="I1416" t="n">
        <x:v>3.6</x:v>
      </x:c>
      <x:c r="J1416" t="n">
        <x:v>15</x:v>
      </x:c>
      <x:c r="K1416" t="n">
        <x:v>5</x:v>
      </x:c>
      <x:c r="L1416" t="str">
        <x:v>STORE-001</x:v>
      </x:c>
      <x:c r="M1416" s="22" t="n">
        <x:v>46293</x:v>
      </x:c>
      <x:c r="N1416" t="str">
        <x:v>SKU-021</x:v>
      </x:c>
      <x:c r="O1416" t="n">
        <x:v>1</x:v>
      </x:c>
      <x:c r="P1416" s="26" t="n">
        <x:f>F1416/O1416</x:f>
        <x:v>42.87</x:v>
      </x:c>
    </x:row>
    <x:row r="1417">
      <x:c r="A1417" t="n">
        <x:v>1416</x:v>
      </x:c>
      <x:c r="B1417" t="n">
        <x:v>22</x:v>
      </x:c>
      <x:c r="C1417" t="str">
        <x:v>Male</x:v>
      </x:c>
      <x:c r="D1417" t="str">
        <x:v>Sports</x:v>
      </x:c>
      <x:c r="E1417" t="str">
        <x:v>Football</x:v>
      </x:c>
      <x:c r="F1417" s="24" t="n">
        <x:v>180.61</x:v>
      </x:c>
      <x:c r="G1417" t="str">
        <x:v>Spring</x:v>
      </x:c>
      <x:c r="H1417" t="str">
        <x:v>Card</x:v>
      </x:c>
      <x:c r="I1417" t="n">
        <x:v>3</x:v>
      </x:c>
      <x:c r="J1417" t="n">
        <x:v>15</x:v>
      </x:c>
      <x:c r="K1417" t="n">
        <x:v>5</x:v>
      </x:c>
      <x:c r="L1417" t="str">
        <x:v>STORE-001</x:v>
      </x:c>
      <x:c r="M1417" s="22" t="n">
        <x:v>46283</x:v>
      </x:c>
      <x:c r="N1417" t="str">
        <x:v>SKU-006</x:v>
      </x:c>
      <x:c r="O1417" t="n">
        <x:v>2</x:v>
      </x:c>
      <x:c r="P1417" s="26" t="n">
        <x:f>F1417/O1417</x:f>
        <x:v>90.305</x:v>
      </x:c>
    </x:row>
    <x:row r="1418">
      <x:c r="A1418" t="n">
        <x:v>1417</x:v>
      </x:c>
      <x:c r="B1418" t="n">
        <x:v>52</x:v>
      </x:c>
      <x:c r="C1418" t="str">
        <x:v>Male</x:v>
      </x:c>
      <x:c r="D1418" t="str">
        <x:v>Footwear</x:v>
      </x:c>
      <x:c r="E1418" t="str">
        <x:v>Sandals</x:v>
      </x:c>
      <x:c r="F1418" s="24" t="n">
        <x:v>161.2</x:v>
      </x:c>
      <x:c r="G1418" t="str">
        <x:v>Winter</x:v>
      </x:c>
      <x:c r="H1418" t="str">
        <x:v>Card</x:v>
      </x:c>
      <x:c r="I1418" t="n">
        <x:v>3.1</x:v>
      </x:c>
      <x:c r="J1418" t="n">
        <x:v>4</x:v>
      </x:c>
      <x:c r="K1418" t="n">
        <x:v>2</x:v>
      </x:c>
      <x:c r="L1418" t="str">
        <x:v>STORE-001</x:v>
      </x:c>
      <x:c r="M1418" s="22" t="n">
        <x:v>46177</x:v>
      </x:c>
      <x:c r="N1418" t="str">
        <x:v>SKU-019</x:v>
      </x:c>
      <x:c r="O1418" t="n">
        <x:v>1</x:v>
      </x:c>
      <x:c r="P1418" s="26" t="n">
        <x:f>F1418/O1418</x:f>
        <x:v>161.2</x:v>
      </x:c>
    </x:row>
    <x:row r="1419">
      <x:c r="A1419" t="n">
        <x:v>1418</x:v>
      </x:c>
      <x:c r="B1419" t="n">
        <x:v>49</x:v>
      </x:c>
      <x:c r="C1419" t="str">
        <x:v>Female</x:v>
      </x:c>
      <x:c r="D1419" t="str">
        <x:v>Sports</x:v>
      </x:c>
      <x:c r="E1419" t="str">
        <x:v>Dumbbells</x:v>
      </x:c>
      <x:c r="F1419" s="24" t="n">
        <x:v>166.73</x:v>
      </x:c>
      <x:c r="G1419" t="str">
        <x:v>Spring</x:v>
      </x:c>
      <x:c r="H1419" t="str">
        <x:v>Card</x:v>
      </x:c>
      <x:c r="I1419" t="n">
        <x:v>2.3</x:v>
      </x:c>
      <x:c r="J1419" t="n">
        <x:v>15</x:v>
      </x:c>
      <x:c r="K1419" t="n">
        <x:v>5</x:v>
      </x:c>
      <x:c r="L1419" t="str">
        <x:v>STORE-001</x:v>
      </x:c>
      <x:c r="M1419" s="22" t="n">
        <x:v>46266</x:v>
      </x:c>
      <x:c r="N1419" t="str">
        <x:v>SKU-005</x:v>
      </x:c>
      <x:c r="O1419" t="n">
        <x:v>2</x:v>
      </x:c>
      <x:c r="P1419" s="26" t="n">
        <x:f>F1419/O1419</x:f>
        <x:v>83.365</x:v>
      </x:c>
    </x:row>
    <x:row r="1420">
      <x:c r="A1420" t="n">
        <x:v>1419</x:v>
      </x:c>
      <x:c r="B1420" t="n">
        <x:v>29</x:v>
      </x:c>
      <x:c r="C1420" t="str">
        <x:v>Female</x:v>
      </x:c>
      <x:c r="D1420" t="str">
        <x:v>Footwear</x:v>
      </x:c>
      <x:c r="E1420" t="str">
        <x:v>Sandals</x:v>
      </x:c>
      <x:c r="F1420" s="24" t="n">
        <x:v>102.67</x:v>
      </x:c>
      <x:c r="G1420" t="str">
        <x:v>Spring</x:v>
      </x:c>
      <x:c r="H1420" t="str">
        <x:v>Card</x:v>
      </x:c>
      <x:c r="I1420" t="n">
        <x:v>3</x:v>
      </x:c>
      <x:c r="J1420" t="n">
        <x:v>6</x:v>
      </x:c>
      <x:c r="K1420" t="n">
        <x:v>3</x:v>
      </x:c>
      <x:c r="L1420" t="str">
        <x:v>STORE-001</x:v>
      </x:c>
      <x:c r="M1420" s="22" t="n">
        <x:v>45963</x:v>
      </x:c>
      <x:c r="N1420" t="str">
        <x:v>SKU-019</x:v>
      </x:c>
      <x:c r="O1420" t="n">
        <x:v>1</x:v>
      </x:c>
      <x:c r="P1420" s="26" t="n">
        <x:f>F1420/O1420</x:f>
        <x:v>102.67</x:v>
      </x:c>
    </x:row>
    <x:row r="1421">
      <x:c r="A1421" t="n">
        <x:v>1420</x:v>
      </x:c>
      <x:c r="B1421" t="n">
        <x:v>54</x:v>
      </x:c>
      <x:c r="C1421" t="str">
        <x:v>Male</x:v>
      </x:c>
      <x:c r="D1421" t="str">
        <x:v>Electronics</x:v>
      </x:c>
      <x:c r="E1421" t="str">
        <x:v>Laptop</x:v>
      </x:c>
      <x:c r="F1421" s="24" t="n">
        <x:v>999.76</x:v>
      </x:c>
      <x:c r="G1421" t="str">
        <x:v>Winter</x:v>
      </x:c>
      <x:c r="H1421" t="str">
        <x:v>Card</x:v>
      </x:c>
      <x:c r="I1421" t="n">
        <x:v>4</x:v>
      </x:c>
      <x:c r="J1421" t="n">
        <x:v>8</x:v>
      </x:c>
      <x:c r="K1421" t="n">
        <x:v>4</x:v>
      </x:c>
      <x:c r="L1421" t="str">
        <x:v>STORE-001</x:v>
      </x:c>
      <x:c r="M1421" s="22" t="n">
        <x:v>46259</x:v>
      </x:c>
      <x:c r="N1421" t="str">
        <x:v>SKU-014</x:v>
      </x:c>
      <x:c r="O1421" t="n">
        <x:v>1</x:v>
      </x:c>
      <x:c r="P1421" s="26" t="n">
        <x:f>F1421/O1421</x:f>
        <x:v>999.76</x:v>
      </x:c>
    </x:row>
    <x:row r="1422">
      <x:c r="A1422" t="n">
        <x:v>1421</x:v>
      </x:c>
      <x:c r="B1422" t="n">
        <x:v>31</x:v>
      </x:c>
      <x:c r="C1422" t="str">
        <x:v>Male</x:v>
      </x:c>
      <x:c r="D1422" t="str">
        <x:v>Sports</x:v>
      </x:c>
      <x:c r="E1422" t="str">
        <x:v>Football</x:v>
      </x:c>
      <x:c r="F1422" s="24" t="n">
        <x:v>112.39</x:v>
      </x:c>
      <x:c r="G1422" t="str">
        <x:v>Spring</x:v>
      </x:c>
      <x:c r="H1422" t="str">
        <x:v>Card</x:v>
      </x:c>
      <x:c r="I1422" t="n">
        <x:v>4.7</x:v>
      </x:c>
      <x:c r="J1422" t="n">
        <x:v>26</x:v>
      </x:c>
      <x:c r="K1422" t="n">
        <x:v>8</x:v>
      </x:c>
      <x:c r="L1422" t="str">
        <x:v>STORE-001</x:v>
      </x:c>
      <x:c r="M1422" s="22" t="n">
        <x:v>45978</x:v>
      </x:c>
      <x:c r="N1422" t="str">
        <x:v>SKU-006</x:v>
      </x:c>
      <x:c r="O1422" t="n">
        <x:v>1</x:v>
      </x:c>
      <x:c r="P1422" s="26" t="n">
        <x:f>F1422/O1422</x:f>
        <x:v>112.39</x:v>
      </x:c>
    </x:row>
    <x:row r="1423">
      <x:c r="A1423" t="n">
        <x:v>1422</x:v>
      </x:c>
      <x:c r="B1423" t="n">
        <x:v>54</x:v>
      </x:c>
      <x:c r="C1423" t="str">
        <x:v>Male</x:v>
      </x:c>
      <x:c r="D1423" t="str">
        <x:v>Mens Clothing</x:v>
      </x:c>
      <x:c r="E1423" t="str">
        <x:v>Jacket</x:v>
      </x:c>
      <x:c r="F1423" s="24" t="n">
        <x:v>161.28</x:v>
      </x:c>
      <x:c r="G1423" t="str">
        <x:v>Winter</x:v>
      </x:c>
      <x:c r="H1423" t="str">
        <x:v>Card</x:v>
      </x:c>
      <x:c r="I1423" t="n">
        <x:v>3.4</x:v>
      </x:c>
      <x:c r="J1423" t="n">
        <x:v>16</x:v>
      </x:c>
      <x:c r="K1423" t="n">
        <x:v>3</x:v>
      </x:c>
      <x:c r="L1423" t="str">
        <x:v>STORE-001</x:v>
      </x:c>
      <x:c r="M1423" s="22" t="n">
        <x:v>46198</x:v>
      </x:c>
      <x:c r="N1423" t="str">
        <x:v>SKU-010</x:v>
      </x:c>
      <x:c r="O1423" t="n">
        <x:v>1</x:v>
      </x:c>
      <x:c r="P1423" s="26" t="n">
        <x:f>F1423/O1423</x:f>
        <x:v>161.28</x:v>
      </x:c>
    </x:row>
    <x:row r="1424">
      <x:c r="A1424" t="n">
        <x:v>1423</x:v>
      </x:c>
      <x:c r="B1424" t="n">
        <x:v>32</x:v>
      </x:c>
      <x:c r="C1424" t="str">
        <x:v>Male</x:v>
      </x:c>
      <x:c r="D1424" t="str">
        <x:v>Groceries</x:v>
      </x:c>
      <x:c r="E1424" t="str">
        <x:v>Snacks</x:v>
      </x:c>
      <x:c r="F1424" s="24" t="n">
        <x:v>31.93</x:v>
      </x:c>
      <x:c r="G1424" t="str">
        <x:v>Winter</x:v>
      </x:c>
      <x:c r="H1424" t="str">
        <x:v>Cash on Delivery</x:v>
      </x:c>
      <x:c r="I1424" t="n">
        <x:v>4.3</x:v>
      </x:c>
      <x:c r="J1424" t="n">
        <x:v>9</x:v>
      </x:c>
      <x:c r="K1424" t="n">
        <x:v>2</x:v>
      </x:c>
      <x:c r="L1424" t="str">
        <x:v>STORE-001</x:v>
      </x:c>
      <x:c r="M1424" s="22" t="n">
        <x:v>46211</x:v>
      </x:c>
      <x:c r="N1424" t="str">
        <x:v>SKU-024</x:v>
      </x:c>
      <x:c r="O1424" t="n">
        <x:v>4</x:v>
      </x:c>
      <x:c r="P1424" s="26" t="n">
        <x:f>F1424/O1424</x:f>
        <x:v>7.9825</x:v>
      </x:c>
    </x:row>
    <x:row r="1425">
      <x:c r="A1425" t="n">
        <x:v>1424</x:v>
      </x:c>
      <x:c r="B1425" t="n">
        <x:v>26</x:v>
      </x:c>
      <x:c r="C1425" t="str">
        <x:v>Female</x:v>
      </x:c>
      <x:c r="D1425" t="str">
        <x:v>Womens Clothing</x:v>
      </x:c>
      <x:c r="E1425" t="str">
        <x:v>Top</x:v>
      </x:c>
      <x:c r="F1425" s="24" t="n">
        <x:v>53</x:v>
      </x:c>
      <x:c r="G1425" t="str">
        <x:v>Spring</x:v>
      </x:c>
      <x:c r="H1425" t="str">
        <x:v>Cash on Delivery</x:v>
      </x:c>
      <x:c r="I1425" t="n">
        <x:v>4.4</x:v>
      </x:c>
      <x:c r="J1425" t="n">
        <x:v>12</x:v>
      </x:c>
      <x:c r="K1425" t="n">
        <x:v>6</x:v>
      </x:c>
      <x:c r="L1425" t="str">
        <x:v>STORE-001</x:v>
      </x:c>
      <x:c r="M1425" s="22" t="n">
        <x:v>45990</x:v>
      </x:c>
      <x:c r="N1425" t="str">
        <x:v>SKU-028</x:v>
      </x:c>
      <x:c r="O1425" t="n">
        <x:v>3</x:v>
      </x:c>
      <x:c r="P1425" s="26" t="n">
        <x:f>F1425/O1425</x:f>
        <x:v>17.666666666666668</x:v>
      </x:c>
    </x:row>
    <x:row r="1426">
      <x:c r="A1426" t="n">
        <x:v>1425</x:v>
      </x:c>
      <x:c r="B1426" t="n">
        <x:v>22</x:v>
      </x:c>
      <x:c r="C1426" t="str">
        <x:v>Female</x:v>
      </x:c>
      <x:c r="D1426" t="str">
        <x:v>Womens Clothing</x:v>
      </x:c>
      <x:c r="E1426" t="str">
        <x:v>Top</x:v>
      </x:c>
      <x:c r="F1426" s="24" t="n">
        <x:v>64.8</x:v>
      </x:c>
      <x:c r="G1426" t="str">
        <x:v>Autumn</x:v>
      </x:c>
      <x:c r="H1426" t="str">
        <x:v>Cash on Delivery</x:v>
      </x:c>
      <x:c r="I1426" t="n">
        <x:v>2.7</x:v>
      </x:c>
      <x:c r="J1426" t="n">
        <x:v>19</x:v>
      </x:c>
      <x:c r="K1426" t="n">
        <x:v>7</x:v>
      </x:c>
      <x:c r="L1426" t="str">
        <x:v>STORE-001</x:v>
      </x:c>
      <x:c r="M1426" s="22" t="n">
        <x:v>46115</x:v>
      </x:c>
      <x:c r="N1426" t="str">
        <x:v>SKU-028</x:v>
      </x:c>
      <x:c r="O1426" t="n">
        <x:v>3</x:v>
      </x:c>
      <x:c r="P1426" s="26" t="n">
        <x:f>F1426/O1426</x:f>
        <x:v>21.599999999999998</x:v>
      </x:c>
    </x:row>
    <x:row r="1427">
      <x:c r="A1427" t="n">
        <x:v>1426</x:v>
      </x:c>
      <x:c r="B1427" t="n">
        <x:v>61</x:v>
      </x:c>
      <x:c r="C1427" t="str">
        <x:v>Female</x:v>
      </x:c>
      <x:c r="D1427" t="str">
        <x:v>Home</x:v>
      </x:c>
      <x:c r="E1427" t="str">
        <x:v>Kitchen Set</x:v>
      </x:c>
      <x:c r="F1427" s="24" t="n">
        <x:v>74.16</x:v>
      </x:c>
      <x:c r="G1427" t="str">
        <x:v>Summer</x:v>
      </x:c>
      <x:c r="H1427" t="str">
        <x:v>Cash on Delivery</x:v>
      </x:c>
      <x:c r="I1427" t="n">
        <x:v>4.8</x:v>
      </x:c>
      <x:c r="J1427" t="n">
        <x:v>18</x:v>
      </x:c>
      <x:c r="K1427" t="n">
        <x:v>4</x:v>
      </x:c>
      <x:c r="L1427" t="str">
        <x:v>STORE-001</x:v>
      </x:c>
      <x:c r="M1427" s="22" t="n">
        <x:v>46016</x:v>
      </x:c>
      <x:c r="N1427" t="str">
        <x:v>SKU-012</x:v>
      </x:c>
      <x:c r="O1427" t="n">
        <x:v>2</x:v>
      </x:c>
      <x:c r="P1427" s="26" t="n">
        <x:f>F1427/O1427</x:f>
        <x:v>37.08</x:v>
      </x:c>
    </x:row>
    <x:row r="1428">
      <x:c r="A1428" t="n">
        <x:v>1427</x:v>
      </x:c>
      <x:c r="B1428" t="n">
        <x:v>67</x:v>
      </x:c>
      <x:c r="C1428" t="str">
        <x:v>Male</x:v>
      </x:c>
      <x:c r="D1428" t="str">
        <x:v>Sports</x:v>
      </x:c>
      <x:c r="E1428" t="str">
        <x:v>Dumbbells</x:v>
      </x:c>
      <x:c r="F1428" s="24" t="n">
        <x:v>238.74</x:v>
      </x:c>
      <x:c r="G1428" t="str">
        <x:v>Winter</x:v>
      </x:c>
      <x:c r="H1428" t="str">
        <x:v>Card</x:v>
      </x:c>
      <x:c r="I1428" t="n">
        <x:v>3.4</x:v>
      </x:c>
      <x:c r="J1428" t="n">
        <x:v>26</x:v>
      </x:c>
      <x:c r="K1428" t="n">
        <x:v>8</x:v>
      </x:c>
      <x:c r="L1428" t="str">
        <x:v>STORE-001</x:v>
      </x:c>
      <x:c r="M1428" s="22" t="n">
        <x:v>46225</x:v>
      </x:c>
      <x:c r="N1428" t="str">
        <x:v>SKU-005</x:v>
      </x:c>
      <x:c r="O1428" t="n">
        <x:v>1</x:v>
      </x:c>
      <x:c r="P1428" s="26" t="n">
        <x:f>F1428/O1428</x:f>
        <x:v>238.74</x:v>
      </x:c>
    </x:row>
    <x:row r="1429">
      <x:c r="A1429" t="n">
        <x:v>1428</x:v>
      </x:c>
      <x:c r="B1429" t="n">
        <x:v>28</x:v>
      </x:c>
      <x:c r="C1429" t="str">
        <x:v>Male</x:v>
      </x:c>
      <x:c r="D1429" t="str">
        <x:v>Mens Clothing</x:v>
      </x:c>
      <x:c r="E1429" t="str">
        <x:v>Jacket</x:v>
      </x:c>
      <x:c r="F1429" s="24" t="n">
        <x:v>30.21</x:v>
      </x:c>
      <x:c r="G1429" t="str">
        <x:v>Winter</x:v>
      </x:c>
      <x:c r="H1429" t="str">
        <x:v>Card</x:v>
      </x:c>
      <x:c r="I1429" t="n">
        <x:v>3.7</x:v>
      </x:c>
      <x:c r="J1429" t="n">
        <x:v>14</x:v>
      </x:c>
      <x:c r="K1429" t="n">
        <x:v>2</x:v>
      </x:c>
      <x:c r="L1429" t="str">
        <x:v>STORE-001</x:v>
      </x:c>
      <x:c r="M1429" s="22" t="n">
        <x:v>46225</x:v>
      </x:c>
      <x:c r="N1429" t="str">
        <x:v>SKU-010</x:v>
      </x:c>
      <x:c r="O1429" t="n">
        <x:v>2</x:v>
      </x:c>
      <x:c r="P1429" s="26" t="n">
        <x:f>F1429/O1429</x:f>
        <x:v>15.105</x:v>
      </x:c>
    </x:row>
    <x:row r="1430">
      <x:c r="A1430" t="n">
        <x:v>1429</x:v>
      </x:c>
      <x:c r="B1430" t="n">
        <x:v>20</x:v>
      </x:c>
      <x:c r="C1430" t="str">
        <x:v>Female</x:v>
      </x:c>
      <x:c r="D1430" t="str">
        <x:v>Footwear</x:v>
      </x:c>
      <x:c r="E1430" t="str">
        <x:v>Formal Shoes</x:v>
      </x:c>
      <x:c r="F1430" s="24" t="n">
        <x:v>200.62</x:v>
      </x:c>
      <x:c r="G1430" t="str">
        <x:v>Autumn</x:v>
      </x:c>
      <x:c r="H1430" t="str">
        <x:v>Card</x:v>
      </x:c>
      <x:c r="I1430" t="n">
        <x:v>4.6</x:v>
      </x:c>
      <x:c r="J1430" t="n">
        <x:v>12</x:v>
      </x:c>
      <x:c r="K1430" t="n">
        <x:v>6</x:v>
      </x:c>
      <x:c r="L1430" t="str">
        <x:v>STORE-001</x:v>
      </x:c>
      <x:c r="M1430" s="22" t="n">
        <x:v>46113</x:v>
      </x:c>
      <x:c r="N1430" t="str">
        <x:v>SKU-007</x:v>
      </x:c>
      <x:c r="O1430" t="n">
        <x:v>2</x:v>
      </x:c>
      <x:c r="P1430" s="26" t="n">
        <x:f>F1430/O1430</x:f>
        <x:v>100.31</x:v>
      </x:c>
    </x:row>
    <x:row r="1431">
      <x:c r="A1431" t="n">
        <x:v>1430</x:v>
      </x:c>
      <x:c r="B1431" t="n">
        <x:v>25</x:v>
      </x:c>
      <x:c r="C1431" t="str">
        <x:v>Male</x:v>
      </x:c>
      <x:c r="D1431" t="str">
        <x:v>Sports</x:v>
      </x:c>
      <x:c r="E1431" t="str">
        <x:v>Dumbbells</x:v>
      </x:c>
      <x:c r="F1431" s="24" t="n">
        <x:v>238.55</x:v>
      </x:c>
      <x:c r="G1431" t="str">
        <x:v>Spring</x:v>
      </x:c>
      <x:c r="H1431" t="str">
        <x:v>Card</x:v>
      </x:c>
      <x:c r="I1431" t="n">
        <x:v>4</x:v>
      </x:c>
      <x:c r="J1431" t="n">
        <x:v>12</x:v>
      </x:c>
      <x:c r="K1431" t="n">
        <x:v>6</x:v>
      </x:c>
      <x:c r="L1431" t="str">
        <x:v>STORE-001</x:v>
      </x:c>
      <x:c r="M1431" s="22" t="n">
        <x:v>45976</x:v>
      </x:c>
      <x:c r="N1431" t="str">
        <x:v>SKU-005</x:v>
      </x:c>
      <x:c r="O1431" t="n">
        <x:v>2</x:v>
      </x:c>
      <x:c r="P1431" s="26" t="n">
        <x:f>F1431/O1431</x:f>
        <x:v>119.275</x:v>
      </x:c>
    </x:row>
    <x:row r="1432">
      <x:c r="A1432" t="n">
        <x:v>1431</x:v>
      </x:c>
      <x:c r="B1432" t="n">
        <x:v>28</x:v>
      </x:c>
      <x:c r="C1432" t="str">
        <x:v>Female</x:v>
      </x:c>
      <x:c r="D1432" t="str">
        <x:v>Womens Clothing</x:v>
      </x:c>
      <x:c r="E1432" t="str">
        <x:v>Dress</x:v>
      </x:c>
      <x:c r="F1432" s="24" t="n">
        <x:v>159.04</x:v>
      </x:c>
      <x:c r="G1432" t="str">
        <x:v>Spring</x:v>
      </x:c>
      <x:c r="H1432" t="str">
        <x:v>Card</x:v>
      </x:c>
      <x:c r="I1432" t="n">
        <x:v>4.8</x:v>
      </x:c>
      <x:c r="J1432" t="n">
        <x:v>26</x:v>
      </x:c>
      <x:c r="K1432" t="n">
        <x:v>8</x:v>
      </x:c>
      <x:c r="L1432" t="str">
        <x:v>STORE-001</x:v>
      </x:c>
      <x:c r="M1432" s="22" t="n">
        <x:v>46291</x:v>
      </x:c>
      <x:c r="N1432" t="str">
        <x:v>SKU-004</x:v>
      </x:c>
      <x:c r="O1432" t="n">
        <x:v>1</x:v>
      </x:c>
      <x:c r="P1432" s="26" t="n">
        <x:f>F1432/O1432</x:f>
        <x:v>159.04</x:v>
      </x:c>
    </x:row>
    <x:row r="1433">
      <x:c r="A1433" t="n">
        <x:v>1432</x:v>
      </x:c>
      <x:c r="B1433" t="n">
        <x:v>21</x:v>
      </x:c>
      <x:c r="C1433" t="str">
        <x:v>Male</x:v>
      </x:c>
      <x:c r="D1433" t="str">
        <x:v>Groceries</x:v>
      </x:c>
      <x:c r="E1433" t="str">
        <x:v>Rice Pack</x:v>
      </x:c>
      <x:c r="F1433" s="24" t="n">
        <x:v>63.05</x:v>
      </x:c>
      <x:c r="G1433" t="str">
        <x:v>Autumn</x:v>
      </x:c>
      <x:c r="H1433" t="str">
        <x:v>Cash on Delivery</x:v>
      </x:c>
      <x:c r="I1433" t="n">
        <x:v>4.3</x:v>
      </x:c>
      <x:c r="J1433" t="n">
        <x:v>21</x:v>
      </x:c>
      <x:c r="K1433" t="n">
        <x:v>8</x:v>
      </x:c>
      <x:c r="L1433" t="str">
        <x:v>STORE-001</x:v>
      </x:c>
      <x:c r="M1433" s="22" t="n">
        <x:v>46091</x:v>
      </x:c>
      <x:c r="N1433" t="str">
        <x:v>SKU-018</x:v>
      </x:c>
      <x:c r="O1433" t="n">
        <x:v>1</x:v>
      </x:c>
      <x:c r="P1433" s="26" t="n">
        <x:f>F1433/O1433</x:f>
        <x:v>63.05</x:v>
      </x:c>
    </x:row>
    <x:row r="1434">
      <x:c r="A1434" t="n">
        <x:v>1433</x:v>
      </x:c>
      <x:c r="B1434" t="n">
        <x:v>35</x:v>
      </x:c>
      <x:c r="C1434" t="str">
        <x:v>Male</x:v>
      </x:c>
      <x:c r="D1434" t="str">
        <x:v>Electronics</x:v>
      </x:c>
      <x:c r="E1434" t="str">
        <x:v>Smart Watch</x:v>
      </x:c>
      <x:c r="F1434" s="24" t="n">
        <x:v>2360.5</x:v>
      </x:c>
      <x:c r="G1434" t="str">
        <x:v>Summer</x:v>
      </x:c>
      <x:c r="H1434" t="str">
        <x:v>Card</x:v>
      </x:c>
      <x:c r="I1434" t="n">
        <x:v>4.4</x:v>
      </x:c>
      <x:c r="J1434" t="n">
        <x:v>12</x:v>
      </x:c>
      <x:c r="K1434" t="n">
        <x:v>6</x:v>
      </x:c>
      <x:c r="L1434" t="str">
        <x:v>STORE-001</x:v>
      </x:c>
      <x:c r="M1434" s="22" t="n">
        <x:v>46077</x:v>
      </x:c>
      <x:c r="N1434" t="str">
        <x:v>SKU-023</x:v>
      </x:c>
      <x:c r="O1434" t="n">
        <x:v>1</x:v>
      </x:c>
      <x:c r="P1434" s="26" t="n">
        <x:f>F1434/O1434</x:f>
        <x:v>2360.5</x:v>
      </x:c>
    </x:row>
    <x:row r="1435">
      <x:c r="A1435" t="n">
        <x:v>1434</x:v>
      </x:c>
      <x:c r="B1435" t="n">
        <x:v>23</x:v>
      </x:c>
      <x:c r="C1435" t="str">
        <x:v>Female</x:v>
      </x:c>
      <x:c r="D1435" t="str">
        <x:v>Womens Clothing</x:v>
      </x:c>
      <x:c r="E1435" t="str">
        <x:v>Top</x:v>
      </x:c>
      <x:c r="F1435" s="24" t="n">
        <x:v>104.09</x:v>
      </x:c>
      <x:c r="G1435" t="str">
        <x:v>Spring</x:v>
      </x:c>
      <x:c r="H1435" t="str">
        <x:v>Card</x:v>
      </x:c>
      <x:c r="I1435" t="n">
        <x:v>3.8</x:v>
      </x:c>
      <x:c r="J1435" t="n">
        <x:v>16</x:v>
      </x:c>
      <x:c r="K1435" t="n">
        <x:v>8</x:v>
      </x:c>
      <x:c r="L1435" t="str">
        <x:v>STORE-001</x:v>
      </x:c>
      <x:c r="M1435" s="22" t="n">
        <x:v>45985</x:v>
      </x:c>
      <x:c r="N1435" t="str">
        <x:v>SKU-028</x:v>
      </x:c>
      <x:c r="O1435" t="n">
        <x:v>1</x:v>
      </x:c>
      <x:c r="P1435" s="26" t="n">
        <x:f>F1435/O1435</x:f>
        <x:v>104.09</x:v>
      </x:c>
    </x:row>
    <x:row r="1436">
      <x:c r="A1436" t="n">
        <x:v>1435</x:v>
      </x:c>
      <x:c r="B1436" t="n">
        <x:v>52</x:v>
      </x:c>
      <x:c r="C1436" t="str">
        <x:v>Female</x:v>
      </x:c>
      <x:c r="D1436" t="str">
        <x:v>Sports</x:v>
      </x:c>
      <x:c r="E1436" t="str">
        <x:v>Football</x:v>
      </x:c>
      <x:c r="F1436" s="24" t="n">
        <x:v>245.46</x:v>
      </x:c>
      <x:c r="G1436" t="str">
        <x:v>Spring</x:v>
      </x:c>
      <x:c r="H1436" t="str">
        <x:v>Card</x:v>
      </x:c>
      <x:c r="I1436" t="n">
        <x:v>5</x:v>
      </x:c>
      <x:c r="J1436" t="n">
        <x:v>19</x:v>
      </x:c>
      <x:c r="K1436" t="n">
        <x:v>7</x:v>
      </x:c>
      <x:c r="L1436" t="str">
        <x:v>STORE-001</x:v>
      </x:c>
      <x:c r="M1436" s="22" t="n">
        <x:v>46268</x:v>
      </x:c>
      <x:c r="N1436" t="str">
        <x:v>SKU-006</x:v>
      </x:c>
      <x:c r="O1436" t="n">
        <x:v>1</x:v>
      </x:c>
      <x:c r="P1436" s="26" t="n">
        <x:f>F1436/O1436</x:f>
        <x:v>245.46</x:v>
      </x:c>
    </x:row>
    <x:row r="1437">
      <x:c r="A1437" t="n">
        <x:v>1436</x:v>
      </x:c>
      <x:c r="B1437" t="n">
        <x:v>68</x:v>
      </x:c>
      <x:c r="C1437" t="str">
        <x:v>Male</x:v>
      </x:c>
      <x:c r="D1437" t="str">
        <x:v>Mens Clothing</x:v>
      </x:c>
      <x:c r="E1437" t="str">
        <x:v>Jeans</x:v>
      </x:c>
      <x:c r="F1437" s="24" t="n">
        <x:v>175.43</x:v>
      </x:c>
      <x:c r="G1437" t="str">
        <x:v>Summer</x:v>
      </x:c>
      <x:c r="H1437" t="str">
        <x:v>Card</x:v>
      </x:c>
      <x:c r="I1437" t="n">
        <x:v>3.7</x:v>
      </x:c>
      <x:c r="J1437" t="n">
        <x:v>10</x:v>
      </x:c>
      <x:c r="K1437" t="n">
        <x:v>5</x:v>
      </x:c>
      <x:c r="L1437" t="str">
        <x:v>STORE-001</x:v>
      </x:c>
      <x:c r="M1437" s="22" t="n">
        <x:v>46054</x:v>
      </x:c>
      <x:c r="N1437" t="str">
        <x:v>SKU-011</x:v>
      </x:c>
      <x:c r="O1437" t="n">
        <x:v>1</x:v>
      </x:c>
      <x:c r="P1437" s="26" t="n">
        <x:f>F1437/O1437</x:f>
        <x:v>175.43</x:v>
      </x:c>
    </x:row>
    <x:row r="1438">
      <x:c r="A1438" t="n">
        <x:v>1437</x:v>
      </x:c>
      <x:c r="B1438" t="n">
        <x:v>55</x:v>
      </x:c>
      <x:c r="C1438" t="str">
        <x:v>Female</x:v>
      </x:c>
      <x:c r="D1438" t="str">
        <x:v>Accessories</x:v>
      </x:c>
      <x:c r="E1438" t="str">
        <x:v>Sunglasses</x:v>
      </x:c>
      <x:c r="F1438" s="24" t="n">
        <x:v>169.49</x:v>
      </x:c>
      <x:c r="G1438" t="str">
        <x:v>Winter</x:v>
      </x:c>
      <x:c r="H1438" t="str">
        <x:v>Card</x:v>
      </x:c>
      <x:c r="I1438" t="n">
        <x:v>3.6</x:v>
      </x:c>
      <x:c r="J1438" t="n">
        <x:v>18</x:v>
      </x:c>
      <x:c r="K1438" t="n">
        <x:v>4</x:v>
      </x:c>
      <x:c r="L1438" t="str">
        <x:v>STORE-001</x:v>
      </x:c>
      <x:c r="M1438" s="22" t="n">
        <x:v>46236</x:v>
      </x:c>
      <x:c r="N1438" t="str">
        <x:v>SKU-026</x:v>
      </x:c>
      <x:c r="O1438" t="n">
        <x:v>2</x:v>
      </x:c>
      <x:c r="P1438" s="26" t="n">
        <x:f>F1438/O1438</x:f>
        <x:v>84.745</x:v>
      </x:c>
    </x:row>
    <x:row r="1439">
      <x:c r="A1439" t="n">
        <x:v>1438</x:v>
      </x:c>
      <x:c r="B1439" t="n">
        <x:v>59</x:v>
      </x:c>
      <x:c r="C1439" t="str">
        <x:v>Female</x:v>
      </x:c>
      <x:c r="D1439" t="str">
        <x:v>Beauty</x:v>
      </x:c>
      <x:c r="E1439" t="str">
        <x:v>Skincare Kit</x:v>
      </x:c>
      <x:c r="F1439" s="24" t="n">
        <x:v>101.48</x:v>
      </x:c>
      <x:c r="G1439" t="str">
        <x:v>Winter</x:v>
      </x:c>
      <x:c r="H1439" t="str">
        <x:v>Card</x:v>
      </x:c>
      <x:c r="I1439" t="n">
        <x:v>4.3</x:v>
      </x:c>
      <x:c r="J1439" t="n">
        <x:v>4</x:v>
      </x:c>
      <x:c r="K1439" t="n">
        <x:v>2</x:v>
      </x:c>
      <x:c r="L1439" t="str">
        <x:v>STORE-001</x:v>
      </x:c>
      <x:c r="M1439" s="22" t="n">
        <x:v>46248</x:v>
      </x:c>
      <x:c r="N1439" t="str">
        <x:v>SKU-021</x:v>
      </x:c>
      <x:c r="O1439" t="n">
        <x:v>1</x:v>
      </x:c>
      <x:c r="P1439" s="26" t="n">
        <x:f>F1439/O1439</x:f>
        <x:v>101.48</x:v>
      </x:c>
    </x:row>
    <x:row r="1440">
      <x:c r="A1440" t="n">
        <x:v>1439</x:v>
      </x:c>
      <x:c r="B1440" t="n">
        <x:v>22</x:v>
      </x:c>
      <x:c r="C1440" t="str">
        <x:v>Male</x:v>
      </x:c>
      <x:c r="D1440" t="str">
        <x:v>Electronics</x:v>
      </x:c>
      <x:c r="E1440" t="str">
        <x:v>Laptop</x:v>
      </x:c>
      <x:c r="F1440" s="24" t="n">
        <x:v>2140.58</x:v>
      </x:c>
      <x:c r="G1440" t="str">
        <x:v>Winter</x:v>
      </x:c>
      <x:c r="H1440" t="str">
        <x:v>Card</x:v>
      </x:c>
      <x:c r="I1440" t="n">
        <x:v>3.5</x:v>
      </x:c>
      <x:c r="J1440" t="n">
        <x:v>18</x:v>
      </x:c>
      <x:c r="K1440" t="n">
        <x:v>4</x:v>
      </x:c>
      <x:c r="L1440" t="str">
        <x:v>STORE-001</x:v>
      </x:c>
      <x:c r="M1440" s="22" t="n">
        <x:v>46184</x:v>
      </x:c>
      <x:c r="N1440" t="str">
        <x:v>SKU-014</x:v>
      </x:c>
      <x:c r="O1440" t="n">
        <x:v>1</x:v>
      </x:c>
      <x:c r="P1440" s="26" t="n">
        <x:f>F1440/O1440</x:f>
        <x:v>2140.58</x:v>
      </x:c>
    </x:row>
    <x:row r="1441">
      <x:c r="A1441" t="n">
        <x:v>1440</x:v>
      </x:c>
      <x:c r="B1441" t="n">
        <x:v>47</x:v>
      </x:c>
      <x:c r="C1441" t="str">
        <x:v>Male</x:v>
      </x:c>
      <x:c r="D1441" t="str">
        <x:v>Sports</x:v>
      </x:c>
      <x:c r="E1441" t="str">
        <x:v>Football</x:v>
      </x:c>
      <x:c r="F1441" s="24" t="n">
        <x:v>203.57</x:v>
      </x:c>
      <x:c r="G1441" t="str">
        <x:v>Autumn</x:v>
      </x:c>
      <x:c r="H1441" t="str">
        <x:v>Card</x:v>
      </x:c>
      <x:c r="I1441" t="n">
        <x:v>3.7</x:v>
      </x:c>
      <x:c r="J1441" t="n">
        <x:v>16</x:v>
      </x:c>
      <x:c r="K1441" t="n">
        <x:v>3</x:v>
      </x:c>
      <x:c r="L1441" t="str">
        <x:v>STORE-001</x:v>
      </x:c>
      <x:c r="M1441" s="22" t="n">
        <x:v>46082</x:v>
      </x:c>
      <x:c r="N1441" t="str">
        <x:v>SKU-006</x:v>
      </x:c>
      <x:c r="O1441" t="n">
        <x:v>1</x:v>
      </x:c>
      <x:c r="P1441" s="26" t="n">
        <x:f>F1441/O1441</x:f>
        <x:v>203.57</x:v>
      </x:c>
    </x:row>
    <x:row r="1442">
      <x:c r="A1442" t="n">
        <x:v>1441</x:v>
      </x:c>
      <x:c r="B1442" t="n">
        <x:v>40</x:v>
      </x:c>
      <x:c r="C1442" t="str">
        <x:v>Female</x:v>
      </x:c>
      <x:c r="D1442" t="str">
        <x:v>Womens Clothing</x:v>
      </x:c>
      <x:c r="E1442" t="str">
        <x:v>Top</x:v>
      </x:c>
      <x:c r="F1442" s="24" t="n">
        <x:v>139.26</x:v>
      </x:c>
      <x:c r="G1442" t="str">
        <x:v>Spring</x:v>
      </x:c>
      <x:c r="H1442" t="str">
        <x:v>Card</x:v>
      </x:c>
      <x:c r="I1442" t="n">
        <x:v>3.3</x:v>
      </x:c>
      <x:c r="J1442" t="n">
        <x:v>24</x:v>
      </x:c>
      <x:c r="K1442" t="n">
        <x:v>7</x:v>
      </x:c>
      <x:c r="L1442" t="str">
        <x:v>STORE-001</x:v>
      </x:c>
      <x:c r="M1442" s="22" t="n">
        <x:v>46295</x:v>
      </x:c>
      <x:c r="N1442" t="str">
        <x:v>SKU-028</x:v>
      </x:c>
      <x:c r="O1442" t="n">
        <x:v>1</x:v>
      </x:c>
      <x:c r="P1442" s="26" t="n">
        <x:f>F1442/O1442</x:f>
        <x:v>139.26</x:v>
      </x:c>
    </x:row>
    <x:row r="1443">
      <x:c r="A1443" t="n">
        <x:v>1442</x:v>
      </x:c>
      <x:c r="B1443" t="n">
        <x:v>67</x:v>
      </x:c>
      <x:c r="C1443" t="str">
        <x:v>Female</x:v>
      </x:c>
      <x:c r="D1443" t="str">
        <x:v>Womens Clothing</x:v>
      </x:c>
      <x:c r="E1443" t="str">
        <x:v>Top</x:v>
      </x:c>
      <x:c r="F1443" s="24" t="n">
        <x:v>67.4</x:v>
      </x:c>
      <x:c r="G1443" t="str">
        <x:v>Spring</x:v>
      </x:c>
      <x:c r="H1443" t="str">
        <x:v>Cash on Delivery</x:v>
      </x:c>
      <x:c r="I1443" t="n">
        <x:v>3.3</x:v>
      </x:c>
      <x:c r="J1443" t="n">
        <x:v>22</x:v>
      </x:c>
      <x:c r="K1443" t="n">
        <x:v>6</x:v>
      </x:c>
      <x:c r="L1443" t="str">
        <x:v>STORE-001</x:v>
      </x:c>
      <x:c r="M1443" s="22" t="n">
        <x:v>45977</x:v>
      </x:c>
      <x:c r="N1443" t="str">
        <x:v>SKU-028</x:v>
      </x:c>
      <x:c r="O1443" t="n">
        <x:v>1</x:v>
      </x:c>
      <x:c r="P1443" s="26" t="n">
        <x:f>F1443/O1443</x:f>
        <x:v>67.4</x:v>
      </x:c>
    </x:row>
    <x:row r="1444">
      <x:c r="A1444" t="n">
        <x:v>1443</x:v>
      </x:c>
      <x:c r="B1444" t="n">
        <x:v>34</x:v>
      </x:c>
      <x:c r="C1444" t="str">
        <x:v>Female</x:v>
      </x:c>
      <x:c r="D1444" t="str">
        <x:v>Beauty</x:v>
      </x:c>
      <x:c r="E1444" t="str">
        <x:v>Makeup Set</x:v>
      </x:c>
      <x:c r="F1444" s="24" t="n">
        <x:v>116.44</x:v>
      </x:c>
      <x:c r="G1444" t="str">
        <x:v>Summer</x:v>
      </x:c>
      <x:c r="H1444" t="str">
        <x:v>Card</x:v>
      </x:c>
      <x:c r="I1444" t="n">
        <x:v>4</x:v>
      </x:c>
      <x:c r="J1444" t="n">
        <x:v>25</x:v>
      </x:c>
      <x:c r="K1444" t="n">
        <x:v>10</x:v>
      </x:c>
      <x:c r="L1444" t="str">
        <x:v>STORE-001</x:v>
      </x:c>
      <x:c r="M1444" s="22" t="n">
        <x:v>46076</x:v>
      </x:c>
      <x:c r="N1444" t="str">
        <x:v>SKU-015</x:v>
      </x:c>
      <x:c r="O1444" t="n">
        <x:v>2</x:v>
      </x:c>
      <x:c r="P1444" s="26" t="n">
        <x:f>F1444/O1444</x:f>
        <x:v>58.22</x:v>
      </x:c>
    </x:row>
    <x:row r="1445">
      <x:c r="A1445" t="n">
        <x:v>1444</x:v>
      </x:c>
      <x:c r="B1445" t="n">
        <x:v>50</x:v>
      </x:c>
      <x:c r="C1445" t="str">
        <x:v>Male</x:v>
      </x:c>
      <x:c r="D1445" t="str">
        <x:v>Sports</x:v>
      </x:c>
      <x:c r="E1445" t="str">
        <x:v>Yoga Mat</x:v>
      </x:c>
      <x:c r="F1445" s="24" t="n">
        <x:v>184.94</x:v>
      </x:c>
      <x:c r="G1445" t="str">
        <x:v>Summer</x:v>
      </x:c>
      <x:c r="H1445" t="str">
        <x:v>Card</x:v>
      </x:c>
      <x:c r="I1445" t="n">
        <x:v>2.5</x:v>
      </x:c>
      <x:c r="J1445" t="n">
        <x:v>8</x:v>
      </x:c>
      <x:c r="K1445" t="n">
        <x:v>4</x:v>
      </x:c>
      <x:c r="L1445" t="str">
        <x:v>STORE-001</x:v>
      </x:c>
      <x:c r="M1445" s="22" t="n">
        <x:v>46038</x:v>
      </x:c>
      <x:c r="N1445" t="str">
        <x:v>SKU-030</x:v>
      </x:c>
      <x:c r="O1445" t="n">
        <x:v>2</x:v>
      </x:c>
      <x:c r="P1445" s="26" t="n">
        <x:f>F1445/O1445</x:f>
        <x:v>92.47</x:v>
      </x:c>
    </x:row>
    <x:row r="1446">
      <x:c r="A1446" t="n">
        <x:v>1445</x:v>
      </x:c>
      <x:c r="B1446" t="n">
        <x:v>70</x:v>
      </x:c>
      <x:c r="C1446" t="str">
        <x:v>Female</x:v>
      </x:c>
      <x:c r="D1446" t="str">
        <x:v>Accessories</x:v>
      </x:c>
      <x:c r="E1446" t="str">
        <x:v>Wallet</x:v>
      </x:c>
      <x:c r="F1446" s="24" t="n">
        <x:v>103.96</x:v>
      </x:c>
      <x:c r="G1446" t="str">
        <x:v>Winter</x:v>
      </x:c>
      <x:c r="H1446" t="str">
        <x:v>Card</x:v>
      </x:c>
      <x:c r="I1446" t="n">
        <x:v>5</x:v>
      </x:c>
      <x:c r="J1446" t="n">
        <x:v>2</x:v>
      </x:c>
      <x:c r="K1446" t="n">
        <x:v>1</x:v>
      </x:c>
      <x:c r="L1446" t="str">
        <x:v>STORE-001</x:v>
      </x:c>
      <x:c r="M1446" s="22" t="n">
        <x:v>46243</x:v>
      </x:c>
      <x:c r="N1446" t="str">
        <x:v>SKU-029</x:v>
      </x:c>
      <x:c r="O1446" t="n">
        <x:v>2</x:v>
      </x:c>
      <x:c r="P1446" s="26" t="n">
        <x:f>F1446/O1446</x:f>
        <x:v>51.98</x:v>
      </x:c>
    </x:row>
    <x:row r="1447">
      <x:c r="A1447" t="n">
        <x:v>1446</x:v>
      </x:c>
      <x:c r="B1447" t="n">
        <x:v>49</x:v>
      </x:c>
      <x:c r="C1447" t="str">
        <x:v>Male</x:v>
      </x:c>
      <x:c r="D1447" t="str">
        <x:v>Mens Clothing</x:v>
      </x:c>
      <x:c r="E1447" t="str">
        <x:v>Shirt</x:v>
      </x:c>
      <x:c r="F1447" s="24" t="n">
        <x:v>181.17</x:v>
      </x:c>
      <x:c r="G1447" t="str">
        <x:v>Spring</x:v>
      </x:c>
      <x:c r="H1447" t="str">
        <x:v>Card</x:v>
      </x:c>
      <x:c r="I1447" t="n">
        <x:v>4.4</x:v>
      </x:c>
      <x:c r="J1447" t="n">
        <x:v>18</x:v>
      </x:c>
      <x:c r="K1447" t="n">
        <x:v>4</x:v>
      </x:c>
      <x:c r="L1447" t="str">
        <x:v>STORE-001</x:v>
      </x:c>
      <x:c r="M1447" s="22" t="n">
        <x:v>46269</x:v>
      </x:c>
      <x:c r="N1447" t="str">
        <x:v>SKU-020</x:v>
      </x:c>
      <x:c r="O1447" t="n">
        <x:v>1</x:v>
      </x:c>
      <x:c r="P1447" s="26" t="n">
        <x:f>F1447/O1447</x:f>
        <x:v>181.17</x:v>
      </x:c>
    </x:row>
    <x:row r="1448">
      <x:c r="A1448" t="n">
        <x:v>1447</x:v>
      </x:c>
      <x:c r="B1448" t="n">
        <x:v>30</x:v>
      </x:c>
      <x:c r="C1448" t="str">
        <x:v>Female</x:v>
      </x:c>
      <x:c r="D1448" t="str">
        <x:v>Beauty</x:v>
      </x:c>
      <x:c r="E1448" t="str">
        <x:v>Skincare Kit</x:v>
      </x:c>
      <x:c r="F1448" s="24" t="n">
        <x:v>68.95</x:v>
      </x:c>
      <x:c r="G1448" t="str">
        <x:v>Summer</x:v>
      </x:c>
      <x:c r="H1448" t="str">
        <x:v>Card</x:v>
      </x:c>
      <x:c r="I1448" t="n">
        <x:v>4.4</x:v>
      </x:c>
      <x:c r="J1448" t="n">
        <x:v>22</x:v>
      </x:c>
      <x:c r="K1448" t="n">
        <x:v>6</x:v>
      </x:c>
      <x:c r="L1448" t="str">
        <x:v>STORE-001</x:v>
      </x:c>
      <x:c r="M1448" s="22" t="n">
        <x:v>45997</x:v>
      </x:c>
      <x:c r="N1448" t="str">
        <x:v>SKU-021</x:v>
      </x:c>
      <x:c r="O1448" t="n">
        <x:v>2</x:v>
      </x:c>
      <x:c r="P1448" s="26" t="n">
        <x:f>F1448/O1448</x:f>
        <x:v>34.475</x:v>
      </x:c>
    </x:row>
    <x:row r="1449">
      <x:c r="A1449" t="n">
        <x:v>1448</x:v>
      </x:c>
      <x:c r="B1449" t="n">
        <x:v>66</x:v>
      </x:c>
      <x:c r="C1449" t="str">
        <x:v>Male</x:v>
      </x:c>
      <x:c r="D1449" t="str">
        <x:v>Footwear</x:v>
      </x:c>
      <x:c r="E1449" t="str">
        <x:v>Sneakers</x:v>
      </x:c>
      <x:c r="F1449" s="24" t="n">
        <x:v>111.46</x:v>
      </x:c>
      <x:c r="G1449" t="str">
        <x:v>Autumn</x:v>
      </x:c>
      <x:c r="H1449" t="str">
        <x:v>Card</x:v>
      </x:c>
      <x:c r="I1449" t="n">
        <x:v>2.3</x:v>
      </x:c>
      <x:c r="J1449" t="n">
        <x:v>10</x:v>
      </x:c>
      <x:c r="K1449" t="n">
        <x:v>0</x:v>
      </x:c>
      <x:c r="L1449" t="str">
        <x:v>STORE-001</x:v>
      </x:c>
      <x:c r="M1449" s="22" t="n">
        <x:v>46135</x:v>
      </x:c>
      <x:c r="N1449" t="str">
        <x:v>SKU-025</x:v>
      </x:c>
      <x:c r="O1449" t="n">
        <x:v>3</x:v>
      </x:c>
      <x:c r="P1449" s="26" t="n">
        <x:f>F1449/O1449</x:f>
        <x:v>37.15333333333333</x:v>
      </x:c>
    </x:row>
    <x:row r="1450">
      <x:c r="A1450" t="n">
        <x:v>1449</x:v>
      </x:c>
      <x:c r="B1450" t="n">
        <x:v>46</x:v>
      </x:c>
      <x:c r="C1450" t="str">
        <x:v>Female</x:v>
      </x:c>
      <x:c r="D1450" t="str">
        <x:v>Womens Clothing</x:v>
      </x:c>
      <x:c r="E1450" t="str">
        <x:v>Top</x:v>
      </x:c>
      <x:c r="F1450" s="24" t="n">
        <x:v>145.36</x:v>
      </x:c>
      <x:c r="G1450" t="str">
        <x:v>Summer</x:v>
      </x:c>
      <x:c r="H1450" t="str">
        <x:v>Card</x:v>
      </x:c>
      <x:c r="I1450" t="n">
        <x:v>4.3</x:v>
      </x:c>
      <x:c r="J1450" t="n">
        <x:v>22</x:v>
      </x:c>
      <x:c r="K1450" t="n">
        <x:v>6</x:v>
      </x:c>
      <x:c r="L1450" t="str">
        <x:v>STORE-001</x:v>
      </x:c>
      <x:c r="M1450" s="22" t="n">
        <x:v>46026</x:v>
      </x:c>
      <x:c r="N1450" t="str">
        <x:v>SKU-028</x:v>
      </x:c>
      <x:c r="O1450" t="n">
        <x:v>1</x:v>
      </x:c>
      <x:c r="P1450" s="26" t="n">
        <x:f>F1450/O1450</x:f>
        <x:v>145.36</x:v>
      </x:c>
    </x:row>
    <x:row r="1451">
      <x:c r="A1451" t="n">
        <x:v>1450</x:v>
      </x:c>
      <x:c r="B1451" t="n">
        <x:v>40</x:v>
      </x:c>
      <x:c r="C1451" t="str">
        <x:v>Female</x:v>
      </x:c>
      <x:c r="D1451" t="str">
        <x:v>Beauty</x:v>
      </x:c>
      <x:c r="E1451" t="str">
        <x:v>Perfume</x:v>
      </x:c>
      <x:c r="F1451" s="24" t="n">
        <x:v>46.27</x:v>
      </x:c>
      <x:c r="G1451" t="str">
        <x:v>Spring</x:v>
      </x:c>
      <x:c r="H1451" t="str">
        <x:v>Card</x:v>
      </x:c>
      <x:c r="I1451" t="n">
        <x:v>4.5</x:v>
      </x:c>
      <x:c r="J1451" t="n">
        <x:v>18</x:v>
      </x:c>
      <x:c r="K1451" t="n">
        <x:v>4</x:v>
      </x:c>
      <x:c r="L1451" t="str">
        <x:v>STORE-001</x:v>
      </x:c>
      <x:c r="M1451" s="22" t="n">
        <x:v>46269</x:v>
      </x:c>
      <x:c r="N1451" t="str">
        <x:v>SKU-017</x:v>
      </x:c>
      <x:c r="O1451" t="n">
        <x:v>1</x:v>
      </x:c>
      <x:c r="P1451" s="26" t="n">
        <x:f>F1451/O1451</x:f>
        <x:v>46.27</x:v>
      </x:c>
    </x:row>
    <x:row r="1452">
      <x:c r="A1452" t="n">
        <x:v>1451</x:v>
      </x:c>
      <x:c r="B1452" t="n">
        <x:v>38</x:v>
      </x:c>
      <x:c r="C1452" t="str">
        <x:v>Male</x:v>
      </x:c>
      <x:c r="D1452" t="str">
        <x:v>Mens Clothing</x:v>
      </x:c>
      <x:c r="E1452" t="str">
        <x:v>Shirt</x:v>
      </x:c>
      <x:c r="F1452" s="24" t="n">
        <x:v>57.51</x:v>
      </x:c>
      <x:c r="G1452" t="str">
        <x:v>Winter</x:v>
      </x:c>
      <x:c r="H1452" t="str">
        <x:v>Cash on Delivery</x:v>
      </x:c>
      <x:c r="I1452" t="n">
        <x:v>3.9</x:v>
      </x:c>
      <x:c r="J1452" t="n">
        <x:v>9</x:v>
      </x:c>
      <x:c r="K1452" t="n">
        <x:v>2</x:v>
      </x:c>
      <x:c r="L1452" t="str">
        <x:v>STORE-001</x:v>
      </x:c>
      <x:c r="M1452" s="22" t="n">
        <x:v>46208</x:v>
      </x:c>
      <x:c r="N1452" t="str">
        <x:v>SKU-020</x:v>
      </x:c>
      <x:c r="O1452" t="n">
        <x:v>1</x:v>
      </x:c>
      <x:c r="P1452" s="26" t="n">
        <x:f>F1452/O1452</x:f>
        <x:v>57.51</x:v>
      </x:c>
    </x:row>
    <x:row r="1453">
      <x:c r="A1453" t="n">
        <x:v>1452</x:v>
      </x:c>
      <x:c r="B1453" t="n">
        <x:v>55</x:v>
      </x:c>
      <x:c r="C1453" t="str">
        <x:v>Female</x:v>
      </x:c>
      <x:c r="D1453" t="str">
        <x:v>Womens Clothing</x:v>
      </x:c>
      <x:c r="E1453" t="str">
        <x:v>Jeans</x:v>
      </x:c>
      <x:c r="F1453" s="24" t="n">
        <x:v>138.96</x:v>
      </x:c>
      <x:c r="G1453" t="str">
        <x:v>Autumn</x:v>
      </x:c>
      <x:c r="H1453" t="str">
        <x:v>Card</x:v>
      </x:c>
      <x:c r="I1453" t="n">
        <x:v>4.7</x:v>
      </x:c>
      <x:c r="J1453" t="n">
        <x:v>25</x:v>
      </x:c>
      <x:c r="K1453" t="n">
        <x:v>10</x:v>
      </x:c>
      <x:c r="L1453" t="str">
        <x:v>STORE-001</x:v>
      </x:c>
      <x:c r="M1453" s="22" t="n">
        <x:v>46152</x:v>
      </x:c>
      <x:c r="N1453" t="str">
        <x:v>SKU-011</x:v>
      </x:c>
      <x:c r="O1453" t="n">
        <x:v>2</x:v>
      </x:c>
      <x:c r="P1453" s="26" t="n">
        <x:f>F1453/O1453</x:f>
        <x:v>69.48</x:v>
      </x:c>
    </x:row>
    <x:row r="1454">
      <x:c r="A1454" t="n">
        <x:v>1453</x:v>
      </x:c>
      <x:c r="B1454" t="n">
        <x:v>63</x:v>
      </x:c>
      <x:c r="C1454" t="str">
        <x:v>Male</x:v>
      </x:c>
      <x:c r="D1454" t="str">
        <x:v>Mens Clothing</x:v>
      </x:c>
      <x:c r="E1454" t="str">
        <x:v>T-Shirt</x:v>
      </x:c>
      <x:c r="F1454" s="24" t="n">
        <x:v>47.65</x:v>
      </x:c>
      <x:c r="G1454" t="str">
        <x:v>Winter</x:v>
      </x:c>
      <x:c r="H1454" t="str">
        <x:v>Card</x:v>
      </x:c>
      <x:c r="I1454" t="n">
        <x:v>4.4</x:v>
      </x:c>
      <x:c r="J1454" t="n">
        <x:v>19</x:v>
      </x:c>
      <x:c r="K1454" t="n">
        <x:v>7</x:v>
      </x:c>
      <x:c r="L1454" t="str">
        <x:v>STORE-001</x:v>
      </x:c>
      <x:c r="M1454" s="22" t="n">
        <x:v>46216</x:v>
      </x:c>
      <x:c r="N1454" t="str">
        <x:v>SKU-027</x:v>
      </x:c>
      <x:c r="O1454" t="n">
        <x:v>1</x:v>
      </x:c>
      <x:c r="P1454" s="26" t="n">
        <x:f>F1454/O1454</x:f>
        <x:v>47.65</x:v>
      </x:c>
    </x:row>
    <x:row r="1455">
      <x:c r="A1455" t="n">
        <x:v>1454</x:v>
      </x:c>
      <x:c r="B1455" t="n">
        <x:v>44</x:v>
      </x:c>
      <x:c r="C1455" t="str">
        <x:v>Female</x:v>
      </x:c>
      <x:c r="D1455" t="str">
        <x:v>Accessories</x:v>
      </x:c>
      <x:c r="E1455" t="str">
        <x:v>Handbag</x:v>
      </x:c>
      <x:c r="F1455" s="24" t="n">
        <x:v>154.98</x:v>
      </x:c>
      <x:c r="G1455" t="str">
        <x:v>Spring</x:v>
      </x:c>
      <x:c r="H1455" t="str">
        <x:v>Card</x:v>
      </x:c>
      <x:c r="I1455" t="n">
        <x:v>3.8</x:v>
      </x:c>
      <x:c r="J1455" t="n">
        <x:v>26</x:v>
      </x:c>
      <x:c r="K1455" t="n">
        <x:v>8</x:v>
      </x:c>
      <x:c r="L1455" t="str">
        <x:v>STORE-001</x:v>
      </x:c>
      <x:c r="M1455" s="22" t="n">
        <x:v>46266</x:v>
      </x:c>
      <x:c r="N1455" t="str">
        <x:v>SKU-008</x:v>
      </x:c>
      <x:c r="O1455" t="n">
        <x:v>1</x:v>
      </x:c>
      <x:c r="P1455" s="26" t="n">
        <x:f>F1455/O1455</x:f>
        <x:v>154.98</x:v>
      </x:c>
    </x:row>
    <x:row r="1456">
      <x:c r="A1456" t="n">
        <x:v>1455</x:v>
      </x:c>
      <x:c r="B1456" t="n">
        <x:v>58</x:v>
      </x:c>
      <x:c r="C1456" t="str">
        <x:v>Male</x:v>
      </x:c>
      <x:c r="D1456" t="str">
        <x:v>Groceries</x:v>
      </x:c>
      <x:c r="E1456" t="str">
        <x:v>Snacks</x:v>
      </x:c>
      <x:c r="F1456" s="24" t="n">
        <x:v>60.75</x:v>
      </x:c>
      <x:c r="G1456" t="str">
        <x:v>Autumn</x:v>
      </x:c>
      <x:c r="H1456" t="str">
        <x:v>Cash on Delivery</x:v>
      </x:c>
      <x:c r="I1456" t="n">
        <x:v>4.5</x:v>
      </x:c>
      <x:c r="J1456" t="n">
        <x:v>25</x:v>
      </x:c>
      <x:c r="K1456" t="n">
        <x:v>10</x:v>
      </x:c>
      <x:c r="L1456" t="str">
        <x:v>STORE-001</x:v>
      </x:c>
      <x:c r="M1456" s="22" t="n">
        <x:v>46104</x:v>
      </x:c>
      <x:c r="N1456" t="str">
        <x:v>SKU-024</x:v>
      </x:c>
      <x:c r="O1456" t="n">
        <x:v>1</x:v>
      </x:c>
      <x:c r="P1456" s="26" t="n">
        <x:f>F1456/O1456</x:f>
        <x:v>60.75</x:v>
      </x:c>
    </x:row>
    <x:row r="1457">
      <x:c r="A1457" t="n">
        <x:v>1456</x:v>
      </x:c>
      <x:c r="B1457" t="n">
        <x:v>51</x:v>
      </x:c>
      <x:c r="C1457" t="str">
        <x:v>Female</x:v>
      </x:c>
      <x:c r="D1457" t="str">
        <x:v>Womens Clothing</x:v>
      </x:c>
      <x:c r="E1457" t="str">
        <x:v>Skirt</x:v>
      </x:c>
      <x:c r="F1457" s="24" t="n">
        <x:v>102.64</x:v>
      </x:c>
      <x:c r="G1457" t="str">
        <x:v>Spring</x:v>
      </x:c>
      <x:c r="H1457" t="str">
        <x:v>Card</x:v>
      </x:c>
      <x:c r="I1457" t="n">
        <x:v>3.9</x:v>
      </x:c>
      <x:c r="J1457" t="n">
        <x:v>10</x:v>
      </x:c>
      <x:c r="K1457" t="n">
        <x:v>5</x:v>
      </x:c>
      <x:c r="L1457" t="str">
        <x:v>STORE-001</x:v>
      </x:c>
      <x:c r="M1457" s="22" t="n">
        <x:v>46279</x:v>
      </x:c>
      <x:c r="N1457" t="str">
        <x:v>SKU-022</x:v>
      </x:c>
      <x:c r="O1457" t="n">
        <x:v>1</x:v>
      </x:c>
      <x:c r="P1457" s="26" t="n">
        <x:f>F1457/O1457</x:f>
        <x:v>102.64</x:v>
      </x:c>
    </x:row>
    <x:row r="1458">
      <x:c r="A1458" t="n">
        <x:v>1457</x:v>
      </x:c>
      <x:c r="B1458" t="n">
        <x:v>21</x:v>
      </x:c>
      <x:c r="C1458" t="str">
        <x:v>Female</x:v>
      </x:c>
      <x:c r="D1458" t="str">
        <x:v>Accessories</x:v>
      </x:c>
      <x:c r="E1458" t="str">
        <x:v>Wallet</x:v>
      </x:c>
      <x:c r="F1458" s="24" t="n">
        <x:v>98.79</x:v>
      </x:c>
      <x:c r="G1458" t="str">
        <x:v>Autumn</x:v>
      </x:c>
      <x:c r="H1458" t="str">
        <x:v>Card</x:v>
      </x:c>
      <x:c r="I1458" t="n">
        <x:v>3.3</x:v>
      </x:c>
      <x:c r="J1458" t="n">
        <x:v>4</x:v>
      </x:c>
      <x:c r="K1458" t="n">
        <x:v>2</x:v>
      </x:c>
      <x:c r="L1458" t="str">
        <x:v>STORE-001</x:v>
      </x:c>
      <x:c r="M1458" s="22" t="n">
        <x:v>46170</x:v>
      </x:c>
      <x:c r="N1458" t="str">
        <x:v>SKU-029</x:v>
      </x:c>
      <x:c r="O1458" t="n">
        <x:v>2</x:v>
      </x:c>
      <x:c r="P1458" s="26" t="n">
        <x:f>F1458/O1458</x:f>
        <x:v>49.395</x:v>
      </x:c>
    </x:row>
    <x:row r="1459">
      <x:c r="A1459" t="n">
        <x:v>1458</x:v>
      </x:c>
      <x:c r="B1459" t="n">
        <x:v>33</x:v>
      </x:c>
      <x:c r="C1459" t="str">
        <x:v>Male</x:v>
      </x:c>
      <x:c r="D1459" t="str">
        <x:v>Electronics</x:v>
      </x:c>
      <x:c r="E1459" t="str">
        <x:v>Laptop</x:v>
      </x:c>
      <x:c r="F1459" s="24" t="n">
        <x:v>2572.06</x:v>
      </x:c>
      <x:c r="G1459" t="str">
        <x:v>Autumn</x:v>
      </x:c>
      <x:c r="H1459" t="str">
        <x:v>Card</x:v>
      </x:c>
      <x:c r="I1459" t="n">
        <x:v>2.7</x:v>
      </x:c>
      <x:c r="J1459" t="n">
        <x:v>21</x:v>
      </x:c>
      <x:c r="K1459" t="n">
        <x:v>8</x:v>
      </x:c>
      <x:c r="L1459" t="str">
        <x:v>STORE-001</x:v>
      </x:c>
      <x:c r="M1459" s="22" t="n">
        <x:v>46160</x:v>
      </x:c>
      <x:c r="N1459" t="str">
        <x:v>SKU-014</x:v>
      </x:c>
      <x:c r="O1459" t="n">
        <x:v>1</x:v>
      </x:c>
      <x:c r="P1459" s="26" t="n">
        <x:f>F1459/O1459</x:f>
        <x:v>2572.06</x:v>
      </x:c>
    </x:row>
    <x:row r="1460">
      <x:c r="A1460" t="n">
        <x:v>1459</x:v>
      </x:c>
      <x:c r="B1460" t="n">
        <x:v>26</x:v>
      </x:c>
      <x:c r="C1460" t="str">
        <x:v>Female</x:v>
      </x:c>
      <x:c r="D1460" t="str">
        <x:v>Footwear</x:v>
      </x:c>
      <x:c r="E1460" t="str">
        <x:v>Sandals</x:v>
      </x:c>
      <x:c r="F1460" s="24" t="n">
        <x:v>240.32</x:v>
      </x:c>
      <x:c r="G1460" t="str">
        <x:v>Autumn</x:v>
      </x:c>
      <x:c r="H1460" t="str">
        <x:v>Card</x:v>
      </x:c>
      <x:c r="I1460" t="n">
        <x:v>4.2</x:v>
      </x:c>
      <x:c r="J1460" t="n">
        <x:v>18</x:v>
      </x:c>
      <x:c r="K1460" t="n">
        <x:v>9</x:v>
      </x:c>
      <x:c r="L1460" t="str">
        <x:v>STORE-001</x:v>
      </x:c>
      <x:c r="M1460" s="22" t="n">
        <x:v>46140</x:v>
      </x:c>
      <x:c r="N1460" t="str">
        <x:v>SKU-019</x:v>
      </x:c>
      <x:c r="O1460" t="n">
        <x:v>2</x:v>
      </x:c>
      <x:c r="P1460" s="26" t="n">
        <x:f>F1460/O1460</x:f>
        <x:v>120.16</x:v>
      </x:c>
    </x:row>
    <x:row r="1461">
      <x:c r="A1461" t="n">
        <x:v>1460</x:v>
      </x:c>
      <x:c r="B1461" t="n">
        <x:v>30</x:v>
      </x:c>
      <x:c r="C1461" t="str">
        <x:v>Female</x:v>
      </x:c>
      <x:c r="D1461" t="str">
        <x:v>Sports</x:v>
      </x:c>
      <x:c r="E1461" t="str">
        <x:v>Yoga Mat</x:v>
      </x:c>
      <x:c r="F1461" s="24" t="n">
        <x:v>238.27</x:v>
      </x:c>
      <x:c r="G1461" t="str">
        <x:v>Summer</x:v>
      </x:c>
      <x:c r="H1461" t="str">
        <x:v>Card</x:v>
      </x:c>
      <x:c r="I1461" t="n">
        <x:v>2.7</x:v>
      </x:c>
      <x:c r="J1461" t="n">
        <x:v>13</x:v>
      </x:c>
      <x:c r="K1461" t="n">
        <x:v>4</x:v>
      </x:c>
      <x:c r="L1461" t="str">
        <x:v>STORE-001</x:v>
      </x:c>
      <x:c r="M1461" s="22" t="n">
        <x:v>46060</x:v>
      </x:c>
      <x:c r="N1461" t="str">
        <x:v>SKU-030</x:v>
      </x:c>
      <x:c r="O1461" t="n">
        <x:v>3</x:v>
      </x:c>
      <x:c r="P1461" s="26" t="n">
        <x:f>F1461/O1461</x:f>
        <x:v>79.42333333333333</x:v>
      </x:c>
    </x:row>
    <x:row r="1462">
      <x:c r="A1462" t="n">
        <x:v>1461</x:v>
      </x:c>
      <x:c r="B1462" t="n">
        <x:v>23</x:v>
      </x:c>
      <x:c r="C1462" t="str">
        <x:v>Female</x:v>
      </x:c>
      <x:c r="D1462" t="str">
        <x:v>Sports</x:v>
      </x:c>
      <x:c r="E1462" t="str">
        <x:v>Yoga Mat</x:v>
      </x:c>
      <x:c r="F1462" s="24" t="n">
        <x:v>115.62</x:v>
      </x:c>
      <x:c r="G1462" t="str">
        <x:v>Spring</x:v>
      </x:c>
      <x:c r="H1462" t="str">
        <x:v>Card</x:v>
      </x:c>
      <x:c r="I1462" t="n">
        <x:v>5</x:v>
      </x:c>
      <x:c r="J1462" t="n">
        <x:v>13</x:v>
      </x:c>
      <x:c r="K1462" t="n">
        <x:v>4</x:v>
      </x:c>
      <x:c r="L1462" t="str">
        <x:v>STORE-001</x:v>
      </x:c>
      <x:c r="M1462" s="22" t="n">
        <x:v>46270</x:v>
      </x:c>
      <x:c r="N1462" t="str">
        <x:v>SKU-030</x:v>
      </x:c>
      <x:c r="O1462" t="n">
        <x:v>1</x:v>
      </x:c>
      <x:c r="P1462" s="26" t="n">
        <x:f>F1462/O1462</x:f>
        <x:v>115.62</x:v>
      </x:c>
    </x:row>
    <x:row r="1463">
      <x:c r="A1463" t="n">
        <x:v>1462</x:v>
      </x:c>
      <x:c r="B1463" t="n">
        <x:v>26</x:v>
      </x:c>
      <x:c r="C1463" t="str">
        <x:v>Female</x:v>
      </x:c>
      <x:c r="D1463" t="str">
        <x:v>Womens Clothing</x:v>
      </x:c>
      <x:c r="E1463" t="str">
        <x:v>Top</x:v>
      </x:c>
      <x:c r="F1463" s="24" t="n">
        <x:v>73.14</x:v>
      </x:c>
      <x:c r="G1463" t="str">
        <x:v>Spring</x:v>
      </x:c>
      <x:c r="H1463" t="str">
        <x:v>Card</x:v>
      </x:c>
      <x:c r="I1463" t="n">
        <x:v>2.9</x:v>
      </x:c>
      <x:c r="J1463" t="n">
        <x:v>11</x:v>
      </x:c>
      <x:c r="K1463" t="n">
        <x:v>3</x:v>
      </x:c>
      <x:c r="L1463" t="str">
        <x:v>STORE-001</x:v>
      </x:c>
      <x:c r="M1463" s="22" t="n">
        <x:v>46278</x:v>
      </x:c>
      <x:c r="N1463" t="str">
        <x:v>SKU-028</x:v>
      </x:c>
      <x:c r="O1463" t="n">
        <x:v>2</x:v>
      </x:c>
      <x:c r="P1463" s="26" t="n">
        <x:f>F1463/O1463</x:f>
        <x:v>36.57</x:v>
      </x:c>
    </x:row>
    <x:row r="1464">
      <x:c r="A1464" t="n">
        <x:v>1463</x:v>
      </x:c>
      <x:c r="B1464" t="n">
        <x:v>68</x:v>
      </x:c>
      <x:c r="C1464" t="str">
        <x:v>Male</x:v>
      </x:c>
      <x:c r="D1464" t="str">
        <x:v>Footwear</x:v>
      </x:c>
      <x:c r="E1464" t="str">
        <x:v>Formal Shoes</x:v>
      </x:c>
      <x:c r="F1464" s="24" t="n">
        <x:v>161.34</x:v>
      </x:c>
      <x:c r="G1464" t="str">
        <x:v>Spring</x:v>
      </x:c>
      <x:c r="H1464" t="str">
        <x:v>Card</x:v>
      </x:c>
      <x:c r="I1464" t="n">
        <x:v>4.1</x:v>
      </x:c>
      <x:c r="J1464" t="n">
        <x:v>10</x:v>
      </x:c>
      <x:c r="K1464" t="n">
        <x:v>5</x:v>
      </x:c>
      <x:c r="L1464" t="str">
        <x:v>STORE-001</x:v>
      </x:c>
      <x:c r="M1464" s="22" t="n">
        <x:v>45946</x:v>
      </x:c>
      <x:c r="N1464" t="str">
        <x:v>SKU-007</x:v>
      </x:c>
      <x:c r="O1464" t="n">
        <x:v>1</x:v>
      </x:c>
      <x:c r="P1464" s="26" t="n">
        <x:f>F1464/O1464</x:f>
        <x:v>161.34</x:v>
      </x:c>
    </x:row>
    <x:row r="1465">
      <x:c r="A1465" t="n">
        <x:v>1464</x:v>
      </x:c>
      <x:c r="B1465" t="n">
        <x:v>64</x:v>
      </x:c>
      <x:c r="C1465" t="str">
        <x:v>Male</x:v>
      </x:c>
      <x:c r="D1465" t="str">
        <x:v>Mens Clothing</x:v>
      </x:c>
      <x:c r="E1465" t="str">
        <x:v>Shirt</x:v>
      </x:c>
      <x:c r="F1465" s="24" t="n">
        <x:v>199.98</x:v>
      </x:c>
      <x:c r="G1465" t="str">
        <x:v>Winter</x:v>
      </x:c>
      <x:c r="H1465" t="str">
        <x:v>Card</x:v>
      </x:c>
      <x:c r="I1465" t="n">
        <x:v>3.6</x:v>
      </x:c>
      <x:c r="J1465" t="n">
        <x:v>26</x:v>
      </x:c>
      <x:c r="K1465" t="n">
        <x:v>8</x:v>
      </x:c>
      <x:c r="L1465" t="str">
        <x:v>STORE-001</x:v>
      </x:c>
      <x:c r="M1465" s="22" t="n">
        <x:v>46215</x:v>
      </x:c>
      <x:c r="N1465" t="str">
        <x:v>SKU-020</x:v>
      </x:c>
      <x:c r="O1465" t="n">
        <x:v>2</x:v>
      </x:c>
      <x:c r="P1465" s="26" t="n">
        <x:f>F1465/O1465</x:f>
        <x:v>99.99</x:v>
      </x:c>
    </x:row>
    <x:row r="1466">
      <x:c r="A1466" t="n">
        <x:v>1465</x:v>
      </x:c>
      <x:c r="B1466" t="n">
        <x:v>65</x:v>
      </x:c>
      <x:c r="C1466" t="str">
        <x:v>Female</x:v>
      </x:c>
      <x:c r="D1466" t="str">
        <x:v>Accessories</x:v>
      </x:c>
      <x:c r="E1466" t="str">
        <x:v>Sunglasses</x:v>
      </x:c>
      <x:c r="F1466" s="24" t="n">
        <x:v>138.32</x:v>
      </x:c>
      <x:c r="G1466" t="str">
        <x:v>Summer</x:v>
      </x:c>
      <x:c r="H1466" t="str">
        <x:v>Card</x:v>
      </x:c>
      <x:c r="I1466" t="n">
        <x:v>4.9</x:v>
      </x:c>
      <x:c r="J1466" t="n">
        <x:v>6</x:v>
      </x:c>
      <x:c r="K1466" t="n">
        <x:v>3</x:v>
      </x:c>
      <x:c r="L1466" t="str">
        <x:v>STORE-001</x:v>
      </x:c>
      <x:c r="M1466" s="22" t="n">
        <x:v>46037</x:v>
      </x:c>
      <x:c r="N1466" t="str">
        <x:v>SKU-026</x:v>
      </x:c>
      <x:c r="O1466" t="n">
        <x:v>1</x:v>
      </x:c>
      <x:c r="P1466" s="26" t="n">
        <x:f>F1466/O1466</x:f>
        <x:v>138.32</x:v>
      </x:c>
    </x:row>
    <x:row r="1467">
      <x:c r="A1467" t="n">
        <x:v>1466</x:v>
      </x:c>
      <x:c r="B1467" t="n">
        <x:v>68</x:v>
      </x:c>
      <x:c r="C1467" t="str">
        <x:v>Male</x:v>
      </x:c>
      <x:c r="D1467" t="str">
        <x:v>Mens Clothing</x:v>
      </x:c>
      <x:c r="E1467" t="str">
        <x:v>Jeans</x:v>
      </x:c>
      <x:c r="F1467" s="24" t="n">
        <x:v>173.95</x:v>
      </x:c>
      <x:c r="G1467" t="str">
        <x:v>Autumn</x:v>
      </x:c>
      <x:c r="H1467" t="str">
        <x:v>Card</x:v>
      </x:c>
      <x:c r="I1467" t="n">
        <x:v>3.8</x:v>
      </x:c>
      <x:c r="J1467" t="n">
        <x:v>13</x:v>
      </x:c>
      <x:c r="K1467" t="n">
        <x:v>4</x:v>
      </x:c>
      <x:c r="L1467" t="str">
        <x:v>STORE-001</x:v>
      </x:c>
      <x:c r="M1467" s="22" t="n">
        <x:v>46123</x:v>
      </x:c>
      <x:c r="N1467" t="str">
        <x:v>SKU-011</x:v>
      </x:c>
      <x:c r="O1467" t="n">
        <x:v>1</x:v>
      </x:c>
      <x:c r="P1467" s="26" t="n">
        <x:f>F1467/O1467</x:f>
        <x:v>173.95</x:v>
      </x:c>
    </x:row>
    <x:row r="1468">
      <x:c r="A1468" t="n">
        <x:v>1467</x:v>
      </x:c>
      <x:c r="B1468" t="n">
        <x:v>51</x:v>
      </x:c>
      <x:c r="C1468" t="str">
        <x:v>Male</x:v>
      </x:c>
      <x:c r="D1468" t="str">
        <x:v>Sports</x:v>
      </x:c>
      <x:c r="E1468" t="str">
        <x:v>Dumbbells</x:v>
      </x:c>
      <x:c r="F1468" s="24" t="n">
        <x:v>155.73</x:v>
      </x:c>
      <x:c r="G1468" t="str">
        <x:v>Summer</x:v>
      </x:c>
      <x:c r="H1468" t="str">
        <x:v>Card</x:v>
      </x:c>
      <x:c r="I1468" t="n">
        <x:v>4.6</x:v>
      </x:c>
      <x:c r="J1468" t="n">
        <x:v>19</x:v>
      </x:c>
      <x:c r="K1468" t="n">
        <x:v>7</x:v>
      </x:c>
      <x:c r="L1468" t="str">
        <x:v>STORE-001</x:v>
      </x:c>
      <x:c r="M1468" s="22" t="n">
        <x:v>46050</x:v>
      </x:c>
      <x:c r="N1468" t="str">
        <x:v>SKU-005</x:v>
      </x:c>
      <x:c r="O1468" t="n">
        <x:v>1</x:v>
      </x:c>
      <x:c r="P1468" s="26" t="n">
        <x:f>F1468/O1468</x:f>
        <x:v>155.73</x:v>
      </x:c>
    </x:row>
    <x:row r="1469">
      <x:c r="A1469" t="n">
        <x:v>1468</x:v>
      </x:c>
      <x:c r="B1469" t="n">
        <x:v>43</x:v>
      </x:c>
      <x:c r="C1469" t="str">
        <x:v>Male</x:v>
      </x:c>
      <x:c r="D1469" t="str">
        <x:v>Electronics</x:v>
      </x:c>
      <x:c r="E1469" t="str">
        <x:v>Smart Watch</x:v>
      </x:c>
      <x:c r="F1469" s="24" t="n">
        <x:v>1286.36</x:v>
      </x:c>
      <x:c r="G1469" t="str">
        <x:v>Autumn</x:v>
      </x:c>
      <x:c r="H1469" t="str">
        <x:v>Card</x:v>
      </x:c>
      <x:c r="I1469" t="n">
        <x:v>3.3</x:v>
      </x:c>
      <x:c r="J1469" t="n">
        <x:v>4</x:v>
      </x:c>
      <x:c r="K1469" t="n">
        <x:v>2</x:v>
      </x:c>
      <x:c r="L1469" t="str">
        <x:v>STORE-001</x:v>
      </x:c>
      <x:c r="M1469" s="22" t="n">
        <x:v>46093</x:v>
      </x:c>
      <x:c r="N1469" t="str">
        <x:v>SKU-023</x:v>
      </x:c>
      <x:c r="O1469" t="n">
        <x:v>1</x:v>
      </x:c>
      <x:c r="P1469" s="26" t="n">
        <x:f>F1469/O1469</x:f>
        <x:v>1286.36</x:v>
      </x:c>
    </x:row>
    <x:row r="1470">
      <x:c r="A1470" t="n">
        <x:v>1469</x:v>
      </x:c>
      <x:c r="B1470" t="n">
        <x:v>39</x:v>
      </x:c>
      <x:c r="C1470" t="str">
        <x:v>Male</x:v>
      </x:c>
      <x:c r="D1470" t="str">
        <x:v>Footwear</x:v>
      </x:c>
      <x:c r="E1470" t="str">
        <x:v>Sandals</x:v>
      </x:c>
      <x:c r="F1470" s="24" t="n">
        <x:v>178.64</x:v>
      </x:c>
      <x:c r="G1470" t="str">
        <x:v>Summer</x:v>
      </x:c>
      <x:c r="H1470" t="str">
        <x:v>Card</x:v>
      </x:c>
      <x:c r="I1470" t="n">
        <x:v>3.8</x:v>
      </x:c>
      <x:c r="J1470" t="n">
        <x:v>20</x:v>
      </x:c>
      <x:c r="K1470" t="n">
        <x:v>5</x:v>
      </x:c>
      <x:c r="L1470" t="str">
        <x:v>STORE-001</x:v>
      </x:c>
      <x:c r="M1470" s="22" t="n">
        <x:v>46008</x:v>
      </x:c>
      <x:c r="N1470" t="str">
        <x:v>SKU-019</x:v>
      </x:c>
      <x:c r="O1470" t="n">
        <x:v>1</x:v>
      </x:c>
      <x:c r="P1470" s="26" t="n">
        <x:f>F1470/O1470</x:f>
        <x:v>178.64</x:v>
      </x:c>
    </x:row>
    <x:row r="1471">
      <x:c r="A1471" t="n">
        <x:v>1470</x:v>
      </x:c>
      <x:c r="B1471" t="n">
        <x:v>56</x:v>
      </x:c>
      <x:c r="C1471" t="str">
        <x:v>Female</x:v>
      </x:c>
      <x:c r="D1471" t="str">
        <x:v>Beauty</x:v>
      </x:c>
      <x:c r="E1471" t="str">
        <x:v>Skincare Kit</x:v>
      </x:c>
      <x:c r="F1471" s="24" t="n">
        <x:v>48.87</x:v>
      </x:c>
      <x:c r="G1471" t="str">
        <x:v>Winter</x:v>
      </x:c>
      <x:c r="H1471" t="str">
        <x:v>Card</x:v>
      </x:c>
      <x:c r="I1471" t="n">
        <x:v>3.9</x:v>
      </x:c>
      <x:c r="J1471" t="n">
        <x:v>16</x:v>
      </x:c>
      <x:c r="K1471" t="n">
        <x:v>3</x:v>
      </x:c>
      <x:c r="L1471" t="str">
        <x:v>STORE-001</x:v>
      </x:c>
      <x:c r="M1471" s="22" t="n">
        <x:v>46230</x:v>
      </x:c>
      <x:c r="N1471" t="str">
        <x:v>SKU-021</x:v>
      </x:c>
      <x:c r="O1471" t="n">
        <x:v>1</x:v>
      </x:c>
      <x:c r="P1471" s="26" t="n">
        <x:f>F1471/O1471</x:f>
        <x:v>48.87</x:v>
      </x:c>
    </x:row>
    <x:row r="1472">
      <x:c r="A1472" t="n">
        <x:v>1471</x:v>
      </x:c>
      <x:c r="B1472" t="n">
        <x:v>53</x:v>
      </x:c>
      <x:c r="C1472" t="str">
        <x:v>Female</x:v>
      </x:c>
      <x:c r="D1472" t="str">
        <x:v>Accessories</x:v>
      </x:c>
      <x:c r="E1472" t="str">
        <x:v>Wallet</x:v>
      </x:c>
      <x:c r="F1472" s="24" t="n">
        <x:v>56.39</x:v>
      </x:c>
      <x:c r="G1472" t="str">
        <x:v>Autumn</x:v>
      </x:c>
      <x:c r="H1472" t="str">
        <x:v>Card</x:v>
      </x:c>
      <x:c r="I1472" t="n">
        <x:v>3.1</x:v>
      </x:c>
      <x:c r="J1472" t="n">
        <x:v>18</x:v>
      </x:c>
      <x:c r="K1472" t="n">
        <x:v>4</x:v>
      </x:c>
      <x:c r="L1472" t="str">
        <x:v>STORE-001</x:v>
      </x:c>
      <x:c r="M1472" s="22" t="n">
        <x:v>46082</x:v>
      </x:c>
      <x:c r="N1472" t="str">
        <x:v>SKU-029</x:v>
      </x:c>
      <x:c r="O1472" t="n">
        <x:v>1</x:v>
      </x:c>
      <x:c r="P1472" s="26" t="n">
        <x:f>F1472/O1472</x:f>
        <x:v>56.39</x:v>
      </x:c>
    </x:row>
    <x:row r="1473">
      <x:c r="A1473" t="n">
        <x:v>1472</x:v>
      </x:c>
      <x:c r="B1473" t="n">
        <x:v>46</x:v>
      </x:c>
      <x:c r="C1473" t="str">
        <x:v>Male</x:v>
      </x:c>
      <x:c r="D1473" t="str">
        <x:v>Groceries</x:v>
      </x:c>
      <x:c r="E1473" t="str">
        <x:v>Cooking Oil</x:v>
      </x:c>
      <x:c r="F1473" s="24" t="n">
        <x:v>53.3</x:v>
      </x:c>
      <x:c r="G1473" t="str">
        <x:v>Autumn</x:v>
      </x:c>
      <x:c r="H1473" t="str">
        <x:v>Card</x:v>
      </x:c>
      <x:c r="I1473" t="n">
        <x:v>2.9</x:v>
      </x:c>
      <x:c r="J1473" t="n">
        <x:v>13</x:v>
      </x:c>
      <x:c r="K1473" t="n">
        <x:v>4</x:v>
      </x:c>
      <x:c r="L1473" t="str">
        <x:v>STORE-001</x:v>
      </x:c>
      <x:c r="M1473" s="22" t="n">
        <x:v>46105</x:v>
      </x:c>
      <x:c r="N1473" t="str">
        <x:v>SKU-002</x:v>
      </x:c>
      <x:c r="O1473" t="n">
        <x:v>2</x:v>
      </x:c>
      <x:c r="P1473" s="26" t="n">
        <x:f>F1473/O1473</x:f>
        <x:v>26.65</x:v>
      </x:c>
    </x:row>
    <x:row r="1474">
      <x:c r="A1474" t="n">
        <x:v>1473</x:v>
      </x:c>
      <x:c r="B1474" t="n">
        <x:v>67</x:v>
      </x:c>
      <x:c r="C1474" t="str">
        <x:v>Male</x:v>
      </x:c>
      <x:c r="D1474" t="str">
        <x:v>Mens Clothing</x:v>
      </x:c>
      <x:c r="E1474" t="str">
        <x:v>T-Shirt</x:v>
      </x:c>
      <x:c r="F1474" s="24" t="n">
        <x:v>62.98</x:v>
      </x:c>
      <x:c r="G1474" t="str">
        <x:v>Summer</x:v>
      </x:c>
      <x:c r="H1474" t="str">
        <x:v>Cash on Delivery</x:v>
      </x:c>
      <x:c r="I1474" t="n">
        <x:v>4.2</x:v>
      </x:c>
      <x:c r="J1474" t="n">
        <x:v>6</x:v>
      </x:c>
      <x:c r="K1474" t="n">
        <x:v>3</x:v>
      </x:c>
      <x:c r="L1474" t="str">
        <x:v>STORE-001</x:v>
      </x:c>
      <x:c r="M1474" s="22" t="n">
        <x:v>46006</x:v>
      </x:c>
      <x:c r="N1474" t="str">
        <x:v>SKU-027</x:v>
      </x:c>
      <x:c r="O1474" t="n">
        <x:v>1</x:v>
      </x:c>
      <x:c r="P1474" s="26" t="n">
        <x:f>F1474/O1474</x:f>
        <x:v>62.98</x:v>
      </x:c>
    </x:row>
    <x:row r="1475">
      <x:c r="A1475" t="n">
        <x:v>1474</x:v>
      </x:c>
      <x:c r="B1475" t="n">
        <x:v>59</x:v>
      </x:c>
      <x:c r="C1475" t="str">
        <x:v>Male</x:v>
      </x:c>
      <x:c r="D1475" t="str">
        <x:v>Sports</x:v>
      </x:c>
      <x:c r="E1475" t="str">
        <x:v>Football</x:v>
      </x:c>
      <x:c r="F1475" s="24" t="n">
        <x:v>152.31</x:v>
      </x:c>
      <x:c r="G1475" t="str">
        <x:v>Autumn</x:v>
      </x:c>
      <x:c r="H1475" t="str">
        <x:v>Card</x:v>
      </x:c>
      <x:c r="I1475" t="n">
        <x:v>3.9</x:v>
      </x:c>
      <x:c r="J1475" t="n">
        <x:v>16</x:v>
      </x:c>
      <x:c r="K1475" t="n">
        <x:v>3</x:v>
      </x:c>
      <x:c r="L1475" t="str">
        <x:v>STORE-001</x:v>
      </x:c>
      <x:c r="M1475" s="22" t="n">
        <x:v>46114</x:v>
      </x:c>
      <x:c r="N1475" t="str">
        <x:v>SKU-006</x:v>
      </x:c>
      <x:c r="O1475" t="n">
        <x:v>1</x:v>
      </x:c>
      <x:c r="P1475" s="26" t="n">
        <x:f>F1475/O1475</x:f>
        <x:v>152.31</x:v>
      </x:c>
    </x:row>
    <x:row r="1476">
      <x:c r="A1476" t="n">
        <x:v>1475</x:v>
      </x:c>
      <x:c r="B1476" t="n">
        <x:v>51</x:v>
      </x:c>
      <x:c r="C1476" t="str">
        <x:v>Female</x:v>
      </x:c>
      <x:c r="D1476" t="str">
        <x:v>Beauty</x:v>
      </x:c>
      <x:c r="E1476" t="str">
        <x:v>Skincare Kit</x:v>
      </x:c>
      <x:c r="F1476" s="24" t="n">
        <x:v>46.25</x:v>
      </x:c>
      <x:c r="G1476" t="str">
        <x:v>Winter</x:v>
      </x:c>
      <x:c r="H1476" t="str">
        <x:v>Card</x:v>
      </x:c>
      <x:c r="I1476" t="n">
        <x:v>3.9</x:v>
      </x:c>
      <x:c r="J1476" t="n">
        <x:v>18</x:v>
      </x:c>
      <x:c r="K1476" t="n">
        <x:v>4</x:v>
      </x:c>
      <x:c r="L1476" t="str">
        <x:v>STORE-001</x:v>
      </x:c>
      <x:c r="M1476" s="22" t="n">
        <x:v>46258</x:v>
      </x:c>
      <x:c r="N1476" t="str">
        <x:v>SKU-021</x:v>
      </x:c>
      <x:c r="O1476" t="n">
        <x:v>1</x:v>
      </x:c>
      <x:c r="P1476" s="26" t="n">
        <x:f>F1476/O1476</x:f>
        <x:v>46.25</x:v>
      </x:c>
    </x:row>
    <x:row r="1477">
      <x:c r="A1477" t="n">
        <x:v>1476</x:v>
      </x:c>
      <x:c r="B1477" t="n">
        <x:v>22</x:v>
      </x:c>
      <x:c r="C1477" t="str">
        <x:v>Female</x:v>
      </x:c>
      <x:c r="D1477" t="str">
        <x:v>Footwear</x:v>
      </x:c>
      <x:c r="E1477" t="str">
        <x:v>Formal Shoes</x:v>
      </x:c>
      <x:c r="F1477" s="24" t="n">
        <x:v>217.07</x:v>
      </x:c>
      <x:c r="G1477" t="str">
        <x:v>Winter</x:v>
      </x:c>
      <x:c r="H1477" t="str">
        <x:v>Card</x:v>
      </x:c>
      <x:c r="I1477" t="n">
        <x:v>3.4</x:v>
      </x:c>
      <x:c r="J1477" t="n">
        <x:v>16</x:v>
      </x:c>
      <x:c r="K1477" t="n">
        <x:v>3</x:v>
      </x:c>
      <x:c r="L1477" t="str">
        <x:v>STORE-001</x:v>
      </x:c>
      <x:c r="M1477" s="22" t="n">
        <x:v>46218</x:v>
      </x:c>
      <x:c r="N1477" t="str">
        <x:v>SKU-007</x:v>
      </x:c>
      <x:c r="O1477" t="n">
        <x:v>1</x:v>
      </x:c>
      <x:c r="P1477" s="26" t="n">
        <x:f>F1477/O1477</x:f>
        <x:v>217.07</x:v>
      </x:c>
    </x:row>
    <x:row r="1478">
      <x:c r="A1478" t="n">
        <x:v>1477</x:v>
      </x:c>
      <x:c r="B1478" t="n">
        <x:v>53</x:v>
      </x:c>
      <x:c r="C1478" t="str">
        <x:v>Female</x:v>
      </x:c>
      <x:c r="D1478" t="str">
        <x:v>Accessories</x:v>
      </x:c>
      <x:c r="E1478" t="str">
        <x:v>Sunglasses</x:v>
      </x:c>
      <x:c r="F1478" s="24" t="n">
        <x:v>46.68</x:v>
      </x:c>
      <x:c r="G1478" t="str">
        <x:v>Autumn</x:v>
      </x:c>
      <x:c r="H1478" t="str">
        <x:v>Cash on Delivery</x:v>
      </x:c>
      <x:c r="I1478" t="n">
        <x:v>4.4</x:v>
      </x:c>
      <x:c r="J1478" t="n">
        <x:v>12</x:v>
      </x:c>
      <x:c r="K1478" t="n">
        <x:v>6</x:v>
      </x:c>
      <x:c r="L1478" t="str">
        <x:v>STORE-001</x:v>
      </x:c>
      <x:c r="M1478" s="22" t="n">
        <x:v>46092</x:v>
      </x:c>
      <x:c r="N1478" t="str">
        <x:v>SKU-026</x:v>
      </x:c>
      <x:c r="O1478" t="n">
        <x:v>2</x:v>
      </x:c>
      <x:c r="P1478" s="26" t="n">
        <x:f>F1478/O1478</x:f>
        <x:v>23.34</x:v>
      </x:c>
    </x:row>
    <x:row r="1479">
      <x:c r="A1479" t="n">
        <x:v>1478</x:v>
      </x:c>
      <x:c r="B1479" t="n">
        <x:v>70</x:v>
      </x:c>
      <x:c r="C1479" t="str">
        <x:v>Female</x:v>
      </x:c>
      <x:c r="D1479" t="str">
        <x:v>Womens Clothing</x:v>
      </x:c>
      <x:c r="E1479" t="str">
        <x:v>Top</x:v>
      </x:c>
      <x:c r="F1479" s="24" t="n">
        <x:v>186.33</x:v>
      </x:c>
      <x:c r="G1479" t="str">
        <x:v>Spring</x:v>
      </x:c>
      <x:c r="H1479" t="str">
        <x:v>Card</x:v>
      </x:c>
      <x:c r="I1479" t="n">
        <x:v>4.6</x:v>
      </x:c>
      <x:c r="J1479" t="n">
        <x:v>10</x:v>
      </x:c>
      <x:c r="K1479" t="n">
        <x:v>5</x:v>
      </x:c>
      <x:c r="L1479" t="str">
        <x:v>STORE-001</x:v>
      </x:c>
      <x:c r="M1479" s="22" t="n">
        <x:v>45987</x:v>
      </x:c>
      <x:c r="N1479" t="str">
        <x:v>SKU-028</x:v>
      </x:c>
      <x:c r="O1479" t="n">
        <x:v>1</x:v>
      </x:c>
      <x:c r="P1479" s="26" t="n">
        <x:f>F1479/O1479</x:f>
        <x:v>186.33</x:v>
      </x:c>
    </x:row>
    <x:row r="1480">
      <x:c r="A1480" t="n">
        <x:v>1479</x:v>
      </x:c>
      <x:c r="B1480" t="n">
        <x:v>44</x:v>
      </x:c>
      <x:c r="C1480" t="str">
        <x:v>Female</x:v>
      </x:c>
      <x:c r="D1480" t="str">
        <x:v>Beauty</x:v>
      </x:c>
      <x:c r="E1480" t="str">
        <x:v>Perfume</x:v>
      </x:c>
      <x:c r="F1480" s="24" t="n">
        <x:v>34.06</x:v>
      </x:c>
      <x:c r="G1480" t="str">
        <x:v>Autumn</x:v>
      </x:c>
      <x:c r="H1480" t="str">
        <x:v>Card</x:v>
      </x:c>
      <x:c r="I1480" t="n">
        <x:v>2.8</x:v>
      </x:c>
      <x:c r="J1480" t="n">
        <x:v>17</x:v>
      </x:c>
      <x:c r="K1480" t="n">
        <x:v>6</x:v>
      </x:c>
      <x:c r="L1480" t="str">
        <x:v>STORE-001</x:v>
      </x:c>
      <x:c r="M1480" s="22" t="n">
        <x:v>46083</x:v>
      </x:c>
      <x:c r="N1480" t="str">
        <x:v>SKU-017</x:v>
      </x:c>
      <x:c r="O1480" t="n">
        <x:v>3</x:v>
      </x:c>
      <x:c r="P1480" s="26" t="n">
        <x:f>F1480/O1480</x:f>
        <x:v>11.353333333333333</x:v>
      </x:c>
    </x:row>
    <x:row r="1481">
      <x:c r="A1481" t="n">
        <x:v>1480</x:v>
      </x:c>
      <x:c r="B1481" t="n">
        <x:v>47</x:v>
      </x:c>
      <x:c r="C1481" t="str">
        <x:v>Male</x:v>
      </x:c>
      <x:c r="D1481" t="str">
        <x:v>Footwear</x:v>
      </x:c>
      <x:c r="E1481" t="str">
        <x:v>Sandals</x:v>
      </x:c>
      <x:c r="F1481" s="24" t="n">
        <x:v>119.82</x:v>
      </x:c>
      <x:c r="G1481" t="str">
        <x:v>Autumn</x:v>
      </x:c>
      <x:c r="H1481" t="str">
        <x:v>Card</x:v>
      </x:c>
      <x:c r="I1481" t="n">
        <x:v>3.5</x:v>
      </x:c>
      <x:c r="J1481" t="n">
        <x:v>13</x:v>
      </x:c>
      <x:c r="K1481" t="n">
        <x:v>4</x:v>
      </x:c>
      <x:c r="L1481" t="str">
        <x:v>STORE-001</x:v>
      </x:c>
      <x:c r="M1481" s="22" t="n">
        <x:v>46116</x:v>
      </x:c>
      <x:c r="N1481" t="str">
        <x:v>SKU-019</x:v>
      </x:c>
      <x:c r="O1481" t="n">
        <x:v>1</x:v>
      </x:c>
      <x:c r="P1481" s="26" t="n">
        <x:f>F1481/O1481</x:f>
        <x:v>119.82</x:v>
      </x:c>
    </x:row>
    <x:row r="1482">
      <x:c r="A1482" t="n">
        <x:v>1481</x:v>
      </x:c>
      <x:c r="B1482" t="n">
        <x:v>38</x:v>
      </x:c>
      <x:c r="C1482" t="str">
        <x:v>Female</x:v>
      </x:c>
      <x:c r="D1482" t="str">
        <x:v>Home</x:v>
      </x:c>
      <x:c r="E1482" t="str">
        <x:v>Lamp</x:v>
      </x:c>
      <x:c r="F1482" s="24" t="n">
        <x:v>294.52</x:v>
      </x:c>
      <x:c r="G1482" t="str">
        <x:v>Autumn</x:v>
      </x:c>
      <x:c r="H1482" t="str">
        <x:v>Card</x:v>
      </x:c>
      <x:c r="I1482" t="n">
        <x:v>3.8</x:v>
      </x:c>
      <x:c r="J1482" t="n">
        <x:v>16</x:v>
      </x:c>
      <x:c r="K1482" t="n">
        <x:v>8</x:v>
      </x:c>
      <x:c r="L1482" t="str">
        <x:v>STORE-001</x:v>
      </x:c>
      <x:c r="M1482" s="22" t="n">
        <x:v>46115</x:v>
      </x:c>
      <x:c r="N1482" t="str">
        <x:v>SKU-013</x:v>
      </x:c>
      <x:c r="O1482" t="n">
        <x:v>3</x:v>
      </x:c>
      <x:c r="P1482" s="26" t="n">
        <x:f>F1482/O1482</x:f>
        <x:v>98.17333333333333</x:v>
      </x:c>
    </x:row>
    <x:row r="1483">
      <x:c r="A1483" t="n">
        <x:v>1482</x:v>
      </x:c>
      <x:c r="B1483" t="n">
        <x:v>46</x:v>
      </x:c>
      <x:c r="C1483" t="str">
        <x:v>Male</x:v>
      </x:c>
      <x:c r="D1483" t="str">
        <x:v>Groceries</x:v>
      </x:c>
      <x:c r="E1483" t="str">
        <x:v>Rice Pack</x:v>
      </x:c>
      <x:c r="F1483" s="24" t="n">
        <x:v>71.24</x:v>
      </x:c>
      <x:c r="G1483" t="str">
        <x:v>Summer</x:v>
      </x:c>
      <x:c r="H1483" t="str">
        <x:v>Card</x:v>
      </x:c>
      <x:c r="I1483" t="n">
        <x:v>4.3</x:v>
      </x:c>
      <x:c r="J1483" t="n">
        <x:v>15</x:v>
      </x:c>
      <x:c r="K1483" t="n">
        <x:v>5</x:v>
      </x:c>
      <x:c r="L1483" t="str">
        <x:v>STORE-001</x:v>
      </x:c>
      <x:c r="M1483" s="22" t="n">
        <x:v>46069</x:v>
      </x:c>
      <x:c r="N1483" t="str">
        <x:v>SKU-018</x:v>
      </x:c>
      <x:c r="O1483" t="n">
        <x:v>5</x:v>
      </x:c>
      <x:c r="P1483" s="26" t="n">
        <x:f>F1483/O1483</x:f>
        <x:v>14.248</x:v>
      </x:c>
    </x:row>
    <x:row r="1484">
      <x:c r="A1484" t="n">
        <x:v>1483</x:v>
      </x:c>
      <x:c r="B1484" t="n">
        <x:v>30</x:v>
      </x:c>
      <x:c r="C1484" t="str">
        <x:v>Female</x:v>
      </x:c>
      <x:c r="D1484" t="str">
        <x:v>Womens Clothing</x:v>
      </x:c>
      <x:c r="E1484" t="str">
        <x:v>Jeans</x:v>
      </x:c>
      <x:c r="F1484" s="24" t="n">
        <x:v>151.65</x:v>
      </x:c>
      <x:c r="G1484" t="str">
        <x:v>Summer</x:v>
      </x:c>
      <x:c r="H1484" t="str">
        <x:v>Card</x:v>
      </x:c>
      <x:c r="I1484" t="n">
        <x:v>3.5</x:v>
      </x:c>
      <x:c r="J1484" t="n">
        <x:v>18</x:v>
      </x:c>
      <x:c r="K1484" t="n">
        <x:v>4</x:v>
      </x:c>
      <x:c r="L1484" t="str">
        <x:v>STORE-001</x:v>
      </x:c>
      <x:c r="M1484" s="22" t="n">
        <x:v>46034</x:v>
      </x:c>
      <x:c r="N1484" t="str">
        <x:v>SKU-011</x:v>
      </x:c>
      <x:c r="O1484" t="n">
        <x:v>1</x:v>
      </x:c>
      <x:c r="P1484" s="26" t="n">
        <x:f>F1484/O1484</x:f>
        <x:v>151.65</x:v>
      </x:c>
    </x:row>
    <x:row r="1485">
      <x:c r="A1485" t="n">
        <x:v>1484</x:v>
      </x:c>
      <x:c r="B1485" t="n">
        <x:v>36</x:v>
      </x:c>
      <x:c r="C1485" t="str">
        <x:v>Male</x:v>
      </x:c>
      <x:c r="D1485" t="str">
        <x:v>Sports</x:v>
      </x:c>
      <x:c r="E1485" t="str">
        <x:v>Dumbbells</x:v>
      </x:c>
      <x:c r="F1485" s="24" t="n">
        <x:v>80.95</x:v>
      </x:c>
      <x:c r="G1485" t="str">
        <x:v>Summer</x:v>
      </x:c>
      <x:c r="H1485" t="str">
        <x:v>Card</x:v>
      </x:c>
      <x:c r="I1485" t="n">
        <x:v>4</x:v>
      </x:c>
      <x:c r="J1485" t="n">
        <x:v>17</x:v>
      </x:c>
      <x:c r="K1485" t="n">
        <x:v>6</x:v>
      </x:c>
      <x:c r="L1485" t="str">
        <x:v>STORE-001</x:v>
      </x:c>
      <x:c r="M1485" s="22" t="n">
        <x:v>46025</x:v>
      </x:c>
      <x:c r="N1485" t="str">
        <x:v>SKU-005</x:v>
      </x:c>
      <x:c r="O1485" t="n">
        <x:v>1</x:v>
      </x:c>
      <x:c r="P1485" s="26" t="n">
        <x:f>F1485/O1485</x:f>
        <x:v>80.95</x:v>
      </x:c>
    </x:row>
    <x:row r="1486">
      <x:c r="A1486" t="n">
        <x:v>1485</x:v>
      </x:c>
      <x:c r="B1486" t="n">
        <x:v>67</x:v>
      </x:c>
      <x:c r="C1486" t="str">
        <x:v>Male</x:v>
      </x:c>
      <x:c r="D1486" t="str">
        <x:v>Sports</x:v>
      </x:c>
      <x:c r="E1486" t="str">
        <x:v>Football</x:v>
      </x:c>
      <x:c r="F1486" s="24" t="n">
        <x:v>185.85</x:v>
      </x:c>
      <x:c r="G1486" t="str">
        <x:v>Summer</x:v>
      </x:c>
      <x:c r="H1486" t="str">
        <x:v>Card</x:v>
      </x:c>
      <x:c r="I1486" t="n">
        <x:v>5</x:v>
      </x:c>
      <x:c r="J1486" t="n">
        <x:v>20</x:v>
      </x:c>
      <x:c r="K1486" t="n">
        <x:v>10</x:v>
      </x:c>
      <x:c r="L1486" t="str">
        <x:v>STORE-001</x:v>
      </x:c>
      <x:c r="M1486" s="22" t="n">
        <x:v>46055</x:v>
      </x:c>
      <x:c r="N1486" t="str">
        <x:v>SKU-006</x:v>
      </x:c>
      <x:c r="O1486" t="n">
        <x:v>1</x:v>
      </x:c>
      <x:c r="P1486" s="26" t="n">
        <x:f>F1486/O1486</x:f>
        <x:v>185.85</x:v>
      </x:c>
    </x:row>
    <x:row r="1487">
      <x:c r="A1487" t="n">
        <x:v>1486</x:v>
      </x:c>
      <x:c r="B1487" t="n">
        <x:v>32</x:v>
      </x:c>
      <x:c r="C1487" t="str">
        <x:v>Male</x:v>
      </x:c>
      <x:c r="D1487" t="str">
        <x:v>Footwear</x:v>
      </x:c>
      <x:c r="E1487" t="str">
        <x:v>Formal Shoes</x:v>
      </x:c>
      <x:c r="F1487" s="24" t="n">
        <x:v>77.21</x:v>
      </x:c>
      <x:c r="G1487" t="str">
        <x:v>Autumn</x:v>
      </x:c>
      <x:c r="H1487" t="str">
        <x:v>Card</x:v>
      </x:c>
      <x:c r="I1487" t="n">
        <x:v>4.1</x:v>
      </x:c>
      <x:c r="J1487" t="n">
        <x:v>16</x:v>
      </x:c>
      <x:c r="K1487" t="n">
        <x:v>3</x:v>
      </x:c>
      <x:c r="L1487" t="str">
        <x:v>STORE-001</x:v>
      </x:c>
      <x:c r="M1487" s="22" t="n">
        <x:v>46156</x:v>
      </x:c>
      <x:c r="N1487" t="str">
        <x:v>SKU-007</x:v>
      </x:c>
      <x:c r="O1487" t="n">
        <x:v>1</x:v>
      </x:c>
      <x:c r="P1487" s="26" t="n">
        <x:f>F1487/O1487</x:f>
        <x:v>77.21</x:v>
      </x:c>
    </x:row>
    <x:row r="1488">
      <x:c r="A1488" t="n">
        <x:v>1487</x:v>
      </x:c>
      <x:c r="B1488" t="n">
        <x:v>66</x:v>
      </x:c>
      <x:c r="C1488" t="str">
        <x:v>Female</x:v>
      </x:c>
      <x:c r="D1488" t="str">
        <x:v>Womens Clothing</x:v>
      </x:c>
      <x:c r="E1488" t="str">
        <x:v>Skirt</x:v>
      </x:c>
      <x:c r="F1488" s="24" t="n">
        <x:v>192.04</x:v>
      </x:c>
      <x:c r="G1488" t="str">
        <x:v>Winter</x:v>
      </x:c>
      <x:c r="H1488" t="str">
        <x:v>Card</x:v>
      </x:c>
      <x:c r="I1488" t="n">
        <x:v>3.9</x:v>
      </x:c>
      <x:c r="J1488" t="n">
        <x:v>15</x:v>
      </x:c>
      <x:c r="K1488" t="n">
        <x:v>5</x:v>
      </x:c>
      <x:c r="L1488" t="str">
        <x:v>STORE-001</x:v>
      </x:c>
      <x:c r="M1488" s="22" t="n">
        <x:v>46205</x:v>
      </x:c>
      <x:c r="N1488" t="str">
        <x:v>SKU-022</x:v>
      </x:c>
      <x:c r="O1488" t="n">
        <x:v>1</x:v>
      </x:c>
      <x:c r="P1488" s="26" t="n">
        <x:f>F1488/O1488</x:f>
        <x:v>192.04</x:v>
      </x:c>
    </x:row>
    <x:row r="1489">
      <x:c r="A1489" t="n">
        <x:v>1488</x:v>
      </x:c>
      <x:c r="B1489" t="n">
        <x:v>60</x:v>
      </x:c>
      <x:c r="C1489" t="str">
        <x:v>Female</x:v>
      </x:c>
      <x:c r="D1489" t="str">
        <x:v>Footwear</x:v>
      </x:c>
      <x:c r="E1489" t="str">
        <x:v>Sneakers</x:v>
      </x:c>
      <x:c r="F1489" s="24" t="n">
        <x:v>73.34</x:v>
      </x:c>
      <x:c r="G1489" t="str">
        <x:v>Summer</x:v>
      </x:c>
      <x:c r="H1489" t="str">
        <x:v>Cash on Delivery</x:v>
      </x:c>
      <x:c r="I1489" t="n">
        <x:v>4.8</x:v>
      </x:c>
      <x:c r="J1489" t="n">
        <x:v>17</x:v>
      </x:c>
      <x:c r="K1489" t="n">
        <x:v>6</x:v>
      </x:c>
      <x:c r="L1489" t="str">
        <x:v>STORE-001</x:v>
      </x:c>
      <x:c r="M1489" s="22" t="n">
        <x:v>46072</x:v>
      </x:c>
      <x:c r="N1489" t="str">
        <x:v>SKU-025</x:v>
      </x:c>
      <x:c r="O1489" t="n">
        <x:v>2</x:v>
      </x:c>
      <x:c r="P1489" s="26" t="n">
        <x:f>F1489/O1489</x:f>
        <x:v>36.67</x:v>
      </x:c>
    </x:row>
    <x:row r="1490">
      <x:c r="A1490" t="n">
        <x:v>1489</x:v>
      </x:c>
      <x:c r="B1490" t="n">
        <x:v>35</x:v>
      </x:c>
      <x:c r="C1490" t="str">
        <x:v>Female</x:v>
      </x:c>
      <x:c r="D1490" t="str">
        <x:v>Footwear</x:v>
      </x:c>
      <x:c r="E1490" t="str">
        <x:v>Formal Shoes</x:v>
      </x:c>
      <x:c r="F1490" s="24" t="n">
        <x:v>239.36</x:v>
      </x:c>
      <x:c r="G1490" t="str">
        <x:v>Summer</x:v>
      </x:c>
      <x:c r="H1490" t="str">
        <x:v>Card</x:v>
      </x:c>
      <x:c r="I1490" t="n">
        <x:v>4.3</x:v>
      </x:c>
      <x:c r="J1490" t="n">
        <x:v>20</x:v>
      </x:c>
      <x:c r="K1490" t="n">
        <x:v>5</x:v>
      </x:c>
      <x:c r="L1490" t="str">
        <x:v>STORE-001</x:v>
      </x:c>
      <x:c r="M1490" s="22" t="n">
        <x:v>46050</x:v>
      </x:c>
      <x:c r="N1490" t="str">
        <x:v>SKU-007</x:v>
      </x:c>
      <x:c r="O1490" t="n">
        <x:v>2</x:v>
      </x:c>
      <x:c r="P1490" s="26" t="n">
        <x:f>F1490/O1490</x:f>
        <x:v>119.68</x:v>
      </x:c>
    </x:row>
    <x:row r="1491">
      <x:c r="A1491" t="n">
        <x:v>1490</x:v>
      </x:c>
      <x:c r="B1491" t="n">
        <x:v>26</x:v>
      </x:c>
      <x:c r="C1491" t="str">
        <x:v>Female</x:v>
      </x:c>
      <x:c r="D1491" t="str">
        <x:v>Womens Clothing</x:v>
      </x:c>
      <x:c r="E1491" t="str">
        <x:v>Jeans</x:v>
      </x:c>
      <x:c r="F1491" s="24" t="n">
        <x:v>175.79</x:v>
      </x:c>
      <x:c r="G1491" t="str">
        <x:v>Winter</x:v>
      </x:c>
      <x:c r="H1491" t="str">
        <x:v>Card</x:v>
      </x:c>
      <x:c r="I1491" t="n">
        <x:v>3</x:v>
      </x:c>
      <x:c r="J1491" t="n">
        <x:v>15</x:v>
      </x:c>
      <x:c r="K1491" t="n">
        <x:v>5</x:v>
      </x:c>
      <x:c r="L1491" t="str">
        <x:v>STORE-001</x:v>
      </x:c>
      <x:c r="M1491" s="22" t="n">
        <x:v>46191</x:v>
      </x:c>
      <x:c r="N1491" t="str">
        <x:v>SKU-011</x:v>
      </x:c>
      <x:c r="O1491" t="n">
        <x:v>1</x:v>
      </x:c>
      <x:c r="P1491" s="26" t="n">
        <x:f>F1491/O1491</x:f>
        <x:v>175.79</x:v>
      </x:c>
    </x:row>
    <x:row r="1492">
      <x:c r="A1492" t="n">
        <x:v>1491</x:v>
      </x:c>
      <x:c r="B1492" t="n">
        <x:v>57</x:v>
      </x:c>
      <x:c r="C1492" t="str">
        <x:v>Female</x:v>
      </x:c>
      <x:c r="D1492" t="str">
        <x:v>Beauty</x:v>
      </x:c>
      <x:c r="E1492" t="str">
        <x:v>Skincare Kit</x:v>
      </x:c>
      <x:c r="F1492" s="24" t="n">
        <x:v>24.93</x:v>
      </x:c>
      <x:c r="G1492" t="str">
        <x:v>Winter</x:v>
      </x:c>
      <x:c r="H1492" t="str">
        <x:v>Card</x:v>
      </x:c>
      <x:c r="I1492" t="n">
        <x:v>4.7</x:v>
      </x:c>
      <x:c r="J1492" t="n">
        <x:v>18</x:v>
      </x:c>
      <x:c r="K1492" t="n">
        <x:v>4</x:v>
      </x:c>
      <x:c r="L1492" t="str">
        <x:v>STORE-001</x:v>
      </x:c>
      <x:c r="M1492" s="22" t="n">
        <x:v>46221</x:v>
      </x:c>
      <x:c r="N1492" t="str">
        <x:v>SKU-021</x:v>
      </x:c>
      <x:c r="O1492" t="n">
        <x:v>2</x:v>
      </x:c>
      <x:c r="P1492" s="26" t="n">
        <x:f>F1492/O1492</x:f>
        <x:v>12.465</x:v>
      </x:c>
    </x:row>
    <x:row r="1493">
      <x:c r="A1493" t="n">
        <x:v>1492</x:v>
      </x:c>
      <x:c r="B1493" t="n">
        <x:v>47</x:v>
      </x:c>
      <x:c r="C1493" t="str">
        <x:v>Female</x:v>
      </x:c>
      <x:c r="D1493" t="str">
        <x:v>Groceries</x:v>
      </x:c>
      <x:c r="E1493" t="str">
        <x:v>Beverages</x:v>
      </x:c>
      <x:c r="F1493" s="24" t="n">
        <x:v>34.74</x:v>
      </x:c>
      <x:c r="G1493" t="str">
        <x:v>Spring</x:v>
      </x:c>
      <x:c r="H1493" t="str">
        <x:v>Cash on Delivery</x:v>
      </x:c>
      <x:c r="I1493" t="n">
        <x:v>4.3</x:v>
      </x:c>
      <x:c r="J1493" t="n">
        <x:v>18</x:v>
      </x:c>
      <x:c r="K1493" t="n">
        <x:v>4</x:v>
      </x:c>
      <x:c r="L1493" t="str">
        <x:v>STORE-001</x:v>
      </x:c>
      <x:c r="M1493" s="22" t="n">
        <x:v>46288</x:v>
      </x:c>
      <x:c r="N1493" t="str">
        <x:v>SKU-001</x:v>
      </x:c>
      <x:c r="O1493" t="n">
        <x:v>2</x:v>
      </x:c>
      <x:c r="P1493" s="26" t="n">
        <x:f>F1493/O1493</x:f>
        <x:v>17.37</x:v>
      </x:c>
    </x:row>
    <x:row r="1494">
      <x:c r="A1494" t="n">
        <x:v>1493</x:v>
      </x:c>
      <x:c r="B1494" t="n">
        <x:v>46</x:v>
      </x:c>
      <x:c r="C1494" t="str">
        <x:v>Male</x:v>
      </x:c>
      <x:c r="D1494" t="str">
        <x:v>Groceries</x:v>
      </x:c>
      <x:c r="E1494" t="str">
        <x:v>Rice Pack</x:v>
      </x:c>
      <x:c r="F1494" s="24" t="n">
        <x:v>36.61</x:v>
      </x:c>
      <x:c r="G1494" t="str">
        <x:v>Summer</x:v>
      </x:c>
      <x:c r="H1494" t="str">
        <x:v>Card</x:v>
      </x:c>
      <x:c r="I1494" t="n">
        <x:v>4</x:v>
      </x:c>
      <x:c r="J1494" t="n">
        <x:v>24</x:v>
      </x:c>
      <x:c r="K1494" t="n">
        <x:v>7</x:v>
      </x:c>
      <x:c r="L1494" t="str">
        <x:v>STORE-001</x:v>
      </x:c>
      <x:c r="M1494" s="22" t="n">
        <x:v>45992</x:v>
      </x:c>
      <x:c r="N1494" t="str">
        <x:v>SKU-018</x:v>
      </x:c>
      <x:c r="O1494" t="n">
        <x:v>2</x:v>
      </x:c>
      <x:c r="P1494" s="26" t="n">
        <x:f>F1494/O1494</x:f>
        <x:v>18.305</x:v>
      </x:c>
    </x:row>
    <x:row r="1495">
      <x:c r="A1495" t="n">
        <x:v>1494</x:v>
      </x:c>
      <x:c r="B1495" t="n">
        <x:v>29</x:v>
      </x:c>
      <x:c r="C1495" t="str">
        <x:v>Male</x:v>
      </x:c>
      <x:c r="D1495" t="str">
        <x:v>Electronics</x:v>
      </x:c>
      <x:c r="E1495" t="str">
        <x:v>Mobile Phone</x:v>
      </x:c>
      <x:c r="F1495" s="24" t="n">
        <x:v>2302.21</x:v>
      </x:c>
      <x:c r="G1495" t="str">
        <x:v>Winter</x:v>
      </x:c>
      <x:c r="H1495" t="str">
        <x:v>Card</x:v>
      </x:c>
      <x:c r="I1495" t="n">
        <x:v>3.1</x:v>
      </x:c>
      <x:c r="J1495" t="n">
        <x:v>20</x:v>
      </x:c>
      <x:c r="K1495" t="n">
        <x:v>5</x:v>
      </x:c>
      <x:c r="L1495" t="str">
        <x:v>STORE-001</x:v>
      </x:c>
      <x:c r="M1495" s="22" t="n">
        <x:v>46240</x:v>
      </x:c>
      <x:c r="N1495" t="str">
        <x:v>SKU-016</x:v>
      </x:c>
      <x:c r="O1495" t="n">
        <x:v>1</x:v>
      </x:c>
      <x:c r="P1495" s="26" t="n">
        <x:f>F1495/O1495</x:f>
        <x:v>2302.21</x:v>
      </x:c>
    </x:row>
    <x:row r="1496">
      <x:c r="A1496" t="n">
        <x:v>1495</x:v>
      </x:c>
      <x:c r="B1496" t="n">
        <x:v>33</x:v>
      </x:c>
      <x:c r="C1496" t="str">
        <x:v>Female</x:v>
      </x:c>
      <x:c r="D1496" t="str">
        <x:v>Beauty</x:v>
      </x:c>
      <x:c r="E1496" t="str">
        <x:v>Skincare Kit</x:v>
      </x:c>
      <x:c r="F1496" s="24" t="n">
        <x:v>48.6</x:v>
      </x:c>
      <x:c r="G1496" t="str">
        <x:v>Summer</x:v>
      </x:c>
      <x:c r="H1496" t="str">
        <x:v>Cash on Delivery</x:v>
      </x:c>
      <x:c r="I1496" t="n">
        <x:v>4.1</x:v>
      </x:c>
      <x:c r="J1496" t="n">
        <x:v>11</x:v>
      </x:c>
      <x:c r="K1496" t="n">
        <x:v>3</x:v>
      </x:c>
      <x:c r="L1496" t="str">
        <x:v>STORE-001</x:v>
      </x:c>
      <x:c r="M1496" s="22" t="n">
        <x:v>46013</x:v>
      </x:c>
      <x:c r="N1496" t="str">
        <x:v>SKU-021</x:v>
      </x:c>
      <x:c r="O1496" t="n">
        <x:v>1</x:v>
      </x:c>
      <x:c r="P1496" s="26" t="n">
        <x:f>F1496/O1496</x:f>
        <x:v>48.6</x:v>
      </x:c>
    </x:row>
    <x:row r="1497">
      <x:c r="A1497" t="n">
        <x:v>1496</x:v>
      </x:c>
      <x:c r="B1497" t="n">
        <x:v>26</x:v>
      </x:c>
      <x:c r="C1497" t="str">
        <x:v>Male</x:v>
      </x:c>
      <x:c r="D1497" t="str">
        <x:v>Electronics</x:v>
      </x:c>
      <x:c r="E1497" t="str">
        <x:v>Laptop</x:v>
      </x:c>
      <x:c r="F1497" s="24" t="n">
        <x:v>534.41</x:v>
      </x:c>
      <x:c r="G1497" t="str">
        <x:v>Autumn</x:v>
      </x:c>
      <x:c r="H1497" t="str">
        <x:v>Card</x:v>
      </x:c>
      <x:c r="I1497" t="n">
        <x:v>3.6</x:v>
      </x:c>
      <x:c r="J1497" t="n">
        <x:v>6</x:v>
      </x:c>
      <x:c r="K1497" t="n">
        <x:v>3</x:v>
      </x:c>
      <x:c r="L1497" t="str">
        <x:v>STORE-001</x:v>
      </x:c>
      <x:c r="M1497" s="22" t="n">
        <x:v>46099</x:v>
      </x:c>
      <x:c r="N1497" t="str">
        <x:v>SKU-014</x:v>
      </x:c>
      <x:c r="O1497" t="n">
        <x:v>1</x:v>
      </x:c>
      <x:c r="P1497" s="26" t="n">
        <x:f>F1497/O1497</x:f>
        <x:v>534.41</x:v>
      </x:c>
    </x:row>
    <x:row r="1498">
      <x:c r="A1498" t="n">
        <x:v>1497</x:v>
      </x:c>
      <x:c r="B1498" t="n">
        <x:v>67</x:v>
      </x:c>
      <x:c r="C1498" t="str">
        <x:v>Female</x:v>
      </x:c>
      <x:c r="D1498" t="str">
        <x:v>Accessories</x:v>
      </x:c>
      <x:c r="E1498" t="str">
        <x:v>Handbag</x:v>
      </x:c>
      <x:c r="F1498" s="24" t="n">
        <x:v>175.36</x:v>
      </x:c>
      <x:c r="G1498" t="str">
        <x:v>Summer</x:v>
      </x:c>
      <x:c r="H1498" t="str">
        <x:v>Card</x:v>
      </x:c>
      <x:c r="I1498" t="n">
        <x:v>4.1</x:v>
      </x:c>
      <x:c r="J1498" t="n">
        <x:v>26</x:v>
      </x:c>
      <x:c r="K1498" t="n">
        <x:v>8</x:v>
      </x:c>
      <x:c r="L1498" t="str">
        <x:v>STORE-001</x:v>
      </x:c>
      <x:c r="M1498" s="22" t="n">
        <x:v>46062</x:v>
      </x:c>
      <x:c r="N1498" t="str">
        <x:v>SKU-008</x:v>
      </x:c>
      <x:c r="O1498" t="n">
        <x:v>1</x:v>
      </x:c>
      <x:c r="P1498" s="26" t="n">
        <x:f>F1498/O1498</x:f>
        <x:v>175.36</x:v>
      </x:c>
    </x:row>
    <x:row r="1499">
      <x:c r="A1499" t="n">
        <x:v>1498</x:v>
      </x:c>
      <x:c r="B1499" t="n">
        <x:v>21</x:v>
      </x:c>
      <x:c r="C1499" t="str">
        <x:v>Female</x:v>
      </x:c>
      <x:c r="D1499" t="str">
        <x:v>Accessories</x:v>
      </x:c>
      <x:c r="E1499" t="str">
        <x:v>Handbag</x:v>
      </x:c>
      <x:c r="F1499" s="24" t="n">
        <x:v>34.6</x:v>
      </x:c>
      <x:c r="G1499" t="str">
        <x:v>Summer</x:v>
      </x:c>
      <x:c r="H1499" t="str">
        <x:v>Cash on Delivery</x:v>
      </x:c>
      <x:c r="I1499" t="n">
        <x:v>3.1</x:v>
      </x:c>
      <x:c r="J1499" t="n">
        <x:v>22</x:v>
      </x:c>
      <x:c r="K1499" t="n">
        <x:v>6</x:v>
      </x:c>
      <x:c r="L1499" t="str">
        <x:v>STORE-001</x:v>
      </x:c>
      <x:c r="M1499" s="22" t="n">
        <x:v>46036</x:v>
      </x:c>
      <x:c r="N1499" t="str">
        <x:v>SKU-008</x:v>
      </x:c>
      <x:c r="O1499" t="n">
        <x:v>1</x:v>
      </x:c>
      <x:c r="P1499" s="26" t="n">
        <x:f>F1499/O1499</x:f>
        <x:v>34.6</x:v>
      </x:c>
    </x:row>
    <x:row r="1500">
      <x:c r="A1500" t="n">
        <x:v>1499</x:v>
      </x:c>
      <x:c r="B1500" t="n">
        <x:v>26</x:v>
      </x:c>
      <x:c r="C1500" t="str">
        <x:v>Male</x:v>
      </x:c>
      <x:c r="D1500" t="str">
        <x:v>Sports</x:v>
      </x:c>
      <x:c r="E1500" t="str">
        <x:v>Yoga Mat</x:v>
      </x:c>
      <x:c r="F1500" s="24" t="n">
        <x:v>118.37</x:v>
      </x:c>
      <x:c r="G1500" t="str">
        <x:v>Summer</x:v>
      </x:c>
      <x:c r="H1500" t="str">
        <x:v>Card</x:v>
      </x:c>
      <x:c r="I1500" t="n">
        <x:v>3.1</x:v>
      </x:c>
      <x:c r="J1500" t="n">
        <x:v>2</x:v>
      </x:c>
      <x:c r="K1500" t="n">
        <x:v>1</x:v>
      </x:c>
      <x:c r="L1500" t="str">
        <x:v>STORE-001</x:v>
      </x:c>
      <x:c r="M1500" s="22" t="n">
        <x:v>46047</x:v>
      </x:c>
      <x:c r="N1500" t="str">
        <x:v>SKU-030</x:v>
      </x:c>
      <x:c r="O1500" t="n">
        <x:v>2</x:v>
      </x:c>
      <x:c r="P1500" s="26" t="n">
        <x:f>F1500/O1500</x:f>
        <x:v>59.185</x:v>
      </x:c>
    </x:row>
    <x:row r="1501">
      <x:c r="A1501" t="n">
        <x:v>1500</x:v>
      </x:c>
      <x:c r="B1501" t="n">
        <x:v>55</x:v>
      </x:c>
      <x:c r="C1501" t="str">
        <x:v>Male</x:v>
      </x:c>
      <x:c r="D1501" t="str">
        <x:v>Footwear</x:v>
      </x:c>
      <x:c r="E1501" t="str">
        <x:v>Formal Shoes</x:v>
      </x:c>
      <x:c r="F1501" s="24" t="n">
        <x:v>203.25</x:v>
      </x:c>
      <x:c r="G1501" t="str">
        <x:v>Spring</x:v>
      </x:c>
      <x:c r="H1501" t="str">
        <x:v>Card</x:v>
      </x:c>
      <x:c r="I1501" t="n">
        <x:v>4.3</x:v>
      </x:c>
      <x:c r="J1501" t="n">
        <x:v>18</x:v>
      </x:c>
      <x:c r="K1501" t="n">
        <x:v>4</x:v>
      </x:c>
      <x:c r="L1501" t="str">
        <x:v>STORE-001</x:v>
      </x:c>
      <x:c r="M1501" s="22" t="n">
        <x:v>46288</x:v>
      </x:c>
      <x:c r="N1501" t="str">
        <x:v>SKU-007</x:v>
      </x:c>
      <x:c r="O1501" t="n">
        <x:v>2</x:v>
      </x:c>
      <x:c r="P1501" s="26" t="n">
        <x:f>F1501/O1501</x:f>
        <x:v>101.625</x:v>
      </x:c>
    </x:row>
    <x:row r="1502">
      <x:c r="A1502" t="n">
        <x:v>1501</x:v>
      </x:c>
      <x:c r="B1502" t="n">
        <x:v>23</x:v>
      </x:c>
      <x:c r="C1502" t="str">
        <x:v>Female</x:v>
      </x:c>
      <x:c r="D1502" t="str">
        <x:v>Footwear</x:v>
      </x:c>
      <x:c r="E1502" t="str">
        <x:v>Formal Shoes</x:v>
      </x:c>
      <x:c r="F1502" s="24" t="n">
        <x:v>133.44</x:v>
      </x:c>
      <x:c r="G1502" t="str">
        <x:v>Summer</x:v>
      </x:c>
      <x:c r="H1502" t="str">
        <x:v>Card</x:v>
      </x:c>
      <x:c r="I1502" t="n">
        <x:v>4.7</x:v>
      </x:c>
      <x:c r="J1502" t="n">
        <x:v>12</x:v>
      </x:c>
      <x:c r="K1502" t="n">
        <x:v>6</x:v>
      </x:c>
      <x:c r="L1502" t="str">
        <x:v>STORE-001</x:v>
      </x:c>
      <x:c r="M1502" s="22" t="n">
        <x:v>46053</x:v>
      </x:c>
      <x:c r="N1502" t="str">
        <x:v>SKU-007</x:v>
      </x:c>
      <x:c r="O1502" t="n">
        <x:v>1</x:v>
      </x:c>
      <x:c r="P1502" s="26" t="n">
        <x:f>F1502/O1502</x:f>
        <x:v>133.44</x:v>
      </x:c>
    </x:row>
    <x:row r="1503">
      <x:c r="A1503" t="n">
        <x:v>1502</x:v>
      </x:c>
      <x:c r="B1503" t="n">
        <x:v>21</x:v>
      </x:c>
      <x:c r="C1503" t="str">
        <x:v>Female</x:v>
      </x:c>
      <x:c r="D1503" t="str">
        <x:v>Accessories</x:v>
      </x:c>
      <x:c r="E1503" t="str">
        <x:v>Handbag</x:v>
      </x:c>
      <x:c r="F1503" s="24" t="n">
        <x:v>100</x:v>
      </x:c>
      <x:c r="G1503" t="str">
        <x:v>Spring</x:v>
      </x:c>
      <x:c r="H1503" t="str">
        <x:v>Cash on Delivery</x:v>
      </x:c>
      <x:c r="I1503" t="n">
        <x:v>4.1</x:v>
      </x:c>
      <x:c r="J1503" t="n">
        <x:v>15</x:v>
      </x:c>
      <x:c r="K1503" t="n">
        <x:v>5</x:v>
      </x:c>
      <x:c r="L1503" t="str">
        <x:v>STORE-001</x:v>
      </x:c>
      <x:c r="M1503" s="22" t="n">
        <x:v>45991</x:v>
      </x:c>
      <x:c r="N1503" t="str">
        <x:v>SKU-008</x:v>
      </x:c>
      <x:c r="O1503" t="n">
        <x:v>1</x:v>
      </x:c>
      <x:c r="P1503" s="26" t="n">
        <x:f>F1503/O1503</x:f>
        <x:v>100</x:v>
      </x:c>
    </x:row>
    <x:row r="1504">
      <x:c r="A1504" t="n">
        <x:v>1503</x:v>
      </x:c>
      <x:c r="B1504" t="n">
        <x:v>23</x:v>
      </x:c>
      <x:c r="C1504" t="str">
        <x:v>Female</x:v>
      </x:c>
      <x:c r="D1504" t="str">
        <x:v>Home</x:v>
      </x:c>
      <x:c r="E1504" t="str">
        <x:v>Kitchen Set</x:v>
      </x:c>
      <x:c r="F1504" s="24" t="n">
        <x:v>55.34</x:v>
      </x:c>
      <x:c r="G1504" t="str">
        <x:v>Winter</x:v>
      </x:c>
      <x:c r="H1504" t="str">
        <x:v>Card</x:v>
      </x:c>
      <x:c r="I1504" t="n">
        <x:v>4.2</x:v>
      </x:c>
      <x:c r="J1504" t="n">
        <x:v>17</x:v>
      </x:c>
      <x:c r="K1504" t="n">
        <x:v>6</x:v>
      </x:c>
      <x:c r="L1504" t="str">
        <x:v>STORE-001</x:v>
      </x:c>
      <x:c r="M1504" s="22" t="n">
        <x:v>46206</x:v>
      </x:c>
      <x:c r="N1504" t="str">
        <x:v>SKU-012</x:v>
      </x:c>
      <x:c r="O1504" t="n">
        <x:v>1</x:v>
      </x:c>
      <x:c r="P1504" s="26" t="n">
        <x:f>F1504/O1504</x:f>
        <x:v>55.34</x:v>
      </x:c>
    </x:row>
    <x:row r="1505">
      <x:c r="A1505" t="n">
        <x:v>1504</x:v>
      </x:c>
      <x:c r="B1505" t="n">
        <x:v>36</x:v>
      </x:c>
      <x:c r="C1505" t="str">
        <x:v>Female</x:v>
      </x:c>
      <x:c r="D1505" t="str">
        <x:v>Footwear</x:v>
      </x:c>
      <x:c r="E1505" t="str">
        <x:v>Formal Shoes</x:v>
      </x:c>
      <x:c r="F1505" s="24" t="n">
        <x:v>136.43</x:v>
      </x:c>
      <x:c r="G1505" t="str">
        <x:v>Spring</x:v>
      </x:c>
      <x:c r="H1505" t="str">
        <x:v>Card</x:v>
      </x:c>
      <x:c r="I1505" t="n">
        <x:v>4</x:v>
      </x:c>
      <x:c r="J1505" t="n">
        <x:v>12</x:v>
      </x:c>
      <x:c r="K1505" t="n">
        <x:v>6</x:v>
      </x:c>
      <x:c r="L1505" t="str">
        <x:v>STORE-001</x:v>
      </x:c>
      <x:c r="M1505" s="22" t="n">
        <x:v>45987</x:v>
      </x:c>
      <x:c r="N1505" t="str">
        <x:v>SKU-007</x:v>
      </x:c>
      <x:c r="O1505" t="n">
        <x:v>2</x:v>
      </x:c>
      <x:c r="P1505" s="26" t="n">
        <x:f>F1505/O1505</x:f>
        <x:v>68.215</x:v>
      </x:c>
    </x:row>
    <x:row r="1506">
      <x:c r="A1506" t="n">
        <x:v>1505</x:v>
      </x:c>
      <x:c r="B1506" t="n">
        <x:v>35</x:v>
      </x:c>
      <x:c r="C1506" t="str">
        <x:v>Female</x:v>
      </x:c>
      <x:c r="D1506" t="str">
        <x:v>Womens Clothing</x:v>
      </x:c>
      <x:c r="E1506" t="str">
        <x:v>Top</x:v>
      </x:c>
      <x:c r="F1506" s="24" t="n">
        <x:v>67.51</x:v>
      </x:c>
      <x:c r="G1506" t="str">
        <x:v>Spring</x:v>
      </x:c>
      <x:c r="H1506" t="str">
        <x:v>Card</x:v>
      </x:c>
      <x:c r="I1506" t="n">
        <x:v>4.1</x:v>
      </x:c>
      <x:c r="J1506" t="n">
        <x:v>10</x:v>
      </x:c>
      <x:c r="K1506" t="n">
        <x:v>5</x:v>
      </x:c>
      <x:c r="L1506" t="str">
        <x:v>STORE-001</x:v>
      </x:c>
      <x:c r="M1506" s="22" t="n">
        <x:v>46268</x:v>
      </x:c>
      <x:c r="N1506" t="str">
        <x:v>SKU-028</x:v>
      </x:c>
      <x:c r="O1506" t="n">
        <x:v>2</x:v>
      </x:c>
      <x:c r="P1506" s="26" t="n">
        <x:f>F1506/O1506</x:f>
        <x:v>33.755</x:v>
      </x:c>
    </x:row>
    <x:row r="1507">
      <x:c r="A1507" t="n">
        <x:v>1506</x:v>
      </x:c>
      <x:c r="B1507" t="n">
        <x:v>29</x:v>
      </x:c>
      <x:c r="C1507" t="str">
        <x:v>Male</x:v>
      </x:c>
      <x:c r="D1507" t="str">
        <x:v>Footwear</x:v>
      </x:c>
      <x:c r="E1507" t="str">
        <x:v>Sneakers</x:v>
      </x:c>
      <x:c r="F1507" s="24" t="n">
        <x:v>245.39</x:v>
      </x:c>
      <x:c r="G1507" t="str">
        <x:v>Winter</x:v>
      </x:c>
      <x:c r="H1507" t="str">
        <x:v>Card</x:v>
      </x:c>
      <x:c r="I1507" t="n">
        <x:v>4.5</x:v>
      </x:c>
      <x:c r="J1507" t="n">
        <x:v>15</x:v>
      </x:c>
      <x:c r="K1507" t="n">
        <x:v>5</x:v>
      </x:c>
      <x:c r="L1507" t="str">
        <x:v>STORE-001</x:v>
      </x:c>
      <x:c r="M1507" s="22" t="n">
        <x:v>46185</x:v>
      </x:c>
      <x:c r="N1507" t="str">
        <x:v>SKU-025</x:v>
      </x:c>
      <x:c r="O1507" t="n">
        <x:v>3</x:v>
      </x:c>
      <x:c r="P1507" s="26" t="n">
        <x:f>F1507/O1507</x:f>
        <x:v>81.79666666666667</x:v>
      </x:c>
    </x:row>
    <x:row r="1508">
      <x:c r="A1508" t="n">
        <x:v>1507</x:v>
      </x:c>
      <x:c r="B1508" t="n">
        <x:v>20</x:v>
      </x:c>
      <x:c r="C1508" t="str">
        <x:v>Male</x:v>
      </x:c>
      <x:c r="D1508" t="str">
        <x:v>Footwear</x:v>
      </x:c>
      <x:c r="E1508" t="str">
        <x:v>Formal Shoes</x:v>
      </x:c>
      <x:c r="F1508" s="24" t="n">
        <x:v>113.11</x:v>
      </x:c>
      <x:c r="G1508" t="str">
        <x:v>Summer</x:v>
      </x:c>
      <x:c r="H1508" t="str">
        <x:v>Card</x:v>
      </x:c>
      <x:c r="I1508" t="n">
        <x:v>3.4</x:v>
      </x:c>
      <x:c r="J1508" t="n">
        <x:v>8</x:v>
      </x:c>
      <x:c r="K1508" t="n">
        <x:v>4</x:v>
      </x:c>
      <x:c r="L1508" t="str">
        <x:v>STORE-001</x:v>
      </x:c>
      <x:c r="M1508" s="22" t="n">
        <x:v>46040</x:v>
      </x:c>
      <x:c r="N1508" t="str">
        <x:v>SKU-007</x:v>
      </x:c>
      <x:c r="O1508" t="n">
        <x:v>1</x:v>
      </x:c>
      <x:c r="P1508" s="26" t="n">
        <x:f>F1508/O1508</x:f>
        <x:v>113.11</x:v>
      </x:c>
    </x:row>
    <x:row r="1509">
      <x:c r="A1509" t="n">
        <x:v>1508</x:v>
      </x:c>
      <x:c r="B1509" t="n">
        <x:v>64</x:v>
      </x:c>
      <x:c r="C1509" t="str">
        <x:v>Female</x:v>
      </x:c>
      <x:c r="D1509" t="str">
        <x:v>Footwear</x:v>
      </x:c>
      <x:c r="E1509" t="str">
        <x:v>Sandals</x:v>
      </x:c>
      <x:c r="F1509" s="24" t="n">
        <x:v>80.18</x:v>
      </x:c>
      <x:c r="G1509" t="str">
        <x:v>Spring</x:v>
      </x:c>
      <x:c r="H1509" t="str">
        <x:v>Card</x:v>
      </x:c>
      <x:c r="I1509" t="n">
        <x:v>4.4</x:v>
      </x:c>
      <x:c r="J1509" t="n">
        <x:v>13</x:v>
      </x:c>
      <x:c r="K1509" t="n">
        <x:v>4</x:v>
      </x:c>
      <x:c r="L1509" t="str">
        <x:v>STORE-001</x:v>
      </x:c>
      <x:c r="M1509" s="22" t="n">
        <x:v>46280</x:v>
      </x:c>
      <x:c r="N1509" t="str">
        <x:v>SKU-019</x:v>
      </x:c>
      <x:c r="O1509" t="n">
        <x:v>1</x:v>
      </x:c>
      <x:c r="P1509" s="26" t="n">
        <x:f>F1509/O1509</x:f>
        <x:v>80.18</x:v>
      </x:c>
    </x:row>
    <x:row r="1510">
      <x:c r="A1510" t="n">
        <x:v>1509</x:v>
      </x:c>
      <x:c r="B1510" t="n">
        <x:v>67</x:v>
      </x:c>
      <x:c r="C1510" t="str">
        <x:v>Male</x:v>
      </x:c>
      <x:c r="D1510" t="str">
        <x:v>Electronics</x:v>
      </x:c>
      <x:c r="E1510" t="str">
        <x:v>Mobile Phone</x:v>
      </x:c>
      <x:c r="F1510" s="24" t="n">
        <x:v>1105.76</x:v>
      </x:c>
      <x:c r="G1510" t="str">
        <x:v>Winter</x:v>
      </x:c>
      <x:c r="H1510" t="str">
        <x:v>Card</x:v>
      </x:c>
      <x:c r="I1510" t="n">
        <x:v>3.8</x:v>
      </x:c>
      <x:c r="J1510" t="n">
        <x:v>19</x:v>
      </x:c>
      <x:c r="K1510" t="n">
        <x:v>7</x:v>
      </x:c>
      <x:c r="L1510" t="str">
        <x:v>STORE-001</x:v>
      </x:c>
      <x:c r="M1510" s="22" t="n">
        <x:v>46235</x:v>
      </x:c>
      <x:c r="N1510" t="str">
        <x:v>SKU-016</x:v>
      </x:c>
      <x:c r="O1510" t="n">
        <x:v>1</x:v>
      </x:c>
      <x:c r="P1510" s="26" t="n">
        <x:f>F1510/O1510</x:f>
        <x:v>1105.76</x:v>
      </x:c>
    </x:row>
    <x:row r="1511">
      <x:c r="A1511" t="n">
        <x:v>1510</x:v>
      </x:c>
      <x:c r="B1511" t="n">
        <x:v>26</x:v>
      </x:c>
      <x:c r="C1511" t="str">
        <x:v>Female</x:v>
      </x:c>
      <x:c r="D1511" t="str">
        <x:v>Footwear</x:v>
      </x:c>
      <x:c r="E1511" t="str">
        <x:v>Formal Shoes</x:v>
      </x:c>
      <x:c r="F1511" s="24" t="n">
        <x:v>96.55</x:v>
      </x:c>
      <x:c r="G1511" t="str">
        <x:v>Winter</x:v>
      </x:c>
      <x:c r="H1511" t="str">
        <x:v>Cash on Delivery</x:v>
      </x:c>
      <x:c r="I1511" t="n">
        <x:v>4.5</x:v>
      </x:c>
      <x:c r="J1511" t="n">
        <x:v>10</x:v>
      </x:c>
      <x:c r="K1511" t="n">
        <x:v>5</x:v>
      </x:c>
      <x:c r="L1511" t="str">
        <x:v>STORE-001</x:v>
      </x:c>
      <x:c r="M1511" s="22" t="n">
        <x:v>46262</x:v>
      </x:c>
      <x:c r="N1511" t="str">
        <x:v>SKU-007</x:v>
      </x:c>
      <x:c r="O1511" t="n">
        <x:v>2</x:v>
      </x:c>
      <x:c r="P1511" s="26" t="n">
        <x:f>F1511/O1511</x:f>
        <x:v>48.275</x:v>
      </x:c>
    </x:row>
    <x:row r="1512">
      <x:c r="A1512" t="n">
        <x:v>1511</x:v>
      </x:c>
      <x:c r="B1512" t="n">
        <x:v>54</x:v>
      </x:c>
      <x:c r="C1512" t="str">
        <x:v>Male</x:v>
      </x:c>
      <x:c r="D1512" t="str">
        <x:v>Sports</x:v>
      </x:c>
      <x:c r="E1512" t="str">
        <x:v>Dumbbells</x:v>
      </x:c>
      <x:c r="F1512" s="24" t="n">
        <x:v>106.35</x:v>
      </x:c>
      <x:c r="G1512" t="str">
        <x:v>Spring</x:v>
      </x:c>
      <x:c r="H1512" t="str">
        <x:v>Card</x:v>
      </x:c>
      <x:c r="I1512" t="n">
        <x:v>4.8</x:v>
      </x:c>
      <x:c r="J1512" t="n">
        <x:v>16</x:v>
      </x:c>
      <x:c r="K1512" t="n">
        <x:v>8</x:v>
      </x:c>
      <x:c r="L1512" t="str">
        <x:v>STORE-001</x:v>
      </x:c>
      <x:c r="M1512" s="22" t="n">
        <x:v>45935</x:v>
      </x:c>
      <x:c r="N1512" t="str">
        <x:v>SKU-005</x:v>
      </x:c>
      <x:c r="O1512" t="n">
        <x:v>1</x:v>
      </x:c>
      <x:c r="P1512" s="26" t="n">
        <x:f>F1512/O1512</x:f>
        <x:v>106.35</x:v>
      </x:c>
    </x:row>
    <x:row r="1513">
      <x:c r="A1513" t="n">
        <x:v>1512</x:v>
      </x:c>
      <x:c r="B1513" t="n">
        <x:v>28</x:v>
      </x:c>
      <x:c r="C1513" t="str">
        <x:v>Female</x:v>
      </x:c>
      <x:c r="D1513" t="str">
        <x:v>Groceries</x:v>
      </x:c>
      <x:c r="E1513" t="str">
        <x:v>Snacks</x:v>
      </x:c>
      <x:c r="F1513" s="24" t="n">
        <x:v>13.26</x:v>
      </x:c>
      <x:c r="G1513" t="str">
        <x:v>Spring</x:v>
      </x:c>
      <x:c r="H1513" t="str">
        <x:v>Cash on Delivery</x:v>
      </x:c>
      <x:c r="I1513" t="n">
        <x:v>4.4</x:v>
      </x:c>
      <x:c r="J1513" t="n">
        <x:v>14</x:v>
      </x:c>
      <x:c r="K1513" t="n">
        <x:v>2</x:v>
      </x:c>
      <x:c r="L1513" t="str">
        <x:v>STORE-001</x:v>
      </x:c>
      <x:c r="M1513" s="22" t="n">
        <x:v>45941</x:v>
      </x:c>
      <x:c r="N1513" t="str">
        <x:v>SKU-024</x:v>
      </x:c>
      <x:c r="O1513" t="n">
        <x:v>1</x:v>
      </x:c>
      <x:c r="P1513" s="26" t="n">
        <x:f>F1513/O1513</x:f>
        <x:v>13.26</x:v>
      </x:c>
    </x:row>
    <x:row r="1514">
      <x:c r="A1514" t="n">
        <x:v>1513</x:v>
      </x:c>
      <x:c r="B1514" t="n">
        <x:v>64</x:v>
      </x:c>
      <x:c r="C1514" t="str">
        <x:v>Female</x:v>
      </x:c>
      <x:c r="D1514" t="str">
        <x:v>Womens Clothing</x:v>
      </x:c>
      <x:c r="E1514" t="str">
        <x:v>Top</x:v>
      </x:c>
      <x:c r="F1514" s="24" t="n">
        <x:v>180.55</x:v>
      </x:c>
      <x:c r="G1514" t="str">
        <x:v>Spring</x:v>
      </x:c>
      <x:c r="H1514" t="str">
        <x:v>Card</x:v>
      </x:c>
      <x:c r="I1514" t="n">
        <x:v>3.9</x:v>
      </x:c>
      <x:c r="J1514" t="n">
        <x:v>4</x:v>
      </x:c>
      <x:c r="K1514" t="n">
        <x:v>2</x:v>
      </x:c>
      <x:c r="L1514" t="str">
        <x:v>STORE-001</x:v>
      </x:c>
      <x:c r="M1514" s="22" t="n">
        <x:v>45982</x:v>
      </x:c>
      <x:c r="N1514" t="str">
        <x:v>SKU-028</x:v>
      </x:c>
      <x:c r="O1514" t="n">
        <x:v>1</x:v>
      </x:c>
      <x:c r="P1514" s="26" t="n">
        <x:f>F1514/O1514</x:f>
        <x:v>180.55</x:v>
      </x:c>
    </x:row>
    <x:row r="1515">
      <x:c r="A1515" t="n">
        <x:v>1514</x:v>
      </x:c>
      <x:c r="B1515" t="n">
        <x:v>32</x:v>
      </x:c>
      <x:c r="C1515" t="str">
        <x:v>Female</x:v>
      </x:c>
      <x:c r="D1515" t="str">
        <x:v>Womens Clothing</x:v>
      </x:c>
      <x:c r="E1515" t="str">
        <x:v>Skirt</x:v>
      </x:c>
      <x:c r="F1515" s="24" t="n">
        <x:v>156.68</x:v>
      </x:c>
      <x:c r="G1515" t="str">
        <x:v>Autumn</x:v>
      </x:c>
      <x:c r="H1515" t="str">
        <x:v>Card</x:v>
      </x:c>
      <x:c r="I1515" t="n">
        <x:v>4.3</x:v>
      </x:c>
      <x:c r="J1515" t="n">
        <x:v>6</x:v>
      </x:c>
      <x:c r="K1515" t="n">
        <x:v>3</x:v>
      </x:c>
      <x:c r="L1515" t="str">
        <x:v>STORE-001</x:v>
      </x:c>
      <x:c r="M1515" s="22" t="n">
        <x:v>46162</x:v>
      </x:c>
      <x:c r="N1515" t="str">
        <x:v>SKU-022</x:v>
      </x:c>
      <x:c r="O1515" t="n">
        <x:v>2</x:v>
      </x:c>
      <x:c r="P1515" s="26" t="n">
        <x:f>F1515/O1515</x:f>
        <x:v>78.34</x:v>
      </x:c>
    </x:row>
    <x:row r="1516">
      <x:c r="A1516" t="n">
        <x:v>1515</x:v>
      </x:c>
      <x:c r="B1516" t="n">
        <x:v>44</x:v>
      </x:c>
      <x:c r="C1516" t="str">
        <x:v>Male</x:v>
      </x:c>
      <x:c r="D1516" t="str">
        <x:v>Sports</x:v>
      </x:c>
      <x:c r="E1516" t="str">
        <x:v>Yoga Mat</x:v>
      </x:c>
      <x:c r="F1516" s="24" t="n">
        <x:v>187.98</x:v>
      </x:c>
      <x:c r="G1516" t="str">
        <x:v>Winter</x:v>
      </x:c>
      <x:c r="H1516" t="str">
        <x:v>Card</x:v>
      </x:c>
      <x:c r="I1516" t="n">
        <x:v>3.6</x:v>
      </x:c>
      <x:c r="J1516" t="n">
        <x:v>19</x:v>
      </x:c>
      <x:c r="K1516" t="n">
        <x:v>7</x:v>
      </x:c>
      <x:c r="L1516" t="str">
        <x:v>STORE-001</x:v>
      </x:c>
      <x:c r="M1516" s="22" t="n">
        <x:v>46242</x:v>
      </x:c>
      <x:c r="N1516" t="str">
        <x:v>SKU-030</x:v>
      </x:c>
      <x:c r="O1516" t="n">
        <x:v>1</x:v>
      </x:c>
      <x:c r="P1516" s="26" t="n">
        <x:f>F1516/O1516</x:f>
        <x:v>187.98</x:v>
      </x:c>
    </x:row>
    <x:row r="1517">
      <x:c r="A1517" t="n">
        <x:v>1516</x:v>
      </x:c>
      <x:c r="B1517" t="n">
        <x:v>31</x:v>
      </x:c>
      <x:c r="C1517" t="str">
        <x:v>Female</x:v>
      </x:c>
      <x:c r="D1517" t="str">
        <x:v>Beauty</x:v>
      </x:c>
      <x:c r="E1517" t="str">
        <x:v>Perfume</x:v>
      </x:c>
      <x:c r="F1517" s="24" t="n">
        <x:v>117.64</x:v>
      </x:c>
      <x:c r="G1517" t="str">
        <x:v>Winter</x:v>
      </x:c>
      <x:c r="H1517" t="str">
        <x:v>Card</x:v>
      </x:c>
      <x:c r="I1517" t="n">
        <x:v>3.8</x:v>
      </x:c>
      <x:c r="J1517" t="n">
        <x:v>21</x:v>
      </x:c>
      <x:c r="K1517" t="n">
        <x:v>8</x:v>
      </x:c>
      <x:c r="L1517" t="str">
        <x:v>STORE-001</x:v>
      </x:c>
      <x:c r="M1517" s="22" t="n">
        <x:v>46208</x:v>
      </x:c>
      <x:c r="N1517" t="str">
        <x:v>SKU-017</x:v>
      </x:c>
      <x:c r="O1517" t="n">
        <x:v>1</x:v>
      </x:c>
      <x:c r="P1517" s="26" t="n">
        <x:f>F1517/O1517</x:f>
        <x:v>117.64</x:v>
      </x:c>
    </x:row>
    <x:row r="1518">
      <x:c r="A1518" t="n">
        <x:v>1517</x:v>
      </x:c>
      <x:c r="B1518" t="n">
        <x:v>46</x:v>
      </x:c>
      <x:c r="C1518" t="str">
        <x:v>Male</x:v>
      </x:c>
      <x:c r="D1518" t="str">
        <x:v>Sports</x:v>
      </x:c>
      <x:c r="E1518" t="str">
        <x:v>Dumbbells</x:v>
      </x:c>
      <x:c r="F1518" s="24" t="n">
        <x:v>153.87</x:v>
      </x:c>
      <x:c r="G1518" t="str">
        <x:v>Winter</x:v>
      </x:c>
      <x:c r="H1518" t="str">
        <x:v>Card</x:v>
      </x:c>
      <x:c r="I1518" t="n">
        <x:v>4.3</x:v>
      </x:c>
      <x:c r="J1518" t="n">
        <x:v>12</x:v>
      </x:c>
      <x:c r="K1518" t="n">
        <x:v>6</x:v>
      </x:c>
      <x:c r="L1518" t="str">
        <x:v>STORE-001</x:v>
      </x:c>
      <x:c r="M1518" s="22" t="n">
        <x:v>46180</x:v>
      </x:c>
      <x:c r="N1518" t="str">
        <x:v>SKU-005</x:v>
      </x:c>
      <x:c r="O1518" t="n">
        <x:v>1</x:v>
      </x:c>
      <x:c r="P1518" s="26" t="n">
        <x:f>F1518/O1518</x:f>
        <x:v>153.87</x:v>
      </x:c>
    </x:row>
    <x:row r="1519">
      <x:c r="A1519" t="n">
        <x:v>1518</x:v>
      </x:c>
      <x:c r="B1519" t="n">
        <x:v>23</x:v>
      </x:c>
      <x:c r="C1519" t="str">
        <x:v>Female</x:v>
      </x:c>
      <x:c r="D1519" t="str">
        <x:v>Sports</x:v>
      </x:c>
      <x:c r="E1519" t="str">
        <x:v>Dumbbells</x:v>
      </x:c>
      <x:c r="F1519" s="24" t="n">
        <x:v>42.64</x:v>
      </x:c>
      <x:c r="G1519" t="str">
        <x:v>Spring</x:v>
      </x:c>
      <x:c r="H1519" t="str">
        <x:v>Card</x:v>
      </x:c>
      <x:c r="I1519" t="n">
        <x:v>3.4</x:v>
      </x:c>
      <x:c r="J1519" t="n">
        <x:v>4</x:v>
      </x:c>
      <x:c r="K1519" t="n">
        <x:v>2</x:v>
      </x:c>
      <x:c r="L1519" t="str">
        <x:v>STORE-001</x:v>
      </x:c>
      <x:c r="M1519" s="22" t="n">
        <x:v>45974</x:v>
      </x:c>
      <x:c r="N1519" t="str">
        <x:v>SKU-005</x:v>
      </x:c>
      <x:c r="O1519" t="n">
        <x:v>1</x:v>
      </x:c>
      <x:c r="P1519" s="26" t="n">
        <x:f>F1519/O1519</x:f>
        <x:v>42.64</x:v>
      </x:c>
    </x:row>
    <x:row r="1520">
      <x:c r="A1520" t="n">
        <x:v>1519</x:v>
      </x:c>
      <x:c r="B1520" t="n">
        <x:v>31</x:v>
      </x:c>
      <x:c r="C1520" t="str">
        <x:v>Male</x:v>
      </x:c>
      <x:c r="D1520" t="str">
        <x:v>Electronics</x:v>
      </x:c>
      <x:c r="E1520" t="str">
        <x:v>Smart Watch</x:v>
      </x:c>
      <x:c r="F1520" s="24" t="n">
        <x:v>2438.54</x:v>
      </x:c>
      <x:c r="G1520" t="str">
        <x:v>Summer</x:v>
      </x:c>
      <x:c r="H1520" t="str">
        <x:v>Card</x:v>
      </x:c>
      <x:c r="I1520" t="n">
        <x:v>4.5</x:v>
      </x:c>
      <x:c r="J1520" t="n">
        <x:v>8</x:v>
      </x:c>
      <x:c r="K1520" t="n">
        <x:v>4</x:v>
      </x:c>
      <x:c r="L1520" t="str">
        <x:v>STORE-001</x:v>
      </x:c>
      <x:c r="M1520" s="22" t="n">
        <x:v>46007</x:v>
      </x:c>
      <x:c r="N1520" t="str">
        <x:v>SKU-023</x:v>
      </x:c>
      <x:c r="O1520" t="n">
        <x:v>1</x:v>
      </x:c>
      <x:c r="P1520" s="26" t="n">
        <x:f>F1520/O1520</x:f>
        <x:v>2438.54</x:v>
      </x:c>
    </x:row>
    <x:row r="1521">
      <x:c r="A1521" t="n">
        <x:v>1520</x:v>
      </x:c>
      <x:c r="B1521" t="n">
        <x:v>47</x:v>
      </x:c>
      <x:c r="C1521" t="str">
        <x:v>Male</x:v>
      </x:c>
      <x:c r="D1521" t="str">
        <x:v>Footwear</x:v>
      </x:c>
      <x:c r="E1521" t="str">
        <x:v>Sandals</x:v>
      </x:c>
      <x:c r="F1521" s="24" t="n">
        <x:v>135.83</x:v>
      </x:c>
      <x:c r="G1521" t="str">
        <x:v>Winter</x:v>
      </x:c>
      <x:c r="H1521" t="str">
        <x:v>Card</x:v>
      </x:c>
      <x:c r="I1521" t="n">
        <x:v>4.6</x:v>
      </x:c>
      <x:c r="J1521" t="n">
        <x:v>17</x:v>
      </x:c>
      <x:c r="K1521" t="n">
        <x:v>6</x:v>
      </x:c>
      <x:c r="L1521" t="str">
        <x:v>STORE-001</x:v>
      </x:c>
      <x:c r="M1521" s="22" t="n">
        <x:v>46176</x:v>
      </x:c>
      <x:c r="N1521" t="str">
        <x:v>SKU-019</x:v>
      </x:c>
      <x:c r="O1521" t="n">
        <x:v>1</x:v>
      </x:c>
      <x:c r="P1521" s="26" t="n">
        <x:f>F1521/O1521</x:f>
        <x:v>135.83</x:v>
      </x:c>
    </x:row>
    <x:row r="1522">
      <x:c r="A1522" t="n">
        <x:v>1521</x:v>
      </x:c>
      <x:c r="B1522" t="n">
        <x:v>43</x:v>
      </x:c>
      <x:c r="C1522" t="str">
        <x:v>Male</x:v>
      </x:c>
      <x:c r="D1522" t="str">
        <x:v>Footwear</x:v>
      </x:c>
      <x:c r="E1522" t="str">
        <x:v>Sandals</x:v>
      </x:c>
      <x:c r="F1522" s="24" t="n">
        <x:v>160.25</x:v>
      </x:c>
      <x:c r="G1522" t="str">
        <x:v>Winter</x:v>
      </x:c>
      <x:c r="H1522" t="str">
        <x:v>Card</x:v>
      </x:c>
      <x:c r="I1522" t="n">
        <x:v>4.8</x:v>
      </x:c>
      <x:c r="J1522" t="n">
        <x:v>28</x:v>
      </x:c>
      <x:c r="K1522" t="n">
        <x:v>9</x:v>
      </x:c>
      <x:c r="L1522" t="str">
        <x:v>STORE-001</x:v>
      </x:c>
      <x:c r="M1522" s="22" t="n">
        <x:v>46219</x:v>
      </x:c>
      <x:c r="N1522" t="str">
        <x:v>SKU-019</x:v>
      </x:c>
      <x:c r="O1522" t="n">
        <x:v>1</x:v>
      </x:c>
      <x:c r="P1522" s="26" t="n">
        <x:f>F1522/O1522</x:f>
        <x:v>160.25</x:v>
      </x:c>
    </x:row>
    <x:row r="1523">
      <x:c r="A1523" t="n">
        <x:v>1522</x:v>
      </x:c>
      <x:c r="B1523" t="n">
        <x:v>27</x:v>
      </x:c>
      <x:c r="C1523" t="str">
        <x:v>Female</x:v>
      </x:c>
      <x:c r="D1523" t="str">
        <x:v>Beauty</x:v>
      </x:c>
      <x:c r="E1523" t="str">
        <x:v>Makeup Set</x:v>
      </x:c>
      <x:c r="F1523" s="24" t="n">
        <x:v>68.53</x:v>
      </x:c>
      <x:c r="G1523" t="str">
        <x:v>Spring</x:v>
      </x:c>
      <x:c r="H1523" t="str">
        <x:v>Card</x:v>
      </x:c>
      <x:c r="I1523" t="n">
        <x:v>3.7</x:v>
      </x:c>
      <x:c r="J1523" t="n">
        <x:v>17</x:v>
      </x:c>
      <x:c r="K1523" t="n">
        <x:v>6</x:v>
      </x:c>
      <x:c r="L1523" t="str">
        <x:v>STORE-001</x:v>
      </x:c>
      <x:c r="M1523" s="22" t="n">
        <x:v>46274</x:v>
      </x:c>
      <x:c r="N1523" t="str">
        <x:v>SKU-015</x:v>
      </x:c>
      <x:c r="O1523" t="n">
        <x:v>1</x:v>
      </x:c>
      <x:c r="P1523" s="26" t="n">
        <x:f>F1523/O1523</x:f>
        <x:v>68.53</x:v>
      </x:c>
    </x:row>
    <x:row r="1524">
      <x:c r="A1524" t="n">
        <x:v>1523</x:v>
      </x:c>
      <x:c r="B1524" t="n">
        <x:v>37</x:v>
      </x:c>
      <x:c r="C1524" t="str">
        <x:v>Female</x:v>
      </x:c>
      <x:c r="D1524" t="str">
        <x:v>Womens Clothing</x:v>
      </x:c>
      <x:c r="E1524" t="str">
        <x:v>Skirt</x:v>
      </x:c>
      <x:c r="F1524" s="24" t="n">
        <x:v>64.5</x:v>
      </x:c>
      <x:c r="G1524" t="str">
        <x:v>Autumn</x:v>
      </x:c>
      <x:c r="H1524" t="str">
        <x:v>Cash on Delivery</x:v>
      </x:c>
      <x:c r="I1524" t="n">
        <x:v>4</x:v>
      </x:c>
      <x:c r="J1524" t="n">
        <x:v>6</x:v>
      </x:c>
      <x:c r="K1524" t="n">
        <x:v>3</x:v>
      </x:c>
      <x:c r="L1524" t="str">
        <x:v>STORE-001</x:v>
      </x:c>
      <x:c r="M1524" s="22" t="n">
        <x:v>46097</x:v>
      </x:c>
      <x:c r="N1524" t="str">
        <x:v>SKU-022</x:v>
      </x:c>
      <x:c r="O1524" t="n">
        <x:v>2</x:v>
      </x:c>
      <x:c r="P1524" s="26" t="n">
        <x:f>F1524/O1524</x:f>
        <x:v>32.25</x:v>
      </x:c>
    </x:row>
    <x:row r="1525">
      <x:c r="A1525" t="n">
        <x:v>1524</x:v>
      </x:c>
      <x:c r="B1525" t="n">
        <x:v>57</x:v>
      </x:c>
      <x:c r="C1525" t="str">
        <x:v>Female</x:v>
      </x:c>
      <x:c r="D1525" t="str">
        <x:v>Sports</x:v>
      </x:c>
      <x:c r="E1525" t="str">
        <x:v>Dumbbells</x:v>
      </x:c>
      <x:c r="F1525" s="24" t="n">
        <x:v>213.01</x:v>
      </x:c>
      <x:c r="G1525" t="str">
        <x:v>Winter</x:v>
      </x:c>
      <x:c r="H1525" t="str">
        <x:v>Card</x:v>
      </x:c>
      <x:c r="I1525" t="n">
        <x:v>4.3</x:v>
      </x:c>
      <x:c r="J1525" t="n">
        <x:v>9</x:v>
      </x:c>
      <x:c r="K1525" t="n">
        <x:v>2</x:v>
      </x:c>
      <x:c r="L1525" t="str">
        <x:v>STORE-001</x:v>
      </x:c>
      <x:c r="M1525" s="22" t="n">
        <x:v>46195</x:v>
      </x:c>
      <x:c r="N1525" t="str">
        <x:v>SKU-005</x:v>
      </x:c>
      <x:c r="O1525" t="n">
        <x:v>1</x:v>
      </x:c>
      <x:c r="P1525" s="26" t="n">
        <x:f>F1525/O1525</x:f>
        <x:v>213.01</x:v>
      </x:c>
    </x:row>
    <x:row r="1526">
      <x:c r="A1526" t="n">
        <x:v>1525</x:v>
      </x:c>
      <x:c r="B1526" t="n">
        <x:v>44</x:v>
      </x:c>
      <x:c r="C1526" t="str">
        <x:v>Male</x:v>
      </x:c>
      <x:c r="D1526" t="str">
        <x:v>Footwear</x:v>
      </x:c>
      <x:c r="E1526" t="str">
        <x:v>Sneakers</x:v>
      </x:c>
      <x:c r="F1526" s="24" t="n">
        <x:v>175.76</x:v>
      </x:c>
      <x:c r="G1526" t="str">
        <x:v>Spring</x:v>
      </x:c>
      <x:c r="H1526" t="str">
        <x:v>Card</x:v>
      </x:c>
      <x:c r="I1526" t="n">
        <x:v>4.7</x:v>
      </x:c>
      <x:c r="J1526" t="n">
        <x:v>21</x:v>
      </x:c>
      <x:c r="K1526" t="n">
        <x:v>8</x:v>
      </x:c>
      <x:c r="L1526" t="str">
        <x:v>STORE-001</x:v>
      </x:c>
      <x:c r="M1526" s="22" t="n">
        <x:v>45941</x:v>
      </x:c>
      <x:c r="N1526" t="str">
        <x:v>SKU-025</x:v>
      </x:c>
      <x:c r="O1526" t="n">
        <x:v>1</x:v>
      </x:c>
      <x:c r="P1526" s="26" t="n">
        <x:f>F1526/O1526</x:f>
        <x:v>175.76</x:v>
      </x:c>
    </x:row>
    <x:row r="1527">
      <x:c r="A1527" t="n">
        <x:v>1526</x:v>
      </x:c>
      <x:c r="B1527" t="n">
        <x:v>51</x:v>
      </x:c>
      <x:c r="C1527" t="str">
        <x:v>Male</x:v>
      </x:c>
      <x:c r="D1527" t="str">
        <x:v>Footwear</x:v>
      </x:c>
      <x:c r="E1527" t="str">
        <x:v>Formal Shoes</x:v>
      </x:c>
      <x:c r="F1527" s="24" t="n">
        <x:v>136.07</x:v>
      </x:c>
      <x:c r="G1527" t="str">
        <x:v>Spring</x:v>
      </x:c>
      <x:c r="H1527" t="str">
        <x:v>Card</x:v>
      </x:c>
      <x:c r="I1527" t="n">
        <x:v>4.3</x:v>
      </x:c>
      <x:c r="J1527" t="n">
        <x:v>26</x:v>
      </x:c>
      <x:c r="K1527" t="n">
        <x:v>8</x:v>
      </x:c>
      <x:c r="L1527" t="str">
        <x:v>STORE-001</x:v>
      </x:c>
      <x:c r="M1527" s="22" t="n">
        <x:v>46282</x:v>
      </x:c>
      <x:c r="N1527" t="str">
        <x:v>SKU-007</x:v>
      </x:c>
      <x:c r="O1527" t="n">
        <x:v>1</x:v>
      </x:c>
      <x:c r="P1527" s="26" t="n">
        <x:f>F1527/O1527</x:f>
        <x:v>136.07</x:v>
      </x:c>
    </x:row>
    <x:row r="1528">
      <x:c r="A1528" t="n">
        <x:v>1527</x:v>
      </x:c>
      <x:c r="B1528" t="n">
        <x:v>66</x:v>
      </x:c>
      <x:c r="C1528" t="str">
        <x:v>Male</x:v>
      </x:c>
      <x:c r="D1528" t="str">
        <x:v>Electronics</x:v>
      </x:c>
      <x:c r="E1528" t="str">
        <x:v>Headphones</x:v>
      </x:c>
      <x:c r="F1528" s="24" t="n">
        <x:v>632.68</x:v>
      </x:c>
      <x:c r="G1528" t="str">
        <x:v>Winter</x:v>
      </x:c>
      <x:c r="H1528" t="str">
        <x:v>Card</x:v>
      </x:c>
      <x:c r="I1528" t="n">
        <x:v>5</x:v>
      </x:c>
      <x:c r="J1528" t="n">
        <x:v>24</x:v>
      </x:c>
      <x:c r="K1528" t="n">
        <x:v>7</x:v>
      </x:c>
      <x:c r="L1528" t="str">
        <x:v>STORE-001</x:v>
      </x:c>
      <x:c r="M1528" s="22" t="n">
        <x:v>46201</x:v>
      </x:c>
      <x:c r="N1528" t="str">
        <x:v>SKU-009</x:v>
      </x:c>
      <x:c r="O1528" t="n">
        <x:v>1</x:v>
      </x:c>
      <x:c r="P1528" s="26" t="n">
        <x:f>F1528/O1528</x:f>
        <x:v>632.68</x:v>
      </x:c>
    </x:row>
    <x:row r="1529">
      <x:c r="A1529" t="n">
        <x:v>1528</x:v>
      </x:c>
      <x:c r="B1529" t="n">
        <x:v>68</x:v>
      </x:c>
      <x:c r="C1529" t="str">
        <x:v>Male</x:v>
      </x:c>
      <x:c r="D1529" t="str">
        <x:v>Sports</x:v>
      </x:c>
      <x:c r="E1529" t="str">
        <x:v>Football</x:v>
      </x:c>
      <x:c r="F1529" s="24" t="n">
        <x:v>213.91</x:v>
      </x:c>
      <x:c r="G1529" t="str">
        <x:v>Summer</x:v>
      </x:c>
      <x:c r="H1529" t="str">
        <x:v>Card</x:v>
      </x:c>
      <x:c r="I1529" t="n">
        <x:v>3.3</x:v>
      </x:c>
      <x:c r="J1529" t="n">
        <x:v>4</x:v>
      </x:c>
      <x:c r="K1529" t="n">
        <x:v>2</x:v>
      </x:c>
      <x:c r="L1529" t="str">
        <x:v>STORE-001</x:v>
      </x:c>
      <x:c r="M1529" s="22" t="n">
        <x:v>46062</x:v>
      </x:c>
      <x:c r="N1529" t="str">
        <x:v>SKU-006</x:v>
      </x:c>
      <x:c r="O1529" t="n">
        <x:v>3</x:v>
      </x:c>
      <x:c r="P1529" s="26" t="n">
        <x:f>F1529/O1529</x:f>
        <x:v>71.30333333333333</x:v>
      </x:c>
    </x:row>
    <x:row r="1530">
      <x:c r="A1530" t="n">
        <x:v>1529</x:v>
      </x:c>
      <x:c r="B1530" t="n">
        <x:v>52</x:v>
      </x:c>
      <x:c r="C1530" t="str">
        <x:v>Male</x:v>
      </x:c>
      <x:c r="D1530" t="str">
        <x:v>Electronics</x:v>
      </x:c>
      <x:c r="E1530" t="str">
        <x:v>Mobile Phone</x:v>
      </x:c>
      <x:c r="F1530" s="24" t="n">
        <x:v>631.19</x:v>
      </x:c>
      <x:c r="G1530" t="str">
        <x:v>Summer</x:v>
      </x:c>
      <x:c r="H1530" t="str">
        <x:v>Card</x:v>
      </x:c>
      <x:c r="I1530" t="n">
        <x:v>4.7</x:v>
      </x:c>
      <x:c r="J1530" t="n">
        <x:v>17</x:v>
      </x:c>
      <x:c r="K1530" t="n">
        <x:v>6</x:v>
      </x:c>
      <x:c r="L1530" t="str">
        <x:v>STORE-001</x:v>
      </x:c>
      <x:c r="M1530" s="22" t="n">
        <x:v>46061</x:v>
      </x:c>
      <x:c r="N1530" t="str">
        <x:v>SKU-016</x:v>
      </x:c>
      <x:c r="O1530" t="n">
        <x:v>1</x:v>
      </x:c>
      <x:c r="P1530" s="26" t="n">
        <x:f>F1530/O1530</x:f>
        <x:v>631.19</x:v>
      </x:c>
    </x:row>
    <x:row r="1531">
      <x:c r="A1531" t="n">
        <x:v>1530</x:v>
      </x:c>
      <x:c r="B1531" t="n">
        <x:v>30</x:v>
      </x:c>
      <x:c r="C1531" t="str">
        <x:v>Female</x:v>
      </x:c>
      <x:c r="D1531" t="str">
        <x:v>Footwear</x:v>
      </x:c>
      <x:c r="E1531" t="str">
        <x:v>Sandals</x:v>
      </x:c>
      <x:c r="F1531" s="24" t="n">
        <x:v>122.86</x:v>
      </x:c>
      <x:c r="G1531" t="str">
        <x:v>Winter</x:v>
      </x:c>
      <x:c r="H1531" t="str">
        <x:v>Card</x:v>
      </x:c>
      <x:c r="I1531" t="n">
        <x:v>2.9</x:v>
      </x:c>
      <x:c r="J1531" t="n">
        <x:v>10</x:v>
      </x:c>
      <x:c r="K1531" t="n">
        <x:v>5</x:v>
      </x:c>
      <x:c r="L1531" t="str">
        <x:v>STORE-001</x:v>
      </x:c>
      <x:c r="M1531" s="22" t="n">
        <x:v>46209</x:v>
      </x:c>
      <x:c r="N1531" t="str">
        <x:v>SKU-019</x:v>
      </x:c>
      <x:c r="O1531" t="n">
        <x:v>1</x:v>
      </x:c>
      <x:c r="P1531" s="26" t="n">
        <x:f>F1531/O1531</x:f>
        <x:v>122.86</x:v>
      </x:c>
    </x:row>
    <x:row r="1532">
      <x:c r="A1532" t="n">
        <x:v>1531</x:v>
      </x:c>
      <x:c r="B1532" t="n">
        <x:v>50</x:v>
      </x:c>
      <x:c r="C1532" t="str">
        <x:v>Female</x:v>
      </x:c>
      <x:c r="D1532" t="str">
        <x:v>Womens Clothing</x:v>
      </x:c>
      <x:c r="E1532" t="str">
        <x:v>Skirt</x:v>
      </x:c>
      <x:c r="F1532" s="24" t="n">
        <x:v>146.57</x:v>
      </x:c>
      <x:c r="G1532" t="str">
        <x:v>Autumn</x:v>
      </x:c>
      <x:c r="H1532" t="str">
        <x:v>Card</x:v>
      </x:c>
      <x:c r="I1532" t="n">
        <x:v>3.3</x:v>
      </x:c>
      <x:c r="J1532" t="n">
        <x:v>17</x:v>
      </x:c>
      <x:c r="K1532" t="n">
        <x:v>6</x:v>
      </x:c>
      <x:c r="L1532" t="str">
        <x:v>STORE-001</x:v>
      </x:c>
      <x:c r="M1532" s="22" t="n">
        <x:v>46155</x:v>
      </x:c>
      <x:c r="N1532" t="str">
        <x:v>SKU-022</x:v>
      </x:c>
      <x:c r="O1532" t="n">
        <x:v>2</x:v>
      </x:c>
      <x:c r="P1532" s="26" t="n">
        <x:f>F1532/O1532</x:f>
        <x:v>73.285</x:v>
      </x:c>
    </x:row>
    <x:row r="1533">
      <x:c r="A1533" t="n">
        <x:v>1532</x:v>
      </x:c>
      <x:c r="B1533" t="n">
        <x:v>58</x:v>
      </x:c>
      <x:c r="C1533" t="str">
        <x:v>Male</x:v>
      </x:c>
      <x:c r="D1533" t="str">
        <x:v>Home</x:v>
      </x:c>
      <x:c r="E1533" t="str">
        <x:v>Lamp</x:v>
      </x:c>
      <x:c r="F1533" s="24" t="n">
        <x:v>171.7</x:v>
      </x:c>
      <x:c r="G1533" t="str">
        <x:v>Winter</x:v>
      </x:c>
      <x:c r="H1533" t="str">
        <x:v>Card</x:v>
      </x:c>
      <x:c r="I1533" t="n">
        <x:v>3.7</x:v>
      </x:c>
      <x:c r="J1533" t="n">
        <x:v>12</x:v>
      </x:c>
      <x:c r="K1533" t="n">
        <x:v>6</x:v>
      </x:c>
      <x:c r="L1533" t="str">
        <x:v>STORE-001</x:v>
      </x:c>
      <x:c r="M1533" s="22" t="n">
        <x:v>46256</x:v>
      </x:c>
      <x:c r="N1533" t="str">
        <x:v>SKU-013</x:v>
      </x:c>
      <x:c r="O1533" t="n">
        <x:v>1</x:v>
      </x:c>
      <x:c r="P1533" s="26" t="n">
        <x:f>F1533/O1533</x:f>
        <x:v>171.7</x:v>
      </x:c>
    </x:row>
    <x:row r="1534">
      <x:c r="A1534" t="n">
        <x:v>1533</x:v>
      </x:c>
      <x:c r="B1534" t="n">
        <x:v>36</x:v>
      </x:c>
      <x:c r="C1534" t="str">
        <x:v>Male</x:v>
      </x:c>
      <x:c r="D1534" t="str">
        <x:v>Electronics</x:v>
      </x:c>
      <x:c r="E1534" t="str">
        <x:v>Smart Watch</x:v>
      </x:c>
      <x:c r="F1534" s="24" t="n">
        <x:v>1385.6</x:v>
      </x:c>
      <x:c r="G1534" t="str">
        <x:v>Spring</x:v>
      </x:c>
      <x:c r="H1534" t="str">
        <x:v>Card</x:v>
      </x:c>
      <x:c r="I1534" t="n">
        <x:v>3.4</x:v>
      </x:c>
      <x:c r="J1534" t="n">
        <x:v>8</x:v>
      </x:c>
      <x:c r="K1534" t="n">
        <x:v>4</x:v>
      </x:c>
      <x:c r="L1534" t="str">
        <x:v>STORE-001</x:v>
      </x:c>
      <x:c r="M1534" s="22" t="n">
        <x:v>46290</x:v>
      </x:c>
      <x:c r="N1534" t="str">
        <x:v>SKU-023</x:v>
      </x:c>
      <x:c r="O1534" t="n">
        <x:v>1</x:v>
      </x:c>
      <x:c r="P1534" s="26" t="n">
        <x:f>F1534/O1534</x:f>
        <x:v>1385.6</x:v>
      </x:c>
    </x:row>
    <x:row r="1535">
      <x:c r="A1535" t="n">
        <x:v>1534</x:v>
      </x:c>
      <x:c r="B1535" t="n">
        <x:v>38</x:v>
      </x:c>
      <x:c r="C1535" t="str">
        <x:v>Male</x:v>
      </x:c>
      <x:c r="D1535" t="str">
        <x:v>Mens Clothing</x:v>
      </x:c>
      <x:c r="E1535" t="str">
        <x:v>Jeans</x:v>
      </x:c>
      <x:c r="F1535" s="24" t="n">
        <x:v>91</x:v>
      </x:c>
      <x:c r="G1535" t="str">
        <x:v>Spring</x:v>
      </x:c>
      <x:c r="H1535" t="str">
        <x:v>Cash on Delivery</x:v>
      </x:c>
      <x:c r="I1535" t="n">
        <x:v>4.2</x:v>
      </x:c>
      <x:c r="J1535" t="n">
        <x:v>14</x:v>
      </x:c>
      <x:c r="K1535" t="n">
        <x:v>7</x:v>
      </x:c>
      <x:c r="L1535" t="str">
        <x:v>STORE-001</x:v>
      </x:c>
      <x:c r="M1535" s="22" t="n">
        <x:v>45954</x:v>
      </x:c>
      <x:c r="N1535" t="str">
        <x:v>SKU-011</x:v>
      </x:c>
      <x:c r="O1535" t="n">
        <x:v>1</x:v>
      </x:c>
      <x:c r="P1535" s="26" t="n">
        <x:f>F1535/O1535</x:f>
        <x:v>91</x:v>
      </x:c>
    </x:row>
    <x:row r="1536">
      <x:c r="A1536" t="n">
        <x:v>1535</x:v>
      </x:c>
      <x:c r="B1536" t="n">
        <x:v>23</x:v>
      </x:c>
      <x:c r="C1536" t="str">
        <x:v>Male</x:v>
      </x:c>
      <x:c r="D1536" t="str">
        <x:v>Footwear</x:v>
      </x:c>
      <x:c r="E1536" t="str">
        <x:v>Sneakers</x:v>
      </x:c>
      <x:c r="F1536" s="24" t="n">
        <x:v>191.42</x:v>
      </x:c>
      <x:c r="G1536" t="str">
        <x:v>Winter</x:v>
      </x:c>
      <x:c r="H1536" t="str">
        <x:v>Card</x:v>
      </x:c>
      <x:c r="I1536" t="n">
        <x:v>3.9</x:v>
      </x:c>
      <x:c r="J1536" t="n">
        <x:v>18</x:v>
      </x:c>
      <x:c r="K1536" t="n">
        <x:v>4</x:v>
      </x:c>
      <x:c r="L1536" t="str">
        <x:v>STORE-001</x:v>
      </x:c>
      <x:c r="M1536" s="22" t="n">
        <x:v>46175</x:v>
      </x:c>
      <x:c r="N1536" t="str">
        <x:v>SKU-025</x:v>
      </x:c>
      <x:c r="O1536" t="n">
        <x:v>1</x:v>
      </x:c>
      <x:c r="P1536" s="26" t="n">
        <x:f>F1536/O1536</x:f>
        <x:v>191.42</x:v>
      </x:c>
    </x:row>
    <x:row r="1537">
      <x:c r="A1537" t="n">
        <x:v>1536</x:v>
      </x:c>
      <x:c r="B1537" t="n">
        <x:v>56</x:v>
      </x:c>
      <x:c r="C1537" t="str">
        <x:v>Female</x:v>
      </x:c>
      <x:c r="D1537" t="str">
        <x:v>Accessories</x:v>
      </x:c>
      <x:c r="E1537" t="str">
        <x:v>Handbag</x:v>
      </x:c>
      <x:c r="F1537" s="24" t="n">
        <x:v>114.28</x:v>
      </x:c>
      <x:c r="G1537" t="str">
        <x:v>Summer</x:v>
      </x:c>
      <x:c r="H1537" t="str">
        <x:v>Card</x:v>
      </x:c>
      <x:c r="I1537" t="n">
        <x:v>4</x:v>
      </x:c>
      <x:c r="J1537" t="n">
        <x:v>20</x:v>
      </x:c>
      <x:c r="K1537" t="n">
        <x:v>5</x:v>
      </x:c>
      <x:c r="L1537" t="str">
        <x:v>STORE-001</x:v>
      </x:c>
      <x:c r="M1537" s="22" t="n">
        <x:v>46056</x:v>
      </x:c>
      <x:c r="N1537" t="str">
        <x:v>SKU-008</x:v>
      </x:c>
      <x:c r="O1537" t="n">
        <x:v>1</x:v>
      </x:c>
      <x:c r="P1537" s="26" t="n">
        <x:f>F1537/O1537</x:f>
        <x:v>114.28</x:v>
      </x:c>
    </x:row>
    <x:row r="1538">
      <x:c r="A1538" t="n">
        <x:v>1537</x:v>
      </x:c>
      <x:c r="B1538" t="n">
        <x:v>46</x:v>
      </x:c>
      <x:c r="C1538" t="str">
        <x:v>Male</x:v>
      </x:c>
      <x:c r="D1538" t="str">
        <x:v>Groceries</x:v>
      </x:c>
      <x:c r="E1538" t="str">
        <x:v>Snacks</x:v>
      </x:c>
      <x:c r="F1538" s="24" t="n">
        <x:v>48.42</x:v>
      </x:c>
      <x:c r="G1538" t="str">
        <x:v>Summer</x:v>
      </x:c>
      <x:c r="H1538" t="str">
        <x:v>Card</x:v>
      </x:c>
      <x:c r="I1538" t="n">
        <x:v>3.7</x:v>
      </x:c>
      <x:c r="J1538" t="n">
        <x:v>19</x:v>
      </x:c>
      <x:c r="K1538" t="n">
        <x:v>7</x:v>
      </x:c>
      <x:c r="L1538" t="str">
        <x:v>STORE-001</x:v>
      </x:c>
      <x:c r="M1538" s="22" t="n">
        <x:v>46060</x:v>
      </x:c>
      <x:c r="N1538" t="str">
        <x:v>SKU-024</x:v>
      </x:c>
      <x:c r="O1538" t="n">
        <x:v>1</x:v>
      </x:c>
      <x:c r="P1538" s="26" t="n">
        <x:f>F1538/O1538</x:f>
        <x:v>48.42</x:v>
      </x:c>
    </x:row>
    <x:row r="1539">
      <x:c r="A1539" t="n">
        <x:v>1538</x:v>
      </x:c>
      <x:c r="B1539" t="n">
        <x:v>48</x:v>
      </x:c>
      <x:c r="C1539" t="str">
        <x:v>Male</x:v>
      </x:c>
      <x:c r="D1539" t="str">
        <x:v>Footwear</x:v>
      </x:c>
      <x:c r="E1539" t="str">
        <x:v>Sneakers</x:v>
      </x:c>
      <x:c r="F1539" s="24" t="n">
        <x:v>84.31</x:v>
      </x:c>
      <x:c r="G1539" t="str">
        <x:v>Spring</x:v>
      </x:c>
      <x:c r="H1539" t="str">
        <x:v>Cash on Delivery</x:v>
      </x:c>
      <x:c r="I1539" t="n">
        <x:v>4.5</x:v>
      </x:c>
      <x:c r="J1539" t="n">
        <x:v>10</x:v>
      </x:c>
      <x:c r="K1539" t="n">
        <x:v>0</x:v>
      </x:c>
      <x:c r="L1539" t="str">
        <x:v>STORE-001</x:v>
      </x:c>
      <x:c r="M1539" s="22" t="n">
        <x:v>46267</x:v>
      </x:c>
      <x:c r="N1539" t="str">
        <x:v>SKU-025</x:v>
      </x:c>
      <x:c r="O1539" t="n">
        <x:v>1</x:v>
      </x:c>
      <x:c r="P1539" s="26" t="n">
        <x:f>F1539/O1539</x:f>
        <x:v>84.31</x:v>
      </x:c>
    </x:row>
    <x:row r="1540">
      <x:c r="A1540" t="n">
        <x:v>1539</x:v>
      </x:c>
      <x:c r="B1540" t="n">
        <x:v>40</x:v>
      </x:c>
      <x:c r="C1540" t="str">
        <x:v>Male</x:v>
      </x:c>
      <x:c r="D1540" t="str">
        <x:v>Footwear</x:v>
      </x:c>
      <x:c r="E1540" t="str">
        <x:v>Sandals</x:v>
      </x:c>
      <x:c r="F1540" s="24" t="n">
        <x:v>73.92</x:v>
      </x:c>
      <x:c r="G1540" t="str">
        <x:v>Spring</x:v>
      </x:c>
      <x:c r="H1540" t="str">
        <x:v>Card</x:v>
      </x:c>
      <x:c r="I1540" t="n">
        <x:v>3.4</x:v>
      </x:c>
      <x:c r="J1540" t="n">
        <x:v>24</x:v>
      </x:c>
      <x:c r="K1540" t="n">
        <x:v>7</x:v>
      </x:c>
      <x:c r="L1540" t="str">
        <x:v>STORE-001</x:v>
      </x:c>
      <x:c r="M1540" s="22" t="n">
        <x:v>46268</x:v>
      </x:c>
      <x:c r="N1540" t="str">
        <x:v>SKU-019</x:v>
      </x:c>
      <x:c r="O1540" t="n">
        <x:v>1</x:v>
      </x:c>
      <x:c r="P1540" s="26" t="n">
        <x:f>F1540/O1540</x:f>
        <x:v>73.92</x:v>
      </x:c>
    </x:row>
    <x:row r="1541">
      <x:c r="A1541" t="n">
        <x:v>1540</x:v>
      </x:c>
      <x:c r="B1541" t="n">
        <x:v>47</x:v>
      </x:c>
      <x:c r="C1541" t="str">
        <x:v>Male</x:v>
      </x:c>
      <x:c r="D1541" t="str">
        <x:v>Footwear</x:v>
      </x:c>
      <x:c r="E1541" t="str">
        <x:v>Sandals</x:v>
      </x:c>
      <x:c r="F1541" s="24" t="n">
        <x:v>67.4</x:v>
      </x:c>
      <x:c r="G1541" t="str">
        <x:v>Summer</x:v>
      </x:c>
      <x:c r="H1541" t="str">
        <x:v>Cash on Delivery</x:v>
      </x:c>
      <x:c r="I1541" t="n">
        <x:v>4.3</x:v>
      </x:c>
      <x:c r="J1541" t="n">
        <x:v>7</x:v>
      </x:c>
      <x:c r="K1541" t="n">
        <x:v>1</x:v>
      </x:c>
      <x:c r="L1541" t="str">
        <x:v>STORE-001</x:v>
      </x:c>
      <x:c r="M1541" s="22" t="n">
        <x:v>46017</x:v>
      </x:c>
      <x:c r="N1541" t="str">
        <x:v>SKU-019</x:v>
      </x:c>
      <x:c r="O1541" t="n">
        <x:v>2</x:v>
      </x:c>
      <x:c r="P1541" s="26" t="n">
        <x:f>F1541/O1541</x:f>
        <x:v>33.7</x:v>
      </x:c>
    </x:row>
    <x:row r="1542">
      <x:c r="A1542" t="n">
        <x:v>1541</x:v>
      </x:c>
      <x:c r="B1542" t="n">
        <x:v>67</x:v>
      </x:c>
      <x:c r="C1542" t="str">
        <x:v>Male</x:v>
      </x:c>
      <x:c r="D1542" t="str">
        <x:v>Home</x:v>
      </x:c>
      <x:c r="E1542" t="str">
        <x:v>Kitchen Set</x:v>
      </x:c>
      <x:c r="F1542" s="24" t="n">
        <x:v>295.09</x:v>
      </x:c>
      <x:c r="G1542" t="str">
        <x:v>Autumn</x:v>
      </x:c>
      <x:c r="H1542" t="str">
        <x:v>Card</x:v>
      </x:c>
      <x:c r="I1542" t="n">
        <x:v>3.6</x:v>
      </x:c>
      <x:c r="J1542" t="n">
        <x:v>4</x:v>
      </x:c>
      <x:c r="K1542" t="n">
        <x:v>2</x:v>
      </x:c>
      <x:c r="L1542" t="str">
        <x:v>STORE-001</x:v>
      </x:c>
      <x:c r="M1542" s="22" t="n">
        <x:v>46141</x:v>
      </x:c>
      <x:c r="N1542" t="str">
        <x:v>SKU-012</x:v>
      </x:c>
      <x:c r="O1542" t="n">
        <x:v>2</x:v>
      </x:c>
      <x:c r="P1542" s="26" t="n">
        <x:f>F1542/O1542</x:f>
        <x:v>147.545</x:v>
      </x:c>
    </x:row>
    <x:row r="1543">
      <x:c r="A1543" t="n">
        <x:v>1542</x:v>
      </x:c>
      <x:c r="B1543" t="n">
        <x:v>30</x:v>
      </x:c>
      <x:c r="C1543" t="str">
        <x:v>Female</x:v>
      </x:c>
      <x:c r="D1543" t="str">
        <x:v>Footwear</x:v>
      </x:c>
      <x:c r="E1543" t="str">
        <x:v>Sneakers</x:v>
      </x:c>
      <x:c r="F1543" s="24" t="n">
        <x:v>121.3</x:v>
      </x:c>
      <x:c r="G1543" t="str">
        <x:v>Spring</x:v>
      </x:c>
      <x:c r="H1543" t="str">
        <x:v>Card</x:v>
      </x:c>
      <x:c r="I1543" t="n">
        <x:v>3.1</x:v>
      </x:c>
      <x:c r="J1543" t="n">
        <x:v>10</x:v>
      </x:c>
      <x:c r="K1543" t="n">
        <x:v>5</x:v>
      </x:c>
      <x:c r="L1543" t="str">
        <x:v>STORE-001</x:v>
      </x:c>
      <x:c r="M1543" s="22" t="n">
        <x:v>46283</x:v>
      </x:c>
      <x:c r="N1543" t="str">
        <x:v>SKU-025</x:v>
      </x:c>
      <x:c r="O1543" t="n">
        <x:v>1</x:v>
      </x:c>
      <x:c r="P1543" s="26" t="n">
        <x:f>F1543/O1543</x:f>
        <x:v>121.3</x:v>
      </x:c>
    </x:row>
    <x:row r="1544">
      <x:c r="A1544" t="n">
        <x:v>1543</x:v>
      </x:c>
      <x:c r="B1544" t="n">
        <x:v>46</x:v>
      </x:c>
      <x:c r="C1544" t="str">
        <x:v>Male</x:v>
      </x:c>
      <x:c r="D1544" t="str">
        <x:v>Electronics</x:v>
      </x:c>
      <x:c r="E1544" t="str">
        <x:v>Headphones</x:v>
      </x:c>
      <x:c r="F1544" s="24" t="n">
        <x:v>2344.03</x:v>
      </x:c>
      <x:c r="G1544" t="str">
        <x:v>Autumn</x:v>
      </x:c>
      <x:c r="H1544" t="str">
        <x:v>Card</x:v>
      </x:c>
      <x:c r="I1544" t="n">
        <x:v>4.8</x:v>
      </x:c>
      <x:c r="J1544" t="n">
        <x:v>17</x:v>
      </x:c>
      <x:c r="K1544" t="n">
        <x:v>6</x:v>
      </x:c>
      <x:c r="L1544" t="str">
        <x:v>STORE-001</x:v>
      </x:c>
      <x:c r="M1544" s="22" t="n">
        <x:v>46099</x:v>
      </x:c>
      <x:c r="N1544" t="str">
        <x:v>SKU-009</x:v>
      </x:c>
      <x:c r="O1544" t="n">
        <x:v>1</x:v>
      </x:c>
      <x:c r="P1544" s="26" t="n">
        <x:f>F1544/O1544</x:f>
        <x:v>2344.03</x:v>
      </x:c>
    </x:row>
    <x:row r="1545">
      <x:c r="A1545" t="n">
        <x:v>1544</x:v>
      </x:c>
      <x:c r="B1545" t="n">
        <x:v>64</x:v>
      </x:c>
      <x:c r="C1545" t="str">
        <x:v>Female</x:v>
      </x:c>
      <x:c r="D1545" t="str">
        <x:v>Beauty</x:v>
      </x:c>
      <x:c r="E1545" t="str">
        <x:v>Makeup Set</x:v>
      </x:c>
      <x:c r="F1545" s="24" t="n">
        <x:v>87.85</x:v>
      </x:c>
      <x:c r="G1545" t="str">
        <x:v>Spring</x:v>
      </x:c>
      <x:c r="H1545" t="str">
        <x:v>Cash on Delivery</x:v>
      </x:c>
      <x:c r="I1545" t="n">
        <x:v>2.1</x:v>
      </x:c>
      <x:c r="J1545" t="n">
        <x:v>16</x:v>
      </x:c>
      <x:c r="K1545" t="n">
        <x:v>8</x:v>
      </x:c>
      <x:c r="L1545" t="str">
        <x:v>STORE-001</x:v>
      </x:c>
      <x:c r="M1545" s="22" t="n">
        <x:v>46267</x:v>
      </x:c>
      <x:c r="N1545" t="str">
        <x:v>SKU-015</x:v>
      </x:c>
      <x:c r="O1545" t="n">
        <x:v>2</x:v>
      </x:c>
      <x:c r="P1545" s="26" t="n">
        <x:f>F1545/O1545</x:f>
        <x:v>43.925</x:v>
      </x:c>
    </x:row>
    <x:row r="1546">
      <x:c r="A1546" t="n">
        <x:v>1545</x:v>
      </x:c>
      <x:c r="B1546" t="n">
        <x:v>50</x:v>
      </x:c>
      <x:c r="C1546" t="str">
        <x:v>Female</x:v>
      </x:c>
      <x:c r="D1546" t="str">
        <x:v>Beauty</x:v>
      </x:c>
      <x:c r="E1546" t="str">
        <x:v>Makeup Set</x:v>
      </x:c>
      <x:c r="F1546" s="24" t="n">
        <x:v>31.22</x:v>
      </x:c>
      <x:c r="G1546" t="str">
        <x:v>Spring</x:v>
      </x:c>
      <x:c r="H1546" t="str">
        <x:v>Card</x:v>
      </x:c>
      <x:c r="I1546" t="n">
        <x:v>3.8</x:v>
      </x:c>
      <x:c r="J1546" t="n">
        <x:v>20</x:v>
      </x:c>
      <x:c r="K1546" t="n">
        <x:v>10</x:v>
      </x:c>
      <x:c r="L1546" t="str">
        <x:v>STORE-001</x:v>
      </x:c>
      <x:c r="M1546" s="22" t="n">
        <x:v>45954</x:v>
      </x:c>
      <x:c r="N1546" t="str">
        <x:v>SKU-015</x:v>
      </x:c>
      <x:c r="O1546" t="n">
        <x:v>2</x:v>
      </x:c>
      <x:c r="P1546" s="26" t="n">
        <x:f>F1546/O1546</x:f>
        <x:v>15.61</x:v>
      </x:c>
    </x:row>
    <x:row r="1547">
      <x:c r="A1547" t="n">
        <x:v>1546</x:v>
      </x:c>
      <x:c r="B1547" t="n">
        <x:v>60</x:v>
      </x:c>
      <x:c r="C1547" t="str">
        <x:v>Female</x:v>
      </x:c>
      <x:c r="D1547" t="str">
        <x:v>Accessories</x:v>
      </x:c>
      <x:c r="E1547" t="str">
        <x:v>Wallet</x:v>
      </x:c>
      <x:c r="F1547" s="24" t="n">
        <x:v>74.33</x:v>
      </x:c>
      <x:c r="G1547" t="str">
        <x:v>Winter</x:v>
      </x:c>
      <x:c r="H1547" t="str">
        <x:v>Card</x:v>
      </x:c>
      <x:c r="I1547" t="n">
        <x:v>3.8</x:v>
      </x:c>
      <x:c r="J1547" t="n">
        <x:v>24</x:v>
      </x:c>
      <x:c r="K1547" t="n">
        <x:v>7</x:v>
      </x:c>
      <x:c r="L1547" t="str">
        <x:v>STORE-001</x:v>
      </x:c>
      <x:c r="M1547" s="22" t="n">
        <x:v>46228</x:v>
      </x:c>
      <x:c r="N1547" t="str">
        <x:v>SKU-029</x:v>
      </x:c>
      <x:c r="O1547" t="n">
        <x:v>1</x:v>
      </x:c>
      <x:c r="P1547" s="26" t="n">
        <x:f>F1547/O1547</x:f>
        <x:v>74.33</x:v>
      </x:c>
    </x:row>
    <x:row r="1548">
      <x:c r="A1548" t="n">
        <x:v>1547</x:v>
      </x:c>
      <x:c r="B1548" t="n">
        <x:v>36</x:v>
      </x:c>
      <x:c r="C1548" t="str">
        <x:v>Female</x:v>
      </x:c>
      <x:c r="D1548" t="str">
        <x:v>Sports</x:v>
      </x:c>
      <x:c r="E1548" t="str">
        <x:v>Dumbbells</x:v>
      </x:c>
      <x:c r="F1548" s="24" t="n">
        <x:v>142.8</x:v>
      </x:c>
      <x:c r="G1548" t="str">
        <x:v>Winter</x:v>
      </x:c>
      <x:c r="H1548" t="str">
        <x:v>Card</x:v>
      </x:c>
      <x:c r="I1548" t="n">
        <x:v>5</x:v>
      </x:c>
      <x:c r="J1548" t="n">
        <x:v>18</x:v>
      </x:c>
      <x:c r="K1548" t="n">
        <x:v>4</x:v>
      </x:c>
      <x:c r="L1548" t="str">
        <x:v>STORE-001</x:v>
      </x:c>
      <x:c r="M1548" s="22" t="n">
        <x:v>46199</x:v>
      </x:c>
      <x:c r="N1548" t="str">
        <x:v>SKU-005</x:v>
      </x:c>
      <x:c r="O1548" t="n">
        <x:v>1</x:v>
      </x:c>
      <x:c r="P1548" s="26" t="n">
        <x:f>F1548/O1548</x:f>
        <x:v>142.8</x:v>
      </x:c>
    </x:row>
    <x:row r="1549">
      <x:c r="A1549" t="n">
        <x:v>1548</x:v>
      </x:c>
      <x:c r="B1549" t="n">
        <x:v>25</x:v>
      </x:c>
      <x:c r="C1549" t="str">
        <x:v>Male</x:v>
      </x:c>
      <x:c r="D1549" t="str">
        <x:v>Sports</x:v>
      </x:c>
      <x:c r="E1549" t="str">
        <x:v>Football</x:v>
      </x:c>
      <x:c r="F1549" s="24" t="n">
        <x:v>76.08</x:v>
      </x:c>
      <x:c r="G1549" t="str">
        <x:v>Summer</x:v>
      </x:c>
      <x:c r="H1549" t="str">
        <x:v>Card</x:v>
      </x:c>
      <x:c r="I1549" t="n">
        <x:v>3.7</x:v>
      </x:c>
      <x:c r="J1549" t="n">
        <x:v>16</x:v>
      </x:c>
      <x:c r="K1549" t="n">
        <x:v>3</x:v>
      </x:c>
      <x:c r="L1549" t="str">
        <x:v>STORE-001</x:v>
      </x:c>
      <x:c r="M1549" s="22" t="n">
        <x:v>45995</x:v>
      </x:c>
      <x:c r="N1549" t="str">
        <x:v>SKU-006</x:v>
      </x:c>
      <x:c r="O1549" t="n">
        <x:v>1</x:v>
      </x:c>
      <x:c r="P1549" s="26" t="n">
        <x:f>F1549/O1549</x:f>
        <x:v>76.08</x:v>
      </x:c>
    </x:row>
    <x:row r="1550">
      <x:c r="A1550" t="n">
        <x:v>1549</x:v>
      </x:c>
      <x:c r="B1550" t="n">
        <x:v>59</x:v>
      </x:c>
      <x:c r="C1550" t="str">
        <x:v>Male</x:v>
      </x:c>
      <x:c r="D1550" t="str">
        <x:v>Mens Clothing</x:v>
      </x:c>
      <x:c r="E1550" t="str">
        <x:v>Shirt</x:v>
      </x:c>
      <x:c r="F1550" s="24" t="n">
        <x:v>71.09</x:v>
      </x:c>
      <x:c r="G1550" t="str">
        <x:v>Spring</x:v>
      </x:c>
      <x:c r="H1550" t="str">
        <x:v>Cash on Delivery</x:v>
      </x:c>
      <x:c r="I1550" t="n">
        <x:v>3.8</x:v>
      </x:c>
      <x:c r="J1550" t="n">
        <x:v>10</x:v>
      </x:c>
      <x:c r="K1550" t="n">
        <x:v>5</x:v>
      </x:c>
      <x:c r="L1550" t="str">
        <x:v>STORE-001</x:v>
      </x:c>
      <x:c r="M1550" s="22" t="n">
        <x:v>46267</x:v>
      </x:c>
      <x:c r="N1550" t="str">
        <x:v>SKU-020</x:v>
      </x:c>
      <x:c r="O1550" t="n">
        <x:v>2</x:v>
      </x:c>
      <x:c r="P1550" s="26" t="n">
        <x:f>F1550/O1550</x:f>
        <x:v>35.545</x:v>
      </x:c>
    </x:row>
    <x:row r="1551">
      <x:c r="A1551" t="n">
        <x:v>1550</x:v>
      </x:c>
      <x:c r="B1551" t="n">
        <x:v>21</x:v>
      </x:c>
      <x:c r="C1551" t="str">
        <x:v>Male</x:v>
      </x:c>
      <x:c r="D1551" t="str">
        <x:v>Footwear</x:v>
      </x:c>
      <x:c r="E1551" t="str">
        <x:v>Sneakers</x:v>
      </x:c>
      <x:c r="F1551" s="24" t="n">
        <x:v>210.67</x:v>
      </x:c>
      <x:c r="G1551" t="str">
        <x:v>Winter</x:v>
      </x:c>
      <x:c r="H1551" t="str">
        <x:v>Card</x:v>
      </x:c>
      <x:c r="I1551" t="n">
        <x:v>3.4</x:v>
      </x:c>
      <x:c r="J1551" t="n">
        <x:v>6</x:v>
      </x:c>
      <x:c r="K1551" t="n">
        <x:v>3</x:v>
      </x:c>
      <x:c r="L1551" t="str">
        <x:v>STORE-001</x:v>
      </x:c>
      <x:c r="M1551" s="22" t="n">
        <x:v>46176</x:v>
      </x:c>
      <x:c r="N1551" t="str">
        <x:v>SKU-025</x:v>
      </x:c>
      <x:c r="O1551" t="n">
        <x:v>1</x:v>
      </x:c>
      <x:c r="P1551" s="26" t="n">
        <x:f>F1551/O1551</x:f>
        <x:v>210.67</x:v>
      </x:c>
    </x:row>
    <x:row r="1552">
      <x:c r="A1552" t="n">
        <x:v>1551</x:v>
      </x:c>
      <x:c r="B1552" t="n">
        <x:v>21</x:v>
      </x:c>
      <x:c r="C1552" t="str">
        <x:v>Female</x:v>
      </x:c>
      <x:c r="D1552" t="str">
        <x:v>Beauty</x:v>
      </x:c>
      <x:c r="E1552" t="str">
        <x:v>Perfume</x:v>
      </x:c>
      <x:c r="F1552" s="24" t="n">
        <x:v>131.55</x:v>
      </x:c>
      <x:c r="G1552" t="str">
        <x:v>Summer</x:v>
      </x:c>
      <x:c r="H1552" t="str">
        <x:v>Card</x:v>
      </x:c>
      <x:c r="I1552" t="n">
        <x:v>4.3</x:v>
      </x:c>
      <x:c r="J1552" t="n">
        <x:v>13</x:v>
      </x:c>
      <x:c r="K1552" t="n">
        <x:v>4</x:v>
      </x:c>
      <x:c r="L1552" t="str">
        <x:v>STORE-001</x:v>
      </x:c>
      <x:c r="M1552" s="22" t="n">
        <x:v>46057</x:v>
      </x:c>
      <x:c r="N1552" t="str">
        <x:v>SKU-017</x:v>
      </x:c>
      <x:c r="O1552" t="n">
        <x:v>1</x:v>
      </x:c>
      <x:c r="P1552" s="26" t="n">
        <x:f>F1552/O1552</x:f>
        <x:v>131.55</x:v>
      </x:c>
    </x:row>
    <x:row r="1553">
      <x:c r="A1553" t="n">
        <x:v>1552</x:v>
      </x:c>
      <x:c r="B1553" t="n">
        <x:v>28</x:v>
      </x:c>
      <x:c r="C1553" t="str">
        <x:v>Male</x:v>
      </x:c>
      <x:c r="D1553" t="str">
        <x:v>Sports</x:v>
      </x:c>
      <x:c r="E1553" t="str">
        <x:v>Dumbbells</x:v>
      </x:c>
      <x:c r="F1553" s="24" t="n">
        <x:v>123.55</x:v>
      </x:c>
      <x:c r="G1553" t="str">
        <x:v>Summer</x:v>
      </x:c>
      <x:c r="H1553" t="str">
        <x:v>Card</x:v>
      </x:c>
      <x:c r="I1553" t="n">
        <x:v>4.1</x:v>
      </x:c>
      <x:c r="J1553" t="n">
        <x:v>21</x:v>
      </x:c>
      <x:c r="K1553" t="n">
        <x:v>8</x:v>
      </x:c>
      <x:c r="L1553" t="str">
        <x:v>STORE-001</x:v>
      </x:c>
      <x:c r="M1553" s="22" t="n">
        <x:v>46000</x:v>
      </x:c>
      <x:c r="N1553" t="str">
        <x:v>SKU-005</x:v>
      </x:c>
      <x:c r="O1553" t="n">
        <x:v>1</x:v>
      </x:c>
      <x:c r="P1553" s="26" t="n">
        <x:f>F1553/O1553</x:f>
        <x:v>123.55</x:v>
      </x:c>
    </x:row>
    <x:row r="1554">
      <x:c r="A1554" t="n">
        <x:v>1553</x:v>
      </x:c>
      <x:c r="B1554" t="n">
        <x:v>21</x:v>
      </x:c>
      <x:c r="C1554" t="str">
        <x:v>Female</x:v>
      </x:c>
      <x:c r="D1554" t="str">
        <x:v>Accessories</x:v>
      </x:c>
      <x:c r="E1554" t="str">
        <x:v>Handbag</x:v>
      </x:c>
      <x:c r="F1554" s="24" t="n">
        <x:v>130.77</x:v>
      </x:c>
      <x:c r="G1554" t="str">
        <x:v>Winter</x:v>
      </x:c>
      <x:c r="H1554" t="str">
        <x:v>Card</x:v>
      </x:c>
      <x:c r="I1554" t="n">
        <x:v>4.8</x:v>
      </x:c>
      <x:c r="J1554" t="n">
        <x:v>4</x:v>
      </x:c>
      <x:c r="K1554" t="n">
        <x:v>2</x:v>
      </x:c>
      <x:c r="L1554" t="str">
        <x:v>STORE-001</x:v>
      </x:c>
      <x:c r="M1554" s="22" t="n">
        <x:v>46195</x:v>
      </x:c>
      <x:c r="N1554" t="str">
        <x:v>SKU-008</x:v>
      </x:c>
      <x:c r="O1554" t="n">
        <x:v>2</x:v>
      </x:c>
      <x:c r="P1554" s="26" t="n">
        <x:f>F1554/O1554</x:f>
        <x:v>65.385</x:v>
      </x:c>
    </x:row>
    <x:row r="1555">
      <x:c r="A1555" t="n">
        <x:v>1554</x:v>
      </x:c>
      <x:c r="B1555" t="n">
        <x:v>56</x:v>
      </x:c>
      <x:c r="C1555" t="str">
        <x:v>Male</x:v>
      </x:c>
      <x:c r="D1555" t="str">
        <x:v>Mens Clothing</x:v>
      </x:c>
      <x:c r="E1555" t="str">
        <x:v>Jacket</x:v>
      </x:c>
      <x:c r="F1555" s="24" t="n">
        <x:v>110.31</x:v>
      </x:c>
      <x:c r="G1555" t="str">
        <x:v>Summer</x:v>
      </x:c>
      <x:c r="H1555" t="str">
        <x:v>Card</x:v>
      </x:c>
      <x:c r="I1555" t="n">
        <x:v>3</x:v>
      </x:c>
      <x:c r="J1555" t="n">
        <x:v>2</x:v>
      </x:c>
      <x:c r="K1555" t="n">
        <x:v>1</x:v>
      </x:c>
      <x:c r="L1555" t="str">
        <x:v>STORE-001</x:v>
      </x:c>
      <x:c r="M1555" s="22" t="n">
        <x:v>46023</x:v>
      </x:c>
      <x:c r="N1555" t="str">
        <x:v>SKU-010</x:v>
      </x:c>
      <x:c r="O1555" t="n">
        <x:v>1</x:v>
      </x:c>
      <x:c r="P1555" s="26" t="n">
        <x:f>F1555/O1555</x:f>
        <x:v>110.31</x:v>
      </x:c>
    </x:row>
    <x:row r="1556">
      <x:c r="A1556" t="n">
        <x:v>1555</x:v>
      </x:c>
      <x:c r="B1556" t="n">
        <x:v>29</x:v>
      </x:c>
      <x:c r="C1556" t="str">
        <x:v>Male</x:v>
      </x:c>
      <x:c r="D1556" t="str">
        <x:v>Sports</x:v>
      </x:c>
      <x:c r="E1556" t="str">
        <x:v>Yoga Mat</x:v>
      </x:c>
      <x:c r="F1556" s="24" t="n">
        <x:v>238.27</x:v>
      </x:c>
      <x:c r="G1556" t="str">
        <x:v>Winter</x:v>
      </x:c>
      <x:c r="H1556" t="str">
        <x:v>Card</x:v>
      </x:c>
      <x:c r="I1556" t="n">
        <x:v>5</x:v>
      </x:c>
      <x:c r="J1556" t="n">
        <x:v>14</x:v>
      </x:c>
      <x:c r="K1556" t="n">
        <x:v>2</x:v>
      </x:c>
      <x:c r="L1556" t="str">
        <x:v>STORE-001</x:v>
      </x:c>
      <x:c r="M1556" s="22" t="n">
        <x:v>46218</x:v>
      </x:c>
      <x:c r="N1556" t="str">
        <x:v>SKU-030</x:v>
      </x:c>
      <x:c r="O1556" t="n">
        <x:v>1</x:v>
      </x:c>
      <x:c r="P1556" s="26" t="n">
        <x:f>F1556/O1556</x:f>
        <x:v>238.27</x:v>
      </x:c>
    </x:row>
    <x:row r="1557">
      <x:c r="A1557" t="n">
        <x:v>1556</x:v>
      </x:c>
      <x:c r="B1557" t="n">
        <x:v>20</x:v>
      </x:c>
      <x:c r="C1557" t="str">
        <x:v>Male</x:v>
      </x:c>
      <x:c r="D1557" t="str">
        <x:v>Home</x:v>
      </x:c>
      <x:c r="E1557" t="str">
        <x:v>Kitchen Set</x:v>
      </x:c>
      <x:c r="F1557" s="24" t="n">
        <x:v>201.69</x:v>
      </x:c>
      <x:c r="G1557" t="str">
        <x:v>Autumn</x:v>
      </x:c>
      <x:c r="H1557" t="str">
        <x:v>Card</x:v>
      </x:c>
      <x:c r="I1557" t="n">
        <x:v>2.9</x:v>
      </x:c>
      <x:c r="J1557" t="n">
        <x:v>23</x:v>
      </x:c>
      <x:c r="K1557" t="n">
        <x:v>9</x:v>
      </x:c>
      <x:c r="L1557" t="str">
        <x:v>STORE-001</x:v>
      </x:c>
      <x:c r="M1557" s="22" t="n">
        <x:v>46103</x:v>
      </x:c>
      <x:c r="N1557" t="str">
        <x:v>SKU-012</x:v>
      </x:c>
      <x:c r="O1557" t="n">
        <x:v>1</x:v>
      </x:c>
      <x:c r="P1557" s="26" t="n">
        <x:f>F1557/O1557</x:f>
        <x:v>201.69</x:v>
      </x:c>
    </x:row>
    <x:row r="1558">
      <x:c r="A1558" t="n">
        <x:v>1557</x:v>
      </x:c>
      <x:c r="B1558" t="n">
        <x:v>49</x:v>
      </x:c>
      <x:c r="C1558" t="str">
        <x:v>Female</x:v>
      </x:c>
      <x:c r="D1558" t="str">
        <x:v>Sports</x:v>
      </x:c>
      <x:c r="E1558" t="str">
        <x:v>Dumbbells</x:v>
      </x:c>
      <x:c r="F1558" s="24" t="n">
        <x:v>199.72</x:v>
      </x:c>
      <x:c r="G1558" t="str">
        <x:v>Autumn</x:v>
      </x:c>
      <x:c r="H1558" t="str">
        <x:v>Card</x:v>
      </x:c>
      <x:c r="I1558" t="n">
        <x:v>3.9</x:v>
      </x:c>
      <x:c r="J1558" t="n">
        <x:v>24</x:v>
      </x:c>
      <x:c r="K1558" t="n">
        <x:v>7</x:v>
      </x:c>
      <x:c r="L1558" t="str">
        <x:v>STORE-001</x:v>
      </x:c>
      <x:c r="M1558" s="22" t="n">
        <x:v>46163</x:v>
      </x:c>
      <x:c r="N1558" t="str">
        <x:v>SKU-005</x:v>
      </x:c>
      <x:c r="O1558" t="n">
        <x:v>2</x:v>
      </x:c>
      <x:c r="P1558" s="26" t="n">
        <x:f>F1558/O1558</x:f>
        <x:v>99.86</x:v>
      </x:c>
    </x:row>
    <x:row r="1559">
      <x:c r="A1559" t="n">
        <x:v>1558</x:v>
      </x:c>
      <x:c r="B1559" t="n">
        <x:v>48</x:v>
      </x:c>
      <x:c r="C1559" t="str">
        <x:v>Male</x:v>
      </x:c>
      <x:c r="D1559" t="str">
        <x:v>Home</x:v>
      </x:c>
      <x:c r="E1559" t="str">
        <x:v>Lamp</x:v>
      </x:c>
      <x:c r="F1559" s="24" t="n">
        <x:v>113.79</x:v>
      </x:c>
      <x:c r="G1559" t="str">
        <x:v>Winter</x:v>
      </x:c>
      <x:c r="H1559" t="str">
        <x:v>Card</x:v>
      </x:c>
      <x:c r="I1559" t="n">
        <x:v>3.3</x:v>
      </x:c>
      <x:c r="J1559" t="n">
        <x:v>2</x:v>
      </x:c>
      <x:c r="K1559" t="n">
        <x:v>1</x:v>
      </x:c>
      <x:c r="L1559" t="str">
        <x:v>STORE-001</x:v>
      </x:c>
      <x:c r="M1559" s="22" t="n">
        <x:v>46230</x:v>
      </x:c>
      <x:c r="N1559" t="str">
        <x:v>SKU-013</x:v>
      </x:c>
      <x:c r="O1559" t="n">
        <x:v>1</x:v>
      </x:c>
      <x:c r="P1559" s="26" t="n">
        <x:f>F1559/O1559</x:f>
        <x:v>113.79</x:v>
      </x:c>
    </x:row>
    <x:row r="1560">
      <x:c r="A1560" t="n">
        <x:v>1559</x:v>
      </x:c>
      <x:c r="B1560" t="n">
        <x:v>42</x:v>
      </x:c>
      <x:c r="C1560" t="str">
        <x:v>Male</x:v>
      </x:c>
      <x:c r="D1560" t="str">
        <x:v>Sports</x:v>
      </x:c>
      <x:c r="E1560" t="str">
        <x:v>Football</x:v>
      </x:c>
      <x:c r="F1560" s="24" t="n">
        <x:v>216.19</x:v>
      </x:c>
      <x:c r="G1560" t="str">
        <x:v>Winter</x:v>
      </x:c>
      <x:c r="H1560" t="str">
        <x:v>Card</x:v>
      </x:c>
      <x:c r="I1560" t="n">
        <x:v>4.5</x:v>
      </x:c>
      <x:c r="J1560" t="n">
        <x:v>13</x:v>
      </x:c>
      <x:c r="K1560" t="n">
        <x:v>4</x:v>
      </x:c>
      <x:c r="L1560" t="str">
        <x:v>STORE-001</x:v>
      </x:c>
      <x:c r="M1560" s="22" t="n">
        <x:v>46260</x:v>
      </x:c>
      <x:c r="N1560" t="str">
        <x:v>SKU-006</x:v>
      </x:c>
      <x:c r="O1560" t="n">
        <x:v>1</x:v>
      </x:c>
      <x:c r="P1560" s="26" t="n">
        <x:f>F1560/O1560</x:f>
        <x:v>216.19</x:v>
      </x:c>
    </x:row>
    <x:row r="1561">
      <x:c r="A1561" t="n">
        <x:v>1560</x:v>
      </x:c>
      <x:c r="B1561" t="n">
        <x:v>35</x:v>
      </x:c>
      <x:c r="C1561" t="str">
        <x:v>Female</x:v>
      </x:c>
      <x:c r="D1561" t="str">
        <x:v>Accessories</x:v>
      </x:c>
      <x:c r="E1561" t="str">
        <x:v>Wallet</x:v>
      </x:c>
      <x:c r="F1561" s="24" t="n">
        <x:v>157.95</x:v>
      </x:c>
      <x:c r="G1561" t="str">
        <x:v>Spring</x:v>
      </x:c>
      <x:c r="H1561" t="str">
        <x:v>Card</x:v>
      </x:c>
      <x:c r="I1561" t="n">
        <x:v>3.8</x:v>
      </x:c>
      <x:c r="J1561" t="n">
        <x:v>14</x:v>
      </x:c>
      <x:c r="K1561" t="n">
        <x:v>2</x:v>
      </x:c>
      <x:c r="L1561" t="str">
        <x:v>STORE-001</x:v>
      </x:c>
      <x:c r="M1561" s="22" t="n">
        <x:v>45957</x:v>
      </x:c>
      <x:c r="N1561" t="str">
        <x:v>SKU-029</x:v>
      </x:c>
      <x:c r="O1561" t="n">
        <x:v>3</x:v>
      </x:c>
      <x:c r="P1561" s="26" t="n">
        <x:f>F1561/O1561</x:f>
        <x:v>52.65</x:v>
      </x:c>
    </x:row>
    <x:row r="1562">
      <x:c r="A1562" t="n">
        <x:v>1561</x:v>
      </x:c>
      <x:c r="B1562" t="n">
        <x:v>61</x:v>
      </x:c>
      <x:c r="C1562" t="str">
        <x:v>Female</x:v>
      </x:c>
      <x:c r="D1562" t="str">
        <x:v>Womens Clothing</x:v>
      </x:c>
      <x:c r="E1562" t="str">
        <x:v>Skirt</x:v>
      </x:c>
      <x:c r="F1562" s="24" t="n">
        <x:v>144.71</x:v>
      </x:c>
      <x:c r="G1562" t="str">
        <x:v>Spring</x:v>
      </x:c>
      <x:c r="H1562" t="str">
        <x:v>Card</x:v>
      </x:c>
      <x:c r="I1562" t="n">
        <x:v>5</x:v>
      </x:c>
      <x:c r="J1562" t="n">
        <x:v>16</x:v>
      </x:c>
      <x:c r="K1562" t="n">
        <x:v>8</x:v>
      </x:c>
      <x:c r="L1562" t="str">
        <x:v>STORE-001</x:v>
      </x:c>
      <x:c r="M1562" s="22" t="n">
        <x:v>45932</x:v>
      </x:c>
      <x:c r="N1562" t="str">
        <x:v>SKU-022</x:v>
      </x:c>
      <x:c r="O1562" t="n">
        <x:v>1</x:v>
      </x:c>
      <x:c r="P1562" s="26" t="n">
        <x:f>F1562/O1562</x:f>
        <x:v>144.71</x:v>
      </x:c>
    </x:row>
    <x:row r="1563">
      <x:c r="A1563" t="n">
        <x:v>1562</x:v>
      </x:c>
      <x:c r="B1563" t="n">
        <x:v>27</x:v>
      </x:c>
      <x:c r="C1563" t="str">
        <x:v>Male</x:v>
      </x:c>
      <x:c r="D1563" t="str">
        <x:v>Sports</x:v>
      </x:c>
      <x:c r="E1563" t="str">
        <x:v>Yoga Mat</x:v>
      </x:c>
      <x:c r="F1563" s="24" t="n">
        <x:v>123.19</x:v>
      </x:c>
      <x:c r="G1563" t="str">
        <x:v>Winter</x:v>
      </x:c>
      <x:c r="H1563" t="str">
        <x:v>Card</x:v>
      </x:c>
      <x:c r="I1563" t="n">
        <x:v>5</x:v>
      </x:c>
      <x:c r="J1563" t="n">
        <x:v>12</x:v>
      </x:c>
      <x:c r="K1563" t="n">
        <x:v>6</x:v>
      </x:c>
      <x:c r="L1563" t="str">
        <x:v>STORE-001</x:v>
      </x:c>
      <x:c r="M1563" s="22" t="n">
        <x:v>46174</x:v>
      </x:c>
      <x:c r="N1563" t="str">
        <x:v>SKU-030</x:v>
      </x:c>
      <x:c r="O1563" t="n">
        <x:v>2</x:v>
      </x:c>
      <x:c r="P1563" s="26" t="n">
        <x:f>F1563/O1563</x:f>
        <x:v>61.595</x:v>
      </x:c>
    </x:row>
    <x:row r="1564">
      <x:c r="A1564" t="n">
        <x:v>1563</x:v>
      </x:c>
      <x:c r="B1564" t="n">
        <x:v>56</x:v>
      </x:c>
      <x:c r="C1564" t="str">
        <x:v>Male</x:v>
      </x:c>
      <x:c r="D1564" t="str">
        <x:v>Sports</x:v>
      </x:c>
      <x:c r="E1564" t="str">
        <x:v>Dumbbells</x:v>
      </x:c>
      <x:c r="F1564" s="24" t="n">
        <x:v>174.68</x:v>
      </x:c>
      <x:c r="G1564" t="str">
        <x:v>Autumn</x:v>
      </x:c>
      <x:c r="H1564" t="str">
        <x:v>Card</x:v>
      </x:c>
      <x:c r="I1564" t="n">
        <x:v>3.1</x:v>
      </x:c>
      <x:c r="J1564" t="n">
        <x:v>22</x:v>
      </x:c>
      <x:c r="K1564" t="n">
        <x:v>6</x:v>
      </x:c>
      <x:c r="L1564" t="str">
        <x:v>STORE-001</x:v>
      </x:c>
      <x:c r="M1564" s="22" t="n">
        <x:v>46163</x:v>
      </x:c>
      <x:c r="N1564" t="str">
        <x:v>SKU-005</x:v>
      </x:c>
      <x:c r="O1564" t="n">
        <x:v>1</x:v>
      </x:c>
      <x:c r="P1564" s="26" t="n">
        <x:f>F1564/O1564</x:f>
        <x:v>174.68</x:v>
      </x:c>
    </x:row>
    <x:row r="1565">
      <x:c r="A1565" t="n">
        <x:v>1564</x:v>
      </x:c>
      <x:c r="B1565" t="n">
        <x:v>54</x:v>
      </x:c>
      <x:c r="C1565" t="str">
        <x:v>Male</x:v>
      </x:c>
      <x:c r="D1565" t="str">
        <x:v>Footwear</x:v>
      </x:c>
      <x:c r="E1565" t="str">
        <x:v>Sandals</x:v>
      </x:c>
      <x:c r="F1565" s="24" t="n">
        <x:v>80.35</x:v>
      </x:c>
      <x:c r="G1565" t="str">
        <x:v>Autumn</x:v>
      </x:c>
      <x:c r="H1565" t="str">
        <x:v>Cash on Delivery</x:v>
      </x:c>
      <x:c r="I1565" t="n">
        <x:v>3.8</x:v>
      </x:c>
      <x:c r="J1565" t="n">
        <x:v>14</x:v>
      </x:c>
      <x:c r="K1565" t="n">
        <x:v>2</x:v>
      </x:c>
      <x:c r="L1565" t="str">
        <x:v>STORE-001</x:v>
      </x:c>
      <x:c r="M1565" s="22" t="n">
        <x:v>46087</x:v>
      </x:c>
      <x:c r="N1565" t="str">
        <x:v>SKU-019</x:v>
      </x:c>
      <x:c r="O1565" t="n">
        <x:v>1</x:v>
      </x:c>
      <x:c r="P1565" s="26" t="n">
        <x:f>F1565/O1565</x:f>
        <x:v>80.35</x:v>
      </x:c>
    </x:row>
    <x:row r="1566">
      <x:c r="A1566" t="n">
        <x:v>1565</x:v>
      </x:c>
      <x:c r="B1566" t="n">
        <x:v>46</x:v>
      </x:c>
      <x:c r="C1566" t="str">
        <x:v>Female</x:v>
      </x:c>
      <x:c r="D1566" t="str">
        <x:v>Home</x:v>
      </x:c>
      <x:c r="E1566" t="str">
        <x:v>Curtains</x:v>
      </x:c>
      <x:c r="F1566" s="24" t="n">
        <x:v>196.05</x:v>
      </x:c>
      <x:c r="G1566" t="str">
        <x:v>Autumn</x:v>
      </x:c>
      <x:c r="H1566" t="str">
        <x:v>Card</x:v>
      </x:c>
      <x:c r="I1566" t="n">
        <x:v>4.6</x:v>
      </x:c>
      <x:c r="J1566" t="n">
        <x:v>12</x:v>
      </x:c>
      <x:c r="K1566" t="n">
        <x:v>1</x:v>
      </x:c>
      <x:c r="L1566" t="str">
        <x:v>STORE-001</x:v>
      </x:c>
      <x:c r="M1566" s="22" t="n">
        <x:v>46136</x:v>
      </x:c>
      <x:c r="N1566" t="str">
        <x:v>SKU-003</x:v>
      </x:c>
      <x:c r="O1566" t="n">
        <x:v>1</x:v>
      </x:c>
      <x:c r="P1566" s="26" t="n">
        <x:f>F1566/O1566</x:f>
        <x:v>196.05</x:v>
      </x:c>
    </x:row>
    <x:row r="1567">
      <x:c r="A1567" t="n">
        <x:v>1566</x:v>
      </x:c>
      <x:c r="B1567" t="n">
        <x:v>55</x:v>
      </x:c>
      <x:c r="C1567" t="str">
        <x:v>Female</x:v>
      </x:c>
      <x:c r="D1567" t="str">
        <x:v>Beauty</x:v>
      </x:c>
      <x:c r="E1567" t="str">
        <x:v>Makeup Set</x:v>
      </x:c>
      <x:c r="F1567" s="24" t="n">
        <x:v>127.11</x:v>
      </x:c>
      <x:c r="G1567" t="str">
        <x:v>Spring</x:v>
      </x:c>
      <x:c r="H1567" t="str">
        <x:v>Card</x:v>
      </x:c>
      <x:c r="I1567" t="n">
        <x:v>4.1</x:v>
      </x:c>
      <x:c r="J1567" t="n">
        <x:v>15</x:v>
      </x:c>
      <x:c r="K1567" t="n">
        <x:v>5</x:v>
      </x:c>
      <x:c r="L1567" t="str">
        <x:v>STORE-001</x:v>
      </x:c>
      <x:c r="M1567" s="22" t="n">
        <x:v>46269</x:v>
      </x:c>
      <x:c r="N1567" t="str">
        <x:v>SKU-015</x:v>
      </x:c>
      <x:c r="O1567" t="n">
        <x:v>1</x:v>
      </x:c>
      <x:c r="P1567" s="26" t="n">
        <x:f>F1567/O1567</x:f>
        <x:v>127.11</x:v>
      </x:c>
    </x:row>
    <x:row r="1568">
      <x:c r="A1568" t="n">
        <x:v>1567</x:v>
      </x:c>
      <x:c r="B1568" t="n">
        <x:v>30</x:v>
      </x:c>
      <x:c r="C1568" t="str">
        <x:v>Female</x:v>
      </x:c>
      <x:c r="D1568" t="str">
        <x:v>Beauty</x:v>
      </x:c>
      <x:c r="E1568" t="str">
        <x:v>Perfume</x:v>
      </x:c>
      <x:c r="F1568" s="24" t="n">
        <x:v>69.8</x:v>
      </x:c>
      <x:c r="G1568" t="str">
        <x:v>Winter</x:v>
      </x:c>
      <x:c r="H1568" t="str">
        <x:v>Cash on Delivery</x:v>
      </x:c>
      <x:c r="I1568" t="n">
        <x:v>2.8</x:v>
      </x:c>
      <x:c r="J1568" t="n">
        <x:v>18</x:v>
      </x:c>
      <x:c r="K1568" t="n">
        <x:v>4</x:v>
      </x:c>
      <x:c r="L1568" t="str">
        <x:v>STORE-001</x:v>
      </x:c>
      <x:c r="M1568" s="22" t="n">
        <x:v>46231</x:v>
      </x:c>
      <x:c r="N1568" t="str">
        <x:v>SKU-017</x:v>
      </x:c>
      <x:c r="O1568" t="n">
        <x:v>3</x:v>
      </x:c>
      <x:c r="P1568" s="26" t="n">
        <x:f>F1568/O1568</x:f>
        <x:v>23.266666666666666</x:v>
      </x:c>
    </x:row>
    <x:row r="1569">
      <x:c r="A1569" t="n">
        <x:v>1568</x:v>
      </x:c>
      <x:c r="B1569" t="n">
        <x:v>27</x:v>
      </x:c>
      <x:c r="C1569" t="str">
        <x:v>Male</x:v>
      </x:c>
      <x:c r="D1569" t="str">
        <x:v>Sports</x:v>
      </x:c>
      <x:c r="E1569" t="str">
        <x:v>Yoga Mat</x:v>
      </x:c>
      <x:c r="F1569" s="24" t="n">
        <x:v>210.43</x:v>
      </x:c>
      <x:c r="G1569" t="str">
        <x:v>Autumn</x:v>
      </x:c>
      <x:c r="H1569" t="str">
        <x:v>Card</x:v>
      </x:c>
      <x:c r="I1569" t="n">
        <x:v>3.9</x:v>
      </x:c>
      <x:c r="J1569" t="n">
        <x:v>16</x:v>
      </x:c>
      <x:c r="K1569" t="n">
        <x:v>3</x:v>
      </x:c>
      <x:c r="L1569" t="str">
        <x:v>STORE-001</x:v>
      </x:c>
      <x:c r="M1569" s="22" t="n">
        <x:v>46132</x:v>
      </x:c>
      <x:c r="N1569" t="str">
        <x:v>SKU-030</x:v>
      </x:c>
      <x:c r="O1569" t="n">
        <x:v>1</x:v>
      </x:c>
      <x:c r="P1569" s="26" t="n">
        <x:f>F1569/O1569</x:f>
        <x:v>210.43</x:v>
      </x:c>
    </x:row>
    <x:row r="1570">
      <x:c r="A1570" t="n">
        <x:v>1569</x:v>
      </x:c>
      <x:c r="B1570" t="n">
        <x:v>56</x:v>
      </x:c>
      <x:c r="C1570" t="str">
        <x:v>Male</x:v>
      </x:c>
      <x:c r="D1570" t="str">
        <x:v>Sports</x:v>
      </x:c>
      <x:c r="E1570" t="str">
        <x:v>Yoga Mat</x:v>
      </x:c>
      <x:c r="F1570" s="24" t="n">
        <x:v>219.8</x:v>
      </x:c>
      <x:c r="G1570" t="str">
        <x:v>Winter</x:v>
      </x:c>
      <x:c r="H1570" t="str">
        <x:v>Card</x:v>
      </x:c>
      <x:c r="I1570" t="n">
        <x:v>3.9</x:v>
      </x:c>
      <x:c r="J1570" t="n">
        <x:v>6</x:v>
      </x:c>
      <x:c r="K1570" t="n">
        <x:v>3</x:v>
      </x:c>
      <x:c r="L1570" t="str">
        <x:v>STORE-001</x:v>
      </x:c>
      <x:c r="M1570" s="22" t="n">
        <x:v>46256</x:v>
      </x:c>
      <x:c r="N1570" t="str">
        <x:v>SKU-030</x:v>
      </x:c>
      <x:c r="O1570" t="n">
        <x:v>1</x:v>
      </x:c>
      <x:c r="P1570" s="26" t="n">
        <x:f>F1570/O1570</x:f>
        <x:v>219.8</x:v>
      </x:c>
    </x:row>
    <x:row r="1571">
      <x:c r="A1571" t="n">
        <x:v>1570</x:v>
      </x:c>
      <x:c r="B1571" t="n">
        <x:v>42</x:v>
      </x:c>
      <x:c r="C1571" t="str">
        <x:v>Female</x:v>
      </x:c>
      <x:c r="D1571" t="str">
        <x:v>Footwear</x:v>
      </x:c>
      <x:c r="E1571" t="str">
        <x:v>Sandals</x:v>
      </x:c>
      <x:c r="F1571" s="24" t="n">
        <x:v>74.97</x:v>
      </x:c>
      <x:c r="G1571" t="str">
        <x:v>Summer</x:v>
      </x:c>
      <x:c r="H1571" t="str">
        <x:v>Cash on Delivery</x:v>
      </x:c>
      <x:c r="I1571" t="n">
        <x:v>2.2</x:v>
      </x:c>
      <x:c r="J1571" t="n">
        <x:v>6</x:v>
      </x:c>
      <x:c r="K1571" t="n">
        <x:v>3</x:v>
      </x:c>
      <x:c r="L1571" t="str">
        <x:v>STORE-001</x:v>
      </x:c>
      <x:c r="M1571" s="22" t="n">
        <x:v>46016</x:v>
      </x:c>
      <x:c r="N1571" t="str">
        <x:v>SKU-019</x:v>
      </x:c>
      <x:c r="O1571" t="n">
        <x:v>1</x:v>
      </x:c>
      <x:c r="P1571" s="26" t="n">
        <x:f>F1571/O1571</x:f>
        <x:v>74.97</x:v>
      </x:c>
    </x:row>
    <x:row r="1572">
      <x:c r="A1572" t="n">
        <x:v>1571</x:v>
      </x:c>
      <x:c r="B1572" t="n">
        <x:v>34</x:v>
      </x:c>
      <x:c r="C1572" t="str">
        <x:v>Female</x:v>
      </x:c>
      <x:c r="D1572" t="str">
        <x:v>Beauty</x:v>
      </x:c>
      <x:c r="E1572" t="str">
        <x:v>Makeup Set</x:v>
      </x:c>
      <x:c r="F1572" s="24" t="n">
        <x:v>103.19</x:v>
      </x:c>
      <x:c r="G1572" t="str">
        <x:v>Summer</x:v>
      </x:c>
      <x:c r="H1572" t="str">
        <x:v>Card</x:v>
      </x:c>
      <x:c r="I1572" t="n">
        <x:v>4</x:v>
      </x:c>
      <x:c r="J1572" t="n">
        <x:v>10</x:v>
      </x:c>
      <x:c r="K1572" t="n">
        <x:v>5</x:v>
      </x:c>
      <x:c r="L1572" t="str">
        <x:v>STORE-001</x:v>
      </x:c>
      <x:c r="M1572" s="22" t="n">
        <x:v>46030</x:v>
      </x:c>
      <x:c r="N1572" t="str">
        <x:v>SKU-015</x:v>
      </x:c>
      <x:c r="O1572" t="n">
        <x:v>1</x:v>
      </x:c>
      <x:c r="P1572" s="26" t="n">
        <x:f>F1572/O1572</x:f>
        <x:v>103.19</x:v>
      </x:c>
    </x:row>
    <x:row r="1573">
      <x:c r="A1573" t="n">
        <x:v>1572</x:v>
      </x:c>
      <x:c r="B1573" t="n">
        <x:v>21</x:v>
      </x:c>
      <x:c r="C1573" t="str">
        <x:v>Female</x:v>
      </x:c>
      <x:c r="D1573" t="str">
        <x:v>Beauty</x:v>
      </x:c>
      <x:c r="E1573" t="str">
        <x:v>Skincare Kit</x:v>
      </x:c>
      <x:c r="F1573" s="24" t="n">
        <x:v>138.69</x:v>
      </x:c>
      <x:c r="G1573" t="str">
        <x:v>Winter</x:v>
      </x:c>
      <x:c r="H1573" t="str">
        <x:v>Card</x:v>
      </x:c>
      <x:c r="I1573" t="n">
        <x:v>4.5</x:v>
      </x:c>
      <x:c r="J1573" t="n">
        <x:v>16</x:v>
      </x:c>
      <x:c r="K1573" t="n">
        <x:v>3</x:v>
      </x:c>
      <x:c r="L1573" t="str">
        <x:v>STORE-001</x:v>
      </x:c>
      <x:c r="M1573" s="22" t="n">
        <x:v>46240</x:v>
      </x:c>
      <x:c r="N1573" t="str">
        <x:v>SKU-021</x:v>
      </x:c>
      <x:c r="O1573" t="n">
        <x:v>1</x:v>
      </x:c>
      <x:c r="P1573" s="26" t="n">
        <x:f>F1573/O1573</x:f>
        <x:v>138.69</x:v>
      </x:c>
    </x:row>
    <x:row r="1574">
      <x:c r="A1574" t="n">
        <x:v>1573</x:v>
      </x:c>
      <x:c r="B1574" t="n">
        <x:v>49</x:v>
      </x:c>
      <x:c r="C1574" t="str">
        <x:v>Male</x:v>
      </x:c>
      <x:c r="D1574" t="str">
        <x:v>Sports</x:v>
      </x:c>
      <x:c r="E1574" t="str">
        <x:v>Yoga Mat</x:v>
      </x:c>
      <x:c r="F1574" s="24" t="n">
        <x:v>164.76</x:v>
      </x:c>
      <x:c r="G1574" t="str">
        <x:v>Summer</x:v>
      </x:c>
      <x:c r="H1574" t="str">
        <x:v>Card</x:v>
      </x:c>
      <x:c r="I1574" t="n">
        <x:v>3.5</x:v>
      </x:c>
      <x:c r="J1574" t="n">
        <x:v>26</x:v>
      </x:c>
      <x:c r="K1574" t="n">
        <x:v>8</x:v>
      </x:c>
      <x:c r="L1574" t="str">
        <x:v>STORE-001</x:v>
      </x:c>
      <x:c r="M1574" s="22" t="n">
        <x:v>46019</x:v>
      </x:c>
      <x:c r="N1574" t="str">
        <x:v>SKU-030</x:v>
      </x:c>
      <x:c r="O1574" t="n">
        <x:v>1</x:v>
      </x:c>
      <x:c r="P1574" s="26" t="n">
        <x:f>F1574/O1574</x:f>
        <x:v>164.76</x:v>
      </x:c>
    </x:row>
    <x:row r="1575">
      <x:c r="A1575" t="n">
        <x:v>1574</x:v>
      </x:c>
      <x:c r="B1575" t="n">
        <x:v>25</x:v>
      </x:c>
      <x:c r="C1575" t="str">
        <x:v>Male</x:v>
      </x:c>
      <x:c r="D1575" t="str">
        <x:v>Sports</x:v>
      </x:c>
      <x:c r="E1575" t="str">
        <x:v>Yoga Mat</x:v>
      </x:c>
      <x:c r="F1575" s="24" t="n">
        <x:v>182.09</x:v>
      </x:c>
      <x:c r="G1575" t="str">
        <x:v>Winter</x:v>
      </x:c>
      <x:c r="H1575" t="str">
        <x:v>Card</x:v>
      </x:c>
      <x:c r="I1575" t="n">
        <x:v>3.9</x:v>
      </x:c>
      <x:c r="J1575" t="n">
        <x:v>8</x:v>
      </x:c>
      <x:c r="K1575" t="n">
        <x:v>4</x:v>
      </x:c>
      <x:c r="L1575" t="str">
        <x:v>STORE-001</x:v>
      </x:c>
      <x:c r="M1575" s="22" t="n">
        <x:v>46228</x:v>
      </x:c>
      <x:c r="N1575" t="str">
        <x:v>SKU-030</x:v>
      </x:c>
      <x:c r="O1575" t="n">
        <x:v>1</x:v>
      </x:c>
      <x:c r="P1575" s="26" t="n">
        <x:f>F1575/O1575</x:f>
        <x:v>182.09</x:v>
      </x:c>
    </x:row>
    <x:row r="1576">
      <x:c r="A1576" t="n">
        <x:v>1575</x:v>
      </x:c>
      <x:c r="B1576" t="n">
        <x:v>50</x:v>
      </x:c>
      <x:c r="C1576" t="str">
        <x:v>Male</x:v>
      </x:c>
      <x:c r="D1576" t="str">
        <x:v>Footwear</x:v>
      </x:c>
      <x:c r="E1576" t="str">
        <x:v>Sandals</x:v>
      </x:c>
      <x:c r="F1576" s="24" t="n">
        <x:v>180.26</x:v>
      </x:c>
      <x:c r="G1576" t="str">
        <x:v>Spring</x:v>
      </x:c>
      <x:c r="H1576" t="str">
        <x:v>Card</x:v>
      </x:c>
      <x:c r="I1576" t="n">
        <x:v>3.9</x:v>
      </x:c>
      <x:c r="J1576" t="n">
        <x:v>2</x:v>
      </x:c>
      <x:c r="K1576" t="n">
        <x:v>1</x:v>
      </x:c>
      <x:c r="L1576" t="str">
        <x:v>STORE-001</x:v>
      </x:c>
      <x:c r="M1576" s="22" t="n">
        <x:v>46280</x:v>
      </x:c>
      <x:c r="N1576" t="str">
        <x:v>SKU-019</x:v>
      </x:c>
      <x:c r="O1576" t="n">
        <x:v>1</x:v>
      </x:c>
      <x:c r="P1576" s="26" t="n">
        <x:f>F1576/O1576</x:f>
        <x:v>180.26</x:v>
      </x:c>
    </x:row>
    <x:row r="1577">
      <x:c r="A1577" t="n">
        <x:v>1576</x:v>
      </x:c>
      <x:c r="B1577" t="n">
        <x:v>45</x:v>
      </x:c>
      <x:c r="C1577" t="str">
        <x:v>Female</x:v>
      </x:c>
      <x:c r="D1577" t="str">
        <x:v>Accessories</x:v>
      </x:c>
      <x:c r="E1577" t="str">
        <x:v>Sunglasses</x:v>
      </x:c>
      <x:c r="F1577" s="24" t="n">
        <x:v>159.73</x:v>
      </x:c>
      <x:c r="G1577" t="str">
        <x:v>Spring</x:v>
      </x:c>
      <x:c r="H1577" t="str">
        <x:v>Card</x:v>
      </x:c>
      <x:c r="I1577" t="n">
        <x:v>3.7</x:v>
      </x:c>
      <x:c r="J1577" t="n">
        <x:v>10</x:v>
      </x:c>
      <x:c r="K1577" t="n">
        <x:v>5</x:v>
      </x:c>
      <x:c r="L1577" t="str">
        <x:v>STORE-001</x:v>
      </x:c>
      <x:c r="M1577" s="22" t="n">
        <x:v>45957</x:v>
      </x:c>
      <x:c r="N1577" t="str">
        <x:v>SKU-026</x:v>
      </x:c>
      <x:c r="O1577" t="n">
        <x:v>2</x:v>
      </x:c>
      <x:c r="P1577" s="26" t="n">
        <x:f>F1577/O1577</x:f>
        <x:v>79.865</x:v>
      </x:c>
    </x:row>
    <x:row r="1578">
      <x:c r="A1578" t="n">
        <x:v>1577</x:v>
      </x:c>
      <x:c r="B1578" t="n">
        <x:v>36</x:v>
      </x:c>
      <x:c r="C1578" t="str">
        <x:v>Female</x:v>
      </x:c>
      <x:c r="D1578" t="str">
        <x:v>Womens Clothing</x:v>
      </x:c>
      <x:c r="E1578" t="str">
        <x:v>Top</x:v>
      </x:c>
      <x:c r="F1578" s="24" t="n">
        <x:v>178.61</x:v>
      </x:c>
      <x:c r="G1578" t="str">
        <x:v>Spring</x:v>
      </x:c>
      <x:c r="H1578" t="str">
        <x:v>Card</x:v>
      </x:c>
      <x:c r="I1578" t="n">
        <x:v>3.7</x:v>
      </x:c>
      <x:c r="J1578" t="n">
        <x:v>16</x:v>
      </x:c>
      <x:c r="K1578" t="n">
        <x:v>3</x:v>
      </x:c>
      <x:c r="L1578" t="str">
        <x:v>STORE-001</x:v>
      </x:c>
      <x:c r="M1578" s="22" t="n">
        <x:v>46269</x:v>
      </x:c>
      <x:c r="N1578" t="str">
        <x:v>SKU-028</x:v>
      </x:c>
      <x:c r="O1578" t="n">
        <x:v>2</x:v>
      </x:c>
      <x:c r="P1578" s="26" t="n">
        <x:f>F1578/O1578</x:f>
        <x:v>89.305</x:v>
      </x:c>
    </x:row>
    <x:row r="1579">
      <x:c r="A1579" t="n">
        <x:v>1578</x:v>
      </x:c>
      <x:c r="B1579" t="n">
        <x:v>55</x:v>
      </x:c>
      <x:c r="C1579" t="str">
        <x:v>Female</x:v>
      </x:c>
      <x:c r="D1579" t="str">
        <x:v>Womens Clothing</x:v>
      </x:c>
      <x:c r="E1579" t="str">
        <x:v>Skirt</x:v>
      </x:c>
      <x:c r="F1579" s="24" t="n">
        <x:v>100.75</x:v>
      </x:c>
      <x:c r="G1579" t="str">
        <x:v>Autumn</x:v>
      </x:c>
      <x:c r="H1579" t="str">
        <x:v>Card</x:v>
      </x:c>
      <x:c r="I1579" t="n">
        <x:v>4.2</x:v>
      </x:c>
      <x:c r="J1579" t="n">
        <x:v>26</x:v>
      </x:c>
      <x:c r="K1579" t="n">
        <x:v>8</x:v>
      </x:c>
      <x:c r="L1579" t="str">
        <x:v>STORE-001</x:v>
      </x:c>
      <x:c r="M1579" s="22" t="n">
        <x:v>46122</x:v>
      </x:c>
      <x:c r="N1579" t="str">
        <x:v>SKU-022</x:v>
      </x:c>
      <x:c r="O1579" t="n">
        <x:v>1</x:v>
      </x:c>
      <x:c r="P1579" s="26" t="n">
        <x:f>F1579/O1579</x:f>
        <x:v>100.75</x:v>
      </x:c>
    </x:row>
    <x:row r="1580">
      <x:c r="A1580" t="n">
        <x:v>1579</x:v>
      </x:c>
      <x:c r="B1580" t="n">
        <x:v>67</x:v>
      </x:c>
      <x:c r="C1580" t="str">
        <x:v>Female</x:v>
      </x:c>
      <x:c r="D1580" t="str">
        <x:v>Sports</x:v>
      </x:c>
      <x:c r="E1580" t="str">
        <x:v>Yoga Mat</x:v>
      </x:c>
      <x:c r="F1580" s="24" t="n">
        <x:v>65.25</x:v>
      </x:c>
      <x:c r="G1580" t="str">
        <x:v>Winter</x:v>
      </x:c>
      <x:c r="H1580" t="str">
        <x:v>Card</x:v>
      </x:c>
      <x:c r="I1580" t="n">
        <x:v>3.8</x:v>
      </x:c>
      <x:c r="J1580" t="n">
        <x:v>17</x:v>
      </x:c>
      <x:c r="K1580" t="n">
        <x:v>6</x:v>
      </x:c>
      <x:c r="L1580" t="str">
        <x:v>STORE-001</x:v>
      </x:c>
      <x:c r="M1580" s="22" t="n">
        <x:v>46177</x:v>
      </x:c>
      <x:c r="N1580" t="str">
        <x:v>SKU-030</x:v>
      </x:c>
      <x:c r="O1580" t="n">
        <x:v>1</x:v>
      </x:c>
      <x:c r="P1580" s="26" t="n">
        <x:f>F1580/O1580</x:f>
        <x:v>65.25</x:v>
      </x:c>
    </x:row>
    <x:row r="1581">
      <x:c r="A1581" t="n">
        <x:v>1580</x:v>
      </x:c>
      <x:c r="B1581" t="n">
        <x:v>31</x:v>
      </x:c>
      <x:c r="C1581" t="str">
        <x:v>Male</x:v>
      </x:c>
      <x:c r="D1581" t="str">
        <x:v>Mens Clothing</x:v>
      </x:c>
      <x:c r="E1581" t="str">
        <x:v>Shirt</x:v>
      </x:c>
      <x:c r="F1581" s="24" t="n">
        <x:v>191.96</x:v>
      </x:c>
      <x:c r="G1581" t="str">
        <x:v>Summer</x:v>
      </x:c>
      <x:c r="H1581" t="str">
        <x:v>Card</x:v>
      </x:c>
      <x:c r="I1581" t="n">
        <x:v>3.7</x:v>
      </x:c>
      <x:c r="J1581" t="n">
        <x:v>13</x:v>
      </x:c>
      <x:c r="K1581" t="n">
        <x:v>4</x:v>
      </x:c>
      <x:c r="L1581" t="str">
        <x:v>STORE-001</x:v>
      </x:c>
      <x:c r="M1581" s="22" t="n">
        <x:v>46001</x:v>
      </x:c>
      <x:c r="N1581" t="str">
        <x:v>SKU-020</x:v>
      </x:c>
      <x:c r="O1581" t="n">
        <x:v>2</x:v>
      </x:c>
      <x:c r="P1581" s="26" t="n">
        <x:f>F1581/O1581</x:f>
        <x:v>95.98</x:v>
      </x:c>
    </x:row>
    <x:row r="1582">
      <x:c r="A1582" t="n">
        <x:v>1581</x:v>
      </x:c>
      <x:c r="B1582" t="n">
        <x:v>42</x:v>
      </x:c>
      <x:c r="C1582" t="str">
        <x:v>Female</x:v>
      </x:c>
      <x:c r="D1582" t="str">
        <x:v>Womens Clothing</x:v>
      </x:c>
      <x:c r="E1582" t="str">
        <x:v>Dress</x:v>
      </x:c>
      <x:c r="F1582" s="24" t="n">
        <x:v>152.61</x:v>
      </x:c>
      <x:c r="G1582" t="str">
        <x:v>Summer</x:v>
      </x:c>
      <x:c r="H1582" t="str">
        <x:v>Card</x:v>
      </x:c>
      <x:c r="I1582" t="n">
        <x:v>3.2</x:v>
      </x:c>
      <x:c r="J1582" t="n">
        <x:v>18</x:v>
      </x:c>
      <x:c r="K1582" t="n">
        <x:v>4</x:v>
      </x:c>
      <x:c r="L1582" t="str">
        <x:v>STORE-001</x:v>
      </x:c>
      <x:c r="M1582" s="22" t="n">
        <x:v>46009</x:v>
      </x:c>
      <x:c r="N1582" t="str">
        <x:v>SKU-004</x:v>
      </x:c>
      <x:c r="O1582" t="n">
        <x:v>1</x:v>
      </x:c>
      <x:c r="P1582" s="26" t="n">
        <x:f>F1582/O1582</x:f>
        <x:v>152.61</x:v>
      </x:c>
    </x:row>
    <x:row r="1583">
      <x:c r="A1583" t="n">
        <x:v>1582</x:v>
      </x:c>
      <x:c r="B1583" t="n">
        <x:v>37</x:v>
      </x:c>
      <x:c r="C1583" t="str">
        <x:v>Male</x:v>
      </x:c>
      <x:c r="D1583" t="str">
        <x:v>Sports</x:v>
      </x:c>
      <x:c r="E1583" t="str">
        <x:v>Yoga Mat</x:v>
      </x:c>
      <x:c r="F1583" s="24" t="n">
        <x:v>118.07</x:v>
      </x:c>
      <x:c r="G1583" t="str">
        <x:v>Winter</x:v>
      </x:c>
      <x:c r="H1583" t="str">
        <x:v>Card</x:v>
      </x:c>
      <x:c r="I1583" t="n">
        <x:v>2.8</x:v>
      </x:c>
      <x:c r="J1583" t="n">
        <x:v>22</x:v>
      </x:c>
      <x:c r="K1583" t="n">
        <x:v>6</x:v>
      </x:c>
      <x:c r="L1583" t="str">
        <x:v>STORE-001</x:v>
      </x:c>
      <x:c r="M1583" s="22" t="n">
        <x:v>46223</x:v>
      </x:c>
      <x:c r="N1583" t="str">
        <x:v>SKU-030</x:v>
      </x:c>
      <x:c r="O1583" t="n">
        <x:v>1</x:v>
      </x:c>
      <x:c r="P1583" s="26" t="n">
        <x:f>F1583/O1583</x:f>
        <x:v>118.07</x:v>
      </x:c>
    </x:row>
    <x:row r="1584">
      <x:c r="A1584" t="n">
        <x:v>1583</x:v>
      </x:c>
      <x:c r="B1584" t="n">
        <x:v>39</x:v>
      </x:c>
      <x:c r="C1584" t="str">
        <x:v>Female</x:v>
      </x:c>
      <x:c r="D1584" t="str">
        <x:v>Beauty</x:v>
      </x:c>
      <x:c r="E1584" t="str">
        <x:v>Makeup Set</x:v>
      </x:c>
      <x:c r="F1584" s="24" t="n">
        <x:v>100.38</x:v>
      </x:c>
      <x:c r="G1584" t="str">
        <x:v>Autumn</x:v>
      </x:c>
      <x:c r="H1584" t="str">
        <x:v>Card</x:v>
      </x:c>
      <x:c r="I1584" t="n">
        <x:v>4.3</x:v>
      </x:c>
      <x:c r="J1584" t="n">
        <x:v>10</x:v>
      </x:c>
      <x:c r="K1584" t="n">
        <x:v>5</x:v>
      </x:c>
      <x:c r="L1584" t="str">
        <x:v>STORE-001</x:v>
      </x:c>
      <x:c r="M1584" s="22" t="n">
        <x:v>46094</x:v>
      </x:c>
      <x:c r="N1584" t="str">
        <x:v>SKU-015</x:v>
      </x:c>
      <x:c r="O1584" t="n">
        <x:v>3</x:v>
      </x:c>
      <x:c r="P1584" s="26" t="n">
        <x:f>F1584/O1584</x:f>
        <x:v>33.46</x:v>
      </x:c>
    </x:row>
    <x:row r="1585">
      <x:c r="A1585" t="n">
        <x:v>1584</x:v>
      </x:c>
      <x:c r="B1585" t="n">
        <x:v>53</x:v>
      </x:c>
      <x:c r="C1585" t="str">
        <x:v>Female</x:v>
      </x:c>
      <x:c r="D1585" t="str">
        <x:v>Home</x:v>
      </x:c>
      <x:c r="E1585" t="str">
        <x:v>Kitchen Set</x:v>
      </x:c>
      <x:c r="F1585" s="24" t="n">
        <x:v>198.76</x:v>
      </x:c>
      <x:c r="G1585" t="str">
        <x:v>Spring</x:v>
      </x:c>
      <x:c r="H1585" t="str">
        <x:v>Card</x:v>
      </x:c>
      <x:c r="I1585" t="n">
        <x:v>3.8</x:v>
      </x:c>
      <x:c r="J1585" t="n">
        <x:v>15</x:v>
      </x:c>
      <x:c r="K1585" t="n">
        <x:v>5</x:v>
      </x:c>
      <x:c r="L1585" t="str">
        <x:v>STORE-001</x:v>
      </x:c>
      <x:c r="M1585" s="22" t="n">
        <x:v>46277</x:v>
      </x:c>
      <x:c r="N1585" t="str">
        <x:v>SKU-012</x:v>
      </x:c>
      <x:c r="O1585" t="n">
        <x:v>1</x:v>
      </x:c>
      <x:c r="P1585" s="26" t="n">
        <x:f>F1585/O1585</x:f>
        <x:v>198.76</x:v>
      </x:c>
    </x:row>
    <x:row r="1586">
      <x:c r="A1586" t="n">
        <x:v>1585</x:v>
      </x:c>
      <x:c r="B1586" t="n">
        <x:v>48</x:v>
      </x:c>
      <x:c r="C1586" t="str">
        <x:v>Male</x:v>
      </x:c>
      <x:c r="D1586" t="str">
        <x:v>Sports</x:v>
      </x:c>
      <x:c r="E1586" t="str">
        <x:v>Football</x:v>
      </x:c>
      <x:c r="F1586" s="24" t="n">
        <x:v>33.84</x:v>
      </x:c>
      <x:c r="G1586" t="str">
        <x:v>Autumn</x:v>
      </x:c>
      <x:c r="H1586" t="str">
        <x:v>Card</x:v>
      </x:c>
      <x:c r="I1586" t="n">
        <x:v>4.1</x:v>
      </x:c>
      <x:c r="J1586" t="n">
        <x:v>13</x:v>
      </x:c>
      <x:c r="K1586" t="n">
        <x:v>4</x:v>
      </x:c>
      <x:c r="L1586" t="str">
        <x:v>STORE-001</x:v>
      </x:c>
      <x:c r="M1586" s="22" t="n">
        <x:v>46123</x:v>
      </x:c>
      <x:c r="N1586" t="str">
        <x:v>SKU-006</x:v>
      </x:c>
      <x:c r="O1586" t="n">
        <x:v>2</x:v>
      </x:c>
      <x:c r="P1586" s="26" t="n">
        <x:f>F1586/O1586</x:f>
        <x:v>16.92</x:v>
      </x:c>
    </x:row>
    <x:row r="1587">
      <x:c r="A1587" t="n">
        <x:v>1586</x:v>
      </x:c>
      <x:c r="B1587" t="n">
        <x:v>30</x:v>
      </x:c>
      <x:c r="C1587" t="str">
        <x:v>Male</x:v>
      </x:c>
      <x:c r="D1587" t="str">
        <x:v>Footwear</x:v>
      </x:c>
      <x:c r="E1587" t="str">
        <x:v>Formal Shoes</x:v>
      </x:c>
      <x:c r="F1587" s="24" t="n">
        <x:v>106.05</x:v>
      </x:c>
      <x:c r="G1587" t="str">
        <x:v>Autumn</x:v>
      </x:c>
      <x:c r="H1587" t="str">
        <x:v>Card</x:v>
      </x:c>
      <x:c r="I1587" t="n">
        <x:v>4.4</x:v>
      </x:c>
      <x:c r="J1587" t="n">
        <x:v>13</x:v>
      </x:c>
      <x:c r="K1587" t="n">
        <x:v>4</x:v>
      </x:c>
      <x:c r="L1587" t="str">
        <x:v>STORE-001</x:v>
      </x:c>
      <x:c r="M1587" s="22" t="n">
        <x:v>46146</x:v>
      </x:c>
      <x:c r="N1587" t="str">
        <x:v>SKU-007</x:v>
      </x:c>
      <x:c r="O1587" t="n">
        <x:v>1</x:v>
      </x:c>
      <x:c r="P1587" s="26" t="n">
        <x:f>F1587/O1587</x:f>
        <x:v>106.05</x:v>
      </x:c>
    </x:row>
    <x:row r="1588">
      <x:c r="A1588" t="n">
        <x:v>1587</x:v>
      </x:c>
      <x:c r="B1588" t="n">
        <x:v>40</x:v>
      </x:c>
      <x:c r="C1588" t="str">
        <x:v>Female</x:v>
      </x:c>
      <x:c r="D1588" t="str">
        <x:v>Footwear</x:v>
      </x:c>
      <x:c r="E1588" t="str">
        <x:v>Formal Shoes</x:v>
      </x:c>
      <x:c r="F1588" s="24" t="n">
        <x:v>54.39</x:v>
      </x:c>
      <x:c r="G1588" t="str">
        <x:v>Autumn</x:v>
      </x:c>
      <x:c r="H1588" t="str">
        <x:v>Card</x:v>
      </x:c>
      <x:c r="I1588" t="n">
        <x:v>3.9</x:v>
      </x:c>
      <x:c r="J1588" t="n">
        <x:v>8</x:v>
      </x:c>
      <x:c r="K1588" t="n">
        <x:v>4</x:v>
      </x:c>
      <x:c r="L1588" t="str">
        <x:v>STORE-001</x:v>
      </x:c>
      <x:c r="M1588" s="22" t="n">
        <x:v>46114</x:v>
      </x:c>
      <x:c r="N1588" t="str">
        <x:v>SKU-007</x:v>
      </x:c>
      <x:c r="O1588" t="n">
        <x:v>2</x:v>
      </x:c>
      <x:c r="P1588" s="26" t="n">
        <x:f>F1588/O1588</x:f>
        <x:v>27.195</x:v>
      </x:c>
    </x:row>
    <x:row r="1589">
      <x:c r="A1589" t="n">
        <x:v>1588</x:v>
      </x:c>
      <x:c r="B1589" t="n">
        <x:v>52</x:v>
      </x:c>
      <x:c r="C1589" t="str">
        <x:v>Female</x:v>
      </x:c>
      <x:c r="D1589" t="str">
        <x:v>Groceries</x:v>
      </x:c>
      <x:c r="E1589" t="str">
        <x:v>Beverages</x:v>
      </x:c>
      <x:c r="F1589" s="24" t="n">
        <x:v>11.01</x:v>
      </x:c>
      <x:c r="G1589" t="str">
        <x:v>Winter</x:v>
      </x:c>
      <x:c r="H1589" t="str">
        <x:v>Cash on Delivery</x:v>
      </x:c>
      <x:c r="I1589" t="n">
        <x:v>4.1</x:v>
      </x:c>
      <x:c r="J1589" t="n">
        <x:v>8</x:v>
      </x:c>
      <x:c r="K1589" t="n">
        <x:v>4</x:v>
      </x:c>
      <x:c r="L1589" t="str">
        <x:v>STORE-001</x:v>
      </x:c>
      <x:c r="M1589" s="22" t="n">
        <x:v>46245</x:v>
      </x:c>
      <x:c r="N1589" t="str">
        <x:v>SKU-001</x:v>
      </x:c>
      <x:c r="O1589" t="n">
        <x:v>1</x:v>
      </x:c>
      <x:c r="P1589" s="26" t="n">
        <x:f>F1589/O1589</x:f>
        <x:v>11.01</x:v>
      </x:c>
    </x:row>
    <x:row r="1590">
      <x:c r="A1590" t="n">
        <x:v>1589</x:v>
      </x:c>
      <x:c r="B1590" t="n">
        <x:v>67</x:v>
      </x:c>
      <x:c r="C1590" t="str">
        <x:v>Female</x:v>
      </x:c>
      <x:c r="D1590" t="str">
        <x:v>Footwear</x:v>
      </x:c>
      <x:c r="E1590" t="str">
        <x:v>Formal Shoes</x:v>
      </x:c>
      <x:c r="F1590" s="24" t="n">
        <x:v>126.08</x:v>
      </x:c>
      <x:c r="G1590" t="str">
        <x:v>Summer</x:v>
      </x:c>
      <x:c r="H1590" t="str">
        <x:v>Card</x:v>
      </x:c>
      <x:c r="I1590" t="n">
        <x:v>3.8</x:v>
      </x:c>
      <x:c r="J1590" t="n">
        <x:v>22</x:v>
      </x:c>
      <x:c r="K1590" t="n">
        <x:v>6</x:v>
      </x:c>
      <x:c r="L1590" t="str">
        <x:v>STORE-001</x:v>
      </x:c>
      <x:c r="M1590" s="22" t="n">
        <x:v>46071</x:v>
      </x:c>
      <x:c r="N1590" t="str">
        <x:v>SKU-007</x:v>
      </x:c>
      <x:c r="O1590" t="n">
        <x:v>1</x:v>
      </x:c>
      <x:c r="P1590" s="26" t="n">
        <x:f>F1590/O1590</x:f>
        <x:v>126.08</x:v>
      </x:c>
    </x:row>
    <x:row r="1591">
      <x:c r="A1591" t="n">
        <x:v>1590</x:v>
      </x:c>
      <x:c r="B1591" t="n">
        <x:v>43</x:v>
      </x:c>
      <x:c r="C1591" t="str">
        <x:v>Male</x:v>
      </x:c>
      <x:c r="D1591" t="str">
        <x:v>Mens Clothing</x:v>
      </x:c>
      <x:c r="E1591" t="str">
        <x:v>T-Shirt</x:v>
      </x:c>
      <x:c r="F1591" s="24" t="n">
        <x:v>114.33</x:v>
      </x:c>
      <x:c r="G1591" t="str">
        <x:v>Summer</x:v>
      </x:c>
      <x:c r="H1591" t="str">
        <x:v>Card</x:v>
      </x:c>
      <x:c r="I1591" t="n">
        <x:v>3.9</x:v>
      </x:c>
      <x:c r="J1591" t="n">
        <x:v>13</x:v>
      </x:c>
      <x:c r="K1591" t="n">
        <x:v>4</x:v>
      </x:c>
      <x:c r="L1591" t="str">
        <x:v>STORE-001</x:v>
      </x:c>
      <x:c r="M1591" s="22" t="n">
        <x:v>46066</x:v>
      </x:c>
      <x:c r="N1591" t="str">
        <x:v>SKU-027</x:v>
      </x:c>
      <x:c r="O1591" t="n">
        <x:v>1</x:v>
      </x:c>
      <x:c r="P1591" s="26" t="n">
        <x:f>F1591/O1591</x:f>
        <x:v>114.33</x:v>
      </x:c>
    </x:row>
    <x:row r="1592">
      <x:c r="A1592" t="n">
        <x:v>1591</x:v>
      </x:c>
      <x:c r="B1592" t="n">
        <x:v>52</x:v>
      </x:c>
      <x:c r="C1592" t="str">
        <x:v>Male</x:v>
      </x:c>
      <x:c r="D1592" t="str">
        <x:v>Mens Clothing</x:v>
      </x:c>
      <x:c r="E1592" t="str">
        <x:v>Jeans</x:v>
      </x:c>
      <x:c r="F1592" s="24" t="n">
        <x:v>157.41</x:v>
      </x:c>
      <x:c r="G1592" t="str">
        <x:v>Summer</x:v>
      </x:c>
      <x:c r="H1592" t="str">
        <x:v>Card</x:v>
      </x:c>
      <x:c r="I1592" t="n">
        <x:v>4.7</x:v>
      </x:c>
      <x:c r="J1592" t="n">
        <x:v>16</x:v>
      </x:c>
      <x:c r="K1592" t="n">
        <x:v>3</x:v>
      </x:c>
      <x:c r="L1592" t="str">
        <x:v>STORE-001</x:v>
      </x:c>
      <x:c r="M1592" s="22" t="n">
        <x:v>46010</x:v>
      </x:c>
      <x:c r="N1592" t="str">
        <x:v>SKU-011</x:v>
      </x:c>
      <x:c r="O1592" t="n">
        <x:v>2</x:v>
      </x:c>
      <x:c r="P1592" s="26" t="n">
        <x:f>F1592/O1592</x:f>
        <x:v>78.705</x:v>
      </x:c>
    </x:row>
    <x:row r="1593">
      <x:c r="A1593" t="n">
        <x:v>1592</x:v>
      </x:c>
      <x:c r="B1593" t="n">
        <x:v>70</x:v>
      </x:c>
      <x:c r="C1593" t="str">
        <x:v>Female</x:v>
      </x:c>
      <x:c r="D1593" t="str">
        <x:v>Footwear</x:v>
      </x:c>
      <x:c r="E1593" t="str">
        <x:v>Formal Shoes</x:v>
      </x:c>
      <x:c r="F1593" s="24" t="n">
        <x:v>157.89</x:v>
      </x:c>
      <x:c r="G1593" t="str">
        <x:v>Autumn</x:v>
      </x:c>
      <x:c r="H1593" t="str">
        <x:v>Card</x:v>
      </x:c>
      <x:c r="I1593" t="n">
        <x:v>4</x:v>
      </x:c>
      <x:c r="J1593" t="n">
        <x:v>16</x:v>
      </x:c>
      <x:c r="K1593" t="n">
        <x:v>3</x:v>
      </x:c>
      <x:c r="L1593" t="str">
        <x:v>STORE-001</x:v>
      </x:c>
      <x:c r="M1593" s="22" t="n">
        <x:v>46164</x:v>
      </x:c>
      <x:c r="N1593" t="str">
        <x:v>SKU-007</x:v>
      </x:c>
      <x:c r="O1593" t="n">
        <x:v>1</x:v>
      </x:c>
      <x:c r="P1593" s="26" t="n">
        <x:f>F1593/O1593</x:f>
        <x:v>157.89</x:v>
      </x:c>
    </x:row>
    <x:row r="1594">
      <x:c r="A1594" t="n">
        <x:v>1593</x:v>
      </x:c>
      <x:c r="B1594" t="n">
        <x:v>46</x:v>
      </x:c>
      <x:c r="C1594" t="str">
        <x:v>Female</x:v>
      </x:c>
      <x:c r="D1594" t="str">
        <x:v>Womens Clothing</x:v>
      </x:c>
      <x:c r="E1594" t="str">
        <x:v>Top</x:v>
      </x:c>
      <x:c r="F1594" s="24" t="n">
        <x:v>52.6</x:v>
      </x:c>
      <x:c r="G1594" t="str">
        <x:v>Summer</x:v>
      </x:c>
      <x:c r="H1594" t="str">
        <x:v>Card</x:v>
      </x:c>
      <x:c r="I1594" t="n">
        <x:v>4</x:v>
      </x:c>
      <x:c r="J1594" t="n">
        <x:v>7</x:v>
      </x:c>
      <x:c r="K1594" t="n">
        <x:v>1</x:v>
      </x:c>
      <x:c r="L1594" t="str">
        <x:v>STORE-001</x:v>
      </x:c>
      <x:c r="M1594" s="22" t="n">
        <x:v>46022</x:v>
      </x:c>
      <x:c r="N1594" t="str">
        <x:v>SKU-028</x:v>
      </x:c>
      <x:c r="O1594" t="n">
        <x:v>1</x:v>
      </x:c>
      <x:c r="P1594" s="26" t="n">
        <x:f>F1594/O1594</x:f>
        <x:v>52.6</x:v>
      </x:c>
    </x:row>
    <x:row r="1595">
      <x:c r="A1595" t="n">
        <x:v>1594</x:v>
      </x:c>
      <x:c r="B1595" t="n">
        <x:v>63</x:v>
      </x:c>
      <x:c r="C1595" t="str">
        <x:v>Male</x:v>
      </x:c>
      <x:c r="D1595" t="str">
        <x:v>Sports</x:v>
      </x:c>
      <x:c r="E1595" t="str">
        <x:v>Football</x:v>
      </x:c>
      <x:c r="F1595" s="24" t="n">
        <x:v>37.63</x:v>
      </x:c>
      <x:c r="G1595" t="str">
        <x:v>Spring</x:v>
      </x:c>
      <x:c r="H1595" t="str">
        <x:v>Cash on Delivery</x:v>
      </x:c>
      <x:c r="I1595" t="n">
        <x:v>3.6</x:v>
      </x:c>
      <x:c r="J1595" t="n">
        <x:v>13</x:v>
      </x:c>
      <x:c r="K1595" t="n">
        <x:v>4</x:v>
      </x:c>
      <x:c r="L1595" t="str">
        <x:v>STORE-001</x:v>
      </x:c>
      <x:c r="M1595" s="22" t="n">
        <x:v>46292</x:v>
      </x:c>
      <x:c r="N1595" t="str">
        <x:v>SKU-006</x:v>
      </x:c>
      <x:c r="O1595" t="n">
        <x:v>1</x:v>
      </x:c>
      <x:c r="P1595" s="26" t="n">
        <x:f>F1595/O1595</x:f>
        <x:v>37.63</x:v>
      </x:c>
    </x:row>
    <x:row r="1596">
      <x:c r="A1596" t="n">
        <x:v>1595</x:v>
      </x:c>
      <x:c r="B1596" t="n">
        <x:v>60</x:v>
      </x:c>
      <x:c r="C1596" t="str">
        <x:v>Male</x:v>
      </x:c>
      <x:c r="D1596" t="str">
        <x:v>Electronics</x:v>
      </x:c>
      <x:c r="E1596" t="str">
        <x:v>Mobile Phone</x:v>
      </x:c>
      <x:c r="F1596" s="24" t="n">
        <x:v>1061.83</x:v>
      </x:c>
      <x:c r="G1596" t="str">
        <x:v>Summer</x:v>
      </x:c>
      <x:c r="H1596" t="str">
        <x:v>Card</x:v>
      </x:c>
      <x:c r="I1596" t="n">
        <x:v>4.9</x:v>
      </x:c>
      <x:c r="J1596" t="n">
        <x:v>10</x:v>
      </x:c>
      <x:c r="K1596" t="n">
        <x:v>5</x:v>
      </x:c>
      <x:c r="L1596" t="str">
        <x:v>STORE-001</x:v>
      </x:c>
      <x:c r="M1596" s="22" t="n">
        <x:v>46070</x:v>
      </x:c>
      <x:c r="N1596" t="str">
        <x:v>SKU-016</x:v>
      </x:c>
      <x:c r="O1596" t="n">
        <x:v>1</x:v>
      </x:c>
      <x:c r="P1596" s="26" t="n">
        <x:f>F1596/O1596</x:f>
        <x:v>1061.83</x:v>
      </x:c>
    </x:row>
    <x:row r="1597">
      <x:c r="A1597" t="n">
        <x:v>1596</x:v>
      </x:c>
      <x:c r="B1597" t="n">
        <x:v>53</x:v>
      </x:c>
      <x:c r="C1597" t="str">
        <x:v>Male</x:v>
      </x:c>
      <x:c r="D1597" t="str">
        <x:v>Mens Clothing</x:v>
      </x:c>
      <x:c r="E1597" t="str">
        <x:v>Shirt</x:v>
      </x:c>
      <x:c r="F1597" s="24" t="n">
        <x:v>44.56</x:v>
      </x:c>
      <x:c r="G1597" t="str">
        <x:v>Summer</x:v>
      </x:c>
      <x:c r="H1597" t="str">
        <x:v>Card</x:v>
      </x:c>
      <x:c r="I1597" t="n">
        <x:v>3.9</x:v>
      </x:c>
      <x:c r="J1597" t="n">
        <x:v>26</x:v>
      </x:c>
      <x:c r="K1597" t="n">
        <x:v>8</x:v>
      </x:c>
      <x:c r="L1597" t="str">
        <x:v>STORE-001</x:v>
      </x:c>
      <x:c r="M1597" s="22" t="n">
        <x:v>46036</x:v>
      </x:c>
      <x:c r="N1597" t="str">
        <x:v>SKU-020</x:v>
      </x:c>
      <x:c r="O1597" t="n">
        <x:v>1</x:v>
      </x:c>
      <x:c r="P1597" s="26" t="n">
        <x:f>F1597/O1597</x:f>
        <x:v>44.56</x:v>
      </x:c>
    </x:row>
    <x:row r="1598">
      <x:c r="A1598" t="n">
        <x:v>1597</x:v>
      </x:c>
      <x:c r="B1598" t="n">
        <x:v>43</x:v>
      </x:c>
      <x:c r="C1598" t="str">
        <x:v>Female</x:v>
      </x:c>
      <x:c r="D1598" t="str">
        <x:v>Womens Clothing</x:v>
      </x:c>
      <x:c r="E1598" t="str">
        <x:v>Jeans</x:v>
      </x:c>
      <x:c r="F1598" s="24" t="n">
        <x:v>57.06</x:v>
      </x:c>
      <x:c r="G1598" t="str">
        <x:v>Spring</x:v>
      </x:c>
      <x:c r="H1598" t="str">
        <x:v>Card</x:v>
      </x:c>
      <x:c r="I1598" t="n">
        <x:v>3.9</x:v>
      </x:c>
      <x:c r="J1598" t="n">
        <x:v>26</x:v>
      </x:c>
      <x:c r="K1598" t="n">
        <x:v>8</x:v>
      </x:c>
      <x:c r="L1598" t="str">
        <x:v>STORE-001</x:v>
      </x:c>
      <x:c r="M1598" s="22" t="n">
        <x:v>45947</x:v>
      </x:c>
      <x:c r="N1598" t="str">
        <x:v>SKU-011</x:v>
      </x:c>
      <x:c r="O1598" t="n">
        <x:v>1</x:v>
      </x:c>
      <x:c r="P1598" s="26" t="n">
        <x:f>F1598/O1598</x:f>
        <x:v>57.06</x:v>
      </x:c>
    </x:row>
    <x:row r="1599">
      <x:c r="A1599" t="n">
        <x:v>1598</x:v>
      </x:c>
      <x:c r="B1599" t="n">
        <x:v>44</x:v>
      </x:c>
      <x:c r="C1599" t="str">
        <x:v>Female</x:v>
      </x:c>
      <x:c r="D1599" t="str">
        <x:v>Womens Clothing</x:v>
      </x:c>
      <x:c r="E1599" t="str">
        <x:v>Dress</x:v>
      </x:c>
      <x:c r="F1599" s="24" t="n">
        <x:v>34.94</x:v>
      </x:c>
      <x:c r="G1599" t="str">
        <x:v>Autumn</x:v>
      </x:c>
      <x:c r="H1599" t="str">
        <x:v>Cash on Delivery</x:v>
      </x:c>
      <x:c r="I1599" t="n">
        <x:v>1.6</x:v>
      </x:c>
      <x:c r="J1599" t="n">
        <x:v>22</x:v>
      </x:c>
      <x:c r="K1599" t="n">
        <x:v>11</x:v>
      </x:c>
      <x:c r="L1599" t="str">
        <x:v>STORE-001</x:v>
      </x:c>
      <x:c r="M1599" s="22" t="n">
        <x:v>46120</x:v>
      </x:c>
      <x:c r="N1599" t="str">
        <x:v>SKU-004</x:v>
      </x:c>
      <x:c r="O1599" t="n">
        <x:v>2</x:v>
      </x:c>
      <x:c r="P1599" s="26" t="n">
        <x:f>F1599/O1599</x:f>
        <x:v>17.47</x:v>
      </x:c>
    </x:row>
    <x:row r="1600">
      <x:c r="A1600" t="n">
        <x:v>1599</x:v>
      </x:c>
      <x:c r="B1600" t="n">
        <x:v>32</x:v>
      </x:c>
      <x:c r="C1600" t="str">
        <x:v>Male</x:v>
      </x:c>
      <x:c r="D1600" t="str">
        <x:v>Groceries</x:v>
      </x:c>
      <x:c r="E1600" t="str">
        <x:v>Rice Pack</x:v>
      </x:c>
      <x:c r="F1600" s="24" t="n">
        <x:v>12.13</x:v>
      </x:c>
      <x:c r="G1600" t="str">
        <x:v>Winter</x:v>
      </x:c>
      <x:c r="H1600" t="str">
        <x:v>Card</x:v>
      </x:c>
      <x:c r="I1600" t="n">
        <x:v>4.9</x:v>
      </x:c>
      <x:c r="J1600" t="n">
        <x:v>16</x:v>
      </x:c>
      <x:c r="K1600" t="n">
        <x:v>3</x:v>
      </x:c>
      <x:c r="L1600" t="str">
        <x:v>STORE-001</x:v>
      </x:c>
      <x:c r="M1600" s="22" t="n">
        <x:v>46233</x:v>
      </x:c>
      <x:c r="N1600" t="str">
        <x:v>SKU-018</x:v>
      </x:c>
      <x:c r="O1600" t="n">
        <x:v>4</x:v>
      </x:c>
      <x:c r="P1600" s="26" t="n">
        <x:f>F1600/O1600</x:f>
        <x:v>3.0325</x:v>
      </x:c>
    </x:row>
    <x:row r="1601">
      <x:c r="A1601" t="n">
        <x:v>1600</x:v>
      </x:c>
      <x:c r="B1601" t="n">
        <x:v>53</x:v>
      </x:c>
      <x:c r="C1601" t="str">
        <x:v>Male</x:v>
      </x:c>
      <x:c r="D1601" t="str">
        <x:v>Electronics</x:v>
      </x:c>
      <x:c r="E1601" t="str">
        <x:v>Mobile Phone</x:v>
      </x:c>
      <x:c r="F1601" s="24" t="n">
        <x:v>930.34</x:v>
      </x:c>
      <x:c r="G1601" t="str">
        <x:v>Summer</x:v>
      </x:c>
      <x:c r="H1601" t="str">
        <x:v>Card</x:v>
      </x:c>
      <x:c r="I1601" t="n">
        <x:v>4.6</x:v>
      </x:c>
      <x:c r="J1601" t="n">
        <x:v>10</x:v>
      </x:c>
      <x:c r="K1601" t="n">
        <x:v>5</x:v>
      </x:c>
      <x:c r="L1601" t="str">
        <x:v>STORE-001</x:v>
      </x:c>
      <x:c r="M1601" s="22" t="n">
        <x:v>46042</x:v>
      </x:c>
      <x:c r="N1601" t="str">
        <x:v>SKU-016</x:v>
      </x:c>
      <x:c r="O1601" t="n">
        <x:v>1</x:v>
      </x:c>
      <x:c r="P1601" s="26" t="n">
        <x:f>F1601/O1601</x:f>
        <x:v>930.34</x:v>
      </x:c>
    </x:row>
    <x:row r="1602">
      <x:c r="A1602" t="n">
        <x:v>1601</x:v>
      </x:c>
      <x:c r="B1602" t="n">
        <x:v>24</x:v>
      </x:c>
      <x:c r="C1602" t="str">
        <x:v>Male</x:v>
      </x:c>
      <x:c r="D1602" t="str">
        <x:v>Electronics</x:v>
      </x:c>
      <x:c r="E1602" t="str">
        <x:v>Mobile Phone</x:v>
      </x:c>
      <x:c r="F1602" s="24" t="n">
        <x:v>2059.52</x:v>
      </x:c>
      <x:c r="G1602" t="str">
        <x:v>Winter</x:v>
      </x:c>
      <x:c r="H1602" t="str">
        <x:v>Card</x:v>
      </x:c>
      <x:c r="I1602" t="n">
        <x:v>3.4</x:v>
      </x:c>
      <x:c r="J1602" t="n">
        <x:v>18</x:v>
      </x:c>
      <x:c r="K1602" t="n">
        <x:v>4</x:v>
      </x:c>
      <x:c r="L1602" t="str">
        <x:v>STORE-001</x:v>
      </x:c>
      <x:c r="M1602" s="22" t="n">
        <x:v>46265</x:v>
      </x:c>
      <x:c r="N1602" t="str">
        <x:v>SKU-016</x:v>
      </x:c>
      <x:c r="O1602" t="n">
        <x:v>1</x:v>
      </x:c>
      <x:c r="P1602" s="26" t="n">
        <x:f>F1602/O1602</x:f>
        <x:v>2059.52</x:v>
      </x:c>
    </x:row>
    <x:row r="1603">
      <x:c r="A1603" t="n">
        <x:v>1602</x:v>
      </x:c>
      <x:c r="B1603" t="n">
        <x:v>36</x:v>
      </x:c>
      <x:c r="C1603" t="str">
        <x:v>Male</x:v>
      </x:c>
      <x:c r="D1603" t="str">
        <x:v>Footwear</x:v>
      </x:c>
      <x:c r="E1603" t="str">
        <x:v>Sneakers</x:v>
      </x:c>
      <x:c r="F1603" s="24" t="n">
        <x:v>160.32</x:v>
      </x:c>
      <x:c r="G1603" t="str">
        <x:v>Autumn</x:v>
      </x:c>
      <x:c r="H1603" t="str">
        <x:v>Card</x:v>
      </x:c>
      <x:c r="I1603" t="n">
        <x:v>3.9</x:v>
      </x:c>
      <x:c r="J1603" t="n">
        <x:v>16</x:v>
      </x:c>
      <x:c r="K1603" t="n">
        <x:v>8</x:v>
      </x:c>
      <x:c r="L1603" t="str">
        <x:v>STORE-001</x:v>
      </x:c>
      <x:c r="M1603" s="22" t="n">
        <x:v>46104</x:v>
      </x:c>
      <x:c r="N1603" t="str">
        <x:v>SKU-025</x:v>
      </x:c>
      <x:c r="O1603" t="n">
        <x:v>1</x:v>
      </x:c>
      <x:c r="P1603" s="26" t="n">
        <x:f>F1603/O1603</x:f>
        <x:v>160.32</x:v>
      </x:c>
    </x:row>
    <x:row r="1604">
      <x:c r="A1604" t="n">
        <x:v>1603</x:v>
      </x:c>
      <x:c r="B1604" t="n">
        <x:v>57</x:v>
      </x:c>
      <x:c r="C1604" t="str">
        <x:v>Female</x:v>
      </x:c>
      <x:c r="D1604" t="str">
        <x:v>Accessories</x:v>
      </x:c>
      <x:c r="E1604" t="str">
        <x:v>Handbag</x:v>
      </x:c>
      <x:c r="F1604" s="24" t="n">
        <x:v>28.73</x:v>
      </x:c>
      <x:c r="G1604" t="str">
        <x:v>Winter</x:v>
      </x:c>
      <x:c r="H1604" t="str">
        <x:v>Card</x:v>
      </x:c>
      <x:c r="I1604" t="n">
        <x:v>3.8</x:v>
      </x:c>
      <x:c r="J1604" t="n">
        <x:v>10</x:v>
      </x:c>
      <x:c r="K1604" t="n">
        <x:v>5</x:v>
      </x:c>
      <x:c r="L1604" t="str">
        <x:v>STORE-001</x:v>
      </x:c>
      <x:c r="M1604" s="22" t="n">
        <x:v>46206</x:v>
      </x:c>
      <x:c r="N1604" t="str">
        <x:v>SKU-008</x:v>
      </x:c>
      <x:c r="O1604" t="n">
        <x:v>1</x:v>
      </x:c>
      <x:c r="P1604" s="26" t="n">
        <x:f>F1604/O1604</x:f>
        <x:v>28.73</x:v>
      </x:c>
    </x:row>
    <x:row r="1605">
      <x:c r="A1605" t="n">
        <x:v>1604</x:v>
      </x:c>
      <x:c r="B1605" t="n">
        <x:v>67</x:v>
      </x:c>
      <x:c r="C1605" t="str">
        <x:v>Male</x:v>
      </x:c>
      <x:c r="D1605" t="str">
        <x:v>Footwear</x:v>
      </x:c>
      <x:c r="E1605" t="str">
        <x:v>Formal Shoes</x:v>
      </x:c>
      <x:c r="F1605" s="24" t="n">
        <x:v>229.11</x:v>
      </x:c>
      <x:c r="G1605" t="str">
        <x:v>Summer</x:v>
      </x:c>
      <x:c r="H1605" t="str">
        <x:v>Card</x:v>
      </x:c>
      <x:c r="I1605" t="n">
        <x:v>4</x:v>
      </x:c>
      <x:c r="J1605" t="n">
        <x:v>13</x:v>
      </x:c>
      <x:c r="K1605" t="n">
        <x:v>4</x:v>
      </x:c>
      <x:c r="L1605" t="str">
        <x:v>STORE-001</x:v>
      </x:c>
      <x:c r="M1605" s="22" t="n">
        <x:v>46002</x:v>
      </x:c>
      <x:c r="N1605" t="str">
        <x:v>SKU-007</x:v>
      </x:c>
      <x:c r="O1605" t="n">
        <x:v>1</x:v>
      </x:c>
      <x:c r="P1605" s="26" t="n">
        <x:f>F1605/O1605</x:f>
        <x:v>229.11</x:v>
      </x:c>
    </x:row>
    <x:row r="1606">
      <x:c r="A1606" t="n">
        <x:v>1605</x:v>
      </x:c>
      <x:c r="B1606" t="n">
        <x:v>38</x:v>
      </x:c>
      <x:c r="C1606" t="str">
        <x:v>Male</x:v>
      </x:c>
      <x:c r="D1606" t="str">
        <x:v>Sports</x:v>
      </x:c>
      <x:c r="E1606" t="str">
        <x:v>Yoga Mat</x:v>
      </x:c>
      <x:c r="F1606" s="24" t="n">
        <x:v>163.57</x:v>
      </x:c>
      <x:c r="G1606" t="str">
        <x:v>Spring</x:v>
      </x:c>
      <x:c r="H1606" t="str">
        <x:v>Card</x:v>
      </x:c>
      <x:c r="I1606" t="n">
        <x:v>4</x:v>
      </x:c>
      <x:c r="J1606" t="n">
        <x:v>11</x:v>
      </x:c>
      <x:c r="K1606" t="n">
        <x:v>3</x:v>
      </x:c>
      <x:c r="L1606" t="str">
        <x:v>STORE-001</x:v>
      </x:c>
      <x:c r="M1606" s="22" t="n">
        <x:v>46292</x:v>
      </x:c>
      <x:c r="N1606" t="str">
        <x:v>SKU-030</x:v>
      </x:c>
      <x:c r="O1606" t="n">
        <x:v>2</x:v>
      </x:c>
      <x:c r="P1606" s="26" t="n">
        <x:f>F1606/O1606</x:f>
        <x:v>81.785</x:v>
      </x:c>
    </x:row>
    <x:row r="1607">
      <x:c r="A1607" t="n">
        <x:v>1606</x:v>
      </x:c>
      <x:c r="B1607" t="n">
        <x:v>48</x:v>
      </x:c>
      <x:c r="C1607" t="str">
        <x:v>Male</x:v>
      </x:c>
      <x:c r="D1607" t="str">
        <x:v>Sports</x:v>
      </x:c>
      <x:c r="E1607" t="str">
        <x:v>Football</x:v>
      </x:c>
      <x:c r="F1607" s="24" t="n">
        <x:v>149.98</x:v>
      </x:c>
      <x:c r="G1607" t="str">
        <x:v>Winter</x:v>
      </x:c>
      <x:c r="H1607" t="str">
        <x:v>Card</x:v>
      </x:c>
      <x:c r="I1607" t="n">
        <x:v>4.1</x:v>
      </x:c>
      <x:c r="J1607" t="n">
        <x:v>9</x:v>
      </x:c>
      <x:c r="K1607" t="n">
        <x:v>2</x:v>
      </x:c>
      <x:c r="L1607" t="str">
        <x:v>STORE-001</x:v>
      </x:c>
      <x:c r="M1607" s="22" t="n">
        <x:v>46185</x:v>
      </x:c>
      <x:c r="N1607" t="str">
        <x:v>SKU-006</x:v>
      </x:c>
      <x:c r="O1607" t="n">
        <x:v>1</x:v>
      </x:c>
      <x:c r="P1607" s="26" t="n">
        <x:f>F1607/O1607</x:f>
        <x:v>149.98</x:v>
      </x:c>
    </x:row>
    <x:row r="1608">
      <x:c r="A1608" t="n">
        <x:v>1607</x:v>
      </x:c>
      <x:c r="B1608" t="n">
        <x:v>47</x:v>
      </x:c>
      <x:c r="C1608" t="str">
        <x:v>Male</x:v>
      </x:c>
      <x:c r="D1608" t="str">
        <x:v>Mens Clothing</x:v>
      </x:c>
      <x:c r="E1608" t="str">
        <x:v>Jeans</x:v>
      </x:c>
      <x:c r="F1608" s="24" t="n">
        <x:v>32.58</x:v>
      </x:c>
      <x:c r="G1608" t="str">
        <x:v>Winter</x:v>
      </x:c>
      <x:c r="H1608" t="str">
        <x:v>Card</x:v>
      </x:c>
      <x:c r="I1608" t="n">
        <x:v>4.5</x:v>
      </x:c>
      <x:c r="J1608" t="n">
        <x:v>14</x:v>
      </x:c>
      <x:c r="K1608" t="n">
        <x:v>7</x:v>
      </x:c>
      <x:c r="L1608" t="str">
        <x:v>STORE-001</x:v>
      </x:c>
      <x:c r="M1608" s="22" t="n">
        <x:v>46177</x:v>
      </x:c>
      <x:c r="N1608" t="str">
        <x:v>SKU-011</x:v>
      </x:c>
      <x:c r="O1608" t="n">
        <x:v>3</x:v>
      </x:c>
      <x:c r="P1608" s="26" t="n">
        <x:f>F1608/O1608</x:f>
        <x:v>10.86</x:v>
      </x:c>
    </x:row>
    <x:row r="1609">
      <x:c r="A1609" t="n">
        <x:v>1608</x:v>
      </x:c>
      <x:c r="B1609" t="n">
        <x:v>60</x:v>
      </x:c>
      <x:c r="C1609" t="str">
        <x:v>Male</x:v>
      </x:c>
      <x:c r="D1609" t="str">
        <x:v>Sports</x:v>
      </x:c>
      <x:c r="E1609" t="str">
        <x:v>Yoga Mat</x:v>
      </x:c>
      <x:c r="F1609" s="24" t="n">
        <x:v>61.48</x:v>
      </x:c>
      <x:c r="G1609" t="str">
        <x:v>Spring</x:v>
      </x:c>
      <x:c r="H1609" t="str">
        <x:v>Card</x:v>
      </x:c>
      <x:c r="I1609" t="n">
        <x:v>3.9</x:v>
      </x:c>
      <x:c r="J1609" t="n">
        <x:v>22</x:v>
      </x:c>
      <x:c r="K1609" t="n">
        <x:v>6</x:v>
      </x:c>
      <x:c r="L1609" t="str">
        <x:v>STORE-001</x:v>
      </x:c>
      <x:c r="M1609" s="22" t="n">
        <x:v>46293</x:v>
      </x:c>
      <x:c r="N1609" t="str">
        <x:v>SKU-030</x:v>
      </x:c>
      <x:c r="O1609" t="n">
        <x:v>2</x:v>
      </x:c>
      <x:c r="P1609" s="26" t="n">
        <x:f>F1609/O1609</x:f>
        <x:v>30.74</x:v>
      </x:c>
    </x:row>
    <x:row r="1610">
      <x:c r="A1610" t="n">
        <x:v>1609</x:v>
      </x:c>
      <x:c r="B1610" t="n">
        <x:v>56</x:v>
      </x:c>
      <x:c r="C1610" t="str">
        <x:v>Female</x:v>
      </x:c>
      <x:c r="D1610" t="str">
        <x:v>Footwear</x:v>
      </x:c>
      <x:c r="E1610" t="str">
        <x:v>Sandals</x:v>
      </x:c>
      <x:c r="F1610" s="24" t="n">
        <x:v>140.04</x:v>
      </x:c>
      <x:c r="G1610" t="str">
        <x:v>Winter</x:v>
      </x:c>
      <x:c r="H1610" t="str">
        <x:v>Card</x:v>
      </x:c>
      <x:c r="I1610" t="n">
        <x:v>3.2</x:v>
      </x:c>
      <x:c r="J1610" t="n">
        <x:v>11</x:v>
      </x:c>
      <x:c r="K1610" t="n">
        <x:v>3</x:v>
      </x:c>
      <x:c r="L1610" t="str">
        <x:v>STORE-001</x:v>
      </x:c>
      <x:c r="M1610" s="22" t="n">
        <x:v>46229</x:v>
      </x:c>
      <x:c r="N1610" t="str">
        <x:v>SKU-019</x:v>
      </x:c>
      <x:c r="O1610" t="n">
        <x:v>1</x:v>
      </x:c>
      <x:c r="P1610" s="26" t="n">
        <x:f>F1610/O1610</x:f>
        <x:v>140.04</x:v>
      </x:c>
    </x:row>
    <x:row r="1611">
      <x:c r="A1611" t="n">
        <x:v>1610</x:v>
      </x:c>
      <x:c r="B1611" t="n">
        <x:v>60</x:v>
      </x:c>
      <x:c r="C1611" t="str">
        <x:v>Female</x:v>
      </x:c>
      <x:c r="D1611" t="str">
        <x:v>Accessories</x:v>
      </x:c>
      <x:c r="E1611" t="str">
        <x:v>Sunglasses</x:v>
      </x:c>
      <x:c r="F1611" s="24" t="n">
        <x:v>47.05</x:v>
      </x:c>
      <x:c r="G1611" t="str">
        <x:v>Winter</x:v>
      </x:c>
      <x:c r="H1611" t="str">
        <x:v>Card</x:v>
      </x:c>
      <x:c r="I1611" t="n">
        <x:v>2.3</x:v>
      </x:c>
      <x:c r="J1611" t="n">
        <x:v>15</x:v>
      </x:c>
      <x:c r="K1611" t="n">
        <x:v>5</x:v>
      </x:c>
      <x:c r="L1611" t="str">
        <x:v>STORE-001</x:v>
      </x:c>
      <x:c r="M1611" s="22" t="n">
        <x:v>46248</x:v>
      </x:c>
      <x:c r="N1611" t="str">
        <x:v>SKU-026</x:v>
      </x:c>
      <x:c r="O1611" t="n">
        <x:v>2</x:v>
      </x:c>
      <x:c r="P1611" s="26" t="n">
        <x:f>F1611/O1611</x:f>
        <x:v>23.525</x:v>
      </x:c>
    </x:row>
    <x:row r="1612">
      <x:c r="A1612" t="n">
        <x:v>1611</x:v>
      </x:c>
      <x:c r="B1612" t="n">
        <x:v>58</x:v>
      </x:c>
      <x:c r="C1612" t="str">
        <x:v>Female</x:v>
      </x:c>
      <x:c r="D1612" t="str">
        <x:v>Sports</x:v>
      </x:c>
      <x:c r="E1612" t="str">
        <x:v>Dumbbells</x:v>
      </x:c>
      <x:c r="F1612" s="24" t="n">
        <x:v>187.21</x:v>
      </x:c>
      <x:c r="G1612" t="str">
        <x:v>Winter</x:v>
      </x:c>
      <x:c r="H1612" t="str">
        <x:v>Card</x:v>
      </x:c>
      <x:c r="I1612" t="n">
        <x:v>3.7</x:v>
      </x:c>
      <x:c r="J1612" t="n">
        <x:v>19</x:v>
      </x:c>
      <x:c r="K1612" t="n">
        <x:v>7</x:v>
      </x:c>
      <x:c r="L1612" t="str">
        <x:v>STORE-001</x:v>
      </x:c>
      <x:c r="M1612" s="22" t="n">
        <x:v>46252</x:v>
      </x:c>
      <x:c r="N1612" t="str">
        <x:v>SKU-005</x:v>
      </x:c>
      <x:c r="O1612" t="n">
        <x:v>1</x:v>
      </x:c>
      <x:c r="P1612" s="26" t="n">
        <x:f>F1612/O1612</x:f>
        <x:v>187.21</x:v>
      </x:c>
    </x:row>
    <x:row r="1613">
      <x:c r="A1613" t="n">
        <x:v>1612</x:v>
      </x:c>
      <x:c r="B1613" t="n">
        <x:v>67</x:v>
      </x:c>
      <x:c r="C1613" t="str">
        <x:v>Female</x:v>
      </x:c>
      <x:c r="D1613" t="str">
        <x:v>Footwear</x:v>
      </x:c>
      <x:c r="E1613" t="str">
        <x:v>Sneakers</x:v>
      </x:c>
      <x:c r="F1613" s="24" t="n">
        <x:v>211.09</x:v>
      </x:c>
      <x:c r="G1613" t="str">
        <x:v>Spring</x:v>
      </x:c>
      <x:c r="H1613" t="str">
        <x:v>Card</x:v>
      </x:c>
      <x:c r="I1613" t="n">
        <x:v>3.8</x:v>
      </x:c>
      <x:c r="J1613" t="n">
        <x:v>9</x:v>
      </x:c>
      <x:c r="K1613" t="n">
        <x:v>2</x:v>
      </x:c>
      <x:c r="L1613" t="str">
        <x:v>STORE-001</x:v>
      </x:c>
      <x:c r="M1613" s="22" t="n">
        <x:v>46292</x:v>
      </x:c>
      <x:c r="N1613" t="str">
        <x:v>SKU-025</x:v>
      </x:c>
      <x:c r="O1613" t="n">
        <x:v>2</x:v>
      </x:c>
      <x:c r="P1613" s="26" t="n">
        <x:f>F1613/O1613</x:f>
        <x:v>105.545</x:v>
      </x:c>
    </x:row>
    <x:row r="1614">
      <x:c r="A1614" t="n">
        <x:v>1613</x:v>
      </x:c>
      <x:c r="B1614" t="n">
        <x:v>56</x:v>
      </x:c>
      <x:c r="C1614" t="str">
        <x:v>Female</x:v>
      </x:c>
      <x:c r="D1614" t="str">
        <x:v>Footwear</x:v>
      </x:c>
      <x:c r="E1614" t="str">
        <x:v>Sneakers</x:v>
      </x:c>
      <x:c r="F1614" s="24" t="n">
        <x:v>181.83</x:v>
      </x:c>
      <x:c r="G1614" t="str">
        <x:v>Spring</x:v>
      </x:c>
      <x:c r="H1614" t="str">
        <x:v>Card</x:v>
      </x:c>
      <x:c r="I1614" t="n">
        <x:v>4</x:v>
      </x:c>
      <x:c r="J1614" t="n">
        <x:v>2</x:v>
      </x:c>
      <x:c r="K1614" t="n">
        <x:v>1</x:v>
      </x:c>
      <x:c r="L1614" t="str">
        <x:v>STORE-001</x:v>
      </x:c>
      <x:c r="M1614" s="22" t="n">
        <x:v>45966</x:v>
      </x:c>
      <x:c r="N1614" t="str">
        <x:v>SKU-025</x:v>
      </x:c>
      <x:c r="O1614" t="n">
        <x:v>1</x:v>
      </x:c>
      <x:c r="P1614" s="26" t="n">
        <x:f>F1614/O1614</x:f>
        <x:v>181.83</x:v>
      </x:c>
    </x:row>
    <x:row r="1615">
      <x:c r="A1615" t="n">
        <x:v>1614</x:v>
      </x:c>
      <x:c r="B1615" t="n">
        <x:v>39</x:v>
      </x:c>
      <x:c r="C1615" t="str">
        <x:v>Female</x:v>
      </x:c>
      <x:c r="D1615" t="str">
        <x:v>Beauty</x:v>
      </x:c>
      <x:c r="E1615" t="str">
        <x:v>Perfume</x:v>
      </x:c>
      <x:c r="F1615" s="24" t="n">
        <x:v>96.55</x:v>
      </x:c>
      <x:c r="G1615" t="str">
        <x:v>Winter</x:v>
      </x:c>
      <x:c r="H1615" t="str">
        <x:v>Cash on Delivery</x:v>
      </x:c>
      <x:c r="I1615" t="n">
        <x:v>3.5</x:v>
      </x:c>
      <x:c r="J1615" t="n">
        <x:v>21</x:v>
      </x:c>
      <x:c r="K1615" t="n">
        <x:v>8</x:v>
      </x:c>
      <x:c r="L1615" t="str">
        <x:v>STORE-001</x:v>
      </x:c>
      <x:c r="M1615" s="22" t="n">
        <x:v>46255</x:v>
      </x:c>
      <x:c r="N1615" t="str">
        <x:v>SKU-017</x:v>
      </x:c>
      <x:c r="O1615" t="n">
        <x:v>1</x:v>
      </x:c>
      <x:c r="P1615" s="26" t="n">
        <x:f>F1615/O1615</x:f>
        <x:v>96.55</x:v>
      </x:c>
    </x:row>
    <x:row r="1616">
      <x:c r="A1616" t="n">
        <x:v>1615</x:v>
      </x:c>
      <x:c r="B1616" t="n">
        <x:v>53</x:v>
      </x:c>
      <x:c r="C1616" t="str">
        <x:v>Female</x:v>
      </x:c>
      <x:c r="D1616" t="str">
        <x:v>Beauty</x:v>
      </x:c>
      <x:c r="E1616" t="str">
        <x:v>Skincare Kit</x:v>
      </x:c>
      <x:c r="F1616" s="24" t="n">
        <x:v>105.07</x:v>
      </x:c>
      <x:c r="G1616" t="str">
        <x:v>Spring</x:v>
      </x:c>
      <x:c r="H1616" t="str">
        <x:v>Card</x:v>
      </x:c>
      <x:c r="I1616" t="n">
        <x:v>3.2</x:v>
      </x:c>
      <x:c r="J1616" t="n">
        <x:v>24</x:v>
      </x:c>
      <x:c r="K1616" t="n">
        <x:v>7</x:v>
      </x:c>
      <x:c r="L1616" t="str">
        <x:v>STORE-001</x:v>
      </x:c>
      <x:c r="M1616" s="22" t="n">
        <x:v>45935</x:v>
      </x:c>
      <x:c r="N1616" t="str">
        <x:v>SKU-021</x:v>
      </x:c>
      <x:c r="O1616" t="n">
        <x:v>2</x:v>
      </x:c>
      <x:c r="P1616" s="26" t="n">
        <x:f>F1616/O1616</x:f>
        <x:v>52.535</x:v>
      </x:c>
    </x:row>
    <x:row r="1617">
      <x:c r="A1617" t="n">
        <x:v>1616</x:v>
      </x:c>
      <x:c r="B1617" t="n">
        <x:v>50</x:v>
      </x:c>
      <x:c r="C1617" t="str">
        <x:v>Female</x:v>
      </x:c>
      <x:c r="D1617" t="str">
        <x:v>Beauty</x:v>
      </x:c>
      <x:c r="E1617" t="str">
        <x:v>Skincare Kit</x:v>
      </x:c>
      <x:c r="F1617" s="24" t="n">
        <x:v>140.66</x:v>
      </x:c>
      <x:c r="G1617" t="str">
        <x:v>Winter</x:v>
      </x:c>
      <x:c r="H1617" t="str">
        <x:v>Card</x:v>
      </x:c>
      <x:c r="I1617" t="n">
        <x:v>4.5</x:v>
      </x:c>
      <x:c r="J1617" t="n">
        <x:v>22</x:v>
      </x:c>
      <x:c r="K1617" t="n">
        <x:v>6</x:v>
      </x:c>
      <x:c r="L1617" t="str">
        <x:v>STORE-001</x:v>
      </x:c>
      <x:c r="M1617" s="22" t="n">
        <x:v>46229</x:v>
      </x:c>
      <x:c r="N1617" t="str">
        <x:v>SKU-021</x:v>
      </x:c>
      <x:c r="O1617" t="n">
        <x:v>1</x:v>
      </x:c>
      <x:c r="P1617" s="26" t="n">
        <x:f>F1617/O1617</x:f>
        <x:v>140.66</x:v>
      </x:c>
    </x:row>
    <x:row r="1618">
      <x:c r="A1618" t="n">
        <x:v>1617</x:v>
      </x:c>
      <x:c r="B1618" t="n">
        <x:v>38</x:v>
      </x:c>
      <x:c r="C1618" t="str">
        <x:v>Female</x:v>
      </x:c>
      <x:c r="D1618" t="str">
        <x:v>Beauty</x:v>
      </x:c>
      <x:c r="E1618" t="str">
        <x:v>Perfume</x:v>
      </x:c>
      <x:c r="F1618" s="24" t="n">
        <x:v>48.99</x:v>
      </x:c>
      <x:c r="G1618" t="str">
        <x:v>Summer</x:v>
      </x:c>
      <x:c r="H1618" t="str">
        <x:v>Cash on Delivery</x:v>
      </x:c>
      <x:c r="I1618" t="n">
        <x:v>4.6</x:v>
      </x:c>
      <x:c r="J1618" t="n">
        <x:v>20</x:v>
      </x:c>
      <x:c r="K1618" t="n">
        <x:v>5</x:v>
      </x:c>
      <x:c r="L1618" t="str">
        <x:v>STORE-001</x:v>
      </x:c>
      <x:c r="M1618" s="22" t="n">
        <x:v>46000</x:v>
      </x:c>
      <x:c r="N1618" t="str">
        <x:v>SKU-017</x:v>
      </x:c>
      <x:c r="O1618" t="n">
        <x:v>1</x:v>
      </x:c>
      <x:c r="P1618" s="26" t="n">
        <x:f>F1618/O1618</x:f>
        <x:v>48.99</x:v>
      </x:c>
    </x:row>
    <x:row r="1619">
      <x:c r="A1619" t="n">
        <x:v>1618</x:v>
      </x:c>
      <x:c r="B1619" t="n">
        <x:v>20</x:v>
      </x:c>
      <x:c r="C1619" t="str">
        <x:v>Female</x:v>
      </x:c>
      <x:c r="D1619" t="str">
        <x:v>Footwear</x:v>
      </x:c>
      <x:c r="E1619" t="str">
        <x:v>Sneakers</x:v>
      </x:c>
      <x:c r="F1619" s="24" t="n">
        <x:v>43.11</x:v>
      </x:c>
      <x:c r="G1619" t="str">
        <x:v>Autumn</x:v>
      </x:c>
      <x:c r="H1619" t="str">
        <x:v>Cash on Delivery</x:v>
      </x:c>
      <x:c r="I1619" t="n">
        <x:v>2.7</x:v>
      </x:c>
      <x:c r="J1619" t="n">
        <x:v>11</x:v>
      </x:c>
      <x:c r="K1619" t="n">
        <x:v>3</x:v>
      </x:c>
      <x:c r="L1619" t="str">
        <x:v>STORE-001</x:v>
      </x:c>
      <x:c r="M1619" s="22" t="n">
        <x:v>46145</x:v>
      </x:c>
      <x:c r="N1619" t="str">
        <x:v>SKU-025</x:v>
      </x:c>
      <x:c r="O1619" t="n">
        <x:v>2</x:v>
      </x:c>
      <x:c r="P1619" s="26" t="n">
        <x:f>F1619/O1619</x:f>
        <x:v>21.555</x:v>
      </x:c>
    </x:row>
    <x:row r="1620">
      <x:c r="A1620" t="n">
        <x:v>1619</x:v>
      </x:c>
      <x:c r="B1620" t="n">
        <x:v>55</x:v>
      </x:c>
      <x:c r="C1620" t="str">
        <x:v>Male</x:v>
      </x:c>
      <x:c r="D1620" t="str">
        <x:v>Mens Clothing</x:v>
      </x:c>
      <x:c r="E1620" t="str">
        <x:v>Jacket</x:v>
      </x:c>
      <x:c r="F1620" s="24" t="n">
        <x:v>168.41</x:v>
      </x:c>
      <x:c r="G1620" t="str">
        <x:v>Winter</x:v>
      </x:c>
      <x:c r="H1620" t="str">
        <x:v>Card</x:v>
      </x:c>
      <x:c r="I1620" t="n">
        <x:v>3.4</x:v>
      </x:c>
      <x:c r="J1620" t="n">
        <x:v>8</x:v>
      </x:c>
      <x:c r="K1620" t="n">
        <x:v>4</x:v>
      </x:c>
      <x:c r="L1620" t="str">
        <x:v>STORE-001</x:v>
      </x:c>
      <x:c r="M1620" s="22" t="n">
        <x:v>46197</x:v>
      </x:c>
      <x:c r="N1620" t="str">
        <x:v>SKU-010</x:v>
      </x:c>
      <x:c r="O1620" t="n">
        <x:v>1</x:v>
      </x:c>
      <x:c r="P1620" s="26" t="n">
        <x:f>F1620/O1620</x:f>
        <x:v>168.41</x:v>
      </x:c>
    </x:row>
    <x:row r="1621">
      <x:c r="A1621" t="n">
        <x:v>1620</x:v>
      </x:c>
      <x:c r="B1621" t="n">
        <x:v>33</x:v>
      </x:c>
      <x:c r="C1621" t="str">
        <x:v>Male</x:v>
      </x:c>
      <x:c r="D1621" t="str">
        <x:v>Sports</x:v>
      </x:c>
      <x:c r="E1621" t="str">
        <x:v>Dumbbells</x:v>
      </x:c>
      <x:c r="F1621" s="24" t="n">
        <x:v>174.82</x:v>
      </x:c>
      <x:c r="G1621" t="str">
        <x:v>Summer</x:v>
      </x:c>
      <x:c r="H1621" t="str">
        <x:v>Card</x:v>
      </x:c>
      <x:c r="I1621" t="n">
        <x:v>3.2</x:v>
      </x:c>
      <x:c r="J1621" t="n">
        <x:v>11</x:v>
      </x:c>
      <x:c r="K1621" t="n">
        <x:v>3</x:v>
      </x:c>
      <x:c r="L1621" t="str">
        <x:v>STORE-001</x:v>
      </x:c>
      <x:c r="M1621" s="22" t="n">
        <x:v>46063</x:v>
      </x:c>
      <x:c r="N1621" t="str">
        <x:v>SKU-005</x:v>
      </x:c>
      <x:c r="O1621" t="n">
        <x:v>4</x:v>
      </x:c>
      <x:c r="P1621" s="26" t="n">
        <x:f>F1621/O1621</x:f>
        <x:v>43.705</x:v>
      </x:c>
    </x:row>
    <x:row r="1622">
      <x:c r="A1622" t="n">
        <x:v>1621</x:v>
      </x:c>
      <x:c r="B1622" t="n">
        <x:v>68</x:v>
      </x:c>
      <x:c r="C1622" t="str">
        <x:v>Female</x:v>
      </x:c>
      <x:c r="D1622" t="str">
        <x:v>Beauty</x:v>
      </x:c>
      <x:c r="E1622" t="str">
        <x:v>Skincare Kit</x:v>
      </x:c>
      <x:c r="F1622" s="24" t="n">
        <x:v>76.84</x:v>
      </x:c>
      <x:c r="G1622" t="str">
        <x:v>Autumn</x:v>
      </x:c>
      <x:c r="H1622" t="str">
        <x:v>Cash on Delivery</x:v>
      </x:c>
      <x:c r="I1622" t="n">
        <x:v>3.2</x:v>
      </x:c>
      <x:c r="J1622" t="n">
        <x:v>15</x:v>
      </x:c>
      <x:c r="K1622" t="n">
        <x:v>5</x:v>
      </x:c>
      <x:c r="L1622" t="str">
        <x:v>STORE-001</x:v>
      </x:c>
      <x:c r="M1622" s="22" t="n">
        <x:v>46106</x:v>
      </x:c>
      <x:c r="N1622" t="str">
        <x:v>SKU-021</x:v>
      </x:c>
      <x:c r="O1622" t="n">
        <x:v>1</x:v>
      </x:c>
      <x:c r="P1622" s="26" t="n">
        <x:f>F1622/O1622</x:f>
        <x:v>76.84</x:v>
      </x:c>
    </x:row>
    <x:row r="1623">
      <x:c r="A1623" t="n">
        <x:v>1622</x:v>
      </x:c>
      <x:c r="B1623" t="n">
        <x:v>41</x:v>
      </x:c>
      <x:c r="C1623" t="str">
        <x:v>Female</x:v>
      </x:c>
      <x:c r="D1623" t="str">
        <x:v>Beauty</x:v>
      </x:c>
      <x:c r="E1623" t="str">
        <x:v>Skincare Kit</x:v>
      </x:c>
      <x:c r="F1623" s="24" t="n">
        <x:v>106.37</x:v>
      </x:c>
      <x:c r="G1623" t="str">
        <x:v>Winter</x:v>
      </x:c>
      <x:c r="H1623" t="str">
        <x:v>Card</x:v>
      </x:c>
      <x:c r="I1623" t="n">
        <x:v>2.3</x:v>
      </x:c>
      <x:c r="J1623" t="n">
        <x:v>20</x:v>
      </x:c>
      <x:c r="K1623" t="n">
        <x:v>5</x:v>
      </x:c>
      <x:c r="L1623" t="str">
        <x:v>STORE-001</x:v>
      </x:c>
      <x:c r="M1623" s="22" t="n">
        <x:v>46237</x:v>
      </x:c>
      <x:c r="N1623" t="str">
        <x:v>SKU-021</x:v>
      </x:c>
      <x:c r="O1623" t="n">
        <x:v>1</x:v>
      </x:c>
      <x:c r="P1623" s="26" t="n">
        <x:f>F1623/O1623</x:f>
        <x:v>106.37</x:v>
      </x:c>
    </x:row>
    <x:row r="1624">
      <x:c r="A1624" t="n">
        <x:v>1623</x:v>
      </x:c>
      <x:c r="B1624" t="n">
        <x:v>54</x:v>
      </x:c>
      <x:c r="C1624" t="str">
        <x:v>Male</x:v>
      </x:c>
      <x:c r="D1624" t="str">
        <x:v>Electronics</x:v>
      </x:c>
      <x:c r="E1624" t="str">
        <x:v>Mobile Phone</x:v>
      </x:c>
      <x:c r="F1624" s="24" t="n">
        <x:v>2164.64</x:v>
      </x:c>
      <x:c r="G1624" t="str">
        <x:v>Spring</x:v>
      </x:c>
      <x:c r="H1624" t="str">
        <x:v>Card</x:v>
      </x:c>
      <x:c r="I1624" t="n">
        <x:v>3.9</x:v>
      </x:c>
      <x:c r="J1624" t="n">
        <x:v>10</x:v>
      </x:c>
      <x:c r="K1624" t="n">
        <x:v>5</x:v>
      </x:c>
      <x:c r="L1624" t="str">
        <x:v>STORE-001</x:v>
      </x:c>
      <x:c r="M1624" s="22" t="n">
        <x:v>45976</x:v>
      </x:c>
      <x:c r="N1624" t="str">
        <x:v>SKU-016</x:v>
      </x:c>
      <x:c r="O1624" t="n">
        <x:v>1</x:v>
      </x:c>
      <x:c r="P1624" s="26" t="n">
        <x:f>F1624/O1624</x:f>
        <x:v>2164.64</x:v>
      </x:c>
    </x:row>
    <x:row r="1625">
      <x:c r="A1625" t="n">
        <x:v>1624</x:v>
      </x:c>
      <x:c r="B1625" t="n">
        <x:v>31</x:v>
      </x:c>
      <x:c r="C1625" t="str">
        <x:v>Female</x:v>
      </x:c>
      <x:c r="D1625" t="str">
        <x:v>Beauty</x:v>
      </x:c>
      <x:c r="E1625" t="str">
        <x:v>Skincare Kit</x:v>
      </x:c>
      <x:c r="F1625" s="24" t="n">
        <x:v>61.15</x:v>
      </x:c>
      <x:c r="G1625" t="str">
        <x:v>Summer</x:v>
      </x:c>
      <x:c r="H1625" t="str">
        <x:v>Card</x:v>
      </x:c>
      <x:c r="I1625" t="n">
        <x:v>3.4</x:v>
      </x:c>
      <x:c r="J1625" t="n">
        <x:v>17</x:v>
      </x:c>
      <x:c r="K1625" t="n">
        <x:v>6</x:v>
      </x:c>
      <x:c r="L1625" t="str">
        <x:v>STORE-001</x:v>
      </x:c>
      <x:c r="M1625" s="22" t="n">
        <x:v>46049</x:v>
      </x:c>
      <x:c r="N1625" t="str">
        <x:v>SKU-021</x:v>
      </x:c>
      <x:c r="O1625" t="n">
        <x:v>1</x:v>
      </x:c>
      <x:c r="P1625" s="26" t="n">
        <x:f>F1625/O1625</x:f>
        <x:v>61.15</x:v>
      </x:c>
    </x:row>
    <x:row r="1626">
      <x:c r="A1626" t="n">
        <x:v>1625</x:v>
      </x:c>
      <x:c r="B1626" t="n">
        <x:v>31</x:v>
      </x:c>
      <x:c r="C1626" t="str">
        <x:v>Male</x:v>
      </x:c>
      <x:c r="D1626" t="str">
        <x:v>Electronics</x:v>
      </x:c>
      <x:c r="E1626" t="str">
        <x:v>Headphones</x:v>
      </x:c>
      <x:c r="F1626" s="24" t="n">
        <x:v>1128.3</x:v>
      </x:c>
      <x:c r="G1626" t="str">
        <x:v>Summer</x:v>
      </x:c>
      <x:c r="H1626" t="str">
        <x:v>Card</x:v>
      </x:c>
      <x:c r="I1626" t="n">
        <x:v>3.2</x:v>
      </x:c>
      <x:c r="J1626" t="n">
        <x:v>10</x:v>
      </x:c>
      <x:c r="K1626" t="n">
        <x:v>5</x:v>
      </x:c>
      <x:c r="L1626" t="str">
        <x:v>STORE-001</x:v>
      </x:c>
      <x:c r="M1626" s="22" t="n">
        <x:v>45995</x:v>
      </x:c>
      <x:c r="N1626" t="str">
        <x:v>SKU-009</x:v>
      </x:c>
      <x:c r="O1626" t="n">
        <x:v>1</x:v>
      </x:c>
      <x:c r="P1626" s="26" t="n">
        <x:f>F1626/O1626</x:f>
        <x:v>1128.3</x:v>
      </x:c>
    </x:row>
    <x:row r="1627">
      <x:c r="A1627" t="n">
        <x:v>1626</x:v>
      </x:c>
      <x:c r="B1627" t="n">
        <x:v>47</x:v>
      </x:c>
      <x:c r="C1627" t="str">
        <x:v>Male</x:v>
      </x:c>
      <x:c r="D1627" t="str">
        <x:v>Electronics</x:v>
      </x:c>
      <x:c r="E1627" t="str">
        <x:v>Mobile Phone</x:v>
      </x:c>
      <x:c r="F1627" s="24" t="n">
        <x:v>696.28</x:v>
      </x:c>
      <x:c r="G1627" t="str">
        <x:v>Autumn</x:v>
      </x:c>
      <x:c r="H1627" t="str">
        <x:v>Card</x:v>
      </x:c>
      <x:c r="I1627" t="n">
        <x:v>3.7</x:v>
      </x:c>
      <x:c r="J1627" t="n">
        <x:v>15</x:v>
      </x:c>
      <x:c r="K1627" t="n">
        <x:v>5</x:v>
      </x:c>
      <x:c r="L1627" t="str">
        <x:v>STORE-001</x:v>
      </x:c>
      <x:c r="M1627" s="22" t="n">
        <x:v>46134</x:v>
      </x:c>
      <x:c r="N1627" t="str">
        <x:v>SKU-016</x:v>
      </x:c>
      <x:c r="O1627" t="n">
        <x:v>2</x:v>
      </x:c>
      <x:c r="P1627" s="26" t="n">
        <x:f>F1627/O1627</x:f>
        <x:v>348.14</x:v>
      </x:c>
    </x:row>
    <x:row r="1628">
      <x:c r="A1628" t="n">
        <x:v>1627</x:v>
      </x:c>
      <x:c r="B1628" t="n">
        <x:v>55</x:v>
      </x:c>
      <x:c r="C1628" t="str">
        <x:v>Male</x:v>
      </x:c>
      <x:c r="D1628" t="str">
        <x:v>Footwear</x:v>
      </x:c>
      <x:c r="E1628" t="str">
        <x:v>Formal Shoes</x:v>
      </x:c>
      <x:c r="F1628" s="24" t="n">
        <x:v>212.95</x:v>
      </x:c>
      <x:c r="G1628" t="str">
        <x:v>Winter</x:v>
      </x:c>
      <x:c r="H1628" t="str">
        <x:v>Card</x:v>
      </x:c>
      <x:c r="I1628" t="n">
        <x:v>3.4</x:v>
      </x:c>
      <x:c r="J1628" t="n">
        <x:v>12</x:v>
      </x:c>
      <x:c r="K1628" t="n">
        <x:v>6</x:v>
      </x:c>
      <x:c r="L1628" t="str">
        <x:v>STORE-001</x:v>
      </x:c>
      <x:c r="M1628" s="22" t="n">
        <x:v>46217</x:v>
      </x:c>
      <x:c r="N1628" t="str">
        <x:v>SKU-007</x:v>
      </x:c>
      <x:c r="O1628" t="n">
        <x:v>1</x:v>
      </x:c>
      <x:c r="P1628" s="26" t="n">
        <x:f>F1628/O1628</x:f>
        <x:v>212.95</x:v>
      </x:c>
    </x:row>
    <x:row r="1629">
      <x:c r="A1629" t="n">
        <x:v>1628</x:v>
      </x:c>
      <x:c r="B1629" t="n">
        <x:v>56</x:v>
      </x:c>
      <x:c r="C1629" t="str">
        <x:v>Female</x:v>
      </x:c>
      <x:c r="D1629" t="str">
        <x:v>Footwear</x:v>
      </x:c>
      <x:c r="E1629" t="str">
        <x:v>Sneakers</x:v>
      </x:c>
      <x:c r="F1629" s="24" t="n">
        <x:v>213.37</x:v>
      </x:c>
      <x:c r="G1629" t="str">
        <x:v>Winter</x:v>
      </x:c>
      <x:c r="H1629" t="str">
        <x:v>Card</x:v>
      </x:c>
      <x:c r="I1629" t="n">
        <x:v>2.9</x:v>
      </x:c>
      <x:c r="J1629" t="n">
        <x:v>4</x:v>
      </x:c>
      <x:c r="K1629" t="n">
        <x:v>2</x:v>
      </x:c>
      <x:c r="L1629" t="str">
        <x:v>STORE-001</x:v>
      </x:c>
      <x:c r="M1629" s="22" t="n">
        <x:v>46193</x:v>
      </x:c>
      <x:c r="N1629" t="str">
        <x:v>SKU-025</x:v>
      </x:c>
      <x:c r="O1629" t="n">
        <x:v>1</x:v>
      </x:c>
      <x:c r="P1629" s="26" t="n">
        <x:f>F1629/O1629</x:f>
        <x:v>213.37</x:v>
      </x:c>
    </x:row>
    <x:row r="1630">
      <x:c r="A1630" t="n">
        <x:v>1629</x:v>
      </x:c>
      <x:c r="B1630" t="n">
        <x:v>57</x:v>
      </x:c>
      <x:c r="C1630" t="str">
        <x:v>Female</x:v>
      </x:c>
      <x:c r="D1630" t="str">
        <x:v>Groceries</x:v>
      </x:c>
      <x:c r="E1630" t="str">
        <x:v>Rice Pack</x:v>
      </x:c>
      <x:c r="F1630" s="24" t="n">
        <x:v>30.58</x:v>
      </x:c>
      <x:c r="G1630" t="str">
        <x:v>Summer</x:v>
      </x:c>
      <x:c r="H1630" t="str">
        <x:v>Card</x:v>
      </x:c>
      <x:c r="I1630" t="n">
        <x:v>4.4</x:v>
      </x:c>
      <x:c r="J1630" t="n">
        <x:v>14</x:v>
      </x:c>
      <x:c r="K1630" t="n">
        <x:v>7</x:v>
      </x:c>
      <x:c r="L1630" t="str">
        <x:v>STORE-001</x:v>
      </x:c>
      <x:c r="M1630" s="22" t="n">
        <x:v>46010</x:v>
      </x:c>
      <x:c r="N1630" t="str">
        <x:v>SKU-018</x:v>
      </x:c>
      <x:c r="O1630" t="n">
        <x:v>3</x:v>
      </x:c>
      <x:c r="P1630" s="26" t="n">
        <x:f>F1630/O1630</x:f>
        <x:v>10.193333333333333</x:v>
      </x:c>
    </x:row>
    <x:row r="1631">
      <x:c r="A1631" t="n">
        <x:v>1630</x:v>
      </x:c>
      <x:c r="B1631" t="n">
        <x:v>54</x:v>
      </x:c>
      <x:c r="C1631" t="str">
        <x:v>Female</x:v>
      </x:c>
      <x:c r="D1631" t="str">
        <x:v>Footwear</x:v>
      </x:c>
      <x:c r="E1631" t="str">
        <x:v>Formal Shoes</x:v>
      </x:c>
      <x:c r="F1631" s="24" t="n">
        <x:v>146.74</x:v>
      </x:c>
      <x:c r="G1631" t="str">
        <x:v>Summer</x:v>
      </x:c>
      <x:c r="H1631" t="str">
        <x:v>Card</x:v>
      </x:c>
      <x:c r="I1631" t="n">
        <x:v>3.7</x:v>
      </x:c>
      <x:c r="J1631" t="n">
        <x:v>28</x:v>
      </x:c>
      <x:c r="K1631" t="n">
        <x:v>9</x:v>
      </x:c>
      <x:c r="L1631" t="str">
        <x:v>STORE-001</x:v>
      </x:c>
      <x:c r="M1631" s="22" t="n">
        <x:v>46079</x:v>
      </x:c>
      <x:c r="N1631" t="str">
        <x:v>SKU-007</x:v>
      </x:c>
      <x:c r="O1631" t="n">
        <x:v>1</x:v>
      </x:c>
      <x:c r="P1631" s="26" t="n">
        <x:f>F1631/O1631</x:f>
        <x:v>146.74</x:v>
      </x:c>
    </x:row>
    <x:row r="1632">
      <x:c r="A1632" t="n">
        <x:v>1631</x:v>
      </x:c>
      <x:c r="B1632" t="n">
        <x:v>44</x:v>
      </x:c>
      <x:c r="C1632" t="str">
        <x:v>Female</x:v>
      </x:c>
      <x:c r="D1632" t="str">
        <x:v>Groceries</x:v>
      </x:c>
      <x:c r="E1632" t="str">
        <x:v>Snacks</x:v>
      </x:c>
      <x:c r="F1632" s="24" t="n">
        <x:v>14.22</x:v>
      </x:c>
      <x:c r="G1632" t="str">
        <x:v>Spring</x:v>
      </x:c>
      <x:c r="H1632" t="str">
        <x:v>Cash on Delivery</x:v>
      </x:c>
      <x:c r="I1632" t="n">
        <x:v>2.5</x:v>
      </x:c>
      <x:c r="J1632" t="n">
        <x:v>14</x:v>
      </x:c>
      <x:c r="K1632" t="n">
        <x:v>7</x:v>
      </x:c>
      <x:c r="L1632" t="str">
        <x:v>STORE-001</x:v>
      </x:c>
      <x:c r="M1632" s="22" t="n">
        <x:v>45974</x:v>
      </x:c>
      <x:c r="N1632" t="str">
        <x:v>SKU-024</x:v>
      </x:c>
      <x:c r="O1632" t="n">
        <x:v>1</x:v>
      </x:c>
      <x:c r="P1632" s="26" t="n">
        <x:f>F1632/O1632</x:f>
        <x:v>14.22</x:v>
      </x:c>
    </x:row>
    <x:row r="1633">
      <x:c r="A1633" t="n">
        <x:v>1632</x:v>
      </x:c>
      <x:c r="B1633" t="n">
        <x:v>44</x:v>
      </x:c>
      <x:c r="C1633" t="str">
        <x:v>Male</x:v>
      </x:c>
      <x:c r="D1633" t="str">
        <x:v>Sports</x:v>
      </x:c>
      <x:c r="E1633" t="str">
        <x:v>Football</x:v>
      </x:c>
      <x:c r="F1633" s="24" t="n">
        <x:v>87.41</x:v>
      </x:c>
      <x:c r="G1633" t="str">
        <x:v>Autumn</x:v>
      </x:c>
      <x:c r="H1633" t="str">
        <x:v>Cash on Delivery</x:v>
      </x:c>
      <x:c r="I1633" t="n">
        <x:v>3.4</x:v>
      </x:c>
      <x:c r="J1633" t="n">
        <x:v>4</x:v>
      </x:c>
      <x:c r="K1633" t="n">
        <x:v>2</x:v>
      </x:c>
      <x:c r="L1633" t="str">
        <x:v>STORE-001</x:v>
      </x:c>
      <x:c r="M1633" s="22" t="n">
        <x:v>46110</x:v>
      </x:c>
      <x:c r="N1633" t="str">
        <x:v>SKU-006</x:v>
      </x:c>
      <x:c r="O1633" t="n">
        <x:v>1</x:v>
      </x:c>
      <x:c r="P1633" s="26" t="n">
        <x:f>F1633/O1633</x:f>
        <x:v>87.41</x:v>
      </x:c>
    </x:row>
    <x:row r="1634">
      <x:c r="A1634" t="n">
        <x:v>1633</x:v>
      </x:c>
      <x:c r="B1634" t="n">
        <x:v>23</x:v>
      </x:c>
      <x:c r="C1634" t="str">
        <x:v>Female</x:v>
      </x:c>
      <x:c r="D1634" t="str">
        <x:v>Groceries</x:v>
      </x:c>
      <x:c r="E1634" t="str">
        <x:v>Rice Pack</x:v>
      </x:c>
      <x:c r="F1634" s="24" t="n">
        <x:v>78.14</x:v>
      </x:c>
      <x:c r="G1634" t="str">
        <x:v>Winter</x:v>
      </x:c>
      <x:c r="H1634" t="str">
        <x:v>Card</x:v>
      </x:c>
      <x:c r="I1634" t="n">
        <x:v>3.7</x:v>
      </x:c>
      <x:c r="J1634" t="n">
        <x:v>14</x:v>
      </x:c>
      <x:c r="K1634" t="n">
        <x:v>7</x:v>
      </x:c>
      <x:c r="L1634" t="str">
        <x:v>STORE-001</x:v>
      </x:c>
      <x:c r="M1634" s="22" t="n">
        <x:v>46210</x:v>
      </x:c>
      <x:c r="N1634" t="str">
        <x:v>SKU-018</x:v>
      </x:c>
      <x:c r="O1634" t="n">
        <x:v>2</x:v>
      </x:c>
      <x:c r="P1634" s="26" t="n">
        <x:f>F1634/O1634</x:f>
        <x:v>39.07</x:v>
      </x:c>
    </x:row>
    <x:row r="1635">
      <x:c r="A1635" t="n">
        <x:v>1634</x:v>
      </x:c>
      <x:c r="B1635" t="n">
        <x:v>64</x:v>
      </x:c>
      <x:c r="C1635" t="str">
        <x:v>Female</x:v>
      </x:c>
      <x:c r="D1635" t="str">
        <x:v>Groceries</x:v>
      </x:c>
      <x:c r="E1635" t="str">
        <x:v>Cooking Oil</x:v>
      </x:c>
      <x:c r="F1635" s="24" t="n">
        <x:v>40.22</x:v>
      </x:c>
      <x:c r="G1635" t="str">
        <x:v>Spring</x:v>
      </x:c>
      <x:c r="H1635" t="str">
        <x:v>Cash on Delivery</x:v>
      </x:c>
      <x:c r="I1635" t="n">
        <x:v>4.5</x:v>
      </x:c>
      <x:c r="J1635" t="n">
        <x:v>11</x:v>
      </x:c>
      <x:c r="K1635" t="n">
        <x:v>3</x:v>
      </x:c>
      <x:c r="L1635" t="str">
        <x:v>STORE-001</x:v>
      </x:c>
      <x:c r="M1635" s="22" t="n">
        <x:v>46295</x:v>
      </x:c>
      <x:c r="N1635" t="str">
        <x:v>SKU-002</x:v>
      </x:c>
      <x:c r="O1635" t="n">
        <x:v>3</x:v>
      </x:c>
      <x:c r="P1635" s="26" t="n">
        <x:f>F1635/O1635</x:f>
        <x:v>13.406666666666666</x:v>
      </x:c>
    </x:row>
    <x:row r="1636">
      <x:c r="A1636" t="n">
        <x:v>1635</x:v>
      </x:c>
      <x:c r="B1636" t="n">
        <x:v>39</x:v>
      </x:c>
      <x:c r="C1636" t="str">
        <x:v>Male</x:v>
      </x:c>
      <x:c r="D1636" t="str">
        <x:v>Home</x:v>
      </x:c>
      <x:c r="E1636" t="str">
        <x:v>Curtains</x:v>
      </x:c>
      <x:c r="F1636" s="24" t="n">
        <x:v>199.12</x:v>
      </x:c>
      <x:c r="G1636" t="str">
        <x:v>Summer</x:v>
      </x:c>
      <x:c r="H1636" t="str">
        <x:v>Card</x:v>
      </x:c>
      <x:c r="I1636" t="n">
        <x:v>3.7</x:v>
      </x:c>
      <x:c r="J1636" t="n">
        <x:v>19</x:v>
      </x:c>
      <x:c r="K1636" t="n">
        <x:v>7</x:v>
      </x:c>
      <x:c r="L1636" t="str">
        <x:v>STORE-001</x:v>
      </x:c>
      <x:c r="M1636" s="22" t="n">
        <x:v>46042</x:v>
      </x:c>
      <x:c r="N1636" t="str">
        <x:v>SKU-003</x:v>
      </x:c>
      <x:c r="O1636" t="n">
        <x:v>1</x:v>
      </x:c>
      <x:c r="P1636" s="26" t="n">
        <x:f>F1636/O1636</x:f>
        <x:v>199.12</x:v>
      </x:c>
    </x:row>
    <x:row r="1637">
      <x:c r="A1637" t="n">
        <x:v>1636</x:v>
      </x:c>
      <x:c r="B1637" t="n">
        <x:v>40</x:v>
      </x:c>
      <x:c r="C1637" t="str">
        <x:v>Female</x:v>
      </x:c>
      <x:c r="D1637" t="str">
        <x:v>Sports</x:v>
      </x:c>
      <x:c r="E1637" t="str">
        <x:v>Dumbbells</x:v>
      </x:c>
      <x:c r="F1637" s="24" t="n">
        <x:v>204.66</x:v>
      </x:c>
      <x:c r="G1637" t="str">
        <x:v>Winter</x:v>
      </x:c>
      <x:c r="H1637" t="str">
        <x:v>Card</x:v>
      </x:c>
      <x:c r="I1637" t="n">
        <x:v>3</x:v>
      </x:c>
      <x:c r="J1637" t="n">
        <x:v>16</x:v>
      </x:c>
      <x:c r="K1637" t="n">
        <x:v>3</x:v>
      </x:c>
      <x:c r="L1637" t="str">
        <x:v>STORE-001</x:v>
      </x:c>
      <x:c r="M1637" s="22" t="n">
        <x:v>46177</x:v>
      </x:c>
      <x:c r="N1637" t="str">
        <x:v>SKU-005</x:v>
      </x:c>
      <x:c r="O1637" t="n">
        <x:v>1</x:v>
      </x:c>
      <x:c r="P1637" s="26" t="n">
        <x:f>F1637/O1637</x:f>
        <x:v>204.66</x:v>
      </x:c>
    </x:row>
    <x:row r="1638">
      <x:c r="A1638" t="n">
        <x:v>1637</x:v>
      </x:c>
      <x:c r="B1638" t="n">
        <x:v>21</x:v>
      </x:c>
      <x:c r="C1638" t="str">
        <x:v>Female</x:v>
      </x:c>
      <x:c r="D1638" t="str">
        <x:v>Footwear</x:v>
      </x:c>
      <x:c r="E1638" t="str">
        <x:v>Sandals</x:v>
      </x:c>
      <x:c r="F1638" s="24" t="n">
        <x:v>121.27</x:v>
      </x:c>
      <x:c r="G1638" t="str">
        <x:v>Summer</x:v>
      </x:c>
      <x:c r="H1638" t="str">
        <x:v>Card</x:v>
      </x:c>
      <x:c r="I1638" t="n">
        <x:v>5</x:v>
      </x:c>
      <x:c r="J1638" t="n">
        <x:v>22</x:v>
      </x:c>
      <x:c r="K1638" t="n">
        <x:v>6</x:v>
      </x:c>
      <x:c r="L1638" t="str">
        <x:v>STORE-001</x:v>
      </x:c>
      <x:c r="M1638" s="22" t="n">
        <x:v>45997</x:v>
      </x:c>
      <x:c r="N1638" t="str">
        <x:v>SKU-019</x:v>
      </x:c>
      <x:c r="O1638" t="n">
        <x:v>1</x:v>
      </x:c>
      <x:c r="P1638" s="26" t="n">
        <x:f>F1638/O1638</x:f>
        <x:v>121.27</x:v>
      </x:c>
    </x:row>
    <x:row r="1639">
      <x:c r="A1639" t="n">
        <x:v>1638</x:v>
      </x:c>
      <x:c r="B1639" t="n">
        <x:v>28</x:v>
      </x:c>
      <x:c r="C1639" t="str">
        <x:v>Female</x:v>
      </x:c>
      <x:c r="D1639" t="str">
        <x:v>Accessories</x:v>
      </x:c>
      <x:c r="E1639" t="str">
        <x:v>Sunglasses</x:v>
      </x:c>
      <x:c r="F1639" s="24" t="n">
        <x:v>63.38</x:v>
      </x:c>
      <x:c r="G1639" t="str">
        <x:v>Summer</x:v>
      </x:c>
      <x:c r="H1639" t="str">
        <x:v>Cash on Delivery</x:v>
      </x:c>
      <x:c r="I1639" t="n">
        <x:v>4.9</x:v>
      </x:c>
      <x:c r="J1639" t="n">
        <x:v>23</x:v>
      </x:c>
      <x:c r="K1639" t="n">
        <x:v>9</x:v>
      </x:c>
      <x:c r="L1639" t="str">
        <x:v>STORE-001</x:v>
      </x:c>
      <x:c r="M1639" s="22" t="n">
        <x:v>46053</x:v>
      </x:c>
      <x:c r="N1639" t="str">
        <x:v>SKU-026</x:v>
      </x:c>
      <x:c r="O1639" t="n">
        <x:v>1</x:v>
      </x:c>
      <x:c r="P1639" s="26" t="n">
        <x:f>F1639/O1639</x:f>
        <x:v>63.38</x:v>
      </x:c>
    </x:row>
    <x:row r="1640">
      <x:c r="A1640" t="n">
        <x:v>1639</x:v>
      </x:c>
      <x:c r="B1640" t="n">
        <x:v>34</x:v>
      </x:c>
      <x:c r="C1640" t="str">
        <x:v>Male</x:v>
      </x:c>
      <x:c r="D1640" t="str">
        <x:v>Electronics</x:v>
      </x:c>
      <x:c r="E1640" t="str">
        <x:v>Headphones</x:v>
      </x:c>
      <x:c r="F1640" s="24" t="n">
        <x:v>1458.59</x:v>
      </x:c>
      <x:c r="G1640" t="str">
        <x:v>Spring</x:v>
      </x:c>
      <x:c r="H1640" t="str">
        <x:v>Card</x:v>
      </x:c>
      <x:c r="I1640" t="n">
        <x:v>3.8</x:v>
      </x:c>
      <x:c r="J1640" t="n">
        <x:v>15</x:v>
      </x:c>
      <x:c r="K1640" t="n">
        <x:v>5</x:v>
      </x:c>
      <x:c r="L1640" t="str">
        <x:v>STORE-001</x:v>
      </x:c>
      <x:c r="M1640" s="22" t="n">
        <x:v>46295</x:v>
      </x:c>
      <x:c r="N1640" t="str">
        <x:v>SKU-009</x:v>
      </x:c>
      <x:c r="O1640" t="n">
        <x:v>1</x:v>
      </x:c>
      <x:c r="P1640" s="26" t="n">
        <x:f>F1640/O1640</x:f>
        <x:v>1458.59</x:v>
      </x:c>
    </x:row>
    <x:row r="1641">
      <x:c r="A1641" t="n">
        <x:v>1640</x:v>
      </x:c>
      <x:c r="B1641" t="n">
        <x:v>47</x:v>
      </x:c>
      <x:c r="C1641" t="str">
        <x:v>Female</x:v>
      </x:c>
      <x:c r="D1641" t="str">
        <x:v>Womens Clothing</x:v>
      </x:c>
      <x:c r="E1641" t="str">
        <x:v>Jeans</x:v>
      </x:c>
      <x:c r="F1641" s="24" t="n">
        <x:v>115.9</x:v>
      </x:c>
      <x:c r="G1641" t="str">
        <x:v>Winter</x:v>
      </x:c>
      <x:c r="H1641" t="str">
        <x:v>Card</x:v>
      </x:c>
      <x:c r="I1641" t="n">
        <x:v>4</x:v>
      </x:c>
      <x:c r="J1641" t="n">
        <x:v>24</x:v>
      </x:c>
      <x:c r="K1641" t="n">
        <x:v>12</x:v>
      </x:c>
      <x:c r="L1641" t="str">
        <x:v>STORE-001</x:v>
      </x:c>
      <x:c r="M1641" s="22" t="n">
        <x:v>46185</x:v>
      </x:c>
      <x:c r="N1641" t="str">
        <x:v>SKU-011</x:v>
      </x:c>
      <x:c r="O1641" t="n">
        <x:v>2</x:v>
      </x:c>
      <x:c r="P1641" s="26" t="n">
        <x:f>F1641/O1641</x:f>
        <x:v>57.95</x:v>
      </x:c>
    </x:row>
    <x:row r="1642">
      <x:c r="A1642" t="n">
        <x:v>1641</x:v>
      </x:c>
      <x:c r="B1642" t="n">
        <x:v>30</x:v>
      </x:c>
      <x:c r="C1642" t="str">
        <x:v>Female</x:v>
      </x:c>
      <x:c r="D1642" t="str">
        <x:v>Accessories</x:v>
      </x:c>
      <x:c r="E1642" t="str">
        <x:v>Sunglasses</x:v>
      </x:c>
      <x:c r="F1642" s="24" t="n">
        <x:v>45.95</x:v>
      </x:c>
      <x:c r="G1642" t="str">
        <x:v>Winter</x:v>
      </x:c>
      <x:c r="H1642" t="str">
        <x:v>Cash on Delivery</x:v>
      </x:c>
      <x:c r="I1642" t="n">
        <x:v>3.8</x:v>
      </x:c>
      <x:c r="J1642" t="n">
        <x:v>14</x:v>
      </x:c>
      <x:c r="K1642" t="n">
        <x:v>2</x:v>
      </x:c>
      <x:c r="L1642" t="str">
        <x:v>STORE-001</x:v>
      </x:c>
      <x:c r="M1642" s="22" t="n">
        <x:v>46184</x:v>
      </x:c>
      <x:c r="N1642" t="str">
        <x:v>SKU-026</x:v>
      </x:c>
      <x:c r="O1642" t="n">
        <x:v>3</x:v>
      </x:c>
      <x:c r="P1642" s="26" t="n">
        <x:f>F1642/O1642</x:f>
        <x:v>15.316666666666668</x:v>
      </x:c>
    </x:row>
    <x:row r="1643">
      <x:c r="A1643" t="n">
        <x:v>1642</x:v>
      </x:c>
      <x:c r="B1643" t="n">
        <x:v>53</x:v>
      </x:c>
      <x:c r="C1643" t="str">
        <x:v>Male</x:v>
      </x:c>
      <x:c r="D1643" t="str">
        <x:v>Electronics</x:v>
      </x:c>
      <x:c r="E1643" t="str">
        <x:v>Headphones</x:v>
      </x:c>
      <x:c r="F1643" s="24" t="n">
        <x:v>2248.99</x:v>
      </x:c>
      <x:c r="G1643" t="str">
        <x:v>Spring</x:v>
      </x:c>
      <x:c r="H1643" t="str">
        <x:v>Card</x:v>
      </x:c>
      <x:c r="I1643" t="n">
        <x:v>3.6</x:v>
      </x:c>
      <x:c r="J1643" t="n">
        <x:v>14</x:v>
      </x:c>
      <x:c r="K1643" t="n">
        <x:v>2</x:v>
      </x:c>
      <x:c r="L1643" t="str">
        <x:v>STORE-001</x:v>
      </x:c>
      <x:c r="M1643" s="22" t="n">
        <x:v>46293</x:v>
      </x:c>
      <x:c r="N1643" t="str">
        <x:v>SKU-009</x:v>
      </x:c>
      <x:c r="O1643" t="n">
        <x:v>2</x:v>
      </x:c>
      <x:c r="P1643" s="26" t="n">
        <x:f>F1643/O1643</x:f>
        <x:v>1124.495</x:v>
      </x:c>
    </x:row>
    <x:row r="1644">
      <x:c r="A1644" t="n">
        <x:v>1643</x:v>
      </x:c>
      <x:c r="B1644" t="n">
        <x:v>33</x:v>
      </x:c>
      <x:c r="C1644" t="str">
        <x:v>Female</x:v>
      </x:c>
      <x:c r="D1644" t="str">
        <x:v>Footwear</x:v>
      </x:c>
      <x:c r="E1644" t="str">
        <x:v>Sandals</x:v>
      </x:c>
      <x:c r="F1644" s="24" t="n">
        <x:v>168.21</x:v>
      </x:c>
      <x:c r="G1644" t="str">
        <x:v>Winter</x:v>
      </x:c>
      <x:c r="H1644" t="str">
        <x:v>Card</x:v>
      </x:c>
      <x:c r="I1644" t="n">
        <x:v>3.1</x:v>
      </x:c>
      <x:c r="J1644" t="n">
        <x:v>18</x:v>
      </x:c>
      <x:c r="K1644" t="n">
        <x:v>9</x:v>
      </x:c>
      <x:c r="L1644" t="str">
        <x:v>STORE-001</x:v>
      </x:c>
      <x:c r="M1644" s="22" t="n">
        <x:v>46183</x:v>
      </x:c>
      <x:c r="N1644" t="str">
        <x:v>SKU-019</x:v>
      </x:c>
      <x:c r="O1644" t="n">
        <x:v>1</x:v>
      </x:c>
      <x:c r="P1644" s="26" t="n">
        <x:f>F1644/O1644</x:f>
        <x:v>168.21</x:v>
      </x:c>
    </x:row>
    <x:row r="1645">
      <x:c r="A1645" t="n">
        <x:v>1644</x:v>
      </x:c>
      <x:c r="B1645" t="n">
        <x:v>28</x:v>
      </x:c>
      <x:c r="C1645" t="str">
        <x:v>Male</x:v>
      </x:c>
      <x:c r="D1645" t="str">
        <x:v>Sports</x:v>
      </x:c>
      <x:c r="E1645" t="str">
        <x:v>Dumbbells</x:v>
      </x:c>
      <x:c r="F1645" s="24" t="n">
        <x:v>38.31</x:v>
      </x:c>
      <x:c r="G1645" t="str">
        <x:v>Spring</x:v>
      </x:c>
      <x:c r="H1645" t="str">
        <x:v>Card</x:v>
      </x:c>
      <x:c r="I1645" t="n">
        <x:v>3.7</x:v>
      </x:c>
      <x:c r="J1645" t="n">
        <x:v>17</x:v>
      </x:c>
      <x:c r="K1645" t="n">
        <x:v>6</x:v>
      </x:c>
      <x:c r="L1645" t="str">
        <x:v>STORE-001</x:v>
      </x:c>
      <x:c r="M1645" s="22" t="n">
        <x:v>45950</x:v>
      </x:c>
      <x:c r="N1645" t="str">
        <x:v>SKU-005</x:v>
      </x:c>
      <x:c r="O1645" t="n">
        <x:v>1</x:v>
      </x:c>
      <x:c r="P1645" s="26" t="n">
        <x:f>F1645/O1645</x:f>
        <x:v>38.31</x:v>
      </x:c>
    </x:row>
    <x:row r="1646">
      <x:c r="A1646" t="n">
        <x:v>1645</x:v>
      </x:c>
      <x:c r="B1646" t="n">
        <x:v>58</x:v>
      </x:c>
      <x:c r="C1646" t="str">
        <x:v>Male</x:v>
      </x:c>
      <x:c r="D1646" t="str">
        <x:v>Sports</x:v>
      </x:c>
      <x:c r="E1646" t="str">
        <x:v>Dumbbells</x:v>
      </x:c>
      <x:c r="F1646" s="24" t="n">
        <x:v>137.26</x:v>
      </x:c>
      <x:c r="G1646" t="str">
        <x:v>Winter</x:v>
      </x:c>
      <x:c r="H1646" t="str">
        <x:v>Card</x:v>
      </x:c>
      <x:c r="I1646" t="n">
        <x:v>4.4</x:v>
      </x:c>
      <x:c r="J1646" t="n">
        <x:v>13</x:v>
      </x:c>
      <x:c r="K1646" t="n">
        <x:v>4</x:v>
      </x:c>
      <x:c r="L1646" t="str">
        <x:v>STORE-001</x:v>
      </x:c>
      <x:c r="M1646" s="22" t="n">
        <x:v>46261</x:v>
      </x:c>
      <x:c r="N1646" t="str">
        <x:v>SKU-005</x:v>
      </x:c>
      <x:c r="O1646" t="n">
        <x:v>1</x:v>
      </x:c>
      <x:c r="P1646" s="26" t="n">
        <x:f>F1646/O1646</x:f>
        <x:v>137.26</x:v>
      </x:c>
    </x:row>
    <x:row r="1647">
      <x:c r="A1647" t="n">
        <x:v>1646</x:v>
      </x:c>
      <x:c r="B1647" t="n">
        <x:v>59</x:v>
      </x:c>
      <x:c r="C1647" t="str">
        <x:v>Male</x:v>
      </x:c>
      <x:c r="D1647" t="str">
        <x:v>Footwear</x:v>
      </x:c>
      <x:c r="E1647" t="str">
        <x:v>Sneakers</x:v>
      </x:c>
      <x:c r="F1647" s="24" t="n">
        <x:v>115.57</x:v>
      </x:c>
      <x:c r="G1647" t="str">
        <x:v>Winter</x:v>
      </x:c>
      <x:c r="H1647" t="str">
        <x:v>Card</x:v>
      </x:c>
      <x:c r="I1647" t="n">
        <x:v>2.5</x:v>
      </x:c>
      <x:c r="J1647" t="n">
        <x:v>13</x:v>
      </x:c>
      <x:c r="K1647" t="n">
        <x:v>4</x:v>
      </x:c>
      <x:c r="L1647" t="str">
        <x:v>STORE-001</x:v>
      </x:c>
      <x:c r="M1647" s="22" t="n">
        <x:v>46223</x:v>
      </x:c>
      <x:c r="N1647" t="str">
        <x:v>SKU-025</x:v>
      </x:c>
      <x:c r="O1647" t="n">
        <x:v>3</x:v>
      </x:c>
      <x:c r="P1647" s="26" t="n">
        <x:f>F1647/O1647</x:f>
        <x:v>38.52333333333333</x:v>
      </x:c>
    </x:row>
    <x:row r="1648">
      <x:c r="A1648" t="n">
        <x:v>1647</x:v>
      </x:c>
      <x:c r="B1648" t="n">
        <x:v>54</x:v>
      </x:c>
      <x:c r="C1648" t="str">
        <x:v>Male</x:v>
      </x:c>
      <x:c r="D1648" t="str">
        <x:v>Footwear</x:v>
      </x:c>
      <x:c r="E1648" t="str">
        <x:v>Sneakers</x:v>
      </x:c>
      <x:c r="F1648" s="24" t="n">
        <x:v>189.63</x:v>
      </x:c>
      <x:c r="G1648" t="str">
        <x:v>Summer</x:v>
      </x:c>
      <x:c r="H1648" t="str">
        <x:v>Card</x:v>
      </x:c>
      <x:c r="I1648" t="n">
        <x:v>4.4</x:v>
      </x:c>
      <x:c r="J1648" t="n">
        <x:v>14</x:v>
      </x:c>
      <x:c r="K1648" t="n">
        <x:v>7</x:v>
      </x:c>
      <x:c r="L1648" t="str">
        <x:v>STORE-001</x:v>
      </x:c>
      <x:c r="M1648" s="22" t="n">
        <x:v>46051</x:v>
      </x:c>
      <x:c r="N1648" t="str">
        <x:v>SKU-025</x:v>
      </x:c>
      <x:c r="O1648" t="n">
        <x:v>2</x:v>
      </x:c>
      <x:c r="P1648" s="26" t="n">
        <x:f>F1648/O1648</x:f>
        <x:v>94.815</x:v>
      </x:c>
    </x:row>
    <x:row r="1649">
      <x:c r="A1649" t="n">
        <x:v>1648</x:v>
      </x:c>
      <x:c r="B1649" t="n">
        <x:v>67</x:v>
      </x:c>
      <x:c r="C1649" t="str">
        <x:v>Female</x:v>
      </x:c>
      <x:c r="D1649" t="str">
        <x:v>Beauty</x:v>
      </x:c>
      <x:c r="E1649" t="str">
        <x:v>Perfume</x:v>
      </x:c>
      <x:c r="F1649" s="24" t="n">
        <x:v>58.44</x:v>
      </x:c>
      <x:c r="G1649" t="str">
        <x:v>Winter</x:v>
      </x:c>
      <x:c r="H1649" t="str">
        <x:v>Card</x:v>
      </x:c>
      <x:c r="I1649" t="n">
        <x:v>3.4</x:v>
      </x:c>
      <x:c r="J1649" t="n">
        <x:v>18</x:v>
      </x:c>
      <x:c r="K1649" t="n">
        <x:v>4</x:v>
      </x:c>
      <x:c r="L1649" t="str">
        <x:v>STORE-001</x:v>
      </x:c>
      <x:c r="M1649" s="22" t="n">
        <x:v>46211</x:v>
      </x:c>
      <x:c r="N1649" t="str">
        <x:v>SKU-017</x:v>
      </x:c>
      <x:c r="O1649" t="n">
        <x:v>2</x:v>
      </x:c>
      <x:c r="P1649" s="26" t="n">
        <x:f>F1649/O1649</x:f>
        <x:v>29.22</x:v>
      </x:c>
    </x:row>
    <x:row r="1650">
      <x:c r="A1650" t="n">
        <x:v>1649</x:v>
      </x:c>
      <x:c r="B1650" t="n">
        <x:v>32</x:v>
      </x:c>
      <x:c r="C1650" t="str">
        <x:v>Male</x:v>
      </x:c>
      <x:c r="D1650" t="str">
        <x:v>Electronics</x:v>
      </x:c>
      <x:c r="E1650" t="str">
        <x:v>Smart Watch</x:v>
      </x:c>
      <x:c r="F1650" s="24" t="n">
        <x:v>1800.7</x:v>
      </x:c>
      <x:c r="G1650" t="str">
        <x:v>Summer</x:v>
      </x:c>
      <x:c r="H1650" t="str">
        <x:v>Card</x:v>
      </x:c>
      <x:c r="I1650" t="n">
        <x:v>3.6</x:v>
      </x:c>
      <x:c r="J1650" t="n">
        <x:v>10</x:v>
      </x:c>
      <x:c r="K1650" t="n">
        <x:v>5</x:v>
      </x:c>
      <x:c r="L1650" t="str">
        <x:v>STORE-001</x:v>
      </x:c>
      <x:c r="M1650" s="22" t="n">
        <x:v>46060</x:v>
      </x:c>
      <x:c r="N1650" t="str">
        <x:v>SKU-023</x:v>
      </x:c>
      <x:c r="O1650" t="n">
        <x:v>2</x:v>
      </x:c>
      <x:c r="P1650" s="26" t="n">
        <x:f>F1650/O1650</x:f>
        <x:v>900.35</x:v>
      </x:c>
    </x:row>
    <x:row r="1651">
      <x:c r="A1651" t="n">
        <x:v>1650</x:v>
      </x:c>
      <x:c r="B1651" t="n">
        <x:v>23</x:v>
      </x:c>
      <x:c r="C1651" t="str">
        <x:v>Male</x:v>
      </x:c>
      <x:c r="D1651" t="str">
        <x:v>Groceries</x:v>
      </x:c>
      <x:c r="E1651" t="str">
        <x:v>Beverages</x:v>
      </x:c>
      <x:c r="F1651" s="24" t="n">
        <x:v>8.34</x:v>
      </x:c>
      <x:c r="G1651" t="str">
        <x:v>Autumn</x:v>
      </x:c>
      <x:c r="H1651" t="str">
        <x:v>Card</x:v>
      </x:c>
      <x:c r="I1651" t="n">
        <x:v>4.1</x:v>
      </x:c>
      <x:c r="J1651" t="n">
        <x:v>25</x:v>
      </x:c>
      <x:c r="K1651" t="n">
        <x:v>10</x:v>
      </x:c>
      <x:c r="L1651" t="str">
        <x:v>STORE-001</x:v>
      </x:c>
      <x:c r="M1651" s="22" t="n">
        <x:v>46135</x:v>
      </x:c>
      <x:c r="N1651" t="str">
        <x:v>SKU-001</x:v>
      </x:c>
      <x:c r="O1651" t="n">
        <x:v>5</x:v>
      </x:c>
      <x:c r="P1651" s="26" t="n">
        <x:f>F1651/O1651</x:f>
        <x:v>1.668</x:v>
      </x:c>
    </x:row>
    <x:row r="1652">
      <x:c r="A1652" t="n">
        <x:v>1651</x:v>
      </x:c>
      <x:c r="B1652" t="n">
        <x:v>56</x:v>
      </x:c>
      <x:c r="C1652" t="str">
        <x:v>Female</x:v>
      </x:c>
      <x:c r="D1652" t="str">
        <x:v>Accessories</x:v>
      </x:c>
      <x:c r="E1652" t="str">
        <x:v>Sunglasses</x:v>
      </x:c>
      <x:c r="F1652" s="24" t="n">
        <x:v>83.07</x:v>
      </x:c>
      <x:c r="G1652" t="str">
        <x:v>Summer</x:v>
      </x:c>
      <x:c r="H1652" t="str">
        <x:v>Card</x:v>
      </x:c>
      <x:c r="I1652" t="n">
        <x:v>3.8</x:v>
      </x:c>
      <x:c r="J1652" t="n">
        <x:v>13</x:v>
      </x:c>
      <x:c r="K1652" t="n">
        <x:v>4</x:v>
      </x:c>
      <x:c r="L1652" t="str">
        <x:v>STORE-001</x:v>
      </x:c>
      <x:c r="M1652" s="22" t="n">
        <x:v>45992</x:v>
      </x:c>
      <x:c r="N1652" t="str">
        <x:v>SKU-026</x:v>
      </x:c>
      <x:c r="O1652" t="n">
        <x:v>2</x:v>
      </x:c>
      <x:c r="P1652" s="26" t="n">
        <x:f>F1652/O1652</x:f>
        <x:v>41.535</x:v>
      </x:c>
    </x:row>
    <x:row r="1653">
      <x:c r="A1653" t="n">
        <x:v>1652</x:v>
      </x:c>
      <x:c r="B1653" t="n">
        <x:v>65</x:v>
      </x:c>
      <x:c r="C1653" t="str">
        <x:v>Male</x:v>
      </x:c>
      <x:c r="D1653" t="str">
        <x:v>Home</x:v>
      </x:c>
      <x:c r="E1653" t="str">
        <x:v>Kitchen Set</x:v>
      </x:c>
      <x:c r="F1653" s="24" t="n">
        <x:v>173.82</x:v>
      </x:c>
      <x:c r="G1653" t="str">
        <x:v>Autumn</x:v>
      </x:c>
      <x:c r="H1653" t="str">
        <x:v>Card</x:v>
      </x:c>
      <x:c r="I1653" t="n">
        <x:v>5</x:v>
      </x:c>
      <x:c r="J1653" t="n">
        <x:v>22</x:v>
      </x:c>
      <x:c r="K1653" t="n">
        <x:v>6</x:v>
      </x:c>
      <x:c r="L1653" t="str">
        <x:v>STORE-001</x:v>
      </x:c>
      <x:c r="M1653" s="22" t="n">
        <x:v>46109</x:v>
      </x:c>
      <x:c r="N1653" t="str">
        <x:v>SKU-012</x:v>
      </x:c>
      <x:c r="O1653" t="n">
        <x:v>1</x:v>
      </x:c>
      <x:c r="P1653" s="26" t="n">
        <x:f>F1653/O1653</x:f>
        <x:v>173.82</x:v>
      </x:c>
    </x:row>
    <x:row r="1654">
      <x:c r="A1654" t="n">
        <x:v>1653</x:v>
      </x:c>
      <x:c r="B1654" t="n">
        <x:v>47</x:v>
      </x:c>
      <x:c r="C1654" t="str">
        <x:v>Female</x:v>
      </x:c>
      <x:c r="D1654" t="str">
        <x:v>Womens Clothing</x:v>
      </x:c>
      <x:c r="E1654" t="str">
        <x:v>Jeans</x:v>
      </x:c>
      <x:c r="F1654" s="24" t="n">
        <x:v>145.85</x:v>
      </x:c>
      <x:c r="G1654" t="str">
        <x:v>Spring</x:v>
      </x:c>
      <x:c r="H1654" t="str">
        <x:v>Card</x:v>
      </x:c>
      <x:c r="I1654" t="n">
        <x:v>3</x:v>
      </x:c>
      <x:c r="J1654" t="n">
        <x:v>8</x:v>
      </x:c>
      <x:c r="K1654" t="n">
        <x:v>4</x:v>
      </x:c>
      <x:c r="L1654" t="str">
        <x:v>STORE-001</x:v>
      </x:c>
      <x:c r="M1654" s="22" t="n">
        <x:v>46287</x:v>
      </x:c>
      <x:c r="N1654" t="str">
        <x:v>SKU-011</x:v>
      </x:c>
      <x:c r="O1654" t="n">
        <x:v>1</x:v>
      </x:c>
      <x:c r="P1654" s="26" t="n">
        <x:f>F1654/O1654</x:f>
        <x:v>145.85</x:v>
      </x:c>
    </x:row>
    <x:row r="1655">
      <x:c r="A1655" t="n">
        <x:v>1654</x:v>
      </x:c>
      <x:c r="B1655" t="n">
        <x:v>22</x:v>
      </x:c>
      <x:c r="C1655" t="str">
        <x:v>Female</x:v>
      </x:c>
      <x:c r="D1655" t="str">
        <x:v>Womens Clothing</x:v>
      </x:c>
      <x:c r="E1655" t="str">
        <x:v>Jeans</x:v>
      </x:c>
      <x:c r="F1655" s="24" t="n">
        <x:v>79.34</x:v>
      </x:c>
      <x:c r="G1655" t="str">
        <x:v>Winter</x:v>
      </x:c>
      <x:c r="H1655" t="str">
        <x:v>Cash on Delivery</x:v>
      </x:c>
      <x:c r="I1655" t="n">
        <x:v>3.5</x:v>
      </x:c>
      <x:c r="J1655" t="n">
        <x:v>24</x:v>
      </x:c>
      <x:c r="K1655" t="n">
        <x:v>7</x:v>
      </x:c>
      <x:c r="L1655" t="str">
        <x:v>STORE-001</x:v>
      </x:c>
      <x:c r="M1655" s="22" t="n">
        <x:v>46263</x:v>
      </x:c>
      <x:c r="N1655" t="str">
        <x:v>SKU-011</x:v>
      </x:c>
      <x:c r="O1655" t="n">
        <x:v>1</x:v>
      </x:c>
      <x:c r="P1655" s="26" t="n">
        <x:f>F1655/O1655</x:f>
        <x:v>79.34</x:v>
      </x:c>
    </x:row>
    <x:row r="1656">
      <x:c r="A1656" t="n">
        <x:v>1655</x:v>
      </x:c>
      <x:c r="B1656" t="n">
        <x:v>38</x:v>
      </x:c>
      <x:c r="C1656" t="str">
        <x:v>Female</x:v>
      </x:c>
      <x:c r="D1656" t="str">
        <x:v>Womens Clothing</x:v>
      </x:c>
      <x:c r="E1656" t="str">
        <x:v>Dress</x:v>
      </x:c>
      <x:c r="F1656" s="24" t="n">
        <x:v>140</x:v>
      </x:c>
      <x:c r="G1656" t="str">
        <x:v>Winter</x:v>
      </x:c>
      <x:c r="H1656" t="str">
        <x:v>Card</x:v>
      </x:c>
      <x:c r="I1656" t="n">
        <x:v>3.8</x:v>
      </x:c>
      <x:c r="J1656" t="n">
        <x:v>11</x:v>
      </x:c>
      <x:c r="K1656" t="n">
        <x:v>3</x:v>
      </x:c>
      <x:c r="L1656" t="str">
        <x:v>STORE-001</x:v>
      </x:c>
      <x:c r="M1656" s="22" t="n">
        <x:v>46225</x:v>
      </x:c>
      <x:c r="N1656" t="str">
        <x:v>SKU-004</x:v>
      </x:c>
      <x:c r="O1656" t="n">
        <x:v>2</x:v>
      </x:c>
      <x:c r="P1656" s="26" t="n">
        <x:f>F1656/O1656</x:f>
        <x:v>70</x:v>
      </x:c>
    </x:row>
    <x:row r="1657">
      <x:c r="A1657" t="n">
        <x:v>1656</x:v>
      </x:c>
      <x:c r="B1657" t="n">
        <x:v>48</x:v>
      </x:c>
      <x:c r="C1657" t="str">
        <x:v>Male</x:v>
      </x:c>
      <x:c r="D1657" t="str">
        <x:v>Electronics</x:v>
      </x:c>
      <x:c r="E1657" t="str">
        <x:v>Mobile Phone</x:v>
      </x:c>
      <x:c r="F1657" s="24" t="n">
        <x:v>532.68</x:v>
      </x:c>
      <x:c r="G1657" t="str">
        <x:v>Summer</x:v>
      </x:c>
      <x:c r="H1657" t="str">
        <x:v>Card</x:v>
      </x:c>
      <x:c r="I1657" t="n">
        <x:v>3</x:v>
      </x:c>
      <x:c r="J1657" t="n">
        <x:v>6</x:v>
      </x:c>
      <x:c r="K1657" t="n">
        <x:v>3</x:v>
      </x:c>
      <x:c r="L1657" t="str">
        <x:v>STORE-001</x:v>
      </x:c>
      <x:c r="M1657" s="22" t="n">
        <x:v>46061</x:v>
      </x:c>
      <x:c r="N1657" t="str">
        <x:v>SKU-016</x:v>
      </x:c>
      <x:c r="O1657" t="n">
        <x:v>1</x:v>
      </x:c>
      <x:c r="P1657" s="26" t="n">
        <x:f>F1657/O1657</x:f>
        <x:v>532.68</x:v>
      </x:c>
    </x:row>
    <x:row r="1658">
      <x:c r="A1658" t="n">
        <x:v>1657</x:v>
      </x:c>
      <x:c r="B1658" t="n">
        <x:v>26</x:v>
      </x:c>
      <x:c r="C1658" t="str">
        <x:v>Male</x:v>
      </x:c>
      <x:c r="D1658" t="str">
        <x:v>Sports</x:v>
      </x:c>
      <x:c r="E1658" t="str">
        <x:v>Dumbbells</x:v>
      </x:c>
      <x:c r="F1658" s="24" t="n">
        <x:v>168.47</x:v>
      </x:c>
      <x:c r="G1658" t="str">
        <x:v>Winter</x:v>
      </x:c>
      <x:c r="H1658" t="str">
        <x:v>Card</x:v>
      </x:c>
      <x:c r="I1658" t="n">
        <x:v>3.7</x:v>
      </x:c>
      <x:c r="J1658" t="n">
        <x:v>22</x:v>
      </x:c>
      <x:c r="K1658" t="n">
        <x:v>11</x:v>
      </x:c>
      <x:c r="L1658" t="str">
        <x:v>STORE-001</x:v>
      </x:c>
      <x:c r="M1658" s="22" t="n">
        <x:v>46224</x:v>
      </x:c>
      <x:c r="N1658" t="str">
        <x:v>SKU-005</x:v>
      </x:c>
      <x:c r="O1658" t="n">
        <x:v>1</x:v>
      </x:c>
      <x:c r="P1658" s="26" t="n">
        <x:f>F1658/O1658</x:f>
        <x:v>168.47</x:v>
      </x:c>
    </x:row>
    <x:row r="1659">
      <x:c r="A1659" t="n">
        <x:v>1658</x:v>
      </x:c>
      <x:c r="B1659" t="n">
        <x:v>65</x:v>
      </x:c>
      <x:c r="C1659" t="str">
        <x:v>Female</x:v>
      </x:c>
      <x:c r="D1659" t="str">
        <x:v>Womens Clothing</x:v>
      </x:c>
      <x:c r="E1659" t="str">
        <x:v>Dress</x:v>
      </x:c>
      <x:c r="F1659" s="24" t="n">
        <x:v>93.8</x:v>
      </x:c>
      <x:c r="G1659" t="str">
        <x:v>Winter</x:v>
      </x:c>
      <x:c r="H1659" t="str">
        <x:v>Cash on Delivery</x:v>
      </x:c>
      <x:c r="I1659" t="n">
        <x:v>4.3</x:v>
      </x:c>
      <x:c r="J1659" t="n">
        <x:v>16</x:v>
      </x:c>
      <x:c r="K1659" t="n">
        <x:v>3</x:v>
      </x:c>
      <x:c r="L1659" t="str">
        <x:v>STORE-001</x:v>
      </x:c>
      <x:c r="M1659" s="22" t="n">
        <x:v>46182</x:v>
      </x:c>
      <x:c r="N1659" t="str">
        <x:v>SKU-004</x:v>
      </x:c>
      <x:c r="O1659" t="n">
        <x:v>1</x:v>
      </x:c>
      <x:c r="P1659" s="26" t="n">
        <x:f>F1659/O1659</x:f>
        <x:v>93.8</x:v>
      </x:c>
    </x:row>
    <x:row r="1660">
      <x:c r="A1660" t="n">
        <x:v>1659</x:v>
      </x:c>
      <x:c r="B1660" t="n">
        <x:v>68</x:v>
      </x:c>
      <x:c r="C1660" t="str">
        <x:v>Male</x:v>
      </x:c>
      <x:c r="D1660" t="str">
        <x:v>Mens Clothing</x:v>
      </x:c>
      <x:c r="E1660" t="str">
        <x:v>Shirt</x:v>
      </x:c>
      <x:c r="F1660" s="24" t="n">
        <x:v>162.35</x:v>
      </x:c>
      <x:c r="G1660" t="str">
        <x:v>Summer</x:v>
      </x:c>
      <x:c r="H1660" t="str">
        <x:v>Card</x:v>
      </x:c>
      <x:c r="I1660" t="n">
        <x:v>4.4</x:v>
      </x:c>
      <x:c r="J1660" t="n">
        <x:v>17</x:v>
      </x:c>
      <x:c r="K1660" t="n">
        <x:v>6</x:v>
      </x:c>
      <x:c r="L1660" t="str">
        <x:v>STORE-001</x:v>
      </x:c>
      <x:c r="M1660" s="22" t="n">
        <x:v>45997</x:v>
      </x:c>
      <x:c r="N1660" t="str">
        <x:v>SKU-020</x:v>
      </x:c>
      <x:c r="O1660" t="n">
        <x:v>2</x:v>
      </x:c>
      <x:c r="P1660" s="26" t="n">
        <x:f>F1660/O1660</x:f>
        <x:v>81.175</x:v>
      </x:c>
    </x:row>
    <x:row r="1661">
      <x:c r="A1661" t="n">
        <x:v>1660</x:v>
      </x:c>
      <x:c r="B1661" t="n">
        <x:v>58</x:v>
      </x:c>
      <x:c r="C1661" t="str">
        <x:v>Male</x:v>
      </x:c>
      <x:c r="D1661" t="str">
        <x:v>Mens Clothing</x:v>
      </x:c>
      <x:c r="E1661" t="str">
        <x:v>T-Shirt</x:v>
      </x:c>
      <x:c r="F1661" s="24" t="n">
        <x:v>62.32</x:v>
      </x:c>
      <x:c r="G1661" t="str">
        <x:v>Spring</x:v>
      </x:c>
      <x:c r="H1661" t="str">
        <x:v>Card</x:v>
      </x:c>
      <x:c r="I1661" t="n">
        <x:v>3.9</x:v>
      </x:c>
      <x:c r="J1661" t="n">
        <x:v>13</x:v>
      </x:c>
      <x:c r="K1661" t="n">
        <x:v>4</x:v>
      </x:c>
      <x:c r="L1661" t="str">
        <x:v>STORE-001</x:v>
      </x:c>
      <x:c r="M1661" s="22" t="n">
        <x:v>46272</x:v>
      </x:c>
      <x:c r="N1661" t="str">
        <x:v>SKU-027</x:v>
      </x:c>
      <x:c r="O1661" t="n">
        <x:v>1</x:v>
      </x:c>
      <x:c r="P1661" s="26" t="n">
        <x:f>F1661/O1661</x:f>
        <x:v>62.32</x:v>
      </x:c>
    </x:row>
    <x:row r="1662">
      <x:c r="A1662" t="n">
        <x:v>1661</x:v>
      </x:c>
      <x:c r="B1662" t="n">
        <x:v>48</x:v>
      </x:c>
      <x:c r="C1662" t="str">
        <x:v>Female</x:v>
      </x:c>
      <x:c r="D1662" t="str">
        <x:v>Beauty</x:v>
      </x:c>
      <x:c r="E1662" t="str">
        <x:v>Makeup Set</x:v>
      </x:c>
      <x:c r="F1662" s="24" t="n">
        <x:v>134.48</x:v>
      </x:c>
      <x:c r="G1662" t="str">
        <x:v>Winter</x:v>
      </x:c>
      <x:c r="H1662" t="str">
        <x:v>Card</x:v>
      </x:c>
      <x:c r="I1662" t="n">
        <x:v>3.9</x:v>
      </x:c>
      <x:c r="J1662" t="n">
        <x:v>18</x:v>
      </x:c>
      <x:c r="K1662" t="n">
        <x:v>4</x:v>
      </x:c>
      <x:c r="L1662" t="str">
        <x:v>STORE-001</x:v>
      </x:c>
      <x:c r="M1662" s="22" t="n">
        <x:v>46203</x:v>
      </x:c>
      <x:c r="N1662" t="str">
        <x:v>SKU-015</x:v>
      </x:c>
      <x:c r="O1662" t="n">
        <x:v>1</x:v>
      </x:c>
      <x:c r="P1662" s="26" t="n">
        <x:f>F1662/O1662</x:f>
        <x:v>134.48</x:v>
      </x:c>
    </x:row>
    <x:row r="1663">
      <x:c r="A1663" t="n">
        <x:v>1662</x:v>
      </x:c>
      <x:c r="B1663" t="n">
        <x:v>37</x:v>
      </x:c>
      <x:c r="C1663" t="str">
        <x:v>Male</x:v>
      </x:c>
      <x:c r="D1663" t="str">
        <x:v>Footwear</x:v>
      </x:c>
      <x:c r="E1663" t="str">
        <x:v>Sneakers</x:v>
      </x:c>
      <x:c r="F1663" s="24" t="n">
        <x:v>200.91</x:v>
      </x:c>
      <x:c r="G1663" t="str">
        <x:v>Spring</x:v>
      </x:c>
      <x:c r="H1663" t="str">
        <x:v>Card</x:v>
      </x:c>
      <x:c r="I1663" t="n">
        <x:v>2.8</x:v>
      </x:c>
      <x:c r="J1663" t="n">
        <x:v>16</x:v>
      </x:c>
      <x:c r="K1663" t="n">
        <x:v>3</x:v>
      </x:c>
      <x:c r="L1663" t="str">
        <x:v>STORE-001</x:v>
      </x:c>
      <x:c r="M1663" s="22" t="n">
        <x:v>45951</x:v>
      </x:c>
      <x:c r="N1663" t="str">
        <x:v>SKU-025</x:v>
      </x:c>
      <x:c r="O1663" t="n">
        <x:v>1</x:v>
      </x:c>
      <x:c r="P1663" s="26" t="n">
        <x:f>F1663/O1663</x:f>
        <x:v>200.91</x:v>
      </x:c>
    </x:row>
    <x:row r="1664">
      <x:c r="A1664" t="n">
        <x:v>1663</x:v>
      </x:c>
      <x:c r="B1664" t="n">
        <x:v>31</x:v>
      </x:c>
      <x:c r="C1664" t="str">
        <x:v>Female</x:v>
      </x:c>
      <x:c r="D1664" t="str">
        <x:v>Beauty</x:v>
      </x:c>
      <x:c r="E1664" t="str">
        <x:v>Skincare Kit</x:v>
      </x:c>
      <x:c r="F1664" s="24" t="n">
        <x:v>137.99</x:v>
      </x:c>
      <x:c r="G1664" t="str">
        <x:v>Winter</x:v>
      </x:c>
      <x:c r="H1664" t="str">
        <x:v>Card</x:v>
      </x:c>
      <x:c r="I1664" t="n">
        <x:v>3.8</x:v>
      </x:c>
      <x:c r="J1664" t="n">
        <x:v>10</x:v>
      </x:c>
      <x:c r="K1664" t="n">
        <x:v>5</x:v>
      </x:c>
      <x:c r="L1664" t="str">
        <x:v>STORE-001</x:v>
      </x:c>
      <x:c r="M1664" s="22" t="n">
        <x:v>46190</x:v>
      </x:c>
      <x:c r="N1664" t="str">
        <x:v>SKU-021</x:v>
      </x:c>
      <x:c r="O1664" t="n">
        <x:v>1</x:v>
      </x:c>
      <x:c r="P1664" s="26" t="n">
        <x:f>F1664/O1664</x:f>
        <x:v>137.99</x:v>
      </x:c>
    </x:row>
    <x:row r="1665">
      <x:c r="A1665" t="n">
        <x:v>1664</x:v>
      </x:c>
      <x:c r="B1665" t="n">
        <x:v>62</x:v>
      </x:c>
      <x:c r="C1665" t="str">
        <x:v>Female</x:v>
      </x:c>
      <x:c r="D1665" t="str">
        <x:v>Footwear</x:v>
      </x:c>
      <x:c r="E1665" t="str">
        <x:v>Formal Shoes</x:v>
      </x:c>
      <x:c r="F1665" s="24" t="n">
        <x:v>51.08</x:v>
      </x:c>
      <x:c r="G1665" t="str">
        <x:v>Winter</x:v>
      </x:c>
      <x:c r="H1665" t="str">
        <x:v>Cash on Delivery</x:v>
      </x:c>
      <x:c r="I1665" t="n">
        <x:v>3.1</x:v>
      </x:c>
      <x:c r="J1665" t="n">
        <x:v>21</x:v>
      </x:c>
      <x:c r="K1665" t="n">
        <x:v>8</x:v>
      </x:c>
      <x:c r="L1665" t="str">
        <x:v>STORE-001</x:v>
      </x:c>
      <x:c r="M1665" s="22" t="n">
        <x:v>46194</x:v>
      </x:c>
      <x:c r="N1665" t="str">
        <x:v>SKU-007</x:v>
      </x:c>
      <x:c r="O1665" t="n">
        <x:v>1</x:v>
      </x:c>
      <x:c r="P1665" s="26" t="n">
        <x:f>F1665/O1665</x:f>
        <x:v>51.08</x:v>
      </x:c>
    </x:row>
    <x:row r="1666">
      <x:c r="A1666" t="n">
        <x:v>1665</x:v>
      </x:c>
      <x:c r="B1666" t="n">
        <x:v>56</x:v>
      </x:c>
      <x:c r="C1666" t="str">
        <x:v>Male</x:v>
      </x:c>
      <x:c r="D1666" t="str">
        <x:v>Sports</x:v>
      </x:c>
      <x:c r="E1666" t="str">
        <x:v>Football</x:v>
      </x:c>
      <x:c r="F1666" s="24" t="n">
        <x:v>211</x:v>
      </x:c>
      <x:c r="G1666" t="str">
        <x:v>Autumn</x:v>
      </x:c>
      <x:c r="H1666" t="str">
        <x:v>Card</x:v>
      </x:c>
      <x:c r="I1666" t="n">
        <x:v>1.3</x:v>
      </x:c>
      <x:c r="J1666" t="n">
        <x:v>5</x:v>
      </x:c>
      <x:c r="K1666" t="n">
        <x:v>0</x:v>
      </x:c>
      <x:c r="L1666" t="str">
        <x:v>STORE-001</x:v>
      </x:c>
      <x:c r="M1666" s="22" t="n">
        <x:v>46128</x:v>
      </x:c>
      <x:c r="N1666" t="str">
        <x:v>SKU-006</x:v>
      </x:c>
      <x:c r="O1666" t="n">
        <x:v>4</x:v>
      </x:c>
      <x:c r="P1666" s="26" t="n">
        <x:f>F1666/O1666</x:f>
        <x:v>52.75</x:v>
      </x:c>
    </x:row>
    <x:row r="1667">
      <x:c r="A1667" t="n">
        <x:v>1666</x:v>
      </x:c>
      <x:c r="B1667" t="n">
        <x:v>28</x:v>
      </x:c>
      <x:c r="C1667" t="str">
        <x:v>Female</x:v>
      </x:c>
      <x:c r="D1667" t="str">
        <x:v>Womens Clothing</x:v>
      </x:c>
      <x:c r="E1667" t="str">
        <x:v>Dress</x:v>
      </x:c>
      <x:c r="F1667" s="24" t="n">
        <x:v>40.1</x:v>
      </x:c>
      <x:c r="G1667" t="str">
        <x:v>Autumn</x:v>
      </x:c>
      <x:c r="H1667" t="str">
        <x:v>Card</x:v>
      </x:c>
      <x:c r="I1667" t="n">
        <x:v>3.5</x:v>
      </x:c>
      <x:c r="J1667" t="n">
        <x:v>20</x:v>
      </x:c>
      <x:c r="K1667" t="n">
        <x:v>5</x:v>
      </x:c>
      <x:c r="L1667" t="str">
        <x:v>STORE-001</x:v>
      </x:c>
      <x:c r="M1667" s="22" t="n">
        <x:v>46127</x:v>
      </x:c>
      <x:c r="N1667" t="str">
        <x:v>SKU-004</x:v>
      </x:c>
      <x:c r="O1667" t="n">
        <x:v>3</x:v>
      </x:c>
      <x:c r="P1667" s="26" t="n">
        <x:f>F1667/O1667</x:f>
        <x:v>13.366666666666667</x:v>
      </x:c>
    </x:row>
    <x:row r="1668">
      <x:c r="A1668" t="n">
        <x:v>1667</x:v>
      </x:c>
      <x:c r="B1668" t="n">
        <x:v>27</x:v>
      </x:c>
      <x:c r="C1668" t="str">
        <x:v>Male</x:v>
      </x:c>
      <x:c r="D1668" t="str">
        <x:v>Groceries</x:v>
      </x:c>
      <x:c r="E1668" t="str">
        <x:v>Cooking Oil</x:v>
      </x:c>
      <x:c r="F1668" s="24" t="n">
        <x:v>19.89</x:v>
      </x:c>
      <x:c r="G1668" t="str">
        <x:v>Summer</x:v>
      </x:c>
      <x:c r="H1668" t="str">
        <x:v>Card</x:v>
      </x:c>
      <x:c r="I1668" t="n">
        <x:v>4.1</x:v>
      </x:c>
      <x:c r="J1668" t="n">
        <x:v>9</x:v>
      </x:c>
      <x:c r="K1668" t="n">
        <x:v>2</x:v>
      </x:c>
      <x:c r="L1668" t="str">
        <x:v>STORE-001</x:v>
      </x:c>
      <x:c r="M1668" s="22" t="n">
        <x:v>46029</x:v>
      </x:c>
      <x:c r="N1668" t="str">
        <x:v>SKU-002</x:v>
      </x:c>
      <x:c r="O1668" t="n">
        <x:v>1</x:v>
      </x:c>
      <x:c r="P1668" s="26" t="n">
        <x:f>F1668/O1668</x:f>
        <x:v>19.89</x:v>
      </x:c>
    </x:row>
    <x:row r="1669">
      <x:c r="A1669" t="n">
        <x:v>1668</x:v>
      </x:c>
      <x:c r="B1669" t="n">
        <x:v>61</x:v>
      </x:c>
      <x:c r="C1669" t="str">
        <x:v>Male</x:v>
      </x:c>
      <x:c r="D1669" t="str">
        <x:v>Sports</x:v>
      </x:c>
      <x:c r="E1669" t="str">
        <x:v>Yoga Mat</x:v>
      </x:c>
      <x:c r="F1669" s="24" t="n">
        <x:v>135.32</x:v>
      </x:c>
      <x:c r="G1669" t="str">
        <x:v>Autumn</x:v>
      </x:c>
      <x:c r="H1669" t="str">
        <x:v>Card</x:v>
      </x:c>
      <x:c r="I1669" t="n">
        <x:v>3</x:v>
      </x:c>
      <x:c r="J1669" t="n">
        <x:v>14</x:v>
      </x:c>
      <x:c r="K1669" t="n">
        <x:v>7</x:v>
      </x:c>
      <x:c r="L1669" t="str">
        <x:v>STORE-001</x:v>
      </x:c>
      <x:c r="M1669" s="22" t="n">
        <x:v>46118</x:v>
      </x:c>
      <x:c r="N1669" t="str">
        <x:v>SKU-030</x:v>
      </x:c>
      <x:c r="O1669" t="n">
        <x:v>2</x:v>
      </x:c>
      <x:c r="P1669" s="26" t="n">
        <x:f>F1669/O1669</x:f>
        <x:v>67.66</x:v>
      </x:c>
    </x:row>
    <x:row r="1670">
      <x:c r="A1670" t="n">
        <x:v>1669</x:v>
      </x:c>
      <x:c r="B1670" t="n">
        <x:v>23</x:v>
      </x:c>
      <x:c r="C1670" t="str">
        <x:v>Female</x:v>
      </x:c>
      <x:c r="D1670" t="str">
        <x:v>Accessories</x:v>
      </x:c>
      <x:c r="E1670" t="str">
        <x:v>Wallet</x:v>
      </x:c>
      <x:c r="F1670" s="24" t="n">
        <x:v>101.21</x:v>
      </x:c>
      <x:c r="G1670" t="str">
        <x:v>Winter</x:v>
      </x:c>
      <x:c r="H1670" t="str">
        <x:v>Card</x:v>
      </x:c>
      <x:c r="I1670" t="n">
        <x:v>3.6</x:v>
      </x:c>
      <x:c r="J1670" t="n">
        <x:v>28</x:v>
      </x:c>
      <x:c r="K1670" t="n">
        <x:v>9</x:v>
      </x:c>
      <x:c r="L1670" t="str">
        <x:v>STORE-001</x:v>
      </x:c>
      <x:c r="M1670" s="22" t="n">
        <x:v>46223</x:v>
      </x:c>
      <x:c r="N1670" t="str">
        <x:v>SKU-029</x:v>
      </x:c>
      <x:c r="O1670" t="n">
        <x:v>2</x:v>
      </x:c>
      <x:c r="P1670" s="26" t="n">
        <x:f>F1670/O1670</x:f>
        <x:v>50.605</x:v>
      </x:c>
    </x:row>
    <x:row r="1671">
      <x:c r="A1671" t="n">
        <x:v>1670</x:v>
      </x:c>
      <x:c r="B1671" t="n">
        <x:v>60</x:v>
      </x:c>
      <x:c r="C1671" t="str">
        <x:v>Female</x:v>
      </x:c>
      <x:c r="D1671" t="str">
        <x:v>Sports</x:v>
      </x:c>
      <x:c r="E1671" t="str">
        <x:v>Yoga Mat</x:v>
      </x:c>
      <x:c r="F1671" s="24" t="n">
        <x:v>163.92</x:v>
      </x:c>
      <x:c r="G1671" t="str">
        <x:v>Spring</x:v>
      </x:c>
      <x:c r="H1671" t="str">
        <x:v>Card</x:v>
      </x:c>
      <x:c r="I1671" t="n">
        <x:v>3.1</x:v>
      </x:c>
      <x:c r="J1671" t="n">
        <x:v>15</x:v>
      </x:c>
      <x:c r="K1671" t="n">
        <x:v>5</x:v>
      </x:c>
      <x:c r="L1671" t="str">
        <x:v>STORE-001</x:v>
      </x:c>
      <x:c r="M1671" s="22" t="n">
        <x:v>45937</x:v>
      </x:c>
      <x:c r="N1671" t="str">
        <x:v>SKU-030</x:v>
      </x:c>
      <x:c r="O1671" t="n">
        <x:v>1</x:v>
      </x:c>
      <x:c r="P1671" s="26" t="n">
        <x:f>F1671/O1671</x:f>
        <x:v>163.92</x:v>
      </x:c>
    </x:row>
    <x:row r="1672">
      <x:c r="A1672" t="n">
        <x:v>1671</x:v>
      </x:c>
      <x:c r="B1672" t="n">
        <x:v>54</x:v>
      </x:c>
      <x:c r="C1672" t="str">
        <x:v>Male</x:v>
      </x:c>
      <x:c r="D1672" t="str">
        <x:v>Footwear</x:v>
      </x:c>
      <x:c r="E1672" t="str">
        <x:v>Sneakers</x:v>
      </x:c>
      <x:c r="F1672" s="24" t="n">
        <x:v>138.78</x:v>
      </x:c>
      <x:c r="G1672" t="str">
        <x:v>Summer</x:v>
      </x:c>
      <x:c r="H1672" t="str">
        <x:v>Card</x:v>
      </x:c>
      <x:c r="I1672" t="n">
        <x:v>3.7</x:v>
      </x:c>
      <x:c r="J1672" t="n">
        <x:v>15</x:v>
      </x:c>
      <x:c r="K1672" t="n">
        <x:v>5</x:v>
      </x:c>
      <x:c r="L1672" t="str">
        <x:v>STORE-001</x:v>
      </x:c>
      <x:c r="M1672" s="22" t="n">
        <x:v>46048</x:v>
      </x:c>
      <x:c r="N1672" t="str">
        <x:v>SKU-025</x:v>
      </x:c>
      <x:c r="O1672" t="n">
        <x:v>1</x:v>
      </x:c>
      <x:c r="P1672" s="26" t="n">
        <x:f>F1672/O1672</x:f>
        <x:v>138.78</x:v>
      </x:c>
    </x:row>
    <x:row r="1673">
      <x:c r="A1673" t="n">
        <x:v>1672</x:v>
      </x:c>
      <x:c r="B1673" t="n">
        <x:v>37</x:v>
      </x:c>
      <x:c r="C1673" t="str">
        <x:v>Male</x:v>
      </x:c>
      <x:c r="D1673" t="str">
        <x:v>Mens Clothing</x:v>
      </x:c>
      <x:c r="E1673" t="str">
        <x:v>T-Shirt</x:v>
      </x:c>
      <x:c r="F1673" s="24" t="n">
        <x:v>168.61</x:v>
      </x:c>
      <x:c r="G1673" t="str">
        <x:v>Autumn</x:v>
      </x:c>
      <x:c r="H1673" t="str">
        <x:v>Card</x:v>
      </x:c>
      <x:c r="I1673" t="n">
        <x:v>4.6</x:v>
      </x:c>
      <x:c r="J1673" t="n">
        <x:v>15</x:v>
      </x:c>
      <x:c r="K1673" t="n">
        <x:v>5</x:v>
      </x:c>
      <x:c r="L1673" t="str">
        <x:v>STORE-001</x:v>
      </x:c>
      <x:c r="M1673" s="22" t="n">
        <x:v>46164</x:v>
      </x:c>
      <x:c r="N1673" t="str">
        <x:v>SKU-027</x:v>
      </x:c>
      <x:c r="O1673" t="n">
        <x:v>2</x:v>
      </x:c>
      <x:c r="P1673" s="26" t="n">
        <x:f>F1673/O1673</x:f>
        <x:v>84.305</x:v>
      </x:c>
    </x:row>
    <x:row r="1674">
      <x:c r="A1674" t="n">
        <x:v>1673</x:v>
      </x:c>
      <x:c r="B1674" t="n">
        <x:v>60</x:v>
      </x:c>
      <x:c r="C1674" t="str">
        <x:v>Female</x:v>
      </x:c>
      <x:c r="D1674" t="str">
        <x:v>Womens Clothing</x:v>
      </x:c>
      <x:c r="E1674" t="str">
        <x:v>Skirt</x:v>
      </x:c>
      <x:c r="F1674" s="24" t="n">
        <x:v>177.44</x:v>
      </x:c>
      <x:c r="G1674" t="str">
        <x:v>Autumn</x:v>
      </x:c>
      <x:c r="H1674" t="str">
        <x:v>Card</x:v>
      </x:c>
      <x:c r="I1674" t="n">
        <x:v>3.8</x:v>
      </x:c>
      <x:c r="J1674" t="n">
        <x:v>9</x:v>
      </x:c>
      <x:c r="K1674" t="n">
        <x:v>2</x:v>
      </x:c>
      <x:c r="L1674" t="str">
        <x:v>STORE-001</x:v>
      </x:c>
      <x:c r="M1674" s="22" t="n">
        <x:v>46169</x:v>
      </x:c>
      <x:c r="N1674" t="str">
        <x:v>SKU-022</x:v>
      </x:c>
      <x:c r="O1674" t="n">
        <x:v>3</x:v>
      </x:c>
      <x:c r="P1674" s="26" t="n">
        <x:f>F1674/O1674</x:f>
        <x:v>59.14666666666667</x:v>
      </x:c>
    </x:row>
    <x:row r="1675">
      <x:c r="A1675" t="n">
        <x:v>1674</x:v>
      </x:c>
      <x:c r="B1675" t="n">
        <x:v>42</x:v>
      </x:c>
      <x:c r="C1675" t="str">
        <x:v>Male</x:v>
      </x:c>
      <x:c r="D1675" t="str">
        <x:v>Footwear</x:v>
      </x:c>
      <x:c r="E1675" t="str">
        <x:v>Sneakers</x:v>
      </x:c>
      <x:c r="F1675" s="24" t="n">
        <x:v>58.43</x:v>
      </x:c>
      <x:c r="G1675" t="str">
        <x:v>Summer</x:v>
      </x:c>
      <x:c r="H1675" t="str">
        <x:v>Card</x:v>
      </x:c>
      <x:c r="I1675" t="n">
        <x:v>3.9</x:v>
      </x:c>
      <x:c r="J1675" t="n">
        <x:v>13</x:v>
      </x:c>
      <x:c r="K1675" t="n">
        <x:v>4</x:v>
      </x:c>
      <x:c r="L1675" t="str">
        <x:v>STORE-001</x:v>
      </x:c>
      <x:c r="M1675" s="22" t="n">
        <x:v>46013</x:v>
      </x:c>
      <x:c r="N1675" t="str">
        <x:v>SKU-025</x:v>
      </x:c>
      <x:c r="O1675" t="n">
        <x:v>2</x:v>
      </x:c>
      <x:c r="P1675" s="26" t="n">
        <x:f>F1675/O1675</x:f>
        <x:v>29.215</x:v>
      </x:c>
    </x:row>
    <x:row r="1676">
      <x:c r="A1676" t="n">
        <x:v>1675</x:v>
      </x:c>
      <x:c r="B1676" t="n">
        <x:v>27</x:v>
      </x:c>
      <x:c r="C1676" t="str">
        <x:v>Male</x:v>
      </x:c>
      <x:c r="D1676" t="str">
        <x:v>Home</x:v>
      </x:c>
      <x:c r="E1676" t="str">
        <x:v>Lamp</x:v>
      </x:c>
      <x:c r="F1676" s="24" t="n">
        <x:v>184.18</x:v>
      </x:c>
      <x:c r="G1676" t="str">
        <x:v>Winter</x:v>
      </x:c>
      <x:c r="H1676" t="str">
        <x:v>Card</x:v>
      </x:c>
      <x:c r="I1676" t="n">
        <x:v>4.2</x:v>
      </x:c>
      <x:c r="J1676" t="n">
        <x:v>23</x:v>
      </x:c>
      <x:c r="K1676" t="n">
        <x:v>9</x:v>
      </x:c>
      <x:c r="L1676" t="str">
        <x:v>STORE-001</x:v>
      </x:c>
      <x:c r="M1676" s="22" t="n">
        <x:v>46182</x:v>
      </x:c>
      <x:c r="N1676" t="str">
        <x:v>SKU-013</x:v>
      </x:c>
      <x:c r="O1676" t="n">
        <x:v>1</x:v>
      </x:c>
      <x:c r="P1676" s="26" t="n">
        <x:f>F1676/O1676</x:f>
        <x:v>184.18</x:v>
      </x:c>
    </x:row>
    <x:row r="1677">
      <x:c r="A1677" t="n">
        <x:v>1676</x:v>
      </x:c>
      <x:c r="B1677" t="n">
        <x:v>54</x:v>
      </x:c>
      <x:c r="C1677" t="str">
        <x:v>Female</x:v>
      </x:c>
      <x:c r="D1677" t="str">
        <x:v>Footwear</x:v>
      </x:c>
      <x:c r="E1677" t="str">
        <x:v>Formal Shoes</x:v>
      </x:c>
      <x:c r="F1677" s="24" t="n">
        <x:v>180.54</x:v>
      </x:c>
      <x:c r="G1677" t="str">
        <x:v>Autumn</x:v>
      </x:c>
      <x:c r="H1677" t="str">
        <x:v>Card</x:v>
      </x:c>
      <x:c r="I1677" t="n">
        <x:v>3.9</x:v>
      </x:c>
      <x:c r="J1677" t="n">
        <x:v>15</x:v>
      </x:c>
      <x:c r="K1677" t="n">
        <x:v>5</x:v>
      </x:c>
      <x:c r="L1677" t="str">
        <x:v>STORE-001</x:v>
      </x:c>
      <x:c r="M1677" s="22" t="n">
        <x:v>46145</x:v>
      </x:c>
      <x:c r="N1677" t="str">
        <x:v>SKU-007</x:v>
      </x:c>
      <x:c r="O1677" t="n">
        <x:v>2</x:v>
      </x:c>
      <x:c r="P1677" s="26" t="n">
        <x:f>F1677/O1677</x:f>
        <x:v>90.27</x:v>
      </x:c>
    </x:row>
    <x:row r="1678">
      <x:c r="A1678" t="n">
        <x:v>1677</x:v>
      </x:c>
      <x:c r="B1678" t="n">
        <x:v>56</x:v>
      </x:c>
      <x:c r="C1678" t="str">
        <x:v>Male</x:v>
      </x:c>
      <x:c r="D1678" t="str">
        <x:v>Mens Clothing</x:v>
      </x:c>
      <x:c r="E1678" t="str">
        <x:v>Jeans</x:v>
      </x:c>
      <x:c r="F1678" s="24" t="n">
        <x:v>135.91</x:v>
      </x:c>
      <x:c r="G1678" t="str">
        <x:v>Winter</x:v>
      </x:c>
      <x:c r="H1678" t="str">
        <x:v>Card</x:v>
      </x:c>
      <x:c r="I1678" t="n">
        <x:v>3.6</x:v>
      </x:c>
      <x:c r="J1678" t="n">
        <x:v>22</x:v>
      </x:c>
      <x:c r="K1678" t="n">
        <x:v>6</x:v>
      </x:c>
      <x:c r="L1678" t="str">
        <x:v>STORE-001</x:v>
      </x:c>
      <x:c r="M1678" s="22" t="n">
        <x:v>46197</x:v>
      </x:c>
      <x:c r="N1678" t="str">
        <x:v>SKU-011</x:v>
      </x:c>
      <x:c r="O1678" t="n">
        <x:v>1</x:v>
      </x:c>
      <x:c r="P1678" s="26" t="n">
        <x:f>F1678/O1678</x:f>
        <x:v>135.91</x:v>
      </x:c>
    </x:row>
    <x:row r="1679">
      <x:c r="A1679" t="n">
        <x:v>1678</x:v>
      </x:c>
      <x:c r="B1679" t="n">
        <x:v>44</x:v>
      </x:c>
      <x:c r="C1679" t="str">
        <x:v>Female</x:v>
      </x:c>
      <x:c r="D1679" t="str">
        <x:v>Womens Clothing</x:v>
      </x:c>
      <x:c r="E1679" t="str">
        <x:v>Dress</x:v>
      </x:c>
      <x:c r="F1679" s="24" t="n">
        <x:v>183.99</x:v>
      </x:c>
      <x:c r="G1679" t="str">
        <x:v>Autumn</x:v>
      </x:c>
      <x:c r="H1679" t="str">
        <x:v>Card</x:v>
      </x:c>
      <x:c r="I1679" t="n">
        <x:v>3.1</x:v>
      </x:c>
      <x:c r="J1679" t="n">
        <x:v>16</x:v>
      </x:c>
      <x:c r="K1679" t="n">
        <x:v>8</x:v>
      </x:c>
      <x:c r="L1679" t="str">
        <x:v>STORE-001</x:v>
      </x:c>
      <x:c r="M1679" s="22" t="n">
        <x:v>46134</x:v>
      </x:c>
      <x:c r="N1679" t="str">
        <x:v>SKU-004</x:v>
      </x:c>
      <x:c r="O1679" t="n">
        <x:v>1</x:v>
      </x:c>
      <x:c r="P1679" s="26" t="n">
        <x:f>F1679/O1679</x:f>
        <x:v>183.99</x:v>
      </x:c>
    </x:row>
    <x:row r="1680">
      <x:c r="A1680" t="n">
        <x:v>1679</x:v>
      </x:c>
      <x:c r="B1680" t="n">
        <x:v>32</x:v>
      </x:c>
      <x:c r="C1680" t="str">
        <x:v>Female</x:v>
      </x:c>
      <x:c r="D1680" t="str">
        <x:v>Footwear</x:v>
      </x:c>
      <x:c r="E1680" t="str">
        <x:v>Sneakers</x:v>
      </x:c>
      <x:c r="F1680" s="24" t="n">
        <x:v>188.12</x:v>
      </x:c>
      <x:c r="G1680" t="str">
        <x:v>Winter</x:v>
      </x:c>
      <x:c r="H1680" t="str">
        <x:v>Card</x:v>
      </x:c>
      <x:c r="I1680" t="n">
        <x:v>2.7</x:v>
      </x:c>
      <x:c r="J1680" t="n">
        <x:v>6</x:v>
      </x:c>
      <x:c r="K1680" t="n">
        <x:v>3</x:v>
      </x:c>
      <x:c r="L1680" t="str">
        <x:v>STORE-001</x:v>
      </x:c>
      <x:c r="M1680" s="22" t="n">
        <x:v>46187</x:v>
      </x:c>
      <x:c r="N1680" t="str">
        <x:v>SKU-025</x:v>
      </x:c>
      <x:c r="O1680" t="n">
        <x:v>1</x:v>
      </x:c>
      <x:c r="P1680" s="26" t="n">
        <x:f>F1680/O1680</x:f>
        <x:v>188.12</x:v>
      </x:c>
    </x:row>
    <x:row r="1681">
      <x:c r="A1681" t="n">
        <x:v>1680</x:v>
      </x:c>
      <x:c r="B1681" t="n">
        <x:v>60</x:v>
      </x:c>
      <x:c r="C1681" t="str">
        <x:v>Female</x:v>
      </x:c>
      <x:c r="D1681" t="str">
        <x:v>Footwear</x:v>
      </x:c>
      <x:c r="E1681" t="str">
        <x:v>Sneakers</x:v>
      </x:c>
      <x:c r="F1681" s="24" t="n">
        <x:v>81.88</x:v>
      </x:c>
      <x:c r="G1681" t="str">
        <x:v>Winter</x:v>
      </x:c>
      <x:c r="H1681" t="str">
        <x:v>Cash on Delivery</x:v>
      </x:c>
      <x:c r="I1681" t="n">
        <x:v>4.5</x:v>
      </x:c>
      <x:c r="J1681" t="n">
        <x:v>14</x:v>
      </x:c>
      <x:c r="K1681" t="n">
        <x:v>7</x:v>
      </x:c>
      <x:c r="L1681" t="str">
        <x:v>STORE-001</x:v>
      </x:c>
      <x:c r="M1681" s="22" t="n">
        <x:v>46224</x:v>
      </x:c>
      <x:c r="N1681" t="str">
        <x:v>SKU-025</x:v>
      </x:c>
      <x:c r="O1681" t="n">
        <x:v>2</x:v>
      </x:c>
      <x:c r="P1681" s="26" t="n">
        <x:f>F1681/O1681</x:f>
        <x:v>40.94</x:v>
      </x:c>
    </x:row>
    <x:row r="1682">
      <x:c r="A1682" t="n">
        <x:v>1681</x:v>
      </x:c>
      <x:c r="B1682" t="n">
        <x:v>55</x:v>
      </x:c>
      <x:c r="C1682" t="str">
        <x:v>Female</x:v>
      </x:c>
      <x:c r="D1682" t="str">
        <x:v>Footwear</x:v>
      </x:c>
      <x:c r="E1682" t="str">
        <x:v>Sneakers</x:v>
      </x:c>
      <x:c r="F1682" s="24" t="n">
        <x:v>134.88</x:v>
      </x:c>
      <x:c r="G1682" t="str">
        <x:v>Winter</x:v>
      </x:c>
      <x:c r="H1682" t="str">
        <x:v>Card</x:v>
      </x:c>
      <x:c r="I1682" t="n">
        <x:v>4.1</x:v>
      </x:c>
      <x:c r="J1682" t="n">
        <x:v>11</x:v>
      </x:c>
      <x:c r="K1682" t="n">
        <x:v>3</x:v>
      </x:c>
      <x:c r="L1682" t="str">
        <x:v>STORE-001</x:v>
      </x:c>
      <x:c r="M1682" s="22" t="n">
        <x:v>46225</x:v>
      </x:c>
      <x:c r="N1682" t="str">
        <x:v>SKU-025</x:v>
      </x:c>
      <x:c r="O1682" t="n">
        <x:v>2</x:v>
      </x:c>
      <x:c r="P1682" s="26" t="n">
        <x:f>F1682/O1682</x:f>
        <x:v>67.44</x:v>
      </x:c>
    </x:row>
    <x:row r="1683">
      <x:c r="A1683" t="n">
        <x:v>1682</x:v>
      </x:c>
      <x:c r="B1683" t="n">
        <x:v>60</x:v>
      </x:c>
      <x:c r="C1683" t="str">
        <x:v>Female</x:v>
      </x:c>
      <x:c r="D1683" t="str">
        <x:v>Footwear</x:v>
      </x:c>
      <x:c r="E1683" t="str">
        <x:v>Sneakers</x:v>
      </x:c>
      <x:c r="F1683" s="24" t="n">
        <x:v>76.8</x:v>
      </x:c>
      <x:c r="G1683" t="str">
        <x:v>Winter</x:v>
      </x:c>
      <x:c r="H1683" t="str">
        <x:v>Card</x:v>
      </x:c>
      <x:c r="I1683" t="n">
        <x:v>3.3</x:v>
      </x:c>
      <x:c r="J1683" t="n">
        <x:v>17</x:v>
      </x:c>
      <x:c r="K1683" t="n">
        <x:v>6</x:v>
      </x:c>
      <x:c r="L1683" t="str">
        <x:v>STORE-001</x:v>
      </x:c>
      <x:c r="M1683" s="22" t="n">
        <x:v>46212</x:v>
      </x:c>
      <x:c r="N1683" t="str">
        <x:v>SKU-025</x:v>
      </x:c>
      <x:c r="O1683" t="n">
        <x:v>3</x:v>
      </x:c>
      <x:c r="P1683" s="26" t="n">
        <x:f>F1683/O1683</x:f>
        <x:v>25.599999999999998</x:v>
      </x:c>
    </x:row>
    <x:row r="1684">
      <x:c r="A1684" t="n">
        <x:v>1683</x:v>
      </x:c>
      <x:c r="B1684" t="n">
        <x:v>54</x:v>
      </x:c>
      <x:c r="C1684" t="str">
        <x:v>Female</x:v>
      </x:c>
      <x:c r="D1684" t="str">
        <x:v>Beauty</x:v>
      </x:c>
      <x:c r="E1684" t="str">
        <x:v>Perfume</x:v>
      </x:c>
      <x:c r="F1684" s="24" t="n">
        <x:v>54.63</x:v>
      </x:c>
      <x:c r="G1684" t="str">
        <x:v>Winter</x:v>
      </x:c>
      <x:c r="H1684" t="str">
        <x:v>Cash on Delivery</x:v>
      </x:c>
      <x:c r="I1684" t="n">
        <x:v>4.5</x:v>
      </x:c>
      <x:c r="J1684" t="n">
        <x:v>10</x:v>
      </x:c>
      <x:c r="K1684" t="n">
        <x:v>5</x:v>
      </x:c>
      <x:c r="L1684" t="str">
        <x:v>STORE-001</x:v>
      </x:c>
      <x:c r="M1684" s="22" t="n">
        <x:v>46260</x:v>
      </x:c>
      <x:c r="N1684" t="str">
        <x:v>SKU-017</x:v>
      </x:c>
      <x:c r="O1684" t="n">
        <x:v>1</x:v>
      </x:c>
      <x:c r="P1684" s="26" t="n">
        <x:f>F1684/O1684</x:f>
        <x:v>54.63</x:v>
      </x:c>
    </x:row>
    <x:row r="1685">
      <x:c r="A1685" t="n">
        <x:v>1684</x:v>
      </x:c>
      <x:c r="B1685" t="n">
        <x:v>39</x:v>
      </x:c>
      <x:c r="C1685" t="str">
        <x:v>Male</x:v>
      </x:c>
      <x:c r="D1685" t="str">
        <x:v>Mens Clothing</x:v>
      </x:c>
      <x:c r="E1685" t="str">
        <x:v>Jeans</x:v>
      </x:c>
      <x:c r="F1685" s="24" t="n">
        <x:v>47.56</x:v>
      </x:c>
      <x:c r="G1685" t="str">
        <x:v>Spring</x:v>
      </x:c>
      <x:c r="H1685" t="str">
        <x:v>Cash on Delivery</x:v>
      </x:c>
      <x:c r="I1685" t="n">
        <x:v>2.1</x:v>
      </x:c>
      <x:c r="J1685" t="n">
        <x:v>6</x:v>
      </x:c>
      <x:c r="K1685" t="n">
        <x:v>3</x:v>
      </x:c>
      <x:c r="L1685" t="str">
        <x:v>STORE-001</x:v>
      </x:c>
      <x:c r="M1685" s="22" t="n">
        <x:v>46270</x:v>
      </x:c>
      <x:c r="N1685" t="str">
        <x:v>SKU-011</x:v>
      </x:c>
      <x:c r="O1685" t="n">
        <x:v>1</x:v>
      </x:c>
      <x:c r="P1685" s="26" t="n">
        <x:f>F1685/O1685</x:f>
        <x:v>47.56</x:v>
      </x:c>
    </x:row>
    <x:row r="1686">
      <x:c r="A1686" t="n">
        <x:v>1685</x:v>
      </x:c>
      <x:c r="B1686" t="n">
        <x:v>20</x:v>
      </x:c>
      <x:c r="C1686" t="str">
        <x:v>Male</x:v>
      </x:c>
      <x:c r="D1686" t="str">
        <x:v>Footwear</x:v>
      </x:c>
      <x:c r="E1686" t="str">
        <x:v>Sneakers</x:v>
      </x:c>
      <x:c r="F1686" s="24" t="n">
        <x:v>53.28</x:v>
      </x:c>
      <x:c r="G1686" t="str">
        <x:v>Summer</x:v>
      </x:c>
      <x:c r="H1686" t="str">
        <x:v>Card</x:v>
      </x:c>
      <x:c r="I1686" t="n">
        <x:v>3</x:v>
      </x:c>
      <x:c r="J1686" t="n">
        <x:v>23</x:v>
      </x:c>
      <x:c r="K1686" t="n">
        <x:v>9</x:v>
      </x:c>
      <x:c r="L1686" t="str">
        <x:v>STORE-001</x:v>
      </x:c>
      <x:c r="M1686" s="22" t="n">
        <x:v>46079</x:v>
      </x:c>
      <x:c r="N1686" t="str">
        <x:v>SKU-025</x:v>
      </x:c>
      <x:c r="O1686" t="n">
        <x:v>1</x:v>
      </x:c>
      <x:c r="P1686" s="26" t="n">
        <x:f>F1686/O1686</x:f>
        <x:v>53.28</x:v>
      </x:c>
    </x:row>
    <x:row r="1687">
      <x:c r="A1687" t="n">
        <x:v>1686</x:v>
      </x:c>
      <x:c r="B1687" t="n">
        <x:v>31</x:v>
      </x:c>
      <x:c r="C1687" t="str">
        <x:v>Female</x:v>
      </x:c>
      <x:c r="D1687" t="str">
        <x:v>Groceries</x:v>
      </x:c>
      <x:c r="E1687" t="str">
        <x:v>Rice Pack</x:v>
      </x:c>
      <x:c r="F1687" s="24" t="n">
        <x:v>78.79</x:v>
      </x:c>
      <x:c r="G1687" t="str">
        <x:v>Winter</x:v>
      </x:c>
      <x:c r="H1687" t="str">
        <x:v>Cash on Delivery</x:v>
      </x:c>
      <x:c r="I1687" t="n">
        <x:v>4.8</x:v>
      </x:c>
      <x:c r="J1687" t="n">
        <x:v>14</x:v>
      </x:c>
      <x:c r="K1687" t="n">
        <x:v>2</x:v>
      </x:c>
      <x:c r="L1687" t="str">
        <x:v>STORE-001</x:v>
      </x:c>
      <x:c r="M1687" s="22" t="n">
        <x:v>46234</x:v>
      </x:c>
      <x:c r="N1687" t="str">
        <x:v>SKU-018</x:v>
      </x:c>
      <x:c r="O1687" t="n">
        <x:v>2</x:v>
      </x:c>
      <x:c r="P1687" s="26" t="n">
        <x:f>F1687/O1687</x:f>
        <x:v>39.395</x:v>
      </x:c>
    </x:row>
    <x:row r="1688">
      <x:c r="A1688" t="n">
        <x:v>1687</x:v>
      </x:c>
      <x:c r="B1688" t="n">
        <x:v>45</x:v>
      </x:c>
      <x:c r="C1688" t="str">
        <x:v>Female</x:v>
      </x:c>
      <x:c r="D1688" t="str">
        <x:v>Beauty</x:v>
      </x:c>
      <x:c r="E1688" t="str">
        <x:v>Perfume</x:v>
      </x:c>
      <x:c r="F1688" s="24" t="n">
        <x:v>52.81</x:v>
      </x:c>
      <x:c r="G1688" t="str">
        <x:v>Winter</x:v>
      </x:c>
      <x:c r="H1688" t="str">
        <x:v>Card</x:v>
      </x:c>
      <x:c r="I1688" t="n">
        <x:v>4.6</x:v>
      </x:c>
      <x:c r="J1688" t="n">
        <x:v>24</x:v>
      </x:c>
      <x:c r="K1688" t="n">
        <x:v>7</x:v>
      </x:c>
      <x:c r="L1688" t="str">
        <x:v>STORE-001</x:v>
      </x:c>
      <x:c r="M1688" s="22" t="n">
        <x:v>46262</x:v>
      </x:c>
      <x:c r="N1688" t="str">
        <x:v>SKU-017</x:v>
      </x:c>
      <x:c r="O1688" t="n">
        <x:v>1</x:v>
      </x:c>
      <x:c r="P1688" s="26" t="n">
        <x:f>F1688/O1688</x:f>
        <x:v>52.81</x:v>
      </x:c>
    </x:row>
    <x:row r="1689">
      <x:c r="A1689" t="n">
        <x:v>1688</x:v>
      </x:c>
      <x:c r="B1689" t="n">
        <x:v>38</x:v>
      </x:c>
      <x:c r="C1689" t="str">
        <x:v>Male</x:v>
      </x:c>
      <x:c r="D1689" t="str">
        <x:v>Electronics</x:v>
      </x:c>
      <x:c r="E1689" t="str">
        <x:v>Smart Watch</x:v>
      </x:c>
      <x:c r="F1689" s="24" t="n">
        <x:v>2403.13</x:v>
      </x:c>
      <x:c r="G1689" t="str">
        <x:v>Summer</x:v>
      </x:c>
      <x:c r="H1689" t="str">
        <x:v>Card</x:v>
      </x:c>
      <x:c r="I1689" t="n">
        <x:v>4.9</x:v>
      </x:c>
      <x:c r="J1689" t="n">
        <x:v>8</x:v>
      </x:c>
      <x:c r="K1689" t="n">
        <x:v>4</x:v>
      </x:c>
      <x:c r="L1689" t="str">
        <x:v>STORE-001</x:v>
      </x:c>
      <x:c r="M1689" s="22" t="n">
        <x:v>45992</x:v>
      </x:c>
      <x:c r="N1689" t="str">
        <x:v>SKU-023</x:v>
      </x:c>
      <x:c r="O1689" t="n">
        <x:v>1</x:v>
      </x:c>
      <x:c r="P1689" s="26" t="n">
        <x:f>F1689/O1689</x:f>
        <x:v>2403.13</x:v>
      </x:c>
    </x:row>
    <x:row r="1690">
      <x:c r="A1690" t="n">
        <x:v>1689</x:v>
      </x:c>
      <x:c r="B1690" t="n">
        <x:v>61</x:v>
      </x:c>
      <x:c r="C1690" t="str">
        <x:v>Female</x:v>
      </x:c>
      <x:c r="D1690" t="str">
        <x:v>Accessories</x:v>
      </x:c>
      <x:c r="E1690" t="str">
        <x:v>Sunglasses</x:v>
      </x:c>
      <x:c r="F1690" s="24" t="n">
        <x:v>117</x:v>
      </x:c>
      <x:c r="G1690" t="str">
        <x:v>Summer</x:v>
      </x:c>
      <x:c r="H1690" t="str">
        <x:v>Card</x:v>
      </x:c>
      <x:c r="I1690" t="n">
        <x:v>3.4</x:v>
      </x:c>
      <x:c r="J1690" t="n">
        <x:v>15</x:v>
      </x:c>
      <x:c r="K1690" t="n">
        <x:v>5</x:v>
      </x:c>
      <x:c r="L1690" t="str">
        <x:v>STORE-001</x:v>
      </x:c>
      <x:c r="M1690" s="22" t="n">
        <x:v>46014</x:v>
      </x:c>
      <x:c r="N1690" t="str">
        <x:v>SKU-026</x:v>
      </x:c>
      <x:c r="O1690" t="n">
        <x:v>4</x:v>
      </x:c>
      <x:c r="P1690" s="26" t="n">
        <x:f>F1690/O1690</x:f>
        <x:v>29.25</x:v>
      </x:c>
    </x:row>
    <x:row r="1691">
      <x:c r="A1691" t="n">
        <x:v>1690</x:v>
      </x:c>
      <x:c r="B1691" t="n">
        <x:v>51</x:v>
      </x:c>
      <x:c r="C1691" t="str">
        <x:v>Male</x:v>
      </x:c>
      <x:c r="D1691" t="str">
        <x:v>Footwear</x:v>
      </x:c>
      <x:c r="E1691" t="str">
        <x:v>Sneakers</x:v>
      </x:c>
      <x:c r="F1691" s="24" t="n">
        <x:v>94.71</x:v>
      </x:c>
      <x:c r="G1691" t="str">
        <x:v>Summer</x:v>
      </x:c>
      <x:c r="H1691" t="str">
        <x:v>Card</x:v>
      </x:c>
      <x:c r="I1691" t="n">
        <x:v>3.6</x:v>
      </x:c>
      <x:c r="J1691" t="n">
        <x:v>13</x:v>
      </x:c>
      <x:c r="K1691" t="n">
        <x:v>4</x:v>
      </x:c>
      <x:c r="L1691" t="str">
        <x:v>STORE-001</x:v>
      </x:c>
      <x:c r="M1691" s="22" t="n">
        <x:v>46062</x:v>
      </x:c>
      <x:c r="N1691" t="str">
        <x:v>SKU-025</x:v>
      </x:c>
      <x:c r="O1691" t="n">
        <x:v>1</x:v>
      </x:c>
      <x:c r="P1691" s="26" t="n">
        <x:f>F1691/O1691</x:f>
        <x:v>94.71</x:v>
      </x:c>
    </x:row>
    <x:row r="1692">
      <x:c r="A1692" t="n">
        <x:v>1691</x:v>
      </x:c>
      <x:c r="B1692" t="n">
        <x:v>54</x:v>
      </x:c>
      <x:c r="C1692" t="str">
        <x:v>Female</x:v>
      </x:c>
      <x:c r="D1692" t="str">
        <x:v>Footwear</x:v>
      </x:c>
      <x:c r="E1692" t="str">
        <x:v>Sandals</x:v>
      </x:c>
      <x:c r="F1692" s="24" t="n">
        <x:v>121.85</x:v>
      </x:c>
      <x:c r="G1692" t="str">
        <x:v>Autumn</x:v>
      </x:c>
      <x:c r="H1692" t="str">
        <x:v>Card</x:v>
      </x:c>
      <x:c r="I1692" t="n">
        <x:v>4.1</x:v>
      </x:c>
      <x:c r="J1692" t="n">
        <x:v>24</x:v>
      </x:c>
      <x:c r="K1692" t="n">
        <x:v>7</x:v>
      </x:c>
      <x:c r="L1692" t="str">
        <x:v>STORE-001</x:v>
      </x:c>
      <x:c r="M1692" s="22" t="n">
        <x:v>46109</x:v>
      </x:c>
      <x:c r="N1692" t="str">
        <x:v>SKU-019</x:v>
      </x:c>
      <x:c r="O1692" t="n">
        <x:v>1</x:v>
      </x:c>
      <x:c r="P1692" s="26" t="n">
        <x:f>F1692/O1692</x:f>
        <x:v>121.85</x:v>
      </x:c>
    </x:row>
    <x:row r="1693">
      <x:c r="A1693" t="n">
        <x:v>1692</x:v>
      </x:c>
      <x:c r="B1693" t="n">
        <x:v>49</x:v>
      </x:c>
      <x:c r="C1693" t="str">
        <x:v>Male</x:v>
      </x:c>
      <x:c r="D1693" t="str">
        <x:v>Groceries</x:v>
      </x:c>
      <x:c r="E1693" t="str">
        <x:v>Beverages</x:v>
      </x:c>
      <x:c r="F1693" s="24" t="n">
        <x:v>72.21</x:v>
      </x:c>
      <x:c r="G1693" t="str">
        <x:v>Autumn</x:v>
      </x:c>
      <x:c r="H1693" t="str">
        <x:v>Cash on Delivery</x:v>
      </x:c>
      <x:c r="I1693" t="n">
        <x:v>3.8</x:v>
      </x:c>
      <x:c r="J1693" t="n">
        <x:v>16</x:v>
      </x:c>
      <x:c r="K1693" t="n">
        <x:v>3</x:v>
      </x:c>
      <x:c r="L1693" t="str">
        <x:v>STORE-001</x:v>
      </x:c>
      <x:c r="M1693" s="22" t="n">
        <x:v>46107</x:v>
      </x:c>
      <x:c r="N1693" t="str">
        <x:v>SKU-001</x:v>
      </x:c>
      <x:c r="O1693" t="n">
        <x:v>2</x:v>
      </x:c>
      <x:c r="P1693" s="26" t="n">
        <x:f>F1693/O1693</x:f>
        <x:v>36.105</x:v>
      </x:c>
    </x:row>
    <x:row r="1694">
      <x:c r="A1694" t="n">
        <x:v>1693</x:v>
      </x:c>
      <x:c r="B1694" t="n">
        <x:v>69</x:v>
      </x:c>
      <x:c r="C1694" t="str">
        <x:v>Female</x:v>
      </x:c>
      <x:c r="D1694" t="str">
        <x:v>Accessories</x:v>
      </x:c>
      <x:c r="E1694" t="str">
        <x:v>Wallet</x:v>
      </x:c>
      <x:c r="F1694" s="24" t="n">
        <x:v>166.88</x:v>
      </x:c>
      <x:c r="G1694" t="str">
        <x:v>Summer</x:v>
      </x:c>
      <x:c r="H1694" t="str">
        <x:v>Card</x:v>
      </x:c>
      <x:c r="I1694" t="n">
        <x:v>4.1</x:v>
      </x:c>
      <x:c r="J1694" t="n">
        <x:v>8</x:v>
      </x:c>
      <x:c r="K1694" t="n">
        <x:v>4</x:v>
      </x:c>
      <x:c r="L1694" t="str">
        <x:v>STORE-001</x:v>
      </x:c>
      <x:c r="M1694" s="22" t="n">
        <x:v>45999</x:v>
      </x:c>
      <x:c r="N1694" t="str">
        <x:v>SKU-029</x:v>
      </x:c>
      <x:c r="O1694" t="n">
        <x:v>3</x:v>
      </x:c>
      <x:c r="P1694" s="26" t="n">
        <x:f>F1694/O1694</x:f>
        <x:v>55.626666666666665</x:v>
      </x:c>
    </x:row>
    <x:row r="1695">
      <x:c r="A1695" t="n">
        <x:v>1694</x:v>
      </x:c>
      <x:c r="B1695" t="n">
        <x:v>46</x:v>
      </x:c>
      <x:c r="C1695" t="str">
        <x:v>Female</x:v>
      </x:c>
      <x:c r="D1695" t="str">
        <x:v>Beauty</x:v>
      </x:c>
      <x:c r="E1695" t="str">
        <x:v>Skincare Kit</x:v>
      </x:c>
      <x:c r="F1695" s="24" t="n">
        <x:v>75.22</x:v>
      </x:c>
      <x:c r="G1695" t="str">
        <x:v>Autumn</x:v>
      </x:c>
      <x:c r="H1695" t="str">
        <x:v>Cash on Delivery</x:v>
      </x:c>
      <x:c r="I1695" t="n">
        <x:v>4.1</x:v>
      </x:c>
      <x:c r="J1695" t="n">
        <x:v>10</x:v>
      </x:c>
      <x:c r="K1695" t="n">
        <x:v>5</x:v>
      </x:c>
      <x:c r="L1695" t="str">
        <x:v>STORE-001</x:v>
      </x:c>
      <x:c r="M1695" s="22" t="n">
        <x:v>46149</x:v>
      </x:c>
      <x:c r="N1695" t="str">
        <x:v>SKU-021</x:v>
      </x:c>
      <x:c r="O1695" t="n">
        <x:v>1</x:v>
      </x:c>
      <x:c r="P1695" s="26" t="n">
        <x:f>F1695/O1695</x:f>
        <x:v>75.22</x:v>
      </x:c>
    </x:row>
    <x:row r="1696">
      <x:c r="A1696" t="n">
        <x:v>1695</x:v>
      </x:c>
      <x:c r="B1696" t="n">
        <x:v>48</x:v>
      </x:c>
      <x:c r="C1696" t="str">
        <x:v>Male</x:v>
      </x:c>
      <x:c r="D1696" t="str">
        <x:v>Footwear</x:v>
      </x:c>
      <x:c r="E1696" t="str">
        <x:v>Sneakers</x:v>
      </x:c>
      <x:c r="F1696" s="24" t="n">
        <x:v>77.91</x:v>
      </x:c>
      <x:c r="G1696" t="str">
        <x:v>Spring</x:v>
      </x:c>
      <x:c r="H1696" t="str">
        <x:v>Card</x:v>
      </x:c>
      <x:c r="I1696" t="n">
        <x:v>3.9</x:v>
      </x:c>
      <x:c r="J1696" t="n">
        <x:v>17</x:v>
      </x:c>
      <x:c r="K1696" t="n">
        <x:v>6</x:v>
      </x:c>
      <x:c r="L1696" t="str">
        <x:v>STORE-001</x:v>
      </x:c>
      <x:c r="M1696" s="22" t="n">
        <x:v>46294</x:v>
      </x:c>
      <x:c r="N1696" t="str">
        <x:v>SKU-025</x:v>
      </x:c>
      <x:c r="O1696" t="n">
        <x:v>1</x:v>
      </x:c>
      <x:c r="P1696" s="26" t="n">
        <x:f>F1696/O1696</x:f>
        <x:v>77.91</x:v>
      </x:c>
    </x:row>
    <x:row r="1697">
      <x:c r="A1697" t="n">
        <x:v>1696</x:v>
      </x:c>
      <x:c r="B1697" t="n">
        <x:v>58</x:v>
      </x:c>
      <x:c r="C1697" t="str">
        <x:v>Male</x:v>
      </x:c>
      <x:c r="D1697" t="str">
        <x:v>Sports</x:v>
      </x:c>
      <x:c r="E1697" t="str">
        <x:v>Yoga Mat</x:v>
      </x:c>
      <x:c r="F1697" s="24" t="n">
        <x:v>65.28</x:v>
      </x:c>
      <x:c r="G1697" t="str">
        <x:v>Winter</x:v>
      </x:c>
      <x:c r="H1697" t="str">
        <x:v>Card</x:v>
      </x:c>
      <x:c r="I1697" t="n">
        <x:v>4.6</x:v>
      </x:c>
      <x:c r="J1697" t="n">
        <x:v>12</x:v>
      </x:c>
      <x:c r="K1697" t="n">
        <x:v>6</x:v>
      </x:c>
      <x:c r="L1697" t="str">
        <x:v>STORE-001</x:v>
      </x:c>
      <x:c r="M1697" s="22" t="n">
        <x:v>46227</x:v>
      </x:c>
      <x:c r="N1697" t="str">
        <x:v>SKU-030</x:v>
      </x:c>
      <x:c r="O1697" t="n">
        <x:v>1</x:v>
      </x:c>
      <x:c r="P1697" s="26" t="n">
        <x:f>F1697/O1697</x:f>
        <x:v>65.28</x:v>
      </x:c>
    </x:row>
    <x:row r="1698">
      <x:c r="A1698" t="n">
        <x:v>1697</x:v>
      </x:c>
      <x:c r="B1698" t="n">
        <x:v>47</x:v>
      </x:c>
      <x:c r="C1698" t="str">
        <x:v>Female</x:v>
      </x:c>
      <x:c r="D1698" t="str">
        <x:v>Footwear</x:v>
      </x:c>
      <x:c r="E1698" t="str">
        <x:v>Sandals</x:v>
      </x:c>
      <x:c r="F1698" s="24" t="n">
        <x:v>132.81</x:v>
      </x:c>
      <x:c r="G1698" t="str">
        <x:v>Spring</x:v>
      </x:c>
      <x:c r="H1698" t="str">
        <x:v>Card</x:v>
      </x:c>
      <x:c r="I1698" t="n">
        <x:v>4.1</x:v>
      </x:c>
      <x:c r="J1698" t="n">
        <x:v>6</x:v>
      </x:c>
      <x:c r="K1698" t="n">
        <x:v>3</x:v>
      </x:c>
      <x:c r="L1698" t="str">
        <x:v>STORE-001</x:v>
      </x:c>
      <x:c r="M1698" s="22" t="n">
        <x:v>45988</x:v>
      </x:c>
      <x:c r="N1698" t="str">
        <x:v>SKU-019</x:v>
      </x:c>
      <x:c r="O1698" t="n">
        <x:v>2</x:v>
      </x:c>
      <x:c r="P1698" s="26" t="n">
        <x:f>F1698/O1698</x:f>
        <x:v>66.405</x:v>
      </x:c>
    </x:row>
    <x:row r="1699">
      <x:c r="A1699" t="n">
        <x:v>1698</x:v>
      </x:c>
      <x:c r="B1699" t="n">
        <x:v>33</x:v>
      </x:c>
      <x:c r="C1699" t="str">
        <x:v>Male</x:v>
      </x:c>
      <x:c r="D1699" t="str">
        <x:v>Electronics</x:v>
      </x:c>
      <x:c r="E1699" t="str">
        <x:v>Smart Watch</x:v>
      </x:c>
      <x:c r="F1699" s="24" t="n">
        <x:v>2290.97</x:v>
      </x:c>
      <x:c r="G1699" t="str">
        <x:v>Summer</x:v>
      </x:c>
      <x:c r="H1699" t="str">
        <x:v>Card</x:v>
      </x:c>
      <x:c r="I1699" t="n">
        <x:v>4.2</x:v>
      </x:c>
      <x:c r="J1699" t="n">
        <x:v>12</x:v>
      </x:c>
      <x:c r="K1699" t="n">
        <x:v>1</x:v>
      </x:c>
      <x:c r="L1699" t="str">
        <x:v>STORE-001</x:v>
      </x:c>
      <x:c r="M1699" s="22" t="n">
        <x:v>46021</x:v>
      </x:c>
      <x:c r="N1699" t="str">
        <x:v>SKU-023</x:v>
      </x:c>
      <x:c r="O1699" t="n">
        <x:v>1</x:v>
      </x:c>
      <x:c r="P1699" s="26" t="n">
        <x:f>F1699/O1699</x:f>
        <x:v>2290.97</x:v>
      </x:c>
    </x:row>
    <x:row r="1700">
      <x:c r="A1700" t="n">
        <x:v>1699</x:v>
      </x:c>
      <x:c r="B1700" t="n">
        <x:v>34</x:v>
      </x:c>
      <x:c r="C1700" t="str">
        <x:v>Female</x:v>
      </x:c>
      <x:c r="D1700" t="str">
        <x:v>Beauty</x:v>
      </x:c>
      <x:c r="E1700" t="str">
        <x:v>Skincare Kit</x:v>
      </x:c>
      <x:c r="F1700" s="24" t="n">
        <x:v>31.61</x:v>
      </x:c>
      <x:c r="G1700" t="str">
        <x:v>Autumn</x:v>
      </x:c>
      <x:c r="H1700" t="str">
        <x:v>Card</x:v>
      </x:c>
      <x:c r="I1700" t="n">
        <x:v>5</x:v>
      </x:c>
      <x:c r="J1700" t="n">
        <x:v>19</x:v>
      </x:c>
      <x:c r="K1700" t="n">
        <x:v>7</x:v>
      </x:c>
      <x:c r="L1700" t="str">
        <x:v>STORE-001</x:v>
      </x:c>
      <x:c r="M1700" s="22" t="n">
        <x:v>46143</x:v>
      </x:c>
      <x:c r="N1700" t="str">
        <x:v>SKU-021</x:v>
      </x:c>
      <x:c r="O1700" t="n">
        <x:v>1</x:v>
      </x:c>
      <x:c r="P1700" s="26" t="n">
        <x:f>F1700/O1700</x:f>
        <x:v>31.61</x:v>
      </x:c>
    </x:row>
    <x:row r="1701">
      <x:c r="A1701" t="n">
        <x:v>1700</x:v>
      </x:c>
      <x:c r="B1701" t="n">
        <x:v>43</x:v>
      </x:c>
      <x:c r="C1701" t="str">
        <x:v>Male</x:v>
      </x:c>
      <x:c r="D1701" t="str">
        <x:v>Mens Clothing</x:v>
      </x:c>
      <x:c r="E1701" t="str">
        <x:v>Shirt</x:v>
      </x:c>
      <x:c r="F1701" s="24" t="n">
        <x:v>184.32</x:v>
      </x:c>
      <x:c r="G1701" t="str">
        <x:v>Spring</x:v>
      </x:c>
      <x:c r="H1701" t="str">
        <x:v>Card</x:v>
      </x:c>
      <x:c r="I1701" t="n">
        <x:v>4.6</x:v>
      </x:c>
      <x:c r="J1701" t="n">
        <x:v>22</x:v>
      </x:c>
      <x:c r="K1701" t="n">
        <x:v>6</x:v>
      </x:c>
      <x:c r="L1701" t="str">
        <x:v>STORE-001</x:v>
      </x:c>
      <x:c r="M1701" s="22" t="n">
        <x:v>45932</x:v>
      </x:c>
      <x:c r="N1701" t="str">
        <x:v>SKU-020</x:v>
      </x:c>
      <x:c r="O1701" t="n">
        <x:v>2</x:v>
      </x:c>
      <x:c r="P1701" s="26" t="n">
        <x:f>F1701/O1701</x:f>
        <x:v>92.16</x:v>
      </x:c>
    </x:row>
    <x:row r="1702">
      <x:c r="A1702" t="n">
        <x:v>1701</x:v>
      </x:c>
      <x:c r="B1702" t="n">
        <x:v>58</x:v>
      </x:c>
      <x:c r="C1702" t="str">
        <x:v>Male</x:v>
      </x:c>
      <x:c r="D1702" t="str">
        <x:v>Footwear</x:v>
      </x:c>
      <x:c r="E1702" t="str">
        <x:v>Formal Shoes</x:v>
      </x:c>
      <x:c r="F1702" s="24" t="n">
        <x:v>135.47</x:v>
      </x:c>
      <x:c r="G1702" t="str">
        <x:v>Spring</x:v>
      </x:c>
      <x:c r="H1702" t="str">
        <x:v>Card</x:v>
      </x:c>
      <x:c r="I1702" t="n">
        <x:v>4.9</x:v>
      </x:c>
      <x:c r="J1702" t="n">
        <x:v>30</x:v>
      </x:c>
      <x:c r="K1702" t="n">
        <x:v>10</x:v>
      </x:c>
      <x:c r="L1702" t="str">
        <x:v>STORE-001</x:v>
      </x:c>
      <x:c r="M1702" s="22" t="n">
        <x:v>46280</x:v>
      </x:c>
      <x:c r="N1702" t="str">
        <x:v>SKU-007</x:v>
      </x:c>
      <x:c r="O1702" t="n">
        <x:v>1</x:v>
      </x:c>
      <x:c r="P1702" s="26" t="n">
        <x:f>F1702/O1702</x:f>
        <x:v>135.47</x:v>
      </x:c>
    </x:row>
    <x:row r="1703">
      <x:c r="A1703" t="n">
        <x:v>1702</x:v>
      </x:c>
      <x:c r="B1703" t="n">
        <x:v>58</x:v>
      </x:c>
      <x:c r="C1703" t="str">
        <x:v>Female</x:v>
      </x:c>
      <x:c r="D1703" t="str">
        <x:v>Footwear</x:v>
      </x:c>
      <x:c r="E1703" t="str">
        <x:v>Sneakers</x:v>
      </x:c>
      <x:c r="F1703" s="24" t="n">
        <x:v>101.31</x:v>
      </x:c>
      <x:c r="G1703" t="str">
        <x:v>Autumn</x:v>
      </x:c>
      <x:c r="H1703" t="str">
        <x:v>Card</x:v>
      </x:c>
      <x:c r="I1703" t="n">
        <x:v>3.9</x:v>
      </x:c>
      <x:c r="J1703" t="n">
        <x:v>26</x:v>
      </x:c>
      <x:c r="K1703" t="n">
        <x:v>8</x:v>
      </x:c>
      <x:c r="L1703" t="str">
        <x:v>STORE-001</x:v>
      </x:c>
      <x:c r="M1703" s="22" t="n">
        <x:v>46109</x:v>
      </x:c>
      <x:c r="N1703" t="str">
        <x:v>SKU-025</x:v>
      </x:c>
      <x:c r="O1703" t="n">
        <x:v>1</x:v>
      </x:c>
      <x:c r="P1703" s="26" t="n">
        <x:f>F1703/O1703</x:f>
        <x:v>101.31</x:v>
      </x:c>
    </x:row>
    <x:row r="1704">
      <x:c r="A1704" t="n">
        <x:v>1703</x:v>
      </x:c>
      <x:c r="B1704" t="n">
        <x:v>41</x:v>
      </x:c>
      <x:c r="C1704" t="str">
        <x:v>Female</x:v>
      </x:c>
      <x:c r="D1704" t="str">
        <x:v>Womens Clothing</x:v>
      </x:c>
      <x:c r="E1704" t="str">
        <x:v>Dress</x:v>
      </x:c>
      <x:c r="F1704" s="24" t="n">
        <x:v>162.41</x:v>
      </x:c>
      <x:c r="G1704" t="str">
        <x:v>Winter</x:v>
      </x:c>
      <x:c r="H1704" t="str">
        <x:v>Card</x:v>
      </x:c>
      <x:c r="I1704" t="n">
        <x:v>4</x:v>
      </x:c>
      <x:c r="J1704" t="n">
        <x:v>4</x:v>
      </x:c>
      <x:c r="K1704" t="n">
        <x:v>2</x:v>
      </x:c>
      <x:c r="L1704" t="str">
        <x:v>STORE-001</x:v>
      </x:c>
      <x:c r="M1704" s="22" t="n">
        <x:v>46222</x:v>
      </x:c>
      <x:c r="N1704" t="str">
        <x:v>SKU-004</x:v>
      </x:c>
      <x:c r="O1704" t="n">
        <x:v>1</x:v>
      </x:c>
      <x:c r="P1704" s="26" t="n">
        <x:f>F1704/O1704</x:f>
        <x:v>162.41</x:v>
      </x:c>
    </x:row>
    <x:row r="1705">
      <x:c r="A1705" t="n">
        <x:v>1704</x:v>
      </x:c>
      <x:c r="B1705" t="n">
        <x:v>70</x:v>
      </x:c>
      <x:c r="C1705" t="str">
        <x:v>Female</x:v>
      </x:c>
      <x:c r="D1705" t="str">
        <x:v>Footwear</x:v>
      </x:c>
      <x:c r="E1705" t="str">
        <x:v>Sneakers</x:v>
      </x:c>
      <x:c r="F1705" s="24" t="n">
        <x:v>207.96</x:v>
      </x:c>
      <x:c r="G1705" t="str">
        <x:v>Spring</x:v>
      </x:c>
      <x:c r="H1705" t="str">
        <x:v>Card</x:v>
      </x:c>
      <x:c r="I1705" t="n">
        <x:v>4.1</x:v>
      </x:c>
      <x:c r="J1705" t="n">
        <x:v>13</x:v>
      </x:c>
      <x:c r="K1705" t="n">
        <x:v>4</x:v>
      </x:c>
      <x:c r="L1705" t="str">
        <x:v>STORE-001</x:v>
      </x:c>
      <x:c r="M1705" s="22" t="n">
        <x:v>45946</x:v>
      </x:c>
      <x:c r="N1705" t="str">
        <x:v>SKU-025</x:v>
      </x:c>
      <x:c r="O1705" t="n">
        <x:v>1</x:v>
      </x:c>
      <x:c r="P1705" s="26" t="n">
        <x:f>F1705/O1705</x:f>
        <x:v>207.96</x:v>
      </x:c>
    </x:row>
    <x:row r="1706">
      <x:c r="A1706" t="n">
        <x:v>1705</x:v>
      </x:c>
      <x:c r="B1706" t="n">
        <x:v>35</x:v>
      </x:c>
      <x:c r="C1706" t="str">
        <x:v>Female</x:v>
      </x:c>
      <x:c r="D1706" t="str">
        <x:v>Accessories</x:v>
      </x:c>
      <x:c r="E1706" t="str">
        <x:v>Sunglasses</x:v>
      </x:c>
      <x:c r="F1706" s="24" t="n">
        <x:v>63.49</x:v>
      </x:c>
      <x:c r="G1706" t="str">
        <x:v>Winter</x:v>
      </x:c>
      <x:c r="H1706" t="str">
        <x:v>Card</x:v>
      </x:c>
      <x:c r="I1706" t="n">
        <x:v>2.2</x:v>
      </x:c>
      <x:c r="J1706" t="n">
        <x:v>10</x:v>
      </x:c>
      <x:c r="K1706" t="n">
        <x:v>5</x:v>
      </x:c>
      <x:c r="L1706" t="str">
        <x:v>STORE-001</x:v>
      </x:c>
      <x:c r="M1706" s="22" t="n">
        <x:v>46178</x:v>
      </x:c>
      <x:c r="N1706" t="str">
        <x:v>SKU-026</x:v>
      </x:c>
      <x:c r="O1706" t="n">
        <x:v>1</x:v>
      </x:c>
      <x:c r="P1706" s="26" t="n">
        <x:f>F1706/O1706</x:f>
        <x:v>63.49</x:v>
      </x:c>
    </x:row>
    <x:row r="1707">
      <x:c r="A1707" t="n">
        <x:v>1706</x:v>
      </x:c>
      <x:c r="B1707" t="n">
        <x:v>63</x:v>
      </x:c>
      <x:c r="C1707" t="str">
        <x:v>Female</x:v>
      </x:c>
      <x:c r="D1707" t="str">
        <x:v>Footwear</x:v>
      </x:c>
      <x:c r="E1707" t="str">
        <x:v>Sneakers</x:v>
      </x:c>
      <x:c r="F1707" s="24" t="n">
        <x:v>139.55</x:v>
      </x:c>
      <x:c r="G1707" t="str">
        <x:v>Spring</x:v>
      </x:c>
      <x:c r="H1707" t="str">
        <x:v>Card</x:v>
      </x:c>
      <x:c r="I1707" t="n">
        <x:v>4.3</x:v>
      </x:c>
      <x:c r="J1707" t="n">
        <x:v>12</x:v>
      </x:c>
      <x:c r="K1707" t="n">
        <x:v>6</x:v>
      </x:c>
      <x:c r="L1707" t="str">
        <x:v>STORE-001</x:v>
      </x:c>
      <x:c r="M1707" s="22" t="n">
        <x:v>46271</x:v>
      </x:c>
      <x:c r="N1707" t="str">
        <x:v>SKU-025</x:v>
      </x:c>
      <x:c r="O1707" t="n">
        <x:v>2</x:v>
      </x:c>
      <x:c r="P1707" s="26" t="n">
        <x:f>F1707/O1707</x:f>
        <x:v>69.775</x:v>
      </x:c>
    </x:row>
    <x:row r="1708">
      <x:c r="A1708" t="n">
        <x:v>1707</x:v>
      </x:c>
      <x:c r="B1708" t="n">
        <x:v>38</x:v>
      </x:c>
      <x:c r="C1708" t="str">
        <x:v>Male</x:v>
      </x:c>
      <x:c r="D1708" t="str">
        <x:v>Electronics</x:v>
      </x:c>
      <x:c r="E1708" t="str">
        <x:v>Laptop</x:v>
      </x:c>
      <x:c r="F1708" s="24" t="n">
        <x:v>2428.09</x:v>
      </x:c>
      <x:c r="G1708" t="str">
        <x:v>Winter</x:v>
      </x:c>
      <x:c r="H1708" t="str">
        <x:v>Card</x:v>
      </x:c>
      <x:c r="I1708" t="n">
        <x:v>4.4</x:v>
      </x:c>
      <x:c r="J1708" t="n">
        <x:v>22</x:v>
      </x:c>
      <x:c r="K1708" t="n">
        <x:v>6</x:v>
      </x:c>
      <x:c r="L1708" t="str">
        <x:v>STORE-001</x:v>
      </x:c>
      <x:c r="M1708" s="22" t="n">
        <x:v>46257</x:v>
      </x:c>
      <x:c r="N1708" t="str">
        <x:v>SKU-014</x:v>
      </x:c>
      <x:c r="O1708" t="n">
        <x:v>1</x:v>
      </x:c>
      <x:c r="P1708" s="26" t="n">
        <x:f>F1708/O1708</x:f>
        <x:v>2428.09</x:v>
      </x:c>
    </x:row>
    <x:row r="1709">
      <x:c r="A1709" t="n">
        <x:v>1708</x:v>
      </x:c>
      <x:c r="B1709" t="n">
        <x:v>44</x:v>
      </x:c>
      <x:c r="C1709" t="str">
        <x:v>Female</x:v>
      </x:c>
      <x:c r="D1709" t="str">
        <x:v>Beauty</x:v>
      </x:c>
      <x:c r="E1709" t="str">
        <x:v>Skincare Kit</x:v>
      </x:c>
      <x:c r="F1709" s="24" t="n">
        <x:v>96.31</x:v>
      </x:c>
      <x:c r="G1709" t="str">
        <x:v>Winter</x:v>
      </x:c>
      <x:c r="H1709" t="str">
        <x:v>Card</x:v>
      </x:c>
      <x:c r="I1709" t="n">
        <x:v>3.3</x:v>
      </x:c>
      <x:c r="J1709" t="n">
        <x:v>20</x:v>
      </x:c>
      <x:c r="K1709" t="n">
        <x:v>5</x:v>
      </x:c>
      <x:c r="L1709" t="str">
        <x:v>STORE-001</x:v>
      </x:c>
      <x:c r="M1709" s="22" t="n">
        <x:v>46179</x:v>
      </x:c>
      <x:c r="N1709" t="str">
        <x:v>SKU-021</x:v>
      </x:c>
      <x:c r="O1709" t="n">
        <x:v>1</x:v>
      </x:c>
      <x:c r="P1709" s="26" t="n">
        <x:f>F1709/O1709</x:f>
        <x:v>96.31</x:v>
      </x:c>
    </x:row>
    <x:row r="1710">
      <x:c r="A1710" t="n">
        <x:v>1709</x:v>
      </x:c>
      <x:c r="B1710" t="n">
        <x:v>67</x:v>
      </x:c>
      <x:c r="C1710" t="str">
        <x:v>Female</x:v>
      </x:c>
      <x:c r="D1710" t="str">
        <x:v>Footwear</x:v>
      </x:c>
      <x:c r="E1710" t="str">
        <x:v>Formal Shoes</x:v>
      </x:c>
      <x:c r="F1710" s="24" t="n">
        <x:v>161.62</x:v>
      </x:c>
      <x:c r="G1710" t="str">
        <x:v>Autumn</x:v>
      </x:c>
      <x:c r="H1710" t="str">
        <x:v>Card</x:v>
      </x:c>
      <x:c r="I1710" t="n">
        <x:v>3.6</x:v>
      </x:c>
      <x:c r="J1710" t="n">
        <x:v>18</x:v>
      </x:c>
      <x:c r="K1710" t="n">
        <x:v>4</x:v>
      </x:c>
      <x:c r="L1710" t="str">
        <x:v>STORE-001</x:v>
      </x:c>
      <x:c r="M1710" s="22" t="n">
        <x:v>46083</x:v>
      </x:c>
      <x:c r="N1710" t="str">
        <x:v>SKU-007</x:v>
      </x:c>
      <x:c r="O1710" t="n">
        <x:v>1</x:v>
      </x:c>
      <x:c r="P1710" s="26" t="n">
        <x:f>F1710/O1710</x:f>
        <x:v>161.62</x:v>
      </x:c>
    </x:row>
    <x:row r="1711">
      <x:c r="A1711" t="n">
        <x:v>1710</x:v>
      </x:c>
      <x:c r="B1711" t="n">
        <x:v>55</x:v>
      </x:c>
      <x:c r="C1711" t="str">
        <x:v>Male</x:v>
      </x:c>
      <x:c r="D1711" t="str">
        <x:v>Mens Clothing</x:v>
      </x:c>
      <x:c r="E1711" t="str">
        <x:v>T-Shirt</x:v>
      </x:c>
      <x:c r="F1711" s="24" t="n">
        <x:v>71.43</x:v>
      </x:c>
      <x:c r="G1711" t="str">
        <x:v>Summer</x:v>
      </x:c>
      <x:c r="H1711" t="str">
        <x:v>Cash on Delivery</x:v>
      </x:c>
      <x:c r="I1711" t="n">
        <x:v>4.7</x:v>
      </x:c>
      <x:c r="J1711" t="n">
        <x:v>26</x:v>
      </x:c>
      <x:c r="K1711" t="n">
        <x:v>8</x:v>
      </x:c>
      <x:c r="L1711" t="str">
        <x:v>STORE-001</x:v>
      </x:c>
      <x:c r="M1711" s="22" t="n">
        <x:v>46034</x:v>
      </x:c>
      <x:c r="N1711" t="str">
        <x:v>SKU-027</x:v>
      </x:c>
      <x:c r="O1711" t="n">
        <x:v>1</x:v>
      </x:c>
      <x:c r="P1711" s="26" t="n">
        <x:f>F1711/O1711</x:f>
        <x:v>71.43</x:v>
      </x:c>
    </x:row>
    <x:row r="1712">
      <x:c r="A1712" t="n">
        <x:v>1711</x:v>
      </x:c>
      <x:c r="B1712" t="n">
        <x:v>29</x:v>
      </x:c>
      <x:c r="C1712" t="str">
        <x:v>Male</x:v>
      </x:c>
      <x:c r="D1712" t="str">
        <x:v>Footwear</x:v>
      </x:c>
      <x:c r="E1712" t="str">
        <x:v>Sneakers</x:v>
      </x:c>
      <x:c r="F1712" s="24" t="n">
        <x:v>208.05</x:v>
      </x:c>
      <x:c r="G1712" t="str">
        <x:v>Autumn</x:v>
      </x:c>
      <x:c r="H1712" t="str">
        <x:v>Card</x:v>
      </x:c>
      <x:c r="I1712" t="n">
        <x:v>3.3</x:v>
      </x:c>
      <x:c r="J1712" t="n">
        <x:v>13</x:v>
      </x:c>
      <x:c r="K1712" t="n">
        <x:v>4</x:v>
      </x:c>
      <x:c r="L1712" t="str">
        <x:v>STORE-001</x:v>
      </x:c>
      <x:c r="M1712" s="22" t="n">
        <x:v>46087</x:v>
      </x:c>
      <x:c r="N1712" t="str">
        <x:v>SKU-025</x:v>
      </x:c>
      <x:c r="O1712" t="n">
        <x:v>3</x:v>
      </x:c>
      <x:c r="P1712" s="26" t="n">
        <x:f>F1712/O1712</x:f>
        <x:v>69.35000000000001</x:v>
      </x:c>
    </x:row>
    <x:row r="1713">
      <x:c r="A1713" t="n">
        <x:v>1712</x:v>
      </x:c>
      <x:c r="B1713" t="n">
        <x:v>43</x:v>
      </x:c>
      <x:c r="C1713" t="str">
        <x:v>Male</x:v>
      </x:c>
      <x:c r="D1713" t="str">
        <x:v>Mens Clothing</x:v>
      </x:c>
      <x:c r="E1713" t="str">
        <x:v>T-Shirt</x:v>
      </x:c>
      <x:c r="F1713" s="24" t="n">
        <x:v>133.51</x:v>
      </x:c>
      <x:c r="G1713" t="str">
        <x:v>Spring</x:v>
      </x:c>
      <x:c r="H1713" t="str">
        <x:v>Card</x:v>
      </x:c>
      <x:c r="I1713" t="n">
        <x:v>3.6</x:v>
      </x:c>
      <x:c r="J1713" t="n">
        <x:v>12</x:v>
      </x:c>
      <x:c r="K1713" t="n">
        <x:v>6</x:v>
      </x:c>
      <x:c r="L1713" t="str">
        <x:v>STORE-001</x:v>
      </x:c>
      <x:c r="M1713" s="22" t="n">
        <x:v>46280</x:v>
      </x:c>
      <x:c r="N1713" t="str">
        <x:v>SKU-027</x:v>
      </x:c>
      <x:c r="O1713" t="n">
        <x:v>1</x:v>
      </x:c>
      <x:c r="P1713" s="26" t="n">
        <x:f>F1713/O1713</x:f>
        <x:v>133.51</x:v>
      </x:c>
    </x:row>
    <x:row r="1714">
      <x:c r="A1714" t="n">
        <x:v>1713</x:v>
      </x:c>
      <x:c r="B1714" t="n">
        <x:v>68</x:v>
      </x:c>
      <x:c r="C1714" t="str">
        <x:v>Female</x:v>
      </x:c>
      <x:c r="D1714" t="str">
        <x:v>Womens Clothing</x:v>
      </x:c>
      <x:c r="E1714" t="str">
        <x:v>Dress</x:v>
      </x:c>
      <x:c r="F1714" s="24" t="n">
        <x:v>64.66</x:v>
      </x:c>
      <x:c r="G1714" t="str">
        <x:v>Winter</x:v>
      </x:c>
      <x:c r="H1714" t="str">
        <x:v>Cash on Delivery</x:v>
      </x:c>
      <x:c r="I1714" t="n">
        <x:v>3.6</x:v>
      </x:c>
      <x:c r="J1714" t="n">
        <x:v>4</x:v>
      </x:c>
      <x:c r="K1714" t="n">
        <x:v>2</x:v>
      </x:c>
      <x:c r="L1714" t="str">
        <x:v>STORE-001</x:v>
      </x:c>
      <x:c r="M1714" s="22" t="n">
        <x:v>46259</x:v>
      </x:c>
      <x:c r="N1714" t="str">
        <x:v>SKU-004</x:v>
      </x:c>
      <x:c r="O1714" t="n">
        <x:v>1</x:v>
      </x:c>
      <x:c r="P1714" s="26" t="n">
        <x:f>F1714/O1714</x:f>
        <x:v>64.66</x:v>
      </x:c>
    </x:row>
    <x:row r="1715">
      <x:c r="A1715" t="n">
        <x:v>1714</x:v>
      </x:c>
      <x:c r="B1715" t="n">
        <x:v>42</x:v>
      </x:c>
      <x:c r="C1715" t="str">
        <x:v>Female</x:v>
      </x:c>
      <x:c r="D1715" t="str">
        <x:v>Groceries</x:v>
      </x:c>
      <x:c r="E1715" t="str">
        <x:v>Cooking Oil</x:v>
      </x:c>
      <x:c r="F1715" s="24" t="n">
        <x:v>33.18</x:v>
      </x:c>
      <x:c r="G1715" t="str">
        <x:v>Autumn</x:v>
      </x:c>
      <x:c r="H1715" t="str">
        <x:v>Cash on Delivery</x:v>
      </x:c>
      <x:c r="I1715" t="n">
        <x:v>4.2</x:v>
      </x:c>
      <x:c r="J1715" t="n">
        <x:v>16</x:v>
      </x:c>
      <x:c r="K1715" t="n">
        <x:v>3</x:v>
      </x:c>
      <x:c r="L1715" t="str">
        <x:v>STORE-001</x:v>
      </x:c>
      <x:c r="M1715" s="22" t="n">
        <x:v>46084</x:v>
      </x:c>
      <x:c r="N1715" t="str">
        <x:v>SKU-002</x:v>
      </x:c>
      <x:c r="O1715" t="n">
        <x:v>1</x:v>
      </x:c>
      <x:c r="P1715" s="26" t="n">
        <x:f>F1715/O1715</x:f>
        <x:v>33.18</x:v>
      </x:c>
    </x:row>
    <x:row r="1716">
      <x:c r="A1716" t="n">
        <x:v>1715</x:v>
      </x:c>
      <x:c r="B1716" t="n">
        <x:v>66</x:v>
      </x:c>
      <x:c r="C1716" t="str">
        <x:v>Male</x:v>
      </x:c>
      <x:c r="D1716" t="str">
        <x:v>Sports</x:v>
      </x:c>
      <x:c r="E1716" t="str">
        <x:v>Yoga Mat</x:v>
      </x:c>
      <x:c r="F1716" s="24" t="n">
        <x:v>53.42</x:v>
      </x:c>
      <x:c r="G1716" t="str">
        <x:v>Winter</x:v>
      </x:c>
      <x:c r="H1716" t="str">
        <x:v>Card</x:v>
      </x:c>
      <x:c r="I1716" t="n">
        <x:v>5</x:v>
      </x:c>
      <x:c r="J1716" t="n">
        <x:v>13</x:v>
      </x:c>
      <x:c r="K1716" t="n">
        <x:v>4</x:v>
      </x:c>
      <x:c r="L1716" t="str">
        <x:v>STORE-001</x:v>
      </x:c>
      <x:c r="M1716" s="22" t="n">
        <x:v>46210</x:v>
      </x:c>
      <x:c r="N1716" t="str">
        <x:v>SKU-030</x:v>
      </x:c>
      <x:c r="O1716" t="n">
        <x:v>2</x:v>
      </x:c>
      <x:c r="P1716" s="26" t="n">
        <x:f>F1716/O1716</x:f>
        <x:v>26.71</x:v>
      </x:c>
    </x:row>
    <x:row r="1717">
      <x:c r="A1717" t="n">
        <x:v>1716</x:v>
      </x:c>
      <x:c r="B1717" t="n">
        <x:v>40</x:v>
      </x:c>
      <x:c r="C1717" t="str">
        <x:v>Male</x:v>
      </x:c>
      <x:c r="D1717" t="str">
        <x:v>Groceries</x:v>
      </x:c>
      <x:c r="E1717" t="str">
        <x:v>Beverages</x:v>
      </x:c>
      <x:c r="F1717" s="24" t="n">
        <x:v>34.41</x:v>
      </x:c>
      <x:c r="G1717" t="str">
        <x:v>Spring</x:v>
      </x:c>
      <x:c r="H1717" t="str">
        <x:v>Card</x:v>
      </x:c>
      <x:c r="I1717" t="n">
        <x:v>3.3</x:v>
      </x:c>
      <x:c r="J1717" t="n">
        <x:v>17</x:v>
      </x:c>
      <x:c r="K1717" t="n">
        <x:v>6</x:v>
      </x:c>
      <x:c r="L1717" t="str">
        <x:v>STORE-001</x:v>
      </x:c>
      <x:c r="M1717" s="22" t="n">
        <x:v>46289</x:v>
      </x:c>
      <x:c r="N1717" t="str">
        <x:v>SKU-001</x:v>
      </x:c>
      <x:c r="O1717" t="n">
        <x:v>3</x:v>
      </x:c>
      <x:c r="P1717" s="26" t="n">
        <x:f>F1717/O1717</x:f>
        <x:v>11.469999999999999</x:v>
      </x:c>
    </x:row>
    <x:row r="1718">
      <x:c r="A1718" t="n">
        <x:v>1717</x:v>
      </x:c>
      <x:c r="B1718" t="n">
        <x:v>46</x:v>
      </x:c>
      <x:c r="C1718" t="str">
        <x:v>Male</x:v>
      </x:c>
      <x:c r="D1718" t="str">
        <x:v>Electronics</x:v>
      </x:c>
      <x:c r="E1718" t="str">
        <x:v>Laptop</x:v>
      </x:c>
      <x:c r="F1718" s="24" t="n">
        <x:v>887.32</x:v>
      </x:c>
      <x:c r="G1718" t="str">
        <x:v>Autumn</x:v>
      </x:c>
      <x:c r="H1718" t="str">
        <x:v>Card</x:v>
      </x:c>
      <x:c r="I1718" t="n">
        <x:v>3.8</x:v>
      </x:c>
      <x:c r="J1718" t="n">
        <x:v>18</x:v>
      </x:c>
      <x:c r="K1718" t="n">
        <x:v>4</x:v>
      </x:c>
      <x:c r="L1718" t="str">
        <x:v>STORE-001</x:v>
      </x:c>
      <x:c r="M1718" s="22" t="n">
        <x:v>46157</x:v>
      </x:c>
      <x:c r="N1718" t="str">
        <x:v>SKU-014</x:v>
      </x:c>
      <x:c r="O1718" t="n">
        <x:v>1</x:v>
      </x:c>
      <x:c r="P1718" s="26" t="n">
        <x:f>F1718/O1718</x:f>
        <x:v>887.32</x:v>
      </x:c>
    </x:row>
    <x:row r="1719">
      <x:c r="A1719" t="n">
        <x:v>1718</x:v>
      </x:c>
      <x:c r="B1719" t="n">
        <x:v>40</x:v>
      </x:c>
      <x:c r="C1719" t="str">
        <x:v>Male</x:v>
      </x:c>
      <x:c r="D1719" t="str">
        <x:v>Sports</x:v>
      </x:c>
      <x:c r="E1719" t="str">
        <x:v>Football</x:v>
      </x:c>
      <x:c r="F1719" s="24" t="n">
        <x:v>225.57</x:v>
      </x:c>
      <x:c r="G1719" t="str">
        <x:v>Winter</x:v>
      </x:c>
      <x:c r="H1719" t="str">
        <x:v>Card</x:v>
      </x:c>
      <x:c r="I1719" t="n">
        <x:v>5</x:v>
      </x:c>
      <x:c r="J1719" t="n">
        <x:v>17</x:v>
      </x:c>
      <x:c r="K1719" t="n">
        <x:v>6</x:v>
      </x:c>
      <x:c r="L1719" t="str">
        <x:v>STORE-001</x:v>
      </x:c>
      <x:c r="M1719" s="22" t="n">
        <x:v>46178</x:v>
      </x:c>
      <x:c r="N1719" t="str">
        <x:v>SKU-006</x:v>
      </x:c>
      <x:c r="O1719" t="n">
        <x:v>1</x:v>
      </x:c>
      <x:c r="P1719" s="26" t="n">
        <x:f>F1719/O1719</x:f>
        <x:v>225.57</x:v>
      </x:c>
    </x:row>
    <x:row r="1720">
      <x:c r="A1720" t="n">
        <x:v>1719</x:v>
      </x:c>
      <x:c r="B1720" t="n">
        <x:v>63</x:v>
      </x:c>
      <x:c r="C1720" t="str">
        <x:v>Male</x:v>
      </x:c>
      <x:c r="D1720" t="str">
        <x:v>Groceries</x:v>
      </x:c>
      <x:c r="E1720" t="str">
        <x:v>Snacks</x:v>
      </x:c>
      <x:c r="F1720" s="24" t="n">
        <x:v>24.77</x:v>
      </x:c>
      <x:c r="G1720" t="str">
        <x:v>Winter</x:v>
      </x:c>
      <x:c r="H1720" t="str">
        <x:v>Cash on Delivery</x:v>
      </x:c>
      <x:c r="I1720" t="n">
        <x:v>4</x:v>
      </x:c>
      <x:c r="J1720" t="n">
        <x:v>13</x:v>
      </x:c>
      <x:c r="K1720" t="n">
        <x:v>4</x:v>
      </x:c>
      <x:c r="L1720" t="str">
        <x:v>STORE-001</x:v>
      </x:c>
      <x:c r="M1720" s="22" t="n">
        <x:v>46253</x:v>
      </x:c>
      <x:c r="N1720" t="str">
        <x:v>SKU-024</x:v>
      </x:c>
      <x:c r="O1720" t="n">
        <x:v>2</x:v>
      </x:c>
      <x:c r="P1720" s="26" t="n">
        <x:f>F1720/O1720</x:f>
        <x:v>12.385</x:v>
      </x:c>
    </x:row>
    <x:row r="1721">
      <x:c r="A1721" t="n">
        <x:v>1720</x:v>
      </x:c>
      <x:c r="B1721" t="n">
        <x:v>43</x:v>
      </x:c>
      <x:c r="C1721" t="str">
        <x:v>Female</x:v>
      </x:c>
      <x:c r="D1721" t="str">
        <x:v>Beauty</x:v>
      </x:c>
      <x:c r="E1721" t="str">
        <x:v>Makeup Set</x:v>
      </x:c>
      <x:c r="F1721" s="24" t="n">
        <x:v>74.94</x:v>
      </x:c>
      <x:c r="G1721" t="str">
        <x:v>Winter</x:v>
      </x:c>
      <x:c r="H1721" t="str">
        <x:v>Card</x:v>
      </x:c>
      <x:c r="I1721" t="n">
        <x:v>4.5</x:v>
      </x:c>
      <x:c r="J1721" t="n">
        <x:v>14</x:v>
      </x:c>
      <x:c r="K1721" t="n">
        <x:v>7</x:v>
      </x:c>
      <x:c r="L1721" t="str">
        <x:v>STORE-001</x:v>
      </x:c>
      <x:c r="M1721" s="22" t="n">
        <x:v>46179</x:v>
      </x:c>
      <x:c r="N1721" t="str">
        <x:v>SKU-015</x:v>
      </x:c>
      <x:c r="O1721" t="n">
        <x:v>2</x:v>
      </x:c>
      <x:c r="P1721" s="26" t="n">
        <x:f>F1721/O1721</x:f>
        <x:v>37.47</x:v>
      </x:c>
    </x:row>
    <x:row r="1722">
      <x:c r="A1722" t="n">
        <x:v>1721</x:v>
      </x:c>
      <x:c r="B1722" t="n">
        <x:v>60</x:v>
      </x:c>
      <x:c r="C1722" t="str">
        <x:v>Female</x:v>
      </x:c>
      <x:c r="D1722" t="str">
        <x:v>Sports</x:v>
      </x:c>
      <x:c r="E1722" t="str">
        <x:v>Yoga Mat</x:v>
      </x:c>
      <x:c r="F1722" s="24" t="n">
        <x:v>154.95</x:v>
      </x:c>
      <x:c r="G1722" t="str">
        <x:v>Summer</x:v>
      </x:c>
      <x:c r="H1722" t="str">
        <x:v>Card</x:v>
      </x:c>
      <x:c r="I1722" t="n">
        <x:v>2.8</x:v>
      </x:c>
      <x:c r="J1722" t="n">
        <x:v>15</x:v>
      </x:c>
      <x:c r="K1722" t="n">
        <x:v>5</x:v>
      </x:c>
      <x:c r="L1722" t="str">
        <x:v>STORE-001</x:v>
      </x:c>
      <x:c r="M1722" s="22" t="n">
        <x:v>46000</x:v>
      </x:c>
      <x:c r="N1722" t="str">
        <x:v>SKU-030</x:v>
      </x:c>
      <x:c r="O1722" t="n">
        <x:v>3</x:v>
      </x:c>
      <x:c r="P1722" s="26" t="n">
        <x:f>F1722/O1722</x:f>
        <x:v>51.65</x:v>
      </x:c>
    </x:row>
    <x:row r="1723">
      <x:c r="A1723" t="n">
        <x:v>1722</x:v>
      </x:c>
      <x:c r="B1723" t="n">
        <x:v>66</x:v>
      </x:c>
      <x:c r="C1723" t="str">
        <x:v>Female</x:v>
      </x:c>
      <x:c r="D1723" t="str">
        <x:v>Womens Clothing</x:v>
      </x:c>
      <x:c r="E1723" t="str">
        <x:v>Skirt</x:v>
      </x:c>
      <x:c r="F1723" s="24" t="n">
        <x:v>182.06</x:v>
      </x:c>
      <x:c r="G1723" t="str">
        <x:v>Spring</x:v>
      </x:c>
      <x:c r="H1723" t="str">
        <x:v>Card</x:v>
      </x:c>
      <x:c r="I1723" t="n">
        <x:v>3.5</x:v>
      </x:c>
      <x:c r="J1723" t="n">
        <x:v>14</x:v>
      </x:c>
      <x:c r="K1723" t="n">
        <x:v>7</x:v>
      </x:c>
      <x:c r="L1723" t="str">
        <x:v>STORE-001</x:v>
      </x:c>
      <x:c r="M1723" s="22" t="n">
        <x:v>45936</x:v>
      </x:c>
      <x:c r="N1723" t="str">
        <x:v>SKU-022</x:v>
      </x:c>
      <x:c r="O1723" t="n">
        <x:v>2</x:v>
      </x:c>
      <x:c r="P1723" s="26" t="n">
        <x:f>F1723/O1723</x:f>
        <x:v>91.03</x:v>
      </x:c>
    </x:row>
    <x:row r="1724">
      <x:c r="A1724" t="n">
        <x:v>1723</x:v>
      </x:c>
      <x:c r="B1724" t="n">
        <x:v>28</x:v>
      </x:c>
      <x:c r="C1724" t="str">
        <x:v>Female</x:v>
      </x:c>
      <x:c r="D1724" t="str">
        <x:v>Beauty</x:v>
      </x:c>
      <x:c r="E1724" t="str">
        <x:v>Perfume</x:v>
      </x:c>
      <x:c r="F1724" s="24" t="n">
        <x:v>102.87</x:v>
      </x:c>
      <x:c r="G1724" t="str">
        <x:v>Autumn</x:v>
      </x:c>
      <x:c r="H1724" t="str">
        <x:v>Card</x:v>
      </x:c>
      <x:c r="I1724" t="n">
        <x:v>3.6</x:v>
      </x:c>
      <x:c r="J1724" t="n">
        <x:v>22</x:v>
      </x:c>
      <x:c r="K1724" t="n">
        <x:v>6</x:v>
      </x:c>
      <x:c r="L1724" t="str">
        <x:v>STORE-001</x:v>
      </x:c>
      <x:c r="M1724" s="22" t="n">
        <x:v>46151</x:v>
      </x:c>
      <x:c r="N1724" t="str">
        <x:v>SKU-017</x:v>
      </x:c>
      <x:c r="O1724" t="n">
        <x:v>3</x:v>
      </x:c>
      <x:c r="P1724" s="26" t="n">
        <x:f>F1724/O1724</x:f>
        <x:v>34.29</x:v>
      </x:c>
    </x:row>
    <x:row r="1725">
      <x:c r="A1725" t="n">
        <x:v>1724</x:v>
      </x:c>
      <x:c r="B1725" t="n">
        <x:v>68</x:v>
      </x:c>
      <x:c r="C1725" t="str">
        <x:v>Female</x:v>
      </x:c>
      <x:c r="D1725" t="str">
        <x:v>Footwear</x:v>
      </x:c>
      <x:c r="E1725" t="str">
        <x:v>Sandals</x:v>
      </x:c>
      <x:c r="F1725" s="24" t="n">
        <x:v>246.27</x:v>
      </x:c>
      <x:c r="G1725" t="str">
        <x:v>Winter</x:v>
      </x:c>
      <x:c r="H1725" t="str">
        <x:v>Card</x:v>
      </x:c>
      <x:c r="I1725" t="n">
        <x:v>4.7</x:v>
      </x:c>
      <x:c r="J1725" t="n">
        <x:v>17</x:v>
      </x:c>
      <x:c r="K1725" t="n">
        <x:v>6</x:v>
      </x:c>
      <x:c r="L1725" t="str">
        <x:v>STORE-001</x:v>
      </x:c>
      <x:c r="M1725" s="22" t="n">
        <x:v>46242</x:v>
      </x:c>
      <x:c r="N1725" t="str">
        <x:v>SKU-019</x:v>
      </x:c>
      <x:c r="O1725" t="n">
        <x:v>3</x:v>
      </x:c>
      <x:c r="P1725" s="26" t="n">
        <x:f>F1725/O1725</x:f>
        <x:v>82.09</x:v>
      </x:c>
    </x:row>
    <x:row r="1726">
      <x:c r="A1726" t="n">
        <x:v>1725</x:v>
      </x:c>
      <x:c r="B1726" t="n">
        <x:v>48</x:v>
      </x:c>
      <x:c r="C1726" t="str">
        <x:v>Male</x:v>
      </x:c>
      <x:c r="D1726" t="str">
        <x:v>Mens Clothing</x:v>
      </x:c>
      <x:c r="E1726" t="str">
        <x:v>Shirt</x:v>
      </x:c>
      <x:c r="F1726" s="24" t="n">
        <x:v>91.82</x:v>
      </x:c>
      <x:c r="G1726" t="str">
        <x:v>Autumn</x:v>
      </x:c>
      <x:c r="H1726" t="str">
        <x:v>Cash on Delivery</x:v>
      </x:c>
      <x:c r="I1726" t="n">
        <x:v>4.2</x:v>
      </x:c>
      <x:c r="J1726" t="n">
        <x:v>21</x:v>
      </x:c>
      <x:c r="K1726" t="n">
        <x:v>8</x:v>
      </x:c>
      <x:c r="L1726" t="str">
        <x:v>STORE-001</x:v>
      </x:c>
      <x:c r="M1726" s="22" t="n">
        <x:v>46159</x:v>
      </x:c>
      <x:c r="N1726" t="str">
        <x:v>SKU-020</x:v>
      </x:c>
      <x:c r="O1726" t="n">
        <x:v>3</x:v>
      </x:c>
      <x:c r="P1726" s="26" t="n">
        <x:f>F1726/O1726</x:f>
        <x:v>30.606666666666666</x:v>
      </x:c>
    </x:row>
    <x:row r="1727">
      <x:c r="A1727" t="n">
        <x:v>1726</x:v>
      </x:c>
      <x:c r="B1727" t="n">
        <x:v>21</x:v>
      </x:c>
      <x:c r="C1727" t="str">
        <x:v>Female</x:v>
      </x:c>
      <x:c r="D1727" t="str">
        <x:v>Beauty</x:v>
      </x:c>
      <x:c r="E1727" t="str">
        <x:v>Makeup Set</x:v>
      </x:c>
      <x:c r="F1727" s="24" t="n">
        <x:v>34.91</x:v>
      </x:c>
      <x:c r="G1727" t="str">
        <x:v>Autumn</x:v>
      </x:c>
      <x:c r="H1727" t="str">
        <x:v>Card</x:v>
      </x:c>
      <x:c r="I1727" t="n">
        <x:v>4.1</x:v>
      </x:c>
      <x:c r="J1727" t="n">
        <x:v>16</x:v>
      </x:c>
      <x:c r="K1727" t="n">
        <x:v>3</x:v>
      </x:c>
      <x:c r="L1727" t="str">
        <x:v>STORE-001</x:v>
      </x:c>
      <x:c r="M1727" s="22" t="n">
        <x:v>46109</x:v>
      </x:c>
      <x:c r="N1727" t="str">
        <x:v>SKU-015</x:v>
      </x:c>
      <x:c r="O1727" t="n">
        <x:v>3</x:v>
      </x:c>
      <x:c r="P1727" s="26" t="n">
        <x:f>F1727/O1727</x:f>
        <x:v>11.636666666666665</x:v>
      </x:c>
    </x:row>
    <x:row r="1728">
      <x:c r="A1728" t="n">
        <x:v>1727</x:v>
      </x:c>
      <x:c r="B1728" t="n">
        <x:v>22</x:v>
      </x:c>
      <x:c r="C1728" t="str">
        <x:v>Male</x:v>
      </x:c>
      <x:c r="D1728" t="str">
        <x:v>Electronics</x:v>
      </x:c>
      <x:c r="E1728" t="str">
        <x:v>Laptop</x:v>
      </x:c>
      <x:c r="F1728" s="24" t="n">
        <x:v>2921.73</x:v>
      </x:c>
      <x:c r="G1728" t="str">
        <x:v>Spring</x:v>
      </x:c>
      <x:c r="H1728" t="str">
        <x:v>Card</x:v>
      </x:c>
      <x:c r="I1728" t="n">
        <x:v>4.4</x:v>
      </x:c>
      <x:c r="J1728" t="n">
        <x:v>11</x:v>
      </x:c>
      <x:c r="K1728" t="n">
        <x:v>3</x:v>
      </x:c>
      <x:c r="L1728" t="str">
        <x:v>STORE-001</x:v>
      </x:c>
      <x:c r="M1728" s="22" t="n">
        <x:v>45939</x:v>
      </x:c>
      <x:c r="N1728" t="str">
        <x:v>SKU-014</x:v>
      </x:c>
      <x:c r="O1728" t="n">
        <x:v>2</x:v>
      </x:c>
      <x:c r="P1728" s="26" t="n">
        <x:f>F1728/O1728</x:f>
        <x:v>1460.865</x:v>
      </x:c>
    </x:row>
    <x:row r="1729">
      <x:c r="A1729" t="n">
        <x:v>1728</x:v>
      </x:c>
      <x:c r="B1729" t="n">
        <x:v>20</x:v>
      </x:c>
      <x:c r="C1729" t="str">
        <x:v>Female</x:v>
      </x:c>
      <x:c r="D1729" t="str">
        <x:v>Accessories</x:v>
      </x:c>
      <x:c r="E1729" t="str">
        <x:v>Handbag</x:v>
      </x:c>
      <x:c r="F1729" s="24" t="n">
        <x:v>141.9</x:v>
      </x:c>
      <x:c r="G1729" t="str">
        <x:v>Winter</x:v>
      </x:c>
      <x:c r="H1729" t="str">
        <x:v>Card</x:v>
      </x:c>
      <x:c r="I1729" t="n">
        <x:v>3.4</x:v>
      </x:c>
      <x:c r="J1729" t="n">
        <x:v>11</x:v>
      </x:c>
      <x:c r="K1729" t="n">
        <x:v>3</x:v>
      </x:c>
      <x:c r="L1729" t="str">
        <x:v>STORE-001</x:v>
      </x:c>
      <x:c r="M1729" s="22" t="n">
        <x:v>46194</x:v>
      </x:c>
      <x:c r="N1729" t="str">
        <x:v>SKU-008</x:v>
      </x:c>
      <x:c r="O1729" t="n">
        <x:v>1</x:v>
      </x:c>
      <x:c r="P1729" s="26" t="n">
        <x:f>F1729/O1729</x:f>
        <x:v>141.9</x:v>
      </x:c>
    </x:row>
    <x:row r="1730">
      <x:c r="A1730" t="n">
        <x:v>1729</x:v>
      </x:c>
      <x:c r="B1730" t="n">
        <x:v>64</x:v>
      </x:c>
      <x:c r="C1730" t="str">
        <x:v>Female</x:v>
      </x:c>
      <x:c r="D1730" t="str">
        <x:v>Accessories</x:v>
      </x:c>
      <x:c r="E1730" t="str">
        <x:v>Wallet</x:v>
      </x:c>
      <x:c r="F1730" s="24" t="n">
        <x:v>95.27</x:v>
      </x:c>
      <x:c r="G1730" t="str">
        <x:v>Spring</x:v>
      </x:c>
      <x:c r="H1730" t="str">
        <x:v>Card</x:v>
      </x:c>
      <x:c r="I1730" t="n">
        <x:v>4.6</x:v>
      </x:c>
      <x:c r="J1730" t="n">
        <x:v>24</x:v>
      </x:c>
      <x:c r="K1730" t="n">
        <x:v>7</x:v>
      </x:c>
      <x:c r="L1730" t="str">
        <x:v>STORE-001</x:v>
      </x:c>
      <x:c r="M1730" s="22" t="n">
        <x:v>45991</x:v>
      </x:c>
      <x:c r="N1730" t="str">
        <x:v>SKU-029</x:v>
      </x:c>
      <x:c r="O1730" t="n">
        <x:v>2</x:v>
      </x:c>
      <x:c r="P1730" s="26" t="n">
        <x:f>F1730/O1730</x:f>
        <x:v>47.635</x:v>
      </x:c>
    </x:row>
    <x:row r="1731">
      <x:c r="A1731" t="n">
        <x:v>1730</x:v>
      </x:c>
      <x:c r="B1731" t="n">
        <x:v>43</x:v>
      </x:c>
      <x:c r="C1731" t="str">
        <x:v>Female</x:v>
      </x:c>
      <x:c r="D1731" t="str">
        <x:v>Accessories</x:v>
      </x:c>
      <x:c r="E1731" t="str">
        <x:v>Wallet</x:v>
      </x:c>
      <x:c r="F1731" s="24" t="n">
        <x:v>26.57</x:v>
      </x:c>
      <x:c r="G1731" t="str">
        <x:v>Summer</x:v>
      </x:c>
      <x:c r="H1731" t="str">
        <x:v>Cash on Delivery</x:v>
      </x:c>
      <x:c r="I1731" t="n">
        <x:v>3.8</x:v>
      </x:c>
      <x:c r="J1731" t="n">
        <x:v>22</x:v>
      </x:c>
      <x:c r="K1731" t="n">
        <x:v>6</x:v>
      </x:c>
      <x:c r="L1731" t="str">
        <x:v>STORE-001</x:v>
      </x:c>
      <x:c r="M1731" s="22" t="n">
        <x:v>46047</x:v>
      </x:c>
      <x:c r="N1731" t="str">
        <x:v>SKU-029</x:v>
      </x:c>
      <x:c r="O1731" t="n">
        <x:v>1</x:v>
      </x:c>
      <x:c r="P1731" s="26" t="n">
        <x:f>F1731/O1731</x:f>
        <x:v>26.57</x:v>
      </x:c>
    </x:row>
    <x:row r="1732">
      <x:c r="A1732" t="n">
        <x:v>1731</x:v>
      </x:c>
      <x:c r="B1732" t="n">
        <x:v>41</x:v>
      </x:c>
      <x:c r="C1732" t="str">
        <x:v>Female</x:v>
      </x:c>
      <x:c r="D1732" t="str">
        <x:v>Footwear</x:v>
      </x:c>
      <x:c r="E1732" t="str">
        <x:v>Sneakers</x:v>
      </x:c>
      <x:c r="F1732" s="24" t="n">
        <x:v>232.67</x:v>
      </x:c>
      <x:c r="G1732" t="str">
        <x:v>Winter</x:v>
      </x:c>
      <x:c r="H1732" t="str">
        <x:v>Card</x:v>
      </x:c>
      <x:c r="I1732" t="n">
        <x:v>4.3</x:v>
      </x:c>
      <x:c r="J1732" t="n">
        <x:v>20</x:v>
      </x:c>
      <x:c r="K1732" t="n">
        <x:v>5</x:v>
      </x:c>
      <x:c r="L1732" t="str">
        <x:v>STORE-001</x:v>
      </x:c>
      <x:c r="M1732" s="22" t="n">
        <x:v>46212</x:v>
      </x:c>
      <x:c r="N1732" t="str">
        <x:v>SKU-025</x:v>
      </x:c>
      <x:c r="O1732" t="n">
        <x:v>2</x:v>
      </x:c>
      <x:c r="P1732" s="26" t="n">
        <x:f>F1732/O1732</x:f>
        <x:v>116.335</x:v>
      </x:c>
    </x:row>
    <x:row r="1733">
      <x:c r="A1733" t="n">
        <x:v>1732</x:v>
      </x:c>
      <x:c r="B1733" t="n">
        <x:v>37</x:v>
      </x:c>
      <x:c r="C1733" t="str">
        <x:v>Male</x:v>
      </x:c>
      <x:c r="D1733" t="str">
        <x:v>Mens Clothing</x:v>
      </x:c>
      <x:c r="E1733" t="str">
        <x:v>Jacket</x:v>
      </x:c>
      <x:c r="F1733" s="24" t="n">
        <x:v>144.67</x:v>
      </x:c>
      <x:c r="G1733" t="str">
        <x:v>Winter</x:v>
      </x:c>
      <x:c r="H1733" t="str">
        <x:v>Card</x:v>
      </x:c>
      <x:c r="I1733" t="n">
        <x:v>5</x:v>
      </x:c>
      <x:c r="J1733" t="n">
        <x:v>10</x:v>
      </x:c>
      <x:c r="K1733" t="n">
        <x:v>5</x:v>
      </x:c>
      <x:c r="L1733" t="str">
        <x:v>STORE-001</x:v>
      </x:c>
      <x:c r="M1733" s="22" t="n">
        <x:v>46216</x:v>
      </x:c>
      <x:c r="N1733" t="str">
        <x:v>SKU-010</x:v>
      </x:c>
      <x:c r="O1733" t="n">
        <x:v>2</x:v>
      </x:c>
      <x:c r="P1733" s="26" t="n">
        <x:f>F1733/O1733</x:f>
        <x:v>72.335</x:v>
      </x:c>
    </x:row>
    <x:row r="1734">
      <x:c r="A1734" t="n">
        <x:v>1733</x:v>
      </x:c>
      <x:c r="B1734" t="n">
        <x:v>37</x:v>
      </x:c>
      <x:c r="C1734" t="str">
        <x:v>Male</x:v>
      </x:c>
      <x:c r="D1734" t="str">
        <x:v>Sports</x:v>
      </x:c>
      <x:c r="E1734" t="str">
        <x:v>Football</x:v>
      </x:c>
      <x:c r="F1734" s="24" t="n">
        <x:v>38.82</x:v>
      </x:c>
      <x:c r="G1734" t="str">
        <x:v>Summer</x:v>
      </x:c>
      <x:c r="H1734" t="str">
        <x:v>Cash on Delivery</x:v>
      </x:c>
      <x:c r="I1734" t="n">
        <x:v>3.8</x:v>
      </x:c>
      <x:c r="J1734" t="n">
        <x:v>22</x:v>
      </x:c>
      <x:c r="K1734" t="n">
        <x:v>6</x:v>
      </x:c>
      <x:c r="L1734" t="str">
        <x:v>STORE-001</x:v>
      </x:c>
      <x:c r="M1734" s="22" t="n">
        <x:v>46077</x:v>
      </x:c>
      <x:c r="N1734" t="str">
        <x:v>SKU-006</x:v>
      </x:c>
      <x:c r="O1734" t="n">
        <x:v>1</x:v>
      </x:c>
      <x:c r="P1734" s="26" t="n">
        <x:f>F1734/O1734</x:f>
        <x:v>38.82</x:v>
      </x:c>
    </x:row>
    <x:row r="1735">
      <x:c r="A1735" t="n">
        <x:v>1734</x:v>
      </x:c>
      <x:c r="B1735" t="n">
        <x:v>52</x:v>
      </x:c>
      <x:c r="C1735" t="str">
        <x:v>Male</x:v>
      </x:c>
      <x:c r="D1735" t="str">
        <x:v>Mens Clothing</x:v>
      </x:c>
      <x:c r="E1735" t="str">
        <x:v>Jacket</x:v>
      </x:c>
      <x:c r="F1735" s="24" t="n">
        <x:v>165.6</x:v>
      </x:c>
      <x:c r="G1735" t="str">
        <x:v>Spring</x:v>
      </x:c>
      <x:c r="H1735" t="str">
        <x:v>Card</x:v>
      </x:c>
      <x:c r="I1735" t="n">
        <x:v>4.2</x:v>
      </x:c>
      <x:c r="J1735" t="n">
        <x:v>8</x:v>
      </x:c>
      <x:c r="K1735" t="n">
        <x:v>4</x:v>
      </x:c>
      <x:c r="L1735" t="str">
        <x:v>STORE-001</x:v>
      </x:c>
      <x:c r="M1735" s="22" t="n">
        <x:v>45936</x:v>
      </x:c>
      <x:c r="N1735" t="str">
        <x:v>SKU-010</x:v>
      </x:c>
      <x:c r="O1735" t="n">
        <x:v>2</x:v>
      </x:c>
      <x:c r="P1735" s="26" t="n">
        <x:f>F1735/O1735</x:f>
        <x:v>82.8</x:v>
      </x:c>
    </x:row>
    <x:row r="1736">
      <x:c r="A1736" t="n">
        <x:v>1735</x:v>
      </x:c>
      <x:c r="B1736" t="n">
        <x:v>29</x:v>
      </x:c>
      <x:c r="C1736" t="str">
        <x:v>Male</x:v>
      </x:c>
      <x:c r="D1736" t="str">
        <x:v>Sports</x:v>
      </x:c>
      <x:c r="E1736" t="str">
        <x:v>Yoga Mat</x:v>
      </x:c>
      <x:c r="F1736" s="24" t="n">
        <x:v>89.4</x:v>
      </x:c>
      <x:c r="G1736" t="str">
        <x:v>Spring</x:v>
      </x:c>
      <x:c r="H1736" t="str">
        <x:v>Card</x:v>
      </x:c>
      <x:c r="I1736" t="n">
        <x:v>4.8</x:v>
      </x:c>
      <x:c r="J1736" t="n">
        <x:v>15</x:v>
      </x:c>
      <x:c r="K1736" t="n">
        <x:v>5</x:v>
      </x:c>
      <x:c r="L1736" t="str">
        <x:v>STORE-001</x:v>
      </x:c>
      <x:c r="M1736" s="22" t="n">
        <x:v>45944</x:v>
      </x:c>
      <x:c r="N1736" t="str">
        <x:v>SKU-030</x:v>
      </x:c>
      <x:c r="O1736" t="n">
        <x:v>1</x:v>
      </x:c>
      <x:c r="P1736" s="26" t="n">
        <x:f>F1736/O1736</x:f>
        <x:v>89.4</x:v>
      </x:c>
    </x:row>
    <x:row r="1737">
      <x:c r="A1737" t="n">
        <x:v>1736</x:v>
      </x:c>
      <x:c r="B1737" t="n">
        <x:v>61</x:v>
      </x:c>
      <x:c r="C1737" t="str">
        <x:v>Female</x:v>
      </x:c>
      <x:c r="D1737" t="str">
        <x:v>Womens Clothing</x:v>
      </x:c>
      <x:c r="E1737" t="str">
        <x:v>Skirt</x:v>
      </x:c>
      <x:c r="F1737" s="24" t="n">
        <x:v>55.18</x:v>
      </x:c>
      <x:c r="G1737" t="str">
        <x:v>Winter</x:v>
      </x:c>
      <x:c r="H1737" t="str">
        <x:v>Cash on Delivery</x:v>
      </x:c>
      <x:c r="I1737" t="n">
        <x:v>3.9</x:v>
      </x:c>
      <x:c r="J1737" t="n">
        <x:v>13</x:v>
      </x:c>
      <x:c r="K1737" t="n">
        <x:v>4</x:v>
      </x:c>
      <x:c r="L1737" t="str">
        <x:v>STORE-001</x:v>
      </x:c>
      <x:c r="M1737" s="22" t="n">
        <x:v>46246</x:v>
      </x:c>
      <x:c r="N1737" t="str">
        <x:v>SKU-022</x:v>
      </x:c>
      <x:c r="O1737" t="n">
        <x:v>1</x:v>
      </x:c>
      <x:c r="P1737" s="26" t="n">
        <x:f>F1737/O1737</x:f>
        <x:v>55.18</x:v>
      </x:c>
    </x:row>
    <x:row r="1738">
      <x:c r="A1738" t="n">
        <x:v>1737</x:v>
      </x:c>
      <x:c r="B1738" t="n">
        <x:v>27</x:v>
      </x:c>
      <x:c r="C1738" t="str">
        <x:v>Male</x:v>
      </x:c>
      <x:c r="D1738" t="str">
        <x:v>Electronics</x:v>
      </x:c>
      <x:c r="E1738" t="str">
        <x:v>Laptop</x:v>
      </x:c>
      <x:c r="F1738" s="24" t="n">
        <x:v>2194.82</x:v>
      </x:c>
      <x:c r="G1738" t="str">
        <x:v>Autumn</x:v>
      </x:c>
      <x:c r="H1738" t="str">
        <x:v>Card</x:v>
      </x:c>
      <x:c r="I1738" t="n">
        <x:v>4.2</x:v>
      </x:c>
      <x:c r="J1738" t="n">
        <x:v>24</x:v>
      </x:c>
      <x:c r="K1738" t="n">
        <x:v>7</x:v>
      </x:c>
      <x:c r="L1738" t="str">
        <x:v>STORE-001</x:v>
      </x:c>
      <x:c r="M1738" s="22" t="n">
        <x:v>46170</x:v>
      </x:c>
      <x:c r="N1738" t="str">
        <x:v>SKU-014</x:v>
      </x:c>
      <x:c r="O1738" t="n">
        <x:v>3</x:v>
      </x:c>
      <x:c r="P1738" s="26" t="n">
        <x:f>F1738/O1738</x:f>
        <x:v>731.6066666666667</x:v>
      </x:c>
    </x:row>
    <x:row r="1739">
      <x:c r="A1739" t="n">
        <x:v>1738</x:v>
      </x:c>
      <x:c r="B1739" t="n">
        <x:v>69</x:v>
      </x:c>
      <x:c r="C1739" t="str">
        <x:v>Female</x:v>
      </x:c>
      <x:c r="D1739" t="str">
        <x:v>Womens Clothing</x:v>
      </x:c>
      <x:c r="E1739" t="str">
        <x:v>Top</x:v>
      </x:c>
      <x:c r="F1739" s="24" t="n">
        <x:v>149.44</x:v>
      </x:c>
      <x:c r="G1739" t="str">
        <x:v>Autumn</x:v>
      </x:c>
      <x:c r="H1739" t="str">
        <x:v>Card</x:v>
      </x:c>
      <x:c r="I1739" t="n">
        <x:v>4.1</x:v>
      </x:c>
      <x:c r="J1739" t="n">
        <x:v>10</x:v>
      </x:c>
      <x:c r="K1739" t="n">
        <x:v>5</x:v>
      </x:c>
      <x:c r="L1739" t="str">
        <x:v>STORE-001</x:v>
      </x:c>
      <x:c r="M1739" s="22" t="n">
        <x:v>46094</x:v>
      </x:c>
      <x:c r="N1739" t="str">
        <x:v>SKU-028</x:v>
      </x:c>
      <x:c r="O1739" t="n">
        <x:v>1</x:v>
      </x:c>
      <x:c r="P1739" s="26" t="n">
        <x:f>F1739/O1739</x:f>
        <x:v>149.44</x:v>
      </x:c>
    </x:row>
    <x:row r="1740">
      <x:c r="A1740" t="n">
        <x:v>1739</x:v>
      </x:c>
      <x:c r="B1740" t="n">
        <x:v>53</x:v>
      </x:c>
      <x:c r="C1740" t="str">
        <x:v>Male</x:v>
      </x:c>
      <x:c r="D1740" t="str">
        <x:v>Mens Clothing</x:v>
      </x:c>
      <x:c r="E1740" t="str">
        <x:v>Jacket</x:v>
      </x:c>
      <x:c r="F1740" s="24" t="n">
        <x:v>181.37</x:v>
      </x:c>
      <x:c r="G1740" t="str">
        <x:v>Autumn</x:v>
      </x:c>
      <x:c r="H1740" t="str">
        <x:v>Card</x:v>
      </x:c>
      <x:c r="I1740" t="n">
        <x:v>4</x:v>
      </x:c>
      <x:c r="J1740" t="n">
        <x:v>20</x:v>
      </x:c>
      <x:c r="K1740" t="n">
        <x:v>5</x:v>
      </x:c>
      <x:c r="L1740" t="str">
        <x:v>STORE-001</x:v>
      </x:c>
      <x:c r="M1740" s="22" t="n">
        <x:v>46082</x:v>
      </x:c>
      <x:c r="N1740" t="str">
        <x:v>SKU-010</x:v>
      </x:c>
      <x:c r="O1740" t="n">
        <x:v>1</x:v>
      </x:c>
      <x:c r="P1740" s="26" t="n">
        <x:f>F1740/O1740</x:f>
        <x:v>181.37</x:v>
      </x:c>
    </x:row>
    <x:row r="1741">
      <x:c r="A1741" t="n">
        <x:v>1740</x:v>
      </x:c>
      <x:c r="B1741" t="n">
        <x:v>42</x:v>
      </x:c>
      <x:c r="C1741" t="str">
        <x:v>Male</x:v>
      </x:c>
      <x:c r="D1741" t="str">
        <x:v>Sports</x:v>
      </x:c>
      <x:c r="E1741" t="str">
        <x:v>Yoga Mat</x:v>
      </x:c>
      <x:c r="F1741" s="24" t="n">
        <x:v>65.55</x:v>
      </x:c>
      <x:c r="G1741" t="str">
        <x:v>Summer</x:v>
      </x:c>
      <x:c r="H1741" t="str">
        <x:v>Cash on Delivery</x:v>
      </x:c>
      <x:c r="I1741" t="n">
        <x:v>4</x:v>
      </x:c>
      <x:c r="J1741" t="n">
        <x:v>8</x:v>
      </x:c>
      <x:c r="K1741" t="n">
        <x:v>4</x:v>
      </x:c>
      <x:c r="L1741" t="str">
        <x:v>STORE-001</x:v>
      </x:c>
      <x:c r="M1741" s="22" t="n">
        <x:v>46071</x:v>
      </x:c>
      <x:c r="N1741" t="str">
        <x:v>SKU-030</x:v>
      </x:c>
      <x:c r="O1741" t="n">
        <x:v>2</x:v>
      </x:c>
      <x:c r="P1741" s="26" t="n">
        <x:f>F1741/O1741</x:f>
        <x:v>32.775</x:v>
      </x:c>
    </x:row>
    <x:row r="1742">
      <x:c r="A1742" t="n">
        <x:v>1741</x:v>
      </x:c>
      <x:c r="B1742" t="n">
        <x:v>40</x:v>
      </x:c>
      <x:c r="C1742" t="str">
        <x:v>Female</x:v>
      </x:c>
      <x:c r="D1742" t="str">
        <x:v>Beauty</x:v>
      </x:c>
      <x:c r="E1742" t="str">
        <x:v>Perfume</x:v>
      </x:c>
      <x:c r="F1742" s="24" t="n">
        <x:v>60.6</x:v>
      </x:c>
      <x:c r="G1742" t="str">
        <x:v>Winter</x:v>
      </x:c>
      <x:c r="H1742" t="str">
        <x:v>Card</x:v>
      </x:c>
      <x:c r="I1742" t="n">
        <x:v>4.5</x:v>
      </x:c>
      <x:c r="J1742" t="n">
        <x:v>15</x:v>
      </x:c>
      <x:c r="K1742" t="n">
        <x:v>5</x:v>
      </x:c>
      <x:c r="L1742" t="str">
        <x:v>STORE-001</x:v>
      </x:c>
      <x:c r="M1742" s="22" t="n">
        <x:v>46240</x:v>
      </x:c>
      <x:c r="N1742" t="str">
        <x:v>SKU-017</x:v>
      </x:c>
      <x:c r="O1742" t="n">
        <x:v>2</x:v>
      </x:c>
      <x:c r="P1742" s="26" t="n">
        <x:f>F1742/O1742</x:f>
        <x:v>30.3</x:v>
      </x:c>
    </x:row>
    <x:row r="1743">
      <x:c r="A1743" t="n">
        <x:v>1742</x:v>
      </x:c>
      <x:c r="B1743" t="n">
        <x:v>45</x:v>
      </x:c>
      <x:c r="C1743" t="str">
        <x:v>Female</x:v>
      </x:c>
      <x:c r="D1743" t="str">
        <x:v>Womens Clothing</x:v>
      </x:c>
      <x:c r="E1743" t="str">
        <x:v>Top</x:v>
      </x:c>
      <x:c r="F1743" s="24" t="n">
        <x:v>87.8</x:v>
      </x:c>
      <x:c r="G1743" t="str">
        <x:v>Autumn</x:v>
      </x:c>
      <x:c r="H1743" t="str">
        <x:v>Cash on Delivery</x:v>
      </x:c>
      <x:c r="I1743" t="n">
        <x:v>4.7</x:v>
      </x:c>
      <x:c r="J1743" t="n">
        <x:v>21</x:v>
      </x:c>
      <x:c r="K1743" t="n">
        <x:v>8</x:v>
      </x:c>
      <x:c r="L1743" t="str">
        <x:v>STORE-001</x:v>
      </x:c>
      <x:c r="M1743" s="22" t="n">
        <x:v>46120</x:v>
      </x:c>
      <x:c r="N1743" t="str">
        <x:v>SKU-028</x:v>
      </x:c>
      <x:c r="O1743" t="n">
        <x:v>1</x:v>
      </x:c>
      <x:c r="P1743" s="26" t="n">
        <x:f>F1743/O1743</x:f>
        <x:v>87.8</x:v>
      </x:c>
    </x:row>
    <x:row r="1744">
      <x:c r="A1744" t="n">
        <x:v>1743</x:v>
      </x:c>
      <x:c r="B1744" t="n">
        <x:v>37</x:v>
      </x:c>
      <x:c r="C1744" t="str">
        <x:v>Male</x:v>
      </x:c>
      <x:c r="D1744" t="str">
        <x:v>Sports</x:v>
      </x:c>
      <x:c r="E1744" t="str">
        <x:v>Yoga Mat</x:v>
      </x:c>
      <x:c r="F1744" s="24" t="n">
        <x:v>223.54</x:v>
      </x:c>
      <x:c r="G1744" t="str">
        <x:v>Autumn</x:v>
      </x:c>
      <x:c r="H1744" t="str">
        <x:v>Card</x:v>
      </x:c>
      <x:c r="I1744" t="n">
        <x:v>3.7</x:v>
      </x:c>
      <x:c r="J1744" t="n">
        <x:v>15</x:v>
      </x:c>
      <x:c r="K1744" t="n">
        <x:v>5</x:v>
      </x:c>
      <x:c r="L1744" t="str">
        <x:v>STORE-001</x:v>
      </x:c>
      <x:c r="M1744" s="22" t="n">
        <x:v>46114</x:v>
      </x:c>
      <x:c r="N1744" t="str">
        <x:v>SKU-030</x:v>
      </x:c>
      <x:c r="O1744" t="n">
        <x:v>1</x:v>
      </x:c>
      <x:c r="P1744" s="26" t="n">
        <x:f>F1744/O1744</x:f>
        <x:v>223.54</x:v>
      </x:c>
    </x:row>
    <x:row r="1745">
      <x:c r="A1745" t="n">
        <x:v>1744</x:v>
      </x:c>
      <x:c r="B1745" t="n">
        <x:v>27</x:v>
      </x:c>
      <x:c r="C1745" t="str">
        <x:v>Female</x:v>
      </x:c>
      <x:c r="D1745" t="str">
        <x:v>Accessories</x:v>
      </x:c>
      <x:c r="E1745" t="str">
        <x:v>Sunglasses</x:v>
      </x:c>
      <x:c r="F1745" s="24" t="n">
        <x:v>113.9</x:v>
      </x:c>
      <x:c r="G1745" t="str">
        <x:v>Spring</x:v>
      </x:c>
      <x:c r="H1745" t="str">
        <x:v>Card</x:v>
      </x:c>
      <x:c r="I1745" t="n">
        <x:v>4.5</x:v>
      </x:c>
      <x:c r="J1745" t="n">
        <x:v>8</x:v>
      </x:c>
      <x:c r="K1745" t="n">
        <x:v>4</x:v>
      </x:c>
      <x:c r="L1745" t="str">
        <x:v>STORE-001</x:v>
      </x:c>
      <x:c r="M1745" s="22" t="n">
        <x:v>45967</x:v>
      </x:c>
      <x:c r="N1745" t="str">
        <x:v>SKU-026</x:v>
      </x:c>
      <x:c r="O1745" t="n">
        <x:v>1</x:v>
      </x:c>
      <x:c r="P1745" s="26" t="n">
        <x:f>F1745/O1745</x:f>
        <x:v>113.9</x:v>
      </x:c>
    </x:row>
    <x:row r="1746">
      <x:c r="A1746" t="n">
        <x:v>1745</x:v>
      </x:c>
      <x:c r="B1746" t="n">
        <x:v>51</x:v>
      </x:c>
      <x:c r="C1746" t="str">
        <x:v>Male</x:v>
      </x:c>
      <x:c r="D1746" t="str">
        <x:v>Groceries</x:v>
      </x:c>
      <x:c r="E1746" t="str">
        <x:v>Rice Pack</x:v>
      </x:c>
      <x:c r="F1746" s="24" t="n">
        <x:v>47.16</x:v>
      </x:c>
      <x:c r="G1746" t="str">
        <x:v>Winter</x:v>
      </x:c>
      <x:c r="H1746" t="str">
        <x:v>Card</x:v>
      </x:c>
      <x:c r="I1746" t="n">
        <x:v>5</x:v>
      </x:c>
      <x:c r="J1746" t="n">
        <x:v>32</x:v>
      </x:c>
      <x:c r="K1746" t="n">
        <x:v>11</x:v>
      </x:c>
      <x:c r="L1746" t="str">
        <x:v>STORE-001</x:v>
      </x:c>
      <x:c r="M1746" s="22" t="n">
        <x:v>46245</x:v>
      </x:c>
      <x:c r="N1746" t="str">
        <x:v>SKU-018</x:v>
      </x:c>
      <x:c r="O1746" t="n">
        <x:v>1</x:v>
      </x:c>
      <x:c r="P1746" s="26" t="n">
        <x:f>F1746/O1746</x:f>
        <x:v>47.16</x:v>
      </x:c>
    </x:row>
    <x:row r="1747">
      <x:c r="A1747" t="n">
        <x:v>1746</x:v>
      </x:c>
      <x:c r="B1747" t="n">
        <x:v>60</x:v>
      </x:c>
      <x:c r="C1747" t="str">
        <x:v>Male</x:v>
      </x:c>
      <x:c r="D1747" t="str">
        <x:v>Electronics</x:v>
      </x:c>
      <x:c r="E1747" t="str">
        <x:v>Smart Watch</x:v>
      </x:c>
      <x:c r="F1747" s="24" t="n">
        <x:v>2140.91</x:v>
      </x:c>
      <x:c r="G1747" t="str">
        <x:v>Spring</x:v>
      </x:c>
      <x:c r="H1747" t="str">
        <x:v>Card</x:v>
      </x:c>
      <x:c r="I1747" t="n">
        <x:v>3.7</x:v>
      </x:c>
      <x:c r="J1747" t="n">
        <x:v>14</x:v>
      </x:c>
      <x:c r="K1747" t="n">
        <x:v>7</x:v>
      </x:c>
      <x:c r="L1747" t="str">
        <x:v>STORE-001</x:v>
      </x:c>
      <x:c r="M1747" s="22" t="n">
        <x:v>45991</x:v>
      </x:c>
      <x:c r="N1747" t="str">
        <x:v>SKU-023</x:v>
      </x:c>
      <x:c r="O1747" t="n">
        <x:v>1</x:v>
      </x:c>
      <x:c r="P1747" s="26" t="n">
        <x:f>F1747/O1747</x:f>
        <x:v>2140.91</x:v>
      </x:c>
    </x:row>
    <x:row r="1748">
      <x:c r="A1748" t="n">
        <x:v>1747</x:v>
      </x:c>
      <x:c r="B1748" t="n">
        <x:v>39</x:v>
      </x:c>
      <x:c r="C1748" t="str">
        <x:v>Female</x:v>
      </x:c>
      <x:c r="D1748" t="str">
        <x:v>Beauty</x:v>
      </x:c>
      <x:c r="E1748" t="str">
        <x:v>Makeup Set</x:v>
      </x:c>
      <x:c r="F1748" s="24" t="n">
        <x:v>114.5</x:v>
      </x:c>
      <x:c r="G1748" t="str">
        <x:v>Autumn</x:v>
      </x:c>
      <x:c r="H1748" t="str">
        <x:v>Card</x:v>
      </x:c>
      <x:c r="I1748" t="n">
        <x:v>2.6</x:v>
      </x:c>
      <x:c r="J1748" t="n">
        <x:v>7</x:v>
      </x:c>
      <x:c r="K1748" t="n">
        <x:v>1</x:v>
      </x:c>
      <x:c r="L1748" t="str">
        <x:v>STORE-001</x:v>
      </x:c>
      <x:c r="M1748" s="22" t="n">
        <x:v>46149</x:v>
      </x:c>
      <x:c r="N1748" t="str">
        <x:v>SKU-015</x:v>
      </x:c>
      <x:c r="O1748" t="n">
        <x:v>2</x:v>
      </x:c>
      <x:c r="P1748" s="26" t="n">
        <x:f>F1748/O1748</x:f>
        <x:v>57.25</x:v>
      </x:c>
    </x:row>
    <x:row r="1749">
      <x:c r="A1749" t="n">
        <x:v>1748</x:v>
      </x:c>
      <x:c r="B1749" t="n">
        <x:v>38</x:v>
      </x:c>
      <x:c r="C1749" t="str">
        <x:v>Male</x:v>
      </x:c>
      <x:c r="D1749" t="str">
        <x:v>Electronics</x:v>
      </x:c>
      <x:c r="E1749" t="str">
        <x:v>Smart Watch</x:v>
      </x:c>
      <x:c r="F1749" s="24" t="n">
        <x:v>1304.49</x:v>
      </x:c>
      <x:c r="G1749" t="str">
        <x:v>Winter</x:v>
      </x:c>
      <x:c r="H1749" t="str">
        <x:v>Card</x:v>
      </x:c>
      <x:c r="I1749" t="n">
        <x:v>3.5</x:v>
      </x:c>
      <x:c r="J1749" t="n">
        <x:v>12</x:v>
      </x:c>
      <x:c r="K1749" t="n">
        <x:v>6</x:v>
      </x:c>
      <x:c r="L1749" t="str">
        <x:v>STORE-001</x:v>
      </x:c>
      <x:c r="M1749" s="22" t="n">
        <x:v>46214</x:v>
      </x:c>
      <x:c r="N1749" t="str">
        <x:v>SKU-023</x:v>
      </x:c>
      <x:c r="O1749" t="n">
        <x:v>1</x:v>
      </x:c>
      <x:c r="P1749" s="26" t="n">
        <x:f>F1749/O1749</x:f>
        <x:v>1304.49</x:v>
      </x:c>
    </x:row>
    <x:row r="1750">
      <x:c r="A1750" t="n">
        <x:v>1749</x:v>
      </x:c>
      <x:c r="B1750" t="n">
        <x:v>58</x:v>
      </x:c>
      <x:c r="C1750" t="str">
        <x:v>Male</x:v>
      </x:c>
      <x:c r="D1750" t="str">
        <x:v>Mens Clothing</x:v>
      </x:c>
      <x:c r="E1750" t="str">
        <x:v>Jacket</x:v>
      </x:c>
      <x:c r="F1750" s="24" t="n">
        <x:v>99.6</x:v>
      </x:c>
      <x:c r="G1750" t="str">
        <x:v>Spring</x:v>
      </x:c>
      <x:c r="H1750" t="str">
        <x:v>Cash on Delivery</x:v>
      </x:c>
      <x:c r="I1750" t="n">
        <x:v>4.2</x:v>
      </x:c>
      <x:c r="J1750" t="n">
        <x:v>12</x:v>
      </x:c>
      <x:c r="K1750" t="n">
        <x:v>6</x:v>
      </x:c>
      <x:c r="L1750" t="str">
        <x:v>STORE-001</x:v>
      </x:c>
      <x:c r="M1750" s="22" t="n">
        <x:v>46275</x:v>
      </x:c>
      <x:c r="N1750" t="str">
        <x:v>SKU-010</x:v>
      </x:c>
      <x:c r="O1750" t="n">
        <x:v>2</x:v>
      </x:c>
      <x:c r="P1750" s="26" t="n">
        <x:f>F1750/O1750</x:f>
        <x:v>49.8</x:v>
      </x:c>
    </x:row>
    <x:row r="1751">
      <x:c r="A1751" t="n">
        <x:v>1750</x:v>
      </x:c>
      <x:c r="B1751" t="n">
        <x:v>24</x:v>
      </x:c>
      <x:c r="C1751" t="str">
        <x:v>Male</x:v>
      </x:c>
      <x:c r="D1751" t="str">
        <x:v>Electronics</x:v>
      </x:c>
      <x:c r="E1751" t="str">
        <x:v>Headphones</x:v>
      </x:c>
      <x:c r="F1751" s="24" t="n">
        <x:v>1953.51</x:v>
      </x:c>
      <x:c r="G1751" t="str">
        <x:v>Autumn</x:v>
      </x:c>
      <x:c r="H1751" t="str">
        <x:v>Card</x:v>
      </x:c>
      <x:c r="I1751" t="n">
        <x:v>4.9</x:v>
      </x:c>
      <x:c r="J1751" t="n">
        <x:v>16</x:v>
      </x:c>
      <x:c r="K1751" t="n">
        <x:v>8</x:v>
      </x:c>
      <x:c r="L1751" t="str">
        <x:v>STORE-001</x:v>
      </x:c>
      <x:c r="M1751" s="22" t="n">
        <x:v>46084</x:v>
      </x:c>
      <x:c r="N1751" t="str">
        <x:v>SKU-009</x:v>
      </x:c>
      <x:c r="O1751" t="n">
        <x:v>1</x:v>
      </x:c>
      <x:c r="P1751" s="26" t="n">
        <x:f>F1751/O1751</x:f>
        <x:v>1953.51</x:v>
      </x:c>
    </x:row>
    <x:row r="1752">
      <x:c r="A1752" t="n">
        <x:v>1751</x:v>
      </x:c>
      <x:c r="B1752" t="n">
        <x:v>22</x:v>
      </x:c>
      <x:c r="C1752" t="str">
        <x:v>Male</x:v>
      </x:c>
      <x:c r="D1752" t="str">
        <x:v>Mens Clothing</x:v>
      </x:c>
      <x:c r="E1752" t="str">
        <x:v>T-Shirt</x:v>
      </x:c>
      <x:c r="F1752" s="24" t="n">
        <x:v>143.3</x:v>
      </x:c>
      <x:c r="G1752" t="str">
        <x:v>Winter</x:v>
      </x:c>
      <x:c r="H1752" t="str">
        <x:v>Card</x:v>
      </x:c>
      <x:c r="I1752" t="n">
        <x:v>3.8</x:v>
      </x:c>
      <x:c r="J1752" t="n">
        <x:v>13</x:v>
      </x:c>
      <x:c r="K1752" t="n">
        <x:v>4</x:v>
      </x:c>
      <x:c r="L1752" t="str">
        <x:v>STORE-001</x:v>
      </x:c>
      <x:c r="M1752" s="22" t="n">
        <x:v>46247</x:v>
      </x:c>
      <x:c r="N1752" t="str">
        <x:v>SKU-027</x:v>
      </x:c>
      <x:c r="O1752" t="n">
        <x:v>1</x:v>
      </x:c>
      <x:c r="P1752" s="26" t="n">
        <x:f>F1752/O1752</x:f>
        <x:v>143.3</x:v>
      </x:c>
    </x:row>
    <x:row r="1753">
      <x:c r="A1753" t="n">
        <x:v>1752</x:v>
      </x:c>
      <x:c r="B1753" t="n">
        <x:v>56</x:v>
      </x:c>
      <x:c r="C1753" t="str">
        <x:v>Female</x:v>
      </x:c>
      <x:c r="D1753" t="str">
        <x:v>Accessories</x:v>
      </x:c>
      <x:c r="E1753" t="str">
        <x:v>Sunglasses</x:v>
      </x:c>
      <x:c r="F1753" s="24" t="n">
        <x:v>48.36</x:v>
      </x:c>
      <x:c r="G1753" t="str">
        <x:v>Autumn</x:v>
      </x:c>
      <x:c r="H1753" t="str">
        <x:v>Card</x:v>
      </x:c>
      <x:c r="I1753" t="n">
        <x:v>3.4</x:v>
      </x:c>
      <x:c r="J1753" t="n">
        <x:v>17</x:v>
      </x:c>
      <x:c r="K1753" t="n">
        <x:v>6</x:v>
      </x:c>
      <x:c r="L1753" t="str">
        <x:v>STORE-001</x:v>
      </x:c>
      <x:c r="M1753" s="22" t="n">
        <x:v>46100</x:v>
      </x:c>
      <x:c r="N1753" t="str">
        <x:v>SKU-026</x:v>
      </x:c>
      <x:c r="O1753" t="n">
        <x:v>1</x:v>
      </x:c>
      <x:c r="P1753" s="26" t="n">
        <x:f>F1753/O1753</x:f>
        <x:v>48.36</x:v>
      </x:c>
    </x:row>
    <x:row r="1754">
      <x:c r="A1754" t="n">
        <x:v>1753</x:v>
      </x:c>
      <x:c r="B1754" t="n">
        <x:v>68</x:v>
      </x:c>
      <x:c r="C1754" t="str">
        <x:v>Male</x:v>
      </x:c>
      <x:c r="D1754" t="str">
        <x:v>Electronics</x:v>
      </x:c>
      <x:c r="E1754" t="str">
        <x:v>Laptop</x:v>
      </x:c>
      <x:c r="F1754" s="24" t="n">
        <x:v>566.58</x:v>
      </x:c>
      <x:c r="G1754" t="str">
        <x:v>Summer</x:v>
      </x:c>
      <x:c r="H1754" t="str">
        <x:v>Card</x:v>
      </x:c>
      <x:c r="I1754" t="n">
        <x:v>3.2</x:v>
      </x:c>
      <x:c r="J1754" t="n">
        <x:v>11</x:v>
      </x:c>
      <x:c r="K1754" t="n">
        <x:v>3</x:v>
      </x:c>
      <x:c r="L1754" t="str">
        <x:v>STORE-001</x:v>
      </x:c>
      <x:c r="M1754" s="22" t="n">
        <x:v>46028</x:v>
      </x:c>
      <x:c r="N1754" t="str">
        <x:v>SKU-014</x:v>
      </x:c>
      <x:c r="O1754" t="n">
        <x:v>1</x:v>
      </x:c>
      <x:c r="P1754" s="26" t="n">
        <x:f>F1754/O1754</x:f>
        <x:v>566.58</x:v>
      </x:c>
    </x:row>
    <x:row r="1755">
      <x:c r="A1755" t="n">
        <x:v>1754</x:v>
      </x:c>
      <x:c r="B1755" t="n">
        <x:v>70</x:v>
      </x:c>
      <x:c r="C1755" t="str">
        <x:v>Female</x:v>
      </x:c>
      <x:c r="D1755" t="str">
        <x:v>Groceries</x:v>
      </x:c>
      <x:c r="E1755" t="str">
        <x:v>Cooking Oil</x:v>
      </x:c>
      <x:c r="F1755" s="24" t="n">
        <x:v>39.27</x:v>
      </x:c>
      <x:c r="G1755" t="str">
        <x:v>Spring</x:v>
      </x:c>
      <x:c r="H1755" t="str">
        <x:v>Card</x:v>
      </x:c>
      <x:c r="I1755" t="n">
        <x:v>3.1</x:v>
      </x:c>
      <x:c r="J1755" t="n">
        <x:v>26</x:v>
      </x:c>
      <x:c r="K1755" t="n">
        <x:v>8</x:v>
      </x:c>
      <x:c r="L1755" t="str">
        <x:v>STORE-001</x:v>
      </x:c>
      <x:c r="M1755" s="22" t="n">
        <x:v>45959</x:v>
      </x:c>
      <x:c r="N1755" t="str">
        <x:v>SKU-002</x:v>
      </x:c>
      <x:c r="O1755" t="n">
        <x:v>4</x:v>
      </x:c>
      <x:c r="P1755" s="26" t="n">
        <x:f>F1755/O1755</x:f>
        <x:v>9.8175</x:v>
      </x:c>
    </x:row>
    <x:row r="1756">
      <x:c r="A1756" t="n">
        <x:v>1755</x:v>
      </x:c>
      <x:c r="B1756" t="n">
        <x:v>22</x:v>
      </x:c>
      <x:c r="C1756" t="str">
        <x:v>Male</x:v>
      </x:c>
      <x:c r="D1756" t="str">
        <x:v>Mens Clothing</x:v>
      </x:c>
      <x:c r="E1756" t="str">
        <x:v>Shirt</x:v>
      </x:c>
      <x:c r="F1756" s="24" t="n">
        <x:v>98.74</x:v>
      </x:c>
      <x:c r="G1756" t="str">
        <x:v>Summer</x:v>
      </x:c>
      <x:c r="H1756" t="str">
        <x:v>Card</x:v>
      </x:c>
      <x:c r="I1756" t="n">
        <x:v>4</x:v>
      </x:c>
      <x:c r="J1756" t="n">
        <x:v>12</x:v>
      </x:c>
      <x:c r="K1756" t="n">
        <x:v>6</x:v>
      </x:c>
      <x:c r="L1756" t="str">
        <x:v>STORE-001</x:v>
      </x:c>
      <x:c r="M1756" s="22" t="n">
        <x:v>46014</x:v>
      </x:c>
      <x:c r="N1756" t="str">
        <x:v>SKU-020</x:v>
      </x:c>
      <x:c r="O1756" t="n">
        <x:v>1</x:v>
      </x:c>
      <x:c r="P1756" s="26" t="n">
        <x:f>F1756/O1756</x:f>
        <x:v>98.74</x:v>
      </x:c>
    </x:row>
    <x:row r="1757">
      <x:c r="A1757" t="n">
        <x:v>1756</x:v>
      </x:c>
      <x:c r="B1757" t="n">
        <x:v>69</x:v>
      </x:c>
      <x:c r="C1757" t="str">
        <x:v>Female</x:v>
      </x:c>
      <x:c r="D1757" t="str">
        <x:v>Beauty</x:v>
      </x:c>
      <x:c r="E1757" t="str">
        <x:v>Makeup Set</x:v>
      </x:c>
      <x:c r="F1757" s="24" t="n">
        <x:v>108.96</x:v>
      </x:c>
      <x:c r="G1757" t="str">
        <x:v>Summer</x:v>
      </x:c>
      <x:c r="H1757" t="str">
        <x:v>Card</x:v>
      </x:c>
      <x:c r="I1757" t="n">
        <x:v>4.4</x:v>
      </x:c>
      <x:c r="J1757" t="n">
        <x:v>24</x:v>
      </x:c>
      <x:c r="K1757" t="n">
        <x:v>7</x:v>
      </x:c>
      <x:c r="L1757" t="str">
        <x:v>STORE-001</x:v>
      </x:c>
      <x:c r="M1757" s="22" t="n">
        <x:v>46005</x:v>
      </x:c>
      <x:c r="N1757" t="str">
        <x:v>SKU-015</x:v>
      </x:c>
      <x:c r="O1757" t="n">
        <x:v>1</x:v>
      </x:c>
      <x:c r="P1757" s="26" t="n">
        <x:f>F1757/O1757</x:f>
        <x:v>108.96</x:v>
      </x:c>
    </x:row>
    <x:row r="1758">
      <x:c r="A1758" t="n">
        <x:v>1757</x:v>
      </x:c>
      <x:c r="B1758" t="n">
        <x:v>66</x:v>
      </x:c>
      <x:c r="C1758" t="str">
        <x:v>Male</x:v>
      </x:c>
      <x:c r="D1758" t="str">
        <x:v>Groceries</x:v>
      </x:c>
      <x:c r="E1758" t="str">
        <x:v>Beverages</x:v>
      </x:c>
      <x:c r="F1758" s="24" t="n">
        <x:v>55.46</x:v>
      </x:c>
      <x:c r="G1758" t="str">
        <x:v>Spring</x:v>
      </x:c>
      <x:c r="H1758" t="str">
        <x:v>Card</x:v>
      </x:c>
      <x:c r="I1758" t="n">
        <x:v>3.7</x:v>
      </x:c>
      <x:c r="J1758" t="n">
        <x:v>10</x:v>
      </x:c>
      <x:c r="K1758" t="n">
        <x:v>5</x:v>
      </x:c>
      <x:c r="L1758" t="str">
        <x:v>STORE-001</x:v>
      </x:c>
      <x:c r="M1758" s="22" t="n">
        <x:v>46293</x:v>
      </x:c>
      <x:c r="N1758" t="str">
        <x:v>SKU-001</x:v>
      </x:c>
      <x:c r="O1758" t="n">
        <x:v>2</x:v>
      </x:c>
      <x:c r="P1758" s="26" t="n">
        <x:f>F1758/O1758</x:f>
        <x:v>27.73</x:v>
      </x:c>
    </x:row>
    <x:row r="1759">
      <x:c r="A1759" t="n">
        <x:v>1758</x:v>
      </x:c>
      <x:c r="B1759" t="n">
        <x:v>43</x:v>
      </x:c>
      <x:c r="C1759" t="str">
        <x:v>Female</x:v>
      </x:c>
      <x:c r="D1759" t="str">
        <x:v>Sports</x:v>
      </x:c>
      <x:c r="E1759" t="str">
        <x:v>Football</x:v>
      </x:c>
      <x:c r="F1759" s="24" t="n">
        <x:v>80.15</x:v>
      </x:c>
      <x:c r="G1759" t="str">
        <x:v>Autumn</x:v>
      </x:c>
      <x:c r="H1759" t="str">
        <x:v>Card</x:v>
      </x:c>
      <x:c r="I1759" t="n">
        <x:v>4.7</x:v>
      </x:c>
      <x:c r="J1759" t="n">
        <x:v>11</x:v>
      </x:c>
      <x:c r="K1759" t="n">
        <x:v>3</x:v>
      </x:c>
      <x:c r="L1759" t="str">
        <x:v>STORE-001</x:v>
      </x:c>
      <x:c r="M1759" s="22" t="n">
        <x:v>46131</x:v>
      </x:c>
      <x:c r="N1759" t="str">
        <x:v>SKU-006</x:v>
      </x:c>
      <x:c r="O1759" t="n">
        <x:v>2</x:v>
      </x:c>
      <x:c r="P1759" s="26" t="n">
        <x:f>F1759/O1759</x:f>
        <x:v>40.075</x:v>
      </x:c>
    </x:row>
    <x:row r="1760">
      <x:c r="A1760" t="n">
        <x:v>1759</x:v>
      </x:c>
      <x:c r="B1760" t="n">
        <x:v>63</x:v>
      </x:c>
      <x:c r="C1760" t="str">
        <x:v>Male</x:v>
      </x:c>
      <x:c r="D1760" t="str">
        <x:v>Sports</x:v>
      </x:c>
      <x:c r="E1760" t="str">
        <x:v>Yoga Mat</x:v>
      </x:c>
      <x:c r="F1760" s="24" t="n">
        <x:v>202.07</x:v>
      </x:c>
      <x:c r="G1760" t="str">
        <x:v>Summer</x:v>
      </x:c>
      <x:c r="H1760" t="str">
        <x:v>Card</x:v>
      </x:c>
      <x:c r="I1760" t="n">
        <x:v>3.7</x:v>
      </x:c>
      <x:c r="J1760" t="n">
        <x:v>16</x:v>
      </x:c>
      <x:c r="K1760" t="n">
        <x:v>3</x:v>
      </x:c>
      <x:c r="L1760" t="str">
        <x:v>STORE-001</x:v>
      </x:c>
      <x:c r="M1760" s="22" t="n">
        <x:v>45996</x:v>
      </x:c>
      <x:c r="N1760" t="str">
        <x:v>SKU-030</x:v>
      </x:c>
      <x:c r="O1760" t="n">
        <x:v>2</x:v>
      </x:c>
      <x:c r="P1760" s="26" t="n">
        <x:f>F1760/O1760</x:f>
        <x:v>101.035</x:v>
      </x:c>
    </x:row>
    <x:row r="1761">
      <x:c r="A1761" t="n">
        <x:v>1760</x:v>
      </x:c>
      <x:c r="B1761" t="n">
        <x:v>23</x:v>
      </x:c>
      <x:c r="C1761" t="str">
        <x:v>Male</x:v>
      </x:c>
      <x:c r="D1761" t="str">
        <x:v>Mens Clothing</x:v>
      </x:c>
      <x:c r="E1761" t="str">
        <x:v>Shirt</x:v>
      </x:c>
      <x:c r="F1761" s="24" t="n">
        <x:v>117.84</x:v>
      </x:c>
      <x:c r="G1761" t="str">
        <x:v>Winter</x:v>
      </x:c>
      <x:c r="H1761" t="str">
        <x:v>Card</x:v>
      </x:c>
      <x:c r="I1761" t="n">
        <x:v>3.1</x:v>
      </x:c>
      <x:c r="J1761" t="n">
        <x:v>24</x:v>
      </x:c>
      <x:c r="K1761" t="n">
        <x:v>7</x:v>
      </x:c>
      <x:c r="L1761" t="str">
        <x:v>STORE-001</x:v>
      </x:c>
      <x:c r="M1761" s="22" t="n">
        <x:v>46189</x:v>
      </x:c>
      <x:c r="N1761" t="str">
        <x:v>SKU-020</x:v>
      </x:c>
      <x:c r="O1761" t="n">
        <x:v>1</x:v>
      </x:c>
      <x:c r="P1761" s="26" t="n">
        <x:f>F1761/O1761</x:f>
        <x:v>117.84</x:v>
      </x:c>
    </x:row>
    <x:row r="1762">
      <x:c r="A1762" t="n">
        <x:v>1761</x:v>
      </x:c>
      <x:c r="B1762" t="n">
        <x:v>44</x:v>
      </x:c>
      <x:c r="C1762" t="str">
        <x:v>Male</x:v>
      </x:c>
      <x:c r="D1762" t="str">
        <x:v>Mens Clothing</x:v>
      </x:c>
      <x:c r="E1762" t="str">
        <x:v>Shirt</x:v>
      </x:c>
      <x:c r="F1762" s="24" t="n">
        <x:v>194.65</x:v>
      </x:c>
      <x:c r="G1762" t="str">
        <x:v>Spring</x:v>
      </x:c>
      <x:c r="H1762" t="str">
        <x:v>Card</x:v>
      </x:c>
      <x:c r="I1762" t="n">
        <x:v>4.2</x:v>
      </x:c>
      <x:c r="J1762" t="n">
        <x:v>22</x:v>
      </x:c>
      <x:c r="K1762" t="n">
        <x:v>6</x:v>
      </x:c>
      <x:c r="L1762" t="str">
        <x:v>STORE-001</x:v>
      </x:c>
      <x:c r="M1762" s="22" t="n">
        <x:v>45976</x:v>
      </x:c>
      <x:c r="N1762" t="str">
        <x:v>SKU-020</x:v>
      </x:c>
      <x:c r="O1762" t="n">
        <x:v>2</x:v>
      </x:c>
      <x:c r="P1762" s="26" t="n">
        <x:f>F1762/O1762</x:f>
        <x:v>97.325</x:v>
      </x:c>
    </x:row>
    <x:row r="1763">
      <x:c r="A1763" t="n">
        <x:v>1762</x:v>
      </x:c>
      <x:c r="B1763" t="n">
        <x:v>68</x:v>
      </x:c>
      <x:c r="C1763" t="str">
        <x:v>Female</x:v>
      </x:c>
      <x:c r="D1763" t="str">
        <x:v>Beauty</x:v>
      </x:c>
      <x:c r="E1763" t="str">
        <x:v>Makeup Set</x:v>
      </x:c>
      <x:c r="F1763" s="24" t="n">
        <x:v>107.91</x:v>
      </x:c>
      <x:c r="G1763" t="str">
        <x:v>Spring</x:v>
      </x:c>
      <x:c r="H1763" t="str">
        <x:v>Card</x:v>
      </x:c>
      <x:c r="I1763" t="n">
        <x:v>4</x:v>
      </x:c>
      <x:c r="J1763" t="n">
        <x:v>17</x:v>
      </x:c>
      <x:c r="K1763" t="n">
        <x:v>6</x:v>
      </x:c>
      <x:c r="L1763" t="str">
        <x:v>STORE-001</x:v>
      </x:c>
      <x:c r="M1763" s="22" t="n">
        <x:v>45963</x:v>
      </x:c>
      <x:c r="N1763" t="str">
        <x:v>SKU-015</x:v>
      </x:c>
      <x:c r="O1763" t="n">
        <x:v>3</x:v>
      </x:c>
      <x:c r="P1763" s="26" t="n">
        <x:f>F1763/O1763</x:f>
        <x:v>35.97</x:v>
      </x:c>
    </x:row>
    <x:row r="1764">
      <x:c r="A1764" t="n">
        <x:v>1763</x:v>
      </x:c>
      <x:c r="B1764" t="n">
        <x:v>34</x:v>
      </x:c>
      <x:c r="C1764" t="str">
        <x:v>Male</x:v>
      </x:c>
      <x:c r="D1764" t="str">
        <x:v>Sports</x:v>
      </x:c>
      <x:c r="E1764" t="str">
        <x:v>Dumbbells</x:v>
      </x:c>
      <x:c r="F1764" s="24" t="n">
        <x:v>184.29</x:v>
      </x:c>
      <x:c r="G1764" t="str">
        <x:v>Autumn</x:v>
      </x:c>
      <x:c r="H1764" t="str">
        <x:v>Card</x:v>
      </x:c>
      <x:c r="I1764" t="n">
        <x:v>5</x:v>
      </x:c>
      <x:c r="J1764" t="n">
        <x:v>11</x:v>
      </x:c>
      <x:c r="K1764" t="n">
        <x:v>3</x:v>
      </x:c>
      <x:c r="L1764" t="str">
        <x:v>STORE-001</x:v>
      </x:c>
      <x:c r="M1764" s="22" t="n">
        <x:v>46134</x:v>
      </x:c>
      <x:c r="N1764" t="str">
        <x:v>SKU-005</x:v>
      </x:c>
      <x:c r="O1764" t="n">
        <x:v>2</x:v>
      </x:c>
      <x:c r="P1764" s="26" t="n">
        <x:f>F1764/O1764</x:f>
        <x:v>92.145</x:v>
      </x:c>
    </x:row>
    <x:row r="1765">
      <x:c r="A1765" t="n">
        <x:v>1764</x:v>
      </x:c>
      <x:c r="B1765" t="n">
        <x:v>35</x:v>
      </x:c>
      <x:c r="C1765" t="str">
        <x:v>Female</x:v>
      </x:c>
      <x:c r="D1765" t="str">
        <x:v>Beauty</x:v>
      </x:c>
      <x:c r="E1765" t="str">
        <x:v>Makeup Set</x:v>
      </x:c>
      <x:c r="F1765" s="24" t="n">
        <x:v>121.94</x:v>
      </x:c>
      <x:c r="G1765" t="str">
        <x:v>Spring</x:v>
      </x:c>
      <x:c r="H1765" t="str">
        <x:v>Card</x:v>
      </x:c>
      <x:c r="I1765" t="n">
        <x:v>3.4</x:v>
      </x:c>
      <x:c r="J1765" t="n">
        <x:v>22</x:v>
      </x:c>
      <x:c r="K1765" t="n">
        <x:v>6</x:v>
      </x:c>
      <x:c r="L1765" t="str">
        <x:v>STORE-001</x:v>
      </x:c>
      <x:c r="M1765" s="22" t="n">
        <x:v>45955</x:v>
      </x:c>
      <x:c r="N1765" t="str">
        <x:v>SKU-015</x:v>
      </x:c>
      <x:c r="O1765" t="n">
        <x:v>1</x:v>
      </x:c>
      <x:c r="P1765" s="26" t="n">
        <x:f>F1765/O1765</x:f>
        <x:v>121.94</x:v>
      </x:c>
    </x:row>
    <x:row r="1766">
      <x:c r="A1766" t="n">
        <x:v>1765</x:v>
      </x:c>
      <x:c r="B1766" t="n">
        <x:v>51</x:v>
      </x:c>
      <x:c r="C1766" t="str">
        <x:v>Male</x:v>
      </x:c>
      <x:c r="D1766" t="str">
        <x:v>Sports</x:v>
      </x:c>
      <x:c r="E1766" t="str">
        <x:v>Football</x:v>
      </x:c>
      <x:c r="F1766" s="24" t="n">
        <x:v>218.04</x:v>
      </x:c>
      <x:c r="G1766" t="str">
        <x:v>Summer</x:v>
      </x:c>
      <x:c r="H1766" t="str">
        <x:v>Card</x:v>
      </x:c>
      <x:c r="I1766" t="n">
        <x:v>3</x:v>
      </x:c>
      <x:c r="J1766" t="n">
        <x:v>20</x:v>
      </x:c>
      <x:c r="K1766" t="n">
        <x:v>5</x:v>
      </x:c>
      <x:c r="L1766" t="str">
        <x:v>STORE-001</x:v>
      </x:c>
      <x:c r="M1766" s="22" t="n">
        <x:v>46044</x:v>
      </x:c>
      <x:c r="N1766" t="str">
        <x:v>SKU-006</x:v>
      </x:c>
      <x:c r="O1766" t="n">
        <x:v>2</x:v>
      </x:c>
      <x:c r="P1766" s="26" t="n">
        <x:f>F1766/O1766</x:f>
        <x:v>109.02</x:v>
      </x:c>
    </x:row>
    <x:row r="1767">
      <x:c r="A1767" t="n">
        <x:v>1766</x:v>
      </x:c>
      <x:c r="B1767" t="n">
        <x:v>62</x:v>
      </x:c>
      <x:c r="C1767" t="str">
        <x:v>Female</x:v>
      </x:c>
      <x:c r="D1767" t="str">
        <x:v>Accessories</x:v>
      </x:c>
      <x:c r="E1767" t="str">
        <x:v>Handbag</x:v>
      </x:c>
      <x:c r="F1767" s="24" t="n">
        <x:v>90.96</x:v>
      </x:c>
      <x:c r="G1767" t="str">
        <x:v>Winter</x:v>
      </x:c>
      <x:c r="H1767" t="str">
        <x:v>Card</x:v>
      </x:c>
      <x:c r="I1767" t="n">
        <x:v>3.6</x:v>
      </x:c>
      <x:c r="J1767" t="n">
        <x:v>11</x:v>
      </x:c>
      <x:c r="K1767" t="n">
        <x:v>3</x:v>
      </x:c>
      <x:c r="L1767" t="str">
        <x:v>STORE-001</x:v>
      </x:c>
      <x:c r="M1767" s="22" t="n">
        <x:v>46227</x:v>
      </x:c>
      <x:c r="N1767" t="str">
        <x:v>SKU-008</x:v>
      </x:c>
      <x:c r="O1767" t="n">
        <x:v>1</x:v>
      </x:c>
      <x:c r="P1767" s="26" t="n">
        <x:f>F1767/O1767</x:f>
        <x:v>90.96</x:v>
      </x:c>
    </x:row>
    <x:row r="1768">
      <x:c r="A1768" t="n">
        <x:v>1767</x:v>
      </x:c>
      <x:c r="B1768" t="n">
        <x:v>44</x:v>
      </x:c>
      <x:c r="C1768" t="str">
        <x:v>Male</x:v>
      </x:c>
      <x:c r="D1768" t="str">
        <x:v>Electronics</x:v>
      </x:c>
      <x:c r="E1768" t="str">
        <x:v>Laptop</x:v>
      </x:c>
      <x:c r="F1768" s="24" t="n">
        <x:v>2617.68</x:v>
      </x:c>
      <x:c r="G1768" t="str">
        <x:v>Autumn</x:v>
      </x:c>
      <x:c r="H1768" t="str">
        <x:v>Card</x:v>
      </x:c>
      <x:c r="I1768" t="n">
        <x:v>3.7</x:v>
      </x:c>
      <x:c r="J1768" t="n">
        <x:v>12</x:v>
      </x:c>
      <x:c r="K1768" t="n">
        <x:v>6</x:v>
      </x:c>
      <x:c r="L1768" t="str">
        <x:v>STORE-001</x:v>
      </x:c>
      <x:c r="M1768" s="22" t="n">
        <x:v>46132</x:v>
      </x:c>
      <x:c r="N1768" t="str">
        <x:v>SKU-014</x:v>
      </x:c>
      <x:c r="O1768" t="n">
        <x:v>1</x:v>
      </x:c>
      <x:c r="P1768" s="26" t="n">
        <x:f>F1768/O1768</x:f>
        <x:v>2617.68</x:v>
      </x:c>
    </x:row>
    <x:row r="1769">
      <x:c r="A1769" t="n">
        <x:v>1768</x:v>
      </x:c>
      <x:c r="B1769" t="n">
        <x:v>29</x:v>
      </x:c>
      <x:c r="C1769" t="str">
        <x:v>Male</x:v>
      </x:c>
      <x:c r="D1769" t="str">
        <x:v>Sports</x:v>
      </x:c>
      <x:c r="E1769" t="str">
        <x:v>Football</x:v>
      </x:c>
      <x:c r="F1769" s="24" t="n">
        <x:v>165.92</x:v>
      </x:c>
      <x:c r="G1769" t="str">
        <x:v>Spring</x:v>
      </x:c>
      <x:c r="H1769" t="str">
        <x:v>Card</x:v>
      </x:c>
      <x:c r="I1769" t="n">
        <x:v>3.2</x:v>
      </x:c>
      <x:c r="J1769" t="n">
        <x:v>19</x:v>
      </x:c>
      <x:c r="K1769" t="n">
        <x:v>7</x:v>
      </x:c>
      <x:c r="L1769" t="str">
        <x:v>STORE-001</x:v>
      </x:c>
      <x:c r="M1769" s="22" t="n">
        <x:v>46273</x:v>
      </x:c>
      <x:c r="N1769" t="str">
        <x:v>SKU-006</x:v>
      </x:c>
      <x:c r="O1769" t="n">
        <x:v>1</x:v>
      </x:c>
      <x:c r="P1769" s="26" t="n">
        <x:f>F1769/O1769</x:f>
        <x:v>165.92</x:v>
      </x:c>
    </x:row>
    <x:row r="1770">
      <x:c r="A1770" t="n">
        <x:v>1769</x:v>
      </x:c>
      <x:c r="B1770" t="n">
        <x:v>67</x:v>
      </x:c>
      <x:c r="C1770" t="str">
        <x:v>Female</x:v>
      </x:c>
      <x:c r="D1770" t="str">
        <x:v>Beauty</x:v>
      </x:c>
      <x:c r="E1770" t="str">
        <x:v>Skincare Kit</x:v>
      </x:c>
      <x:c r="F1770" s="24" t="n">
        <x:v>120.75</x:v>
      </x:c>
      <x:c r="G1770" t="str">
        <x:v>Autumn</x:v>
      </x:c>
      <x:c r="H1770" t="str">
        <x:v>Card</x:v>
      </x:c>
      <x:c r="I1770" t="n">
        <x:v>3.4</x:v>
      </x:c>
      <x:c r="J1770" t="n">
        <x:v>13</x:v>
      </x:c>
      <x:c r="K1770" t="n">
        <x:v>4</x:v>
      </x:c>
      <x:c r="L1770" t="str">
        <x:v>STORE-001</x:v>
      </x:c>
      <x:c r="M1770" s="22" t="n">
        <x:v>46169</x:v>
      </x:c>
      <x:c r="N1770" t="str">
        <x:v>SKU-021</x:v>
      </x:c>
      <x:c r="O1770" t="n">
        <x:v>1</x:v>
      </x:c>
      <x:c r="P1770" s="26" t="n">
        <x:f>F1770/O1770</x:f>
        <x:v>120.75</x:v>
      </x:c>
    </x:row>
    <x:row r="1771">
      <x:c r="A1771" t="n">
        <x:v>1770</x:v>
      </x:c>
      <x:c r="B1771" t="n">
        <x:v>55</x:v>
      </x:c>
      <x:c r="C1771" t="str">
        <x:v>Female</x:v>
      </x:c>
      <x:c r="D1771" t="str">
        <x:v>Footwear</x:v>
      </x:c>
      <x:c r="E1771" t="str">
        <x:v>Formal Shoes</x:v>
      </x:c>
      <x:c r="F1771" s="24" t="n">
        <x:v>213.52</x:v>
      </x:c>
      <x:c r="G1771" t="str">
        <x:v>Winter</x:v>
      </x:c>
      <x:c r="H1771" t="str">
        <x:v>Card</x:v>
      </x:c>
      <x:c r="I1771" t="n">
        <x:v>3.1</x:v>
      </x:c>
      <x:c r="J1771" t="n">
        <x:v>14</x:v>
      </x:c>
      <x:c r="K1771" t="n">
        <x:v>7</x:v>
      </x:c>
      <x:c r="L1771" t="str">
        <x:v>STORE-001</x:v>
      </x:c>
      <x:c r="M1771" s="22" t="n">
        <x:v>46198</x:v>
      </x:c>
      <x:c r="N1771" t="str">
        <x:v>SKU-007</x:v>
      </x:c>
      <x:c r="O1771" t="n">
        <x:v>1</x:v>
      </x:c>
      <x:c r="P1771" s="26" t="n">
        <x:f>F1771/O1771</x:f>
        <x:v>213.52</x:v>
      </x:c>
    </x:row>
    <x:row r="1772">
      <x:c r="A1772" t="n">
        <x:v>1771</x:v>
      </x:c>
      <x:c r="B1772" t="n">
        <x:v>55</x:v>
      </x:c>
      <x:c r="C1772" t="str">
        <x:v>Male</x:v>
      </x:c>
      <x:c r="D1772" t="str">
        <x:v>Electronics</x:v>
      </x:c>
      <x:c r="E1772" t="str">
        <x:v>Mobile Phone</x:v>
      </x:c>
      <x:c r="F1772" s="24" t="n">
        <x:v>2217.08</x:v>
      </x:c>
      <x:c r="G1772" t="str">
        <x:v>Winter</x:v>
      </x:c>
      <x:c r="H1772" t="str">
        <x:v>Card</x:v>
      </x:c>
      <x:c r="I1772" t="n">
        <x:v>4.2</x:v>
      </x:c>
      <x:c r="J1772" t="n">
        <x:v>21</x:v>
      </x:c>
      <x:c r="K1772" t="n">
        <x:v>8</x:v>
      </x:c>
      <x:c r="L1772" t="str">
        <x:v>STORE-001</x:v>
      </x:c>
      <x:c r="M1772" s="22" t="n">
        <x:v>46216</x:v>
      </x:c>
      <x:c r="N1772" t="str">
        <x:v>SKU-016</x:v>
      </x:c>
      <x:c r="O1772" t="n">
        <x:v>1</x:v>
      </x:c>
      <x:c r="P1772" s="26" t="n">
        <x:f>F1772/O1772</x:f>
        <x:v>2217.08</x:v>
      </x:c>
    </x:row>
    <x:row r="1773">
      <x:c r="A1773" t="n">
        <x:v>1772</x:v>
      </x:c>
      <x:c r="B1773" t="n">
        <x:v>45</x:v>
      </x:c>
      <x:c r="C1773" t="str">
        <x:v>Female</x:v>
      </x:c>
      <x:c r="D1773" t="str">
        <x:v>Footwear</x:v>
      </x:c>
      <x:c r="E1773" t="str">
        <x:v>Sandals</x:v>
      </x:c>
      <x:c r="F1773" s="24" t="n">
        <x:v>101.95</x:v>
      </x:c>
      <x:c r="G1773" t="str">
        <x:v>Winter</x:v>
      </x:c>
      <x:c r="H1773" t="str">
        <x:v>Card</x:v>
      </x:c>
      <x:c r="I1773" t="n">
        <x:v>3.5</x:v>
      </x:c>
      <x:c r="J1773" t="n">
        <x:v>12</x:v>
      </x:c>
      <x:c r="K1773" t="n">
        <x:v>1</x:v>
      </x:c>
      <x:c r="L1773" t="str">
        <x:v>STORE-001</x:v>
      </x:c>
      <x:c r="M1773" s="22" t="n">
        <x:v>46192</x:v>
      </x:c>
      <x:c r="N1773" t="str">
        <x:v>SKU-019</x:v>
      </x:c>
      <x:c r="O1773" t="n">
        <x:v>1</x:v>
      </x:c>
      <x:c r="P1773" s="26" t="n">
        <x:f>F1773/O1773</x:f>
        <x:v>101.95</x:v>
      </x:c>
    </x:row>
    <x:row r="1774">
      <x:c r="A1774" t="n">
        <x:v>1773</x:v>
      </x:c>
      <x:c r="B1774" t="n">
        <x:v>58</x:v>
      </x:c>
      <x:c r="C1774" t="str">
        <x:v>Female</x:v>
      </x:c>
      <x:c r="D1774" t="str">
        <x:v>Footwear</x:v>
      </x:c>
      <x:c r="E1774" t="str">
        <x:v>Sandals</x:v>
      </x:c>
      <x:c r="F1774" s="24" t="n">
        <x:v>89.54</x:v>
      </x:c>
      <x:c r="G1774" t="str">
        <x:v>Winter</x:v>
      </x:c>
      <x:c r="H1774" t="str">
        <x:v>Cash on Delivery</x:v>
      </x:c>
      <x:c r="I1774" t="n">
        <x:v>4.3</x:v>
      </x:c>
      <x:c r="J1774" t="n">
        <x:v>15</x:v>
      </x:c>
      <x:c r="K1774" t="n">
        <x:v>5</x:v>
      </x:c>
      <x:c r="L1774" t="str">
        <x:v>STORE-001</x:v>
      </x:c>
      <x:c r="M1774" s="22" t="n">
        <x:v>46225</x:v>
      </x:c>
      <x:c r="N1774" t="str">
        <x:v>SKU-019</x:v>
      </x:c>
      <x:c r="O1774" t="n">
        <x:v>1</x:v>
      </x:c>
      <x:c r="P1774" s="26" t="n">
        <x:f>F1774/O1774</x:f>
        <x:v>89.54</x:v>
      </x:c>
    </x:row>
    <x:row r="1775">
      <x:c r="A1775" t="n">
        <x:v>1774</x:v>
      </x:c>
      <x:c r="B1775" t="n">
        <x:v>25</x:v>
      </x:c>
      <x:c r="C1775" t="str">
        <x:v>Female</x:v>
      </x:c>
      <x:c r="D1775" t="str">
        <x:v>Beauty</x:v>
      </x:c>
      <x:c r="E1775" t="str">
        <x:v>Makeup Set</x:v>
      </x:c>
      <x:c r="F1775" s="24" t="n">
        <x:v>53.08</x:v>
      </x:c>
      <x:c r="G1775" t="str">
        <x:v>Summer</x:v>
      </x:c>
      <x:c r="H1775" t="str">
        <x:v>Card</x:v>
      </x:c>
      <x:c r="I1775" t="n">
        <x:v>2.9</x:v>
      </x:c>
      <x:c r="J1775" t="n">
        <x:v>8</x:v>
      </x:c>
      <x:c r="K1775" t="n">
        <x:v>4</x:v>
      </x:c>
      <x:c r="L1775" t="str">
        <x:v>STORE-001</x:v>
      </x:c>
      <x:c r="M1775" s="22" t="n">
        <x:v>46058</x:v>
      </x:c>
      <x:c r="N1775" t="str">
        <x:v>SKU-015</x:v>
      </x:c>
      <x:c r="O1775" t="n">
        <x:v>2</x:v>
      </x:c>
      <x:c r="P1775" s="26" t="n">
        <x:f>F1775/O1775</x:f>
        <x:v>26.54</x:v>
      </x:c>
    </x:row>
    <x:row r="1776">
      <x:c r="A1776" t="n">
        <x:v>1775</x:v>
      </x:c>
      <x:c r="B1776" t="n">
        <x:v>31</x:v>
      </x:c>
      <x:c r="C1776" t="str">
        <x:v>Female</x:v>
      </x:c>
      <x:c r="D1776" t="str">
        <x:v>Groceries</x:v>
      </x:c>
      <x:c r="E1776" t="str">
        <x:v>Rice Pack</x:v>
      </x:c>
      <x:c r="F1776" s="24" t="n">
        <x:v>54.74</x:v>
      </x:c>
      <x:c r="G1776" t="str">
        <x:v>Autumn</x:v>
      </x:c>
      <x:c r="H1776" t="str">
        <x:v>Cash on Delivery</x:v>
      </x:c>
      <x:c r="I1776" t="n">
        <x:v>3.8</x:v>
      </x:c>
      <x:c r="J1776" t="n">
        <x:v>24</x:v>
      </x:c>
      <x:c r="K1776" t="n">
        <x:v>7</x:v>
      </x:c>
      <x:c r="L1776" t="str">
        <x:v>STORE-001</x:v>
      </x:c>
      <x:c r="M1776" s="22" t="n">
        <x:v>46109</x:v>
      </x:c>
      <x:c r="N1776" t="str">
        <x:v>SKU-018</x:v>
      </x:c>
      <x:c r="O1776" t="n">
        <x:v>2</x:v>
      </x:c>
      <x:c r="P1776" s="26" t="n">
        <x:f>F1776/O1776</x:f>
        <x:v>27.37</x:v>
      </x:c>
    </x:row>
    <x:row r="1777">
      <x:c r="A1777" t="n">
        <x:v>1776</x:v>
      </x:c>
      <x:c r="B1777" t="n">
        <x:v>43</x:v>
      </x:c>
      <x:c r="C1777" t="str">
        <x:v>Female</x:v>
      </x:c>
      <x:c r="D1777" t="str">
        <x:v>Footwear</x:v>
      </x:c>
      <x:c r="E1777" t="str">
        <x:v>Sneakers</x:v>
      </x:c>
      <x:c r="F1777" s="24" t="n">
        <x:v>117.15</x:v>
      </x:c>
      <x:c r="G1777" t="str">
        <x:v>Summer</x:v>
      </x:c>
      <x:c r="H1777" t="str">
        <x:v>Card</x:v>
      </x:c>
      <x:c r="I1777" t="n">
        <x:v>3.1</x:v>
      </x:c>
      <x:c r="J1777" t="n">
        <x:v>14</x:v>
      </x:c>
      <x:c r="K1777" t="n">
        <x:v>7</x:v>
      </x:c>
      <x:c r="L1777" t="str">
        <x:v>STORE-001</x:v>
      </x:c>
      <x:c r="M1777" s="22" t="n">
        <x:v>46069</x:v>
      </x:c>
      <x:c r="N1777" t="str">
        <x:v>SKU-025</x:v>
      </x:c>
      <x:c r="O1777" t="n">
        <x:v>1</x:v>
      </x:c>
      <x:c r="P1777" s="26" t="n">
        <x:f>F1777/O1777</x:f>
        <x:v>117.15</x:v>
      </x:c>
    </x:row>
    <x:row r="1778">
      <x:c r="A1778" t="n">
        <x:v>1777</x:v>
      </x:c>
      <x:c r="B1778" t="n">
        <x:v>63</x:v>
      </x:c>
      <x:c r="C1778" t="str">
        <x:v>Male</x:v>
      </x:c>
      <x:c r="D1778" t="str">
        <x:v>Footwear</x:v>
      </x:c>
      <x:c r="E1778" t="str">
        <x:v>Sneakers</x:v>
      </x:c>
      <x:c r="F1778" s="24" t="n">
        <x:v>92.46</x:v>
      </x:c>
      <x:c r="G1778" t="str">
        <x:v>Spring</x:v>
      </x:c>
      <x:c r="H1778" t="str">
        <x:v>Cash on Delivery</x:v>
      </x:c>
      <x:c r="I1778" t="n">
        <x:v>4.3</x:v>
      </x:c>
      <x:c r="J1778" t="n">
        <x:v>13</x:v>
      </x:c>
      <x:c r="K1778" t="n">
        <x:v>4</x:v>
      </x:c>
      <x:c r="L1778" t="str">
        <x:v>STORE-001</x:v>
      </x:c>
      <x:c r="M1778" s="22" t="n">
        <x:v>45984</x:v>
      </x:c>
      <x:c r="N1778" t="str">
        <x:v>SKU-025</x:v>
      </x:c>
      <x:c r="O1778" t="n">
        <x:v>2</x:v>
      </x:c>
      <x:c r="P1778" s="26" t="n">
        <x:f>F1778/O1778</x:f>
        <x:v>46.23</x:v>
      </x:c>
    </x:row>
    <x:row r="1779">
      <x:c r="A1779" t="n">
        <x:v>1778</x:v>
      </x:c>
      <x:c r="B1779" t="n">
        <x:v>40</x:v>
      </x:c>
      <x:c r="C1779" t="str">
        <x:v>Female</x:v>
      </x:c>
      <x:c r="D1779" t="str">
        <x:v>Groceries</x:v>
      </x:c>
      <x:c r="E1779" t="str">
        <x:v>Cooking Oil</x:v>
      </x:c>
      <x:c r="F1779" s="24" t="n">
        <x:v>25.19</x:v>
      </x:c>
      <x:c r="G1779" t="str">
        <x:v>Summer</x:v>
      </x:c>
      <x:c r="H1779" t="str">
        <x:v>Card</x:v>
      </x:c>
      <x:c r="I1779" t="n">
        <x:v>3.4</x:v>
      </x:c>
      <x:c r="J1779" t="n">
        <x:v>17</x:v>
      </x:c>
      <x:c r="K1779" t="n">
        <x:v>6</x:v>
      </x:c>
      <x:c r="L1779" t="str">
        <x:v>STORE-001</x:v>
      </x:c>
      <x:c r="M1779" s="22" t="n">
        <x:v>46057</x:v>
      </x:c>
      <x:c r="N1779" t="str">
        <x:v>SKU-002</x:v>
      </x:c>
      <x:c r="O1779" t="n">
        <x:v>3</x:v>
      </x:c>
      <x:c r="P1779" s="26" t="n">
        <x:f>F1779/O1779</x:f>
        <x:v>8.396666666666667</x:v>
      </x:c>
    </x:row>
    <x:row r="1780">
      <x:c r="A1780" t="n">
        <x:v>1779</x:v>
      </x:c>
      <x:c r="B1780" t="n">
        <x:v>25</x:v>
      </x:c>
      <x:c r="C1780" t="str">
        <x:v>Male</x:v>
      </x:c>
      <x:c r="D1780" t="str">
        <x:v>Sports</x:v>
      </x:c>
      <x:c r="E1780" t="str">
        <x:v>Dumbbells</x:v>
      </x:c>
      <x:c r="F1780" s="24" t="n">
        <x:v>204.19</x:v>
      </x:c>
      <x:c r="G1780" t="str">
        <x:v>Summer</x:v>
      </x:c>
      <x:c r="H1780" t="str">
        <x:v>Card</x:v>
      </x:c>
      <x:c r="I1780" t="n">
        <x:v>3.9</x:v>
      </x:c>
      <x:c r="J1780" t="n">
        <x:v>4</x:v>
      </x:c>
      <x:c r="K1780" t="n">
        <x:v>2</x:v>
      </x:c>
      <x:c r="L1780" t="str">
        <x:v>STORE-001</x:v>
      </x:c>
      <x:c r="M1780" s="22" t="n">
        <x:v>46060</x:v>
      </x:c>
      <x:c r="N1780" t="str">
        <x:v>SKU-005</x:v>
      </x:c>
      <x:c r="O1780" t="n">
        <x:v>1</x:v>
      </x:c>
      <x:c r="P1780" s="26" t="n">
        <x:f>F1780/O1780</x:f>
        <x:v>204.19</x:v>
      </x:c>
    </x:row>
    <x:row r="1781">
      <x:c r="A1781" t="n">
        <x:v>1780</x:v>
      </x:c>
      <x:c r="B1781" t="n">
        <x:v>24</x:v>
      </x:c>
      <x:c r="C1781" t="str">
        <x:v>Female</x:v>
      </x:c>
      <x:c r="D1781" t="str">
        <x:v>Groceries</x:v>
      </x:c>
      <x:c r="E1781" t="str">
        <x:v>Rice Pack</x:v>
      </x:c>
      <x:c r="F1781" s="24" t="n">
        <x:v>68.44</x:v>
      </x:c>
      <x:c r="G1781" t="str">
        <x:v>Autumn</x:v>
      </x:c>
      <x:c r="H1781" t="str">
        <x:v>Card</x:v>
      </x:c>
      <x:c r="I1781" t="n">
        <x:v>3.7</x:v>
      </x:c>
      <x:c r="J1781" t="n">
        <x:v>15</x:v>
      </x:c>
      <x:c r="K1781" t="n">
        <x:v>5</x:v>
      </x:c>
      <x:c r="L1781" t="str">
        <x:v>STORE-001</x:v>
      </x:c>
      <x:c r="M1781" s="22" t="n">
        <x:v>46115</x:v>
      </x:c>
      <x:c r="N1781" t="str">
        <x:v>SKU-018</x:v>
      </x:c>
      <x:c r="O1781" t="n">
        <x:v>3</x:v>
      </x:c>
      <x:c r="P1781" s="26" t="n">
        <x:f>F1781/O1781</x:f>
        <x:v>22.813333333333333</x:v>
      </x:c>
    </x:row>
    <x:row r="1782">
      <x:c r="A1782" t="n">
        <x:v>1781</x:v>
      </x:c>
      <x:c r="B1782" t="n">
        <x:v>57</x:v>
      </x:c>
      <x:c r="C1782" t="str">
        <x:v>Female</x:v>
      </x:c>
      <x:c r="D1782" t="str">
        <x:v>Footwear</x:v>
      </x:c>
      <x:c r="E1782" t="str">
        <x:v>Formal Shoes</x:v>
      </x:c>
      <x:c r="F1782" s="24" t="n">
        <x:v>65.54</x:v>
      </x:c>
      <x:c r="G1782" t="str">
        <x:v>Summer</x:v>
      </x:c>
      <x:c r="H1782" t="str">
        <x:v>Cash on Delivery</x:v>
      </x:c>
      <x:c r="I1782" t="n">
        <x:v>4.2</x:v>
      </x:c>
      <x:c r="J1782" t="n">
        <x:v>16</x:v>
      </x:c>
      <x:c r="K1782" t="n">
        <x:v>8</x:v>
      </x:c>
      <x:c r="L1782" t="str">
        <x:v>STORE-001</x:v>
      </x:c>
      <x:c r="M1782" s="22" t="n">
        <x:v>45997</x:v>
      </x:c>
      <x:c r="N1782" t="str">
        <x:v>SKU-007</x:v>
      </x:c>
      <x:c r="O1782" t="n">
        <x:v>3</x:v>
      </x:c>
      <x:c r="P1782" s="26" t="n">
        <x:f>F1782/O1782</x:f>
        <x:v>21.846666666666668</x:v>
      </x:c>
    </x:row>
    <x:row r="1783">
      <x:c r="A1783" t="n">
        <x:v>1782</x:v>
      </x:c>
      <x:c r="B1783" t="n">
        <x:v>57</x:v>
      </x:c>
      <x:c r="C1783" t="str">
        <x:v>Male</x:v>
      </x:c>
      <x:c r="D1783" t="str">
        <x:v>Footwear</x:v>
      </x:c>
      <x:c r="E1783" t="str">
        <x:v>Formal Shoes</x:v>
      </x:c>
      <x:c r="F1783" s="24" t="n">
        <x:v>90.98</x:v>
      </x:c>
      <x:c r="G1783" t="str">
        <x:v>Autumn</x:v>
      </x:c>
      <x:c r="H1783" t="str">
        <x:v>Card</x:v>
      </x:c>
      <x:c r="I1783" t="n">
        <x:v>3</x:v>
      </x:c>
      <x:c r="J1783" t="n">
        <x:v>16</x:v>
      </x:c>
      <x:c r="K1783" t="n">
        <x:v>8</x:v>
      </x:c>
      <x:c r="L1783" t="str">
        <x:v>STORE-001</x:v>
      </x:c>
      <x:c r="M1783" s="22" t="n">
        <x:v>46155</x:v>
      </x:c>
      <x:c r="N1783" t="str">
        <x:v>SKU-007</x:v>
      </x:c>
      <x:c r="O1783" t="n">
        <x:v>2</x:v>
      </x:c>
      <x:c r="P1783" s="26" t="n">
        <x:f>F1783/O1783</x:f>
        <x:v>45.49</x:v>
      </x:c>
    </x:row>
    <x:row r="1784">
      <x:c r="A1784" t="n">
        <x:v>1783</x:v>
      </x:c>
      <x:c r="B1784" t="n">
        <x:v>23</x:v>
      </x:c>
      <x:c r="C1784" t="str">
        <x:v>Male</x:v>
      </x:c>
      <x:c r="D1784" t="str">
        <x:v>Electronics</x:v>
      </x:c>
      <x:c r="E1784" t="str">
        <x:v>Headphones</x:v>
      </x:c>
      <x:c r="F1784" s="24" t="n">
        <x:v>2369.01</x:v>
      </x:c>
      <x:c r="G1784" t="str">
        <x:v>Summer</x:v>
      </x:c>
      <x:c r="H1784" t="str">
        <x:v>Card</x:v>
      </x:c>
      <x:c r="I1784" t="n">
        <x:v>4.1</x:v>
      </x:c>
      <x:c r="J1784" t="n">
        <x:v>0</x:v>
      </x:c>
      <x:c r="K1784" t="n">
        <x:v>0</x:v>
      </x:c>
      <x:c r="L1784" t="str">
        <x:v>STORE-001</x:v>
      </x:c>
      <x:c r="M1784" s="22" t="n">
        <x:v>46049</x:v>
      </x:c>
      <x:c r="N1784" t="str">
        <x:v>SKU-009</x:v>
      </x:c>
      <x:c r="O1784" t="n">
        <x:v>1</x:v>
      </x:c>
      <x:c r="P1784" s="26" t="n">
        <x:f>F1784/O1784</x:f>
        <x:v>2369.01</x:v>
      </x:c>
    </x:row>
    <x:row r="1785">
      <x:c r="A1785" t="n">
        <x:v>1784</x:v>
      </x:c>
      <x:c r="B1785" t="n">
        <x:v>63</x:v>
      </x:c>
      <x:c r="C1785" t="str">
        <x:v>Female</x:v>
      </x:c>
      <x:c r="D1785" t="str">
        <x:v>Beauty</x:v>
      </x:c>
      <x:c r="E1785" t="str">
        <x:v>Skincare Kit</x:v>
      </x:c>
      <x:c r="F1785" s="24" t="n">
        <x:v>131.24</x:v>
      </x:c>
      <x:c r="G1785" t="str">
        <x:v>Autumn</x:v>
      </x:c>
      <x:c r="H1785" t="str">
        <x:v>Card</x:v>
      </x:c>
      <x:c r="I1785" t="n">
        <x:v>4.1</x:v>
      </x:c>
      <x:c r="J1785" t="n">
        <x:v>11</x:v>
      </x:c>
      <x:c r="K1785" t="n">
        <x:v>3</x:v>
      </x:c>
      <x:c r="L1785" t="str">
        <x:v>STORE-001</x:v>
      </x:c>
      <x:c r="M1785" s="22" t="n">
        <x:v>46091</x:v>
      </x:c>
      <x:c r="N1785" t="str">
        <x:v>SKU-021</x:v>
      </x:c>
      <x:c r="O1785" t="n">
        <x:v>2</x:v>
      </x:c>
      <x:c r="P1785" s="26" t="n">
        <x:f>F1785/O1785</x:f>
        <x:v>65.62</x:v>
      </x:c>
    </x:row>
    <x:row r="1786">
      <x:c r="A1786" t="n">
        <x:v>1785</x:v>
      </x:c>
      <x:c r="B1786" t="n">
        <x:v>34</x:v>
      </x:c>
      <x:c r="C1786" t="str">
        <x:v>Male</x:v>
      </x:c>
      <x:c r="D1786" t="str">
        <x:v>Sports</x:v>
      </x:c>
      <x:c r="E1786" t="str">
        <x:v>Dumbbells</x:v>
      </x:c>
      <x:c r="F1786" s="24" t="n">
        <x:v>152.61</x:v>
      </x:c>
      <x:c r="G1786" t="str">
        <x:v>Summer</x:v>
      </x:c>
      <x:c r="H1786" t="str">
        <x:v>Card</x:v>
      </x:c>
      <x:c r="I1786" t="n">
        <x:v>3.7</x:v>
      </x:c>
      <x:c r="J1786" t="n">
        <x:v>8</x:v>
      </x:c>
      <x:c r="K1786" t="n">
        <x:v>4</x:v>
      </x:c>
      <x:c r="L1786" t="str">
        <x:v>STORE-001</x:v>
      </x:c>
      <x:c r="M1786" s="22" t="n">
        <x:v>45993</x:v>
      </x:c>
      <x:c r="N1786" t="str">
        <x:v>SKU-005</x:v>
      </x:c>
      <x:c r="O1786" t="n">
        <x:v>2</x:v>
      </x:c>
      <x:c r="P1786" s="26" t="n">
        <x:f>F1786/O1786</x:f>
        <x:v>76.305</x:v>
      </x:c>
    </x:row>
    <x:row r="1787">
      <x:c r="A1787" t="n">
        <x:v>1786</x:v>
      </x:c>
      <x:c r="B1787" t="n">
        <x:v>64</x:v>
      </x:c>
      <x:c r="C1787" t="str">
        <x:v>Female</x:v>
      </x:c>
      <x:c r="D1787" t="str">
        <x:v>Sports</x:v>
      </x:c>
      <x:c r="E1787" t="str">
        <x:v>Dumbbells</x:v>
      </x:c>
      <x:c r="F1787" s="24" t="n">
        <x:v>224.38</x:v>
      </x:c>
      <x:c r="G1787" t="str">
        <x:v>Spring</x:v>
      </x:c>
      <x:c r="H1787" t="str">
        <x:v>Card</x:v>
      </x:c>
      <x:c r="I1787" t="n">
        <x:v>3.4</x:v>
      </x:c>
      <x:c r="J1787" t="n">
        <x:v>11</x:v>
      </x:c>
      <x:c r="K1787" t="n">
        <x:v>3</x:v>
      </x:c>
      <x:c r="L1787" t="str">
        <x:v>STORE-001</x:v>
      </x:c>
      <x:c r="M1787" s="22" t="n">
        <x:v>45936</x:v>
      </x:c>
      <x:c r="N1787" t="str">
        <x:v>SKU-005</x:v>
      </x:c>
      <x:c r="O1787" t="n">
        <x:v>1</x:v>
      </x:c>
      <x:c r="P1787" s="26" t="n">
        <x:f>F1787/O1787</x:f>
        <x:v>224.38</x:v>
      </x:c>
    </x:row>
    <x:row r="1788">
      <x:c r="A1788" t="n">
        <x:v>1787</x:v>
      </x:c>
      <x:c r="B1788" t="n">
        <x:v>52</x:v>
      </x:c>
      <x:c r="C1788" t="str">
        <x:v>Male</x:v>
      </x:c>
      <x:c r="D1788" t="str">
        <x:v>Mens Clothing</x:v>
      </x:c>
      <x:c r="E1788" t="str">
        <x:v>T-Shirt</x:v>
      </x:c>
      <x:c r="F1788" s="24" t="n">
        <x:v>31.54</x:v>
      </x:c>
      <x:c r="G1788" t="str">
        <x:v>Spring</x:v>
      </x:c>
      <x:c r="H1788" t="str">
        <x:v>Cash on Delivery</x:v>
      </x:c>
      <x:c r="I1788" t="n">
        <x:v>3.7</x:v>
      </x:c>
      <x:c r="J1788" t="n">
        <x:v>18</x:v>
      </x:c>
      <x:c r="K1788" t="n">
        <x:v>4</x:v>
      </x:c>
      <x:c r="L1788" t="str">
        <x:v>STORE-001</x:v>
      </x:c>
      <x:c r="M1788" s="22" t="n">
        <x:v>45967</x:v>
      </x:c>
      <x:c r="N1788" t="str">
        <x:v>SKU-027</x:v>
      </x:c>
      <x:c r="O1788" t="n">
        <x:v>1</x:v>
      </x:c>
      <x:c r="P1788" s="26" t="n">
        <x:f>F1788/O1788</x:f>
        <x:v>31.54</x:v>
      </x:c>
    </x:row>
    <x:row r="1789">
      <x:c r="A1789" t="n">
        <x:v>1788</x:v>
      </x:c>
      <x:c r="B1789" t="n">
        <x:v>31</x:v>
      </x:c>
      <x:c r="C1789" t="str">
        <x:v>Female</x:v>
      </x:c>
      <x:c r="D1789" t="str">
        <x:v>Beauty</x:v>
      </x:c>
      <x:c r="E1789" t="str">
        <x:v>Makeup Set</x:v>
      </x:c>
      <x:c r="F1789" s="24" t="n">
        <x:v>122.72</x:v>
      </x:c>
      <x:c r="G1789" t="str">
        <x:v>Summer</x:v>
      </x:c>
      <x:c r="H1789" t="str">
        <x:v>Card</x:v>
      </x:c>
      <x:c r="I1789" t="n">
        <x:v>3.2</x:v>
      </x:c>
      <x:c r="J1789" t="n">
        <x:v>9</x:v>
      </x:c>
      <x:c r="K1789" t="n">
        <x:v>2</x:v>
      </x:c>
      <x:c r="L1789" t="str">
        <x:v>STORE-001</x:v>
      </x:c>
      <x:c r="M1789" s="22" t="n">
        <x:v>46032</x:v>
      </x:c>
      <x:c r="N1789" t="str">
        <x:v>SKU-015</x:v>
      </x:c>
      <x:c r="O1789" t="n">
        <x:v>1</x:v>
      </x:c>
      <x:c r="P1789" s="26" t="n">
        <x:f>F1789/O1789</x:f>
        <x:v>122.72</x:v>
      </x:c>
    </x:row>
    <x:row r="1790">
      <x:c r="A1790" t="n">
        <x:v>1789</x:v>
      </x:c>
      <x:c r="B1790" t="n">
        <x:v>56</x:v>
      </x:c>
      <x:c r="C1790" t="str">
        <x:v>Female</x:v>
      </x:c>
      <x:c r="D1790" t="str">
        <x:v>Accessories</x:v>
      </x:c>
      <x:c r="E1790" t="str">
        <x:v>Sunglasses</x:v>
      </x:c>
      <x:c r="F1790" s="24" t="n">
        <x:v>60.7</x:v>
      </x:c>
      <x:c r="G1790" t="str">
        <x:v>Summer</x:v>
      </x:c>
      <x:c r="H1790" t="str">
        <x:v>Card</x:v>
      </x:c>
      <x:c r="I1790" t="n">
        <x:v>4.1</x:v>
      </x:c>
      <x:c r="J1790" t="n">
        <x:v>14</x:v>
      </x:c>
      <x:c r="K1790" t="n">
        <x:v>7</x:v>
      </x:c>
      <x:c r="L1790" t="str">
        <x:v>STORE-001</x:v>
      </x:c>
      <x:c r="M1790" s="22" t="n">
        <x:v>46027</x:v>
      </x:c>
      <x:c r="N1790" t="str">
        <x:v>SKU-026</x:v>
      </x:c>
      <x:c r="O1790" t="n">
        <x:v>1</x:v>
      </x:c>
      <x:c r="P1790" s="26" t="n">
        <x:f>F1790/O1790</x:f>
        <x:v>60.7</x:v>
      </x:c>
    </x:row>
    <x:row r="1791">
      <x:c r="A1791" t="n">
        <x:v>1790</x:v>
      </x:c>
      <x:c r="B1791" t="n">
        <x:v>64</x:v>
      </x:c>
      <x:c r="C1791" t="str">
        <x:v>Male</x:v>
      </x:c>
      <x:c r="D1791" t="str">
        <x:v>Groceries</x:v>
      </x:c>
      <x:c r="E1791" t="str">
        <x:v>Cooking Oil</x:v>
      </x:c>
      <x:c r="F1791" s="24" t="n">
        <x:v>40.94</x:v>
      </x:c>
      <x:c r="G1791" t="str">
        <x:v>Autumn</x:v>
      </x:c>
      <x:c r="H1791" t="str">
        <x:v>Card</x:v>
      </x:c>
      <x:c r="I1791" t="n">
        <x:v>3.5</x:v>
      </x:c>
      <x:c r="J1791" t="n">
        <x:v>13</x:v>
      </x:c>
      <x:c r="K1791" t="n">
        <x:v>4</x:v>
      </x:c>
      <x:c r="L1791" t="str">
        <x:v>STORE-001</x:v>
      </x:c>
      <x:c r="M1791" s="22" t="n">
        <x:v>46116</x:v>
      </x:c>
      <x:c r="N1791" t="str">
        <x:v>SKU-002</x:v>
      </x:c>
      <x:c r="O1791" t="n">
        <x:v>1</x:v>
      </x:c>
      <x:c r="P1791" s="26" t="n">
        <x:f>F1791/O1791</x:f>
        <x:v>40.94</x:v>
      </x:c>
    </x:row>
    <x:row r="1792">
      <x:c r="A1792" t="n">
        <x:v>1791</x:v>
      </x:c>
      <x:c r="B1792" t="n">
        <x:v>67</x:v>
      </x:c>
      <x:c r="C1792" t="str">
        <x:v>Male</x:v>
      </x:c>
      <x:c r="D1792" t="str">
        <x:v>Sports</x:v>
      </x:c>
      <x:c r="E1792" t="str">
        <x:v>Football</x:v>
      </x:c>
      <x:c r="F1792" s="24" t="n">
        <x:v>226.26</x:v>
      </x:c>
      <x:c r="G1792" t="str">
        <x:v>Autumn</x:v>
      </x:c>
      <x:c r="H1792" t="str">
        <x:v>Card</x:v>
      </x:c>
      <x:c r="I1792" t="n">
        <x:v>3</x:v>
      </x:c>
      <x:c r="J1792" t="n">
        <x:v>16</x:v>
      </x:c>
      <x:c r="K1792" t="n">
        <x:v>3</x:v>
      </x:c>
      <x:c r="L1792" t="str">
        <x:v>STORE-001</x:v>
      </x:c>
      <x:c r="M1792" s="22" t="n">
        <x:v>46086</x:v>
      </x:c>
      <x:c r="N1792" t="str">
        <x:v>SKU-006</x:v>
      </x:c>
      <x:c r="O1792" t="n">
        <x:v>4</x:v>
      </x:c>
      <x:c r="P1792" s="26" t="n">
        <x:f>F1792/O1792</x:f>
        <x:v>56.565</x:v>
      </x:c>
    </x:row>
    <x:row r="1793">
      <x:c r="A1793" t="n">
        <x:v>1792</x:v>
      </x:c>
      <x:c r="B1793" t="n">
        <x:v>48</x:v>
      </x:c>
      <x:c r="C1793" t="str">
        <x:v>Male</x:v>
      </x:c>
      <x:c r="D1793" t="str">
        <x:v>Footwear</x:v>
      </x:c>
      <x:c r="E1793" t="str">
        <x:v>Formal Shoes</x:v>
      </x:c>
      <x:c r="F1793" s="24" t="n">
        <x:v>94.74</x:v>
      </x:c>
      <x:c r="G1793" t="str">
        <x:v>Winter</x:v>
      </x:c>
      <x:c r="H1793" t="str">
        <x:v>Cash on Delivery</x:v>
      </x:c>
      <x:c r="I1793" t="n">
        <x:v>3.4</x:v>
      </x:c>
      <x:c r="J1793" t="n">
        <x:v>26</x:v>
      </x:c>
      <x:c r="K1793" t="n">
        <x:v>8</x:v>
      </x:c>
      <x:c r="L1793" t="str">
        <x:v>STORE-001</x:v>
      </x:c>
      <x:c r="M1793" s="22" t="n">
        <x:v>46178</x:v>
      </x:c>
      <x:c r="N1793" t="str">
        <x:v>SKU-007</x:v>
      </x:c>
      <x:c r="O1793" t="n">
        <x:v>1</x:v>
      </x:c>
      <x:c r="P1793" s="26" t="n">
        <x:f>F1793/O1793</x:f>
        <x:v>94.74</x:v>
      </x:c>
    </x:row>
    <x:row r="1794">
      <x:c r="A1794" t="n">
        <x:v>1793</x:v>
      </x:c>
      <x:c r="B1794" t="n">
        <x:v>41</x:v>
      </x:c>
      <x:c r="C1794" t="str">
        <x:v>Female</x:v>
      </x:c>
      <x:c r="D1794" t="str">
        <x:v>Beauty</x:v>
      </x:c>
      <x:c r="E1794" t="str">
        <x:v>Makeup Set</x:v>
      </x:c>
      <x:c r="F1794" s="24" t="n">
        <x:v>130.69</x:v>
      </x:c>
      <x:c r="G1794" t="str">
        <x:v>Autumn</x:v>
      </x:c>
      <x:c r="H1794" t="str">
        <x:v>Card</x:v>
      </x:c>
      <x:c r="I1794" t="n">
        <x:v>4.3</x:v>
      </x:c>
      <x:c r="J1794" t="n">
        <x:v>10</x:v>
      </x:c>
      <x:c r="K1794" t="n">
        <x:v>5</x:v>
      </x:c>
      <x:c r="L1794" t="str">
        <x:v>STORE-001</x:v>
      </x:c>
      <x:c r="M1794" s="22" t="n">
        <x:v>46112</x:v>
      </x:c>
      <x:c r="N1794" t="str">
        <x:v>SKU-015</x:v>
      </x:c>
      <x:c r="O1794" t="n">
        <x:v>1</x:v>
      </x:c>
      <x:c r="P1794" s="26" t="n">
        <x:f>F1794/O1794</x:f>
        <x:v>130.69</x:v>
      </x:c>
    </x:row>
    <x:row r="1795">
      <x:c r="A1795" t="n">
        <x:v>1794</x:v>
      </x:c>
      <x:c r="B1795" t="n">
        <x:v>62</x:v>
      </x:c>
      <x:c r="C1795" t="str">
        <x:v>Male</x:v>
      </x:c>
      <x:c r="D1795" t="str">
        <x:v>Sports</x:v>
      </x:c>
      <x:c r="E1795" t="str">
        <x:v>Yoga Mat</x:v>
      </x:c>
      <x:c r="F1795" s="24" t="n">
        <x:v>176.42</x:v>
      </x:c>
      <x:c r="G1795" t="str">
        <x:v>Winter</x:v>
      </x:c>
      <x:c r="H1795" t="str">
        <x:v>Card</x:v>
      </x:c>
      <x:c r="I1795" t="n">
        <x:v>4.1</x:v>
      </x:c>
      <x:c r="J1795" t="n">
        <x:v>4</x:v>
      </x:c>
      <x:c r="K1795" t="n">
        <x:v>2</x:v>
      </x:c>
      <x:c r="L1795" t="str">
        <x:v>STORE-001</x:v>
      </x:c>
      <x:c r="M1795" s="22" t="n">
        <x:v>46263</x:v>
      </x:c>
      <x:c r="N1795" t="str">
        <x:v>SKU-030</x:v>
      </x:c>
      <x:c r="O1795" t="n">
        <x:v>2</x:v>
      </x:c>
      <x:c r="P1795" s="26" t="n">
        <x:f>F1795/O1795</x:f>
        <x:v>88.21</x:v>
      </x:c>
    </x:row>
    <x:row r="1796">
      <x:c r="A1796" t="n">
        <x:v>1795</x:v>
      </x:c>
      <x:c r="B1796" t="n">
        <x:v>24</x:v>
      </x:c>
      <x:c r="C1796" t="str">
        <x:v>Male</x:v>
      </x:c>
      <x:c r="D1796" t="str">
        <x:v>Footwear</x:v>
      </x:c>
      <x:c r="E1796" t="str">
        <x:v>Formal Shoes</x:v>
      </x:c>
      <x:c r="F1796" s="24" t="n">
        <x:v>103.89</x:v>
      </x:c>
      <x:c r="G1796" t="str">
        <x:v>Winter</x:v>
      </x:c>
      <x:c r="H1796" t="str">
        <x:v>Card</x:v>
      </x:c>
      <x:c r="I1796" t="n">
        <x:v>4.8</x:v>
      </x:c>
      <x:c r="J1796" t="n">
        <x:v>15</x:v>
      </x:c>
      <x:c r="K1796" t="n">
        <x:v>5</x:v>
      </x:c>
      <x:c r="L1796" t="str">
        <x:v>STORE-001</x:v>
      </x:c>
      <x:c r="M1796" s="22" t="n">
        <x:v>46224</x:v>
      </x:c>
      <x:c r="N1796" t="str">
        <x:v>SKU-007</x:v>
      </x:c>
      <x:c r="O1796" t="n">
        <x:v>1</x:v>
      </x:c>
      <x:c r="P1796" s="26" t="n">
        <x:f>F1796/O1796</x:f>
        <x:v>103.89</x:v>
      </x:c>
    </x:row>
    <x:row r="1797">
      <x:c r="A1797" t="n">
        <x:v>1796</x:v>
      </x:c>
      <x:c r="B1797" t="n">
        <x:v>22</x:v>
      </x:c>
      <x:c r="C1797" t="str">
        <x:v>Male</x:v>
      </x:c>
      <x:c r="D1797" t="str">
        <x:v>Mens Clothing</x:v>
      </x:c>
      <x:c r="E1797" t="str">
        <x:v>Shirt</x:v>
      </x:c>
      <x:c r="F1797" s="24" t="n">
        <x:v>48.19</x:v>
      </x:c>
      <x:c r="G1797" t="str">
        <x:v>Spring</x:v>
      </x:c>
      <x:c r="H1797" t="str">
        <x:v>Card</x:v>
      </x:c>
      <x:c r="I1797" t="n">
        <x:v>3.8</x:v>
      </x:c>
      <x:c r="J1797" t="n">
        <x:v>17</x:v>
      </x:c>
      <x:c r="K1797" t="n">
        <x:v>6</x:v>
      </x:c>
      <x:c r="L1797" t="str">
        <x:v>STORE-001</x:v>
      </x:c>
      <x:c r="M1797" s="22" t="n">
        <x:v>46292</x:v>
      </x:c>
      <x:c r="N1797" t="str">
        <x:v>SKU-020</x:v>
      </x:c>
      <x:c r="O1797" t="n">
        <x:v>1</x:v>
      </x:c>
      <x:c r="P1797" s="26" t="n">
        <x:f>F1797/O1797</x:f>
        <x:v>48.19</x:v>
      </x:c>
    </x:row>
    <x:row r="1798">
      <x:c r="A1798" t="n">
        <x:v>1797</x:v>
      </x:c>
      <x:c r="B1798" t="n">
        <x:v>68</x:v>
      </x:c>
      <x:c r="C1798" t="str">
        <x:v>Male</x:v>
      </x:c>
      <x:c r="D1798" t="str">
        <x:v>Sports</x:v>
      </x:c>
      <x:c r="E1798" t="str">
        <x:v>Yoga Mat</x:v>
      </x:c>
      <x:c r="F1798" s="24" t="n">
        <x:v>57.02</x:v>
      </x:c>
      <x:c r="G1798" t="str">
        <x:v>Spring</x:v>
      </x:c>
      <x:c r="H1798" t="str">
        <x:v>Card</x:v>
      </x:c>
      <x:c r="I1798" t="n">
        <x:v>3.7</x:v>
      </x:c>
      <x:c r="J1798" t="n">
        <x:v>0</x:v>
      </x:c>
      <x:c r="K1798" t="n">
        <x:v>0</x:v>
      </x:c>
      <x:c r="L1798" t="str">
        <x:v>STORE-001</x:v>
      </x:c>
      <x:c r="M1798" s="22" t="n">
        <x:v>46288</x:v>
      </x:c>
      <x:c r="N1798" t="str">
        <x:v>SKU-030</x:v>
      </x:c>
      <x:c r="O1798" t="n">
        <x:v>1</x:v>
      </x:c>
      <x:c r="P1798" s="26" t="n">
        <x:f>F1798/O1798</x:f>
        <x:v>57.02</x:v>
      </x:c>
    </x:row>
    <x:row r="1799">
      <x:c r="A1799" t="n">
        <x:v>1798</x:v>
      </x:c>
      <x:c r="B1799" t="n">
        <x:v>70</x:v>
      </x:c>
      <x:c r="C1799" t="str">
        <x:v>Male</x:v>
      </x:c>
      <x:c r="D1799" t="str">
        <x:v>Sports</x:v>
      </x:c>
      <x:c r="E1799" t="str">
        <x:v>Football</x:v>
      </x:c>
      <x:c r="F1799" s="24" t="n">
        <x:v>54.5</x:v>
      </x:c>
      <x:c r="G1799" t="str">
        <x:v>Winter</x:v>
      </x:c>
      <x:c r="H1799" t="str">
        <x:v>Card</x:v>
      </x:c>
      <x:c r="I1799" t="n">
        <x:v>3.5</x:v>
      </x:c>
      <x:c r="J1799" t="n">
        <x:v>6</x:v>
      </x:c>
      <x:c r="K1799" t="n">
        <x:v>3</x:v>
      </x:c>
      <x:c r="L1799" t="str">
        <x:v>STORE-001</x:v>
      </x:c>
      <x:c r="M1799" s="22" t="n">
        <x:v>46209</x:v>
      </x:c>
      <x:c r="N1799" t="str">
        <x:v>SKU-006</x:v>
      </x:c>
      <x:c r="O1799" t="n">
        <x:v>1</x:v>
      </x:c>
      <x:c r="P1799" s="26" t="n">
        <x:f>F1799/O1799</x:f>
        <x:v>54.5</x:v>
      </x:c>
    </x:row>
    <x:row r="1800">
      <x:c r="A1800" t="n">
        <x:v>1799</x:v>
      </x:c>
      <x:c r="B1800" t="n">
        <x:v>22</x:v>
      </x:c>
      <x:c r="C1800" t="str">
        <x:v>Male</x:v>
      </x:c>
      <x:c r="D1800" t="str">
        <x:v>Mens Clothing</x:v>
      </x:c>
      <x:c r="E1800" t="str">
        <x:v>T-Shirt</x:v>
      </x:c>
      <x:c r="F1800" s="24" t="n">
        <x:v>67.46</x:v>
      </x:c>
      <x:c r="G1800" t="str">
        <x:v>Spring</x:v>
      </x:c>
      <x:c r="H1800" t="str">
        <x:v>Cash on Delivery</x:v>
      </x:c>
      <x:c r="I1800" t="n">
        <x:v>3.7</x:v>
      </x:c>
      <x:c r="J1800" t="n">
        <x:v>6</x:v>
      </x:c>
      <x:c r="K1800" t="n">
        <x:v>3</x:v>
      </x:c>
      <x:c r="L1800" t="str">
        <x:v>STORE-001</x:v>
      </x:c>
      <x:c r="M1800" s="22" t="n">
        <x:v>46292</x:v>
      </x:c>
      <x:c r="N1800" t="str">
        <x:v>SKU-027</x:v>
      </x:c>
      <x:c r="O1800" t="n">
        <x:v>2</x:v>
      </x:c>
      <x:c r="P1800" s="26" t="n">
        <x:f>F1800/O1800</x:f>
        <x:v>33.73</x:v>
      </x:c>
    </x:row>
    <x:row r="1801">
      <x:c r="A1801" t="n">
        <x:v>1800</x:v>
      </x:c>
      <x:c r="B1801" t="n">
        <x:v>52</x:v>
      </x:c>
      <x:c r="C1801" t="str">
        <x:v>Male</x:v>
      </x:c>
      <x:c r="D1801" t="str">
        <x:v>Footwear</x:v>
      </x:c>
      <x:c r="E1801" t="str">
        <x:v>Sneakers</x:v>
      </x:c>
      <x:c r="F1801" s="24" t="n">
        <x:v>241.87</x:v>
      </x:c>
      <x:c r="G1801" t="str">
        <x:v>Spring</x:v>
      </x:c>
      <x:c r="H1801" t="str">
        <x:v>Card</x:v>
      </x:c>
      <x:c r="I1801" t="n">
        <x:v>3.4</x:v>
      </x:c>
      <x:c r="J1801" t="n">
        <x:v>22</x:v>
      </x:c>
      <x:c r="K1801" t="n">
        <x:v>6</x:v>
      </x:c>
      <x:c r="L1801" t="str">
        <x:v>STORE-001</x:v>
      </x:c>
      <x:c r="M1801" s="22" t="n">
        <x:v>45962</x:v>
      </x:c>
      <x:c r="N1801" t="str">
        <x:v>SKU-025</x:v>
      </x:c>
      <x:c r="O1801" t="n">
        <x:v>1</x:v>
      </x:c>
      <x:c r="P1801" s="26" t="n">
        <x:f>F1801/O1801</x:f>
        <x:v>241.87</x:v>
      </x:c>
    </x:row>
    <x:row r="1802">
      <x:c r="A1802" t="n">
        <x:v>1801</x:v>
      </x:c>
      <x:c r="B1802" t="n">
        <x:v>28</x:v>
      </x:c>
      <x:c r="C1802" t="str">
        <x:v>Female</x:v>
      </x:c>
      <x:c r="D1802" t="str">
        <x:v>Home</x:v>
      </x:c>
      <x:c r="E1802" t="str">
        <x:v>Kitchen Set</x:v>
      </x:c>
      <x:c r="F1802" s="24" t="n">
        <x:v>117.11</x:v>
      </x:c>
      <x:c r="G1802" t="str">
        <x:v>Spring</x:v>
      </x:c>
      <x:c r="H1802" t="str">
        <x:v>Card</x:v>
      </x:c>
      <x:c r="I1802" t="n">
        <x:v>3.2</x:v>
      </x:c>
      <x:c r="J1802" t="n">
        <x:v>13</x:v>
      </x:c>
      <x:c r="K1802" t="n">
        <x:v>4</x:v>
      </x:c>
      <x:c r="L1802" t="str">
        <x:v>STORE-001</x:v>
      </x:c>
      <x:c r="M1802" s="22" t="n">
        <x:v>45988</x:v>
      </x:c>
      <x:c r="N1802" t="str">
        <x:v>SKU-012</x:v>
      </x:c>
      <x:c r="O1802" t="n">
        <x:v>1</x:v>
      </x:c>
      <x:c r="P1802" s="26" t="n">
        <x:f>F1802/O1802</x:f>
        <x:v>117.11</x:v>
      </x:c>
    </x:row>
    <x:row r="1803">
      <x:c r="A1803" t="n">
        <x:v>1802</x:v>
      </x:c>
      <x:c r="B1803" t="n">
        <x:v>33</x:v>
      </x:c>
      <x:c r="C1803" t="str">
        <x:v>Male</x:v>
      </x:c>
      <x:c r="D1803" t="str">
        <x:v>Home</x:v>
      </x:c>
      <x:c r="E1803" t="str">
        <x:v>Curtains</x:v>
      </x:c>
      <x:c r="F1803" s="24" t="n">
        <x:v>154.72</x:v>
      </x:c>
      <x:c r="G1803" t="str">
        <x:v>Autumn</x:v>
      </x:c>
      <x:c r="H1803" t="str">
        <x:v>Card</x:v>
      </x:c>
      <x:c r="I1803" t="n">
        <x:v>3.5</x:v>
      </x:c>
      <x:c r="J1803" t="n">
        <x:v>18</x:v>
      </x:c>
      <x:c r="K1803" t="n">
        <x:v>9</x:v>
      </x:c>
      <x:c r="L1803" t="str">
        <x:v>STORE-001</x:v>
      </x:c>
      <x:c r="M1803" s="22" t="n">
        <x:v>46153</x:v>
      </x:c>
      <x:c r="N1803" t="str">
        <x:v>SKU-003</x:v>
      </x:c>
      <x:c r="O1803" t="n">
        <x:v>1</x:v>
      </x:c>
      <x:c r="P1803" s="26" t="n">
        <x:f>F1803/O1803</x:f>
        <x:v>154.72</x:v>
      </x:c>
    </x:row>
    <x:row r="1804">
      <x:c r="A1804" t="n">
        <x:v>1803</x:v>
      </x:c>
      <x:c r="B1804" t="n">
        <x:v>23</x:v>
      </x:c>
      <x:c r="C1804" t="str">
        <x:v>Male</x:v>
      </x:c>
      <x:c r="D1804" t="str">
        <x:v>Footwear</x:v>
      </x:c>
      <x:c r="E1804" t="str">
        <x:v>Sneakers</x:v>
      </x:c>
      <x:c r="F1804" s="24" t="n">
        <x:v>168.45</x:v>
      </x:c>
      <x:c r="G1804" t="str">
        <x:v>Summer</x:v>
      </x:c>
      <x:c r="H1804" t="str">
        <x:v>Card</x:v>
      </x:c>
      <x:c r="I1804" t="n">
        <x:v>3.8</x:v>
      </x:c>
      <x:c r="J1804" t="n">
        <x:v>20</x:v>
      </x:c>
      <x:c r="K1804" t="n">
        <x:v>5</x:v>
      </x:c>
      <x:c r="L1804" t="str">
        <x:v>STORE-001</x:v>
      </x:c>
      <x:c r="M1804" s="22" t="n">
        <x:v>46065</x:v>
      </x:c>
      <x:c r="N1804" t="str">
        <x:v>SKU-025</x:v>
      </x:c>
      <x:c r="O1804" t="n">
        <x:v>2</x:v>
      </x:c>
      <x:c r="P1804" s="26" t="n">
        <x:f>F1804/O1804</x:f>
        <x:v>84.225</x:v>
      </x:c>
    </x:row>
    <x:row r="1805">
      <x:c r="A1805" t="n">
        <x:v>1804</x:v>
      </x:c>
      <x:c r="B1805" t="n">
        <x:v>60</x:v>
      </x:c>
      <x:c r="C1805" t="str">
        <x:v>Male</x:v>
      </x:c>
      <x:c r="D1805" t="str">
        <x:v>Sports</x:v>
      </x:c>
      <x:c r="E1805" t="str">
        <x:v>Dumbbells</x:v>
      </x:c>
      <x:c r="F1805" s="24" t="n">
        <x:v>202.79</x:v>
      </x:c>
      <x:c r="G1805" t="str">
        <x:v>Summer</x:v>
      </x:c>
      <x:c r="H1805" t="str">
        <x:v>Card</x:v>
      </x:c>
      <x:c r="I1805" t="n">
        <x:v>3</x:v>
      </x:c>
      <x:c r="J1805" t="n">
        <x:v>12</x:v>
      </x:c>
      <x:c r="K1805" t="n">
        <x:v>1</x:v>
      </x:c>
      <x:c r="L1805" t="str">
        <x:v>STORE-001</x:v>
      </x:c>
      <x:c r="M1805" s="22" t="n">
        <x:v>46056</x:v>
      </x:c>
      <x:c r="N1805" t="str">
        <x:v>SKU-005</x:v>
      </x:c>
      <x:c r="O1805" t="n">
        <x:v>2</x:v>
      </x:c>
      <x:c r="P1805" s="26" t="n">
        <x:f>F1805/O1805</x:f>
        <x:v>101.395</x:v>
      </x:c>
    </x:row>
    <x:row r="1806">
      <x:c r="A1806" t="n">
        <x:v>1805</x:v>
      </x:c>
      <x:c r="B1806" t="n">
        <x:v>66</x:v>
      </x:c>
      <x:c r="C1806" t="str">
        <x:v>Female</x:v>
      </x:c>
      <x:c r="D1806" t="str">
        <x:v>Home</x:v>
      </x:c>
      <x:c r="E1806" t="str">
        <x:v>Curtains</x:v>
      </x:c>
      <x:c r="F1806" s="24" t="n">
        <x:v>194.2</x:v>
      </x:c>
      <x:c r="G1806" t="str">
        <x:v>Spring</x:v>
      </x:c>
      <x:c r="H1806" t="str">
        <x:v>Card</x:v>
      </x:c>
      <x:c r="I1806" t="n">
        <x:v>4.7</x:v>
      </x:c>
      <x:c r="J1806" t="n">
        <x:v>23</x:v>
      </x:c>
      <x:c r="K1806" t="n">
        <x:v>9</x:v>
      </x:c>
      <x:c r="L1806" t="str">
        <x:v>STORE-001</x:v>
      </x:c>
      <x:c r="M1806" s="22" t="n">
        <x:v>46273</x:v>
      </x:c>
      <x:c r="N1806" t="str">
        <x:v>SKU-003</x:v>
      </x:c>
      <x:c r="O1806" t="n">
        <x:v>1</x:v>
      </x:c>
      <x:c r="P1806" s="26" t="n">
        <x:f>F1806/O1806</x:f>
        <x:v>194.2</x:v>
      </x:c>
    </x:row>
    <x:row r="1807">
      <x:c r="A1807" t="n">
        <x:v>1806</x:v>
      </x:c>
      <x:c r="B1807" t="n">
        <x:v>59</x:v>
      </x:c>
      <x:c r="C1807" t="str">
        <x:v>Female</x:v>
      </x:c>
      <x:c r="D1807" t="str">
        <x:v>Beauty</x:v>
      </x:c>
      <x:c r="E1807" t="str">
        <x:v>Perfume</x:v>
      </x:c>
      <x:c r="F1807" s="24" t="n">
        <x:v>90.63</x:v>
      </x:c>
      <x:c r="G1807" t="str">
        <x:v>Autumn</x:v>
      </x:c>
      <x:c r="H1807" t="str">
        <x:v>Card</x:v>
      </x:c>
      <x:c r="I1807" t="n">
        <x:v>4.7</x:v>
      </x:c>
      <x:c r="J1807" t="n">
        <x:v>12</x:v>
      </x:c>
      <x:c r="K1807" t="n">
        <x:v>6</x:v>
      </x:c>
      <x:c r="L1807" t="str">
        <x:v>STORE-001</x:v>
      </x:c>
      <x:c r="M1807" s="22" t="n">
        <x:v>46160</x:v>
      </x:c>
      <x:c r="N1807" t="str">
        <x:v>SKU-017</x:v>
      </x:c>
      <x:c r="O1807" t="n">
        <x:v>1</x:v>
      </x:c>
      <x:c r="P1807" s="26" t="n">
        <x:f>F1807/O1807</x:f>
        <x:v>90.63</x:v>
      </x:c>
    </x:row>
    <x:row r="1808">
      <x:c r="A1808" t="n">
        <x:v>1807</x:v>
      </x:c>
      <x:c r="B1808" t="n">
        <x:v>53</x:v>
      </x:c>
      <x:c r="C1808" t="str">
        <x:v>Female</x:v>
      </x:c>
      <x:c r="D1808" t="str">
        <x:v>Footwear</x:v>
      </x:c>
      <x:c r="E1808" t="str">
        <x:v>Formal Shoes</x:v>
      </x:c>
      <x:c r="F1808" s="24" t="n">
        <x:v>243.55</x:v>
      </x:c>
      <x:c r="G1808" t="str">
        <x:v>Winter</x:v>
      </x:c>
      <x:c r="H1808" t="str">
        <x:v>Card</x:v>
      </x:c>
      <x:c r="I1808" t="n">
        <x:v>5</x:v>
      </x:c>
      <x:c r="J1808" t="n">
        <x:v>20</x:v>
      </x:c>
      <x:c r="K1808" t="n">
        <x:v>5</x:v>
      </x:c>
      <x:c r="L1808" t="str">
        <x:v>STORE-001</x:v>
      </x:c>
      <x:c r="M1808" s="22" t="n">
        <x:v>46240</x:v>
      </x:c>
      <x:c r="N1808" t="str">
        <x:v>SKU-007</x:v>
      </x:c>
      <x:c r="O1808" t="n">
        <x:v>1</x:v>
      </x:c>
      <x:c r="P1808" s="26" t="n">
        <x:f>F1808/O1808</x:f>
        <x:v>243.55</x:v>
      </x:c>
    </x:row>
    <x:row r="1809">
      <x:c r="A1809" t="n">
        <x:v>1808</x:v>
      </x:c>
      <x:c r="B1809" t="n">
        <x:v>30</x:v>
      </x:c>
      <x:c r="C1809" t="str">
        <x:v>Male</x:v>
      </x:c>
      <x:c r="D1809" t="str">
        <x:v>Groceries</x:v>
      </x:c>
      <x:c r="E1809" t="str">
        <x:v>Rice Pack</x:v>
      </x:c>
      <x:c r="F1809" s="24" t="n">
        <x:v>38.88</x:v>
      </x:c>
      <x:c r="G1809" t="str">
        <x:v>Autumn</x:v>
      </x:c>
      <x:c r="H1809" t="str">
        <x:v>Cash on Delivery</x:v>
      </x:c>
      <x:c r="I1809" t="n">
        <x:v>4.1</x:v>
      </x:c>
      <x:c r="J1809" t="n">
        <x:v>13</x:v>
      </x:c>
      <x:c r="K1809" t="n">
        <x:v>4</x:v>
      </x:c>
      <x:c r="L1809" t="str">
        <x:v>STORE-001</x:v>
      </x:c>
      <x:c r="M1809" s="22" t="n">
        <x:v>46128</x:v>
      </x:c>
      <x:c r="N1809" t="str">
        <x:v>SKU-018</x:v>
      </x:c>
      <x:c r="O1809" t="n">
        <x:v>2</x:v>
      </x:c>
      <x:c r="P1809" s="26" t="n">
        <x:f>F1809/O1809</x:f>
        <x:v>19.44</x:v>
      </x:c>
    </x:row>
    <x:row r="1810">
      <x:c r="A1810" t="n">
        <x:v>1809</x:v>
      </x:c>
      <x:c r="B1810" t="n">
        <x:v>32</x:v>
      </x:c>
      <x:c r="C1810" t="str">
        <x:v>Female</x:v>
      </x:c>
      <x:c r="D1810" t="str">
        <x:v>Beauty</x:v>
      </x:c>
      <x:c r="E1810" t="str">
        <x:v>Skincare Kit</x:v>
      </x:c>
      <x:c r="F1810" s="24" t="n">
        <x:v>105.29</x:v>
      </x:c>
      <x:c r="G1810" t="str">
        <x:v>Spring</x:v>
      </x:c>
      <x:c r="H1810" t="str">
        <x:v>Card</x:v>
      </x:c>
      <x:c r="I1810" t="n">
        <x:v>4</x:v>
      </x:c>
      <x:c r="J1810" t="n">
        <x:v>22</x:v>
      </x:c>
      <x:c r="K1810" t="n">
        <x:v>6</x:v>
      </x:c>
      <x:c r="L1810" t="str">
        <x:v>STORE-001</x:v>
      </x:c>
      <x:c r="M1810" s="22" t="n">
        <x:v>45935</x:v>
      </x:c>
      <x:c r="N1810" t="str">
        <x:v>SKU-021</x:v>
      </x:c>
      <x:c r="O1810" t="n">
        <x:v>1</x:v>
      </x:c>
      <x:c r="P1810" s="26" t="n">
        <x:f>F1810/O1810</x:f>
        <x:v>105.29</x:v>
      </x:c>
    </x:row>
    <x:row r="1811">
      <x:c r="A1811" t="n">
        <x:v>1810</x:v>
      </x:c>
      <x:c r="B1811" t="n">
        <x:v>38</x:v>
      </x:c>
      <x:c r="C1811" t="str">
        <x:v>Male</x:v>
      </x:c>
      <x:c r="D1811" t="str">
        <x:v>Sports</x:v>
      </x:c>
      <x:c r="E1811" t="str">
        <x:v>Football</x:v>
      </x:c>
      <x:c r="F1811" s="24" t="n">
        <x:v>140.26</x:v>
      </x:c>
      <x:c r="G1811" t="str">
        <x:v>Winter</x:v>
      </x:c>
      <x:c r="H1811" t="str">
        <x:v>Card</x:v>
      </x:c>
      <x:c r="I1811" t="n">
        <x:v>3.7</x:v>
      </x:c>
      <x:c r="J1811" t="n">
        <x:v>18</x:v>
      </x:c>
      <x:c r="K1811" t="n">
        <x:v>4</x:v>
      </x:c>
      <x:c r="L1811" t="str">
        <x:v>STORE-001</x:v>
      </x:c>
      <x:c r="M1811" s="22" t="n">
        <x:v>46185</x:v>
      </x:c>
      <x:c r="N1811" t="str">
        <x:v>SKU-006</x:v>
      </x:c>
      <x:c r="O1811" t="n">
        <x:v>2</x:v>
      </x:c>
      <x:c r="P1811" s="26" t="n">
        <x:f>F1811/O1811</x:f>
        <x:v>70.13</x:v>
      </x:c>
    </x:row>
    <x:row r="1812">
      <x:c r="A1812" t="n">
        <x:v>1811</x:v>
      </x:c>
      <x:c r="B1812" t="n">
        <x:v>45</x:v>
      </x:c>
      <x:c r="C1812" t="str">
        <x:v>Female</x:v>
      </x:c>
      <x:c r="D1812" t="str">
        <x:v>Womens Clothing</x:v>
      </x:c>
      <x:c r="E1812" t="str">
        <x:v>Jeans</x:v>
      </x:c>
      <x:c r="F1812" s="24" t="n">
        <x:v>50.56</x:v>
      </x:c>
      <x:c r="G1812" t="str">
        <x:v>Autumn</x:v>
      </x:c>
      <x:c r="H1812" t="str">
        <x:v>Cash on Delivery</x:v>
      </x:c>
      <x:c r="I1812" t="n">
        <x:v>5</x:v>
      </x:c>
      <x:c r="J1812" t="n">
        <x:v>16</x:v>
      </x:c>
      <x:c r="K1812" t="n">
        <x:v>8</x:v>
      </x:c>
      <x:c r="L1812" t="str">
        <x:v>STORE-001</x:v>
      </x:c>
      <x:c r="M1812" s="22" t="n">
        <x:v>46171</x:v>
      </x:c>
      <x:c r="N1812" t="str">
        <x:v>SKU-011</x:v>
      </x:c>
      <x:c r="O1812" t="n">
        <x:v>1</x:v>
      </x:c>
      <x:c r="P1812" s="26" t="n">
        <x:f>F1812/O1812</x:f>
        <x:v>50.56</x:v>
      </x:c>
    </x:row>
    <x:row r="1813">
      <x:c r="A1813" t="n">
        <x:v>1812</x:v>
      </x:c>
      <x:c r="B1813" t="n">
        <x:v>53</x:v>
      </x:c>
      <x:c r="C1813" t="str">
        <x:v>Female</x:v>
      </x:c>
      <x:c r="D1813" t="str">
        <x:v>Groceries</x:v>
      </x:c>
      <x:c r="E1813" t="str">
        <x:v>Cooking Oil</x:v>
      </x:c>
      <x:c r="F1813" s="24" t="n">
        <x:v>40.87</x:v>
      </x:c>
      <x:c r="G1813" t="str">
        <x:v>Autumn</x:v>
      </x:c>
      <x:c r="H1813" t="str">
        <x:v>Card</x:v>
      </x:c>
      <x:c r="I1813" t="n">
        <x:v>3.9</x:v>
      </x:c>
      <x:c r="J1813" t="n">
        <x:v>12</x:v>
      </x:c>
      <x:c r="K1813" t="n">
        <x:v>1</x:v>
      </x:c>
      <x:c r="L1813" t="str">
        <x:v>STORE-001</x:v>
      </x:c>
      <x:c r="M1813" s="22" t="n">
        <x:v>46086</x:v>
      </x:c>
      <x:c r="N1813" t="str">
        <x:v>SKU-002</x:v>
      </x:c>
      <x:c r="O1813" t="n">
        <x:v>2</x:v>
      </x:c>
      <x:c r="P1813" s="26" t="n">
        <x:f>F1813/O1813</x:f>
        <x:v>20.435</x:v>
      </x:c>
    </x:row>
    <x:row r="1814">
      <x:c r="A1814" t="n">
        <x:v>1813</x:v>
      </x:c>
      <x:c r="B1814" t="n">
        <x:v>62</x:v>
      </x:c>
      <x:c r="C1814" t="str">
        <x:v>Male</x:v>
      </x:c>
      <x:c r="D1814" t="str">
        <x:v>Mens Clothing</x:v>
      </x:c>
      <x:c r="E1814" t="str">
        <x:v>Shirt</x:v>
      </x:c>
      <x:c r="F1814" s="24" t="n">
        <x:v>88.13</x:v>
      </x:c>
      <x:c r="G1814" t="str">
        <x:v>Summer</x:v>
      </x:c>
      <x:c r="H1814" t="str">
        <x:v>Card</x:v>
      </x:c>
      <x:c r="I1814" t="n">
        <x:v>3.1</x:v>
      </x:c>
      <x:c r="J1814" t="n">
        <x:v>28</x:v>
      </x:c>
      <x:c r="K1814" t="n">
        <x:v>9</x:v>
      </x:c>
      <x:c r="L1814" t="str">
        <x:v>STORE-001</x:v>
      </x:c>
      <x:c r="M1814" s="22" t="n">
        <x:v>46020</x:v>
      </x:c>
      <x:c r="N1814" t="str">
        <x:v>SKU-020</x:v>
      </x:c>
      <x:c r="O1814" t="n">
        <x:v>2</x:v>
      </x:c>
      <x:c r="P1814" s="26" t="n">
        <x:f>F1814/O1814</x:f>
        <x:v>44.065</x:v>
      </x:c>
    </x:row>
    <x:row r="1815">
      <x:c r="A1815" t="n">
        <x:v>1814</x:v>
      </x:c>
      <x:c r="B1815" t="n">
        <x:v>26</x:v>
      </x:c>
      <x:c r="C1815" t="str">
        <x:v>Male</x:v>
      </x:c>
      <x:c r="D1815" t="str">
        <x:v>Mens Clothing</x:v>
      </x:c>
      <x:c r="E1815" t="str">
        <x:v>Shirt</x:v>
      </x:c>
      <x:c r="F1815" s="24" t="n">
        <x:v>149.42</x:v>
      </x:c>
      <x:c r="G1815" t="str">
        <x:v>Winter</x:v>
      </x:c>
      <x:c r="H1815" t="str">
        <x:v>Card</x:v>
      </x:c>
      <x:c r="I1815" t="n">
        <x:v>3.9</x:v>
      </x:c>
      <x:c r="J1815" t="n">
        <x:v>25</x:v>
      </x:c>
      <x:c r="K1815" t="n">
        <x:v>10</x:v>
      </x:c>
      <x:c r="L1815" t="str">
        <x:v>STORE-001</x:v>
      </x:c>
      <x:c r="M1815" s="22" t="n">
        <x:v>46229</x:v>
      </x:c>
      <x:c r="N1815" t="str">
        <x:v>SKU-020</x:v>
      </x:c>
      <x:c r="O1815" t="n">
        <x:v>1</x:v>
      </x:c>
      <x:c r="P1815" s="26" t="n">
        <x:f>F1815/O1815</x:f>
        <x:v>149.42</x:v>
      </x:c>
    </x:row>
    <x:row r="1816">
      <x:c r="A1816" t="n">
        <x:v>1815</x:v>
      </x:c>
      <x:c r="B1816" t="n">
        <x:v>28</x:v>
      </x:c>
      <x:c r="C1816" t="str">
        <x:v>Male</x:v>
      </x:c>
      <x:c r="D1816" t="str">
        <x:v>Footwear</x:v>
      </x:c>
      <x:c r="E1816" t="str">
        <x:v>Sandals</x:v>
      </x:c>
      <x:c r="F1816" s="24" t="n">
        <x:v>161.21</x:v>
      </x:c>
      <x:c r="G1816" t="str">
        <x:v>Spring</x:v>
      </x:c>
      <x:c r="H1816" t="str">
        <x:v>Card</x:v>
      </x:c>
      <x:c r="I1816" t="n">
        <x:v>3.2</x:v>
      </x:c>
      <x:c r="J1816" t="n">
        <x:v>18</x:v>
      </x:c>
      <x:c r="K1816" t="n">
        <x:v>4</x:v>
      </x:c>
      <x:c r="L1816" t="str">
        <x:v>STORE-001</x:v>
      </x:c>
      <x:c r="M1816" s="22" t="n">
        <x:v>45986</x:v>
      </x:c>
      <x:c r="N1816" t="str">
        <x:v>SKU-019</x:v>
      </x:c>
      <x:c r="O1816" t="n">
        <x:v>1</x:v>
      </x:c>
      <x:c r="P1816" s="26" t="n">
        <x:f>F1816/O1816</x:f>
        <x:v>161.21</x:v>
      </x:c>
    </x:row>
    <x:row r="1817">
      <x:c r="A1817" t="n">
        <x:v>1816</x:v>
      </x:c>
      <x:c r="B1817" t="n">
        <x:v>49</x:v>
      </x:c>
      <x:c r="C1817" t="str">
        <x:v>Female</x:v>
      </x:c>
      <x:c r="D1817" t="str">
        <x:v>Beauty</x:v>
      </x:c>
      <x:c r="E1817" t="str">
        <x:v>Makeup Set</x:v>
      </x:c>
      <x:c r="F1817" s="24" t="n">
        <x:v>37.52</x:v>
      </x:c>
      <x:c r="G1817" t="str">
        <x:v>Summer</x:v>
      </x:c>
      <x:c r="H1817" t="str">
        <x:v>Cash on Delivery</x:v>
      </x:c>
      <x:c r="I1817" t="n">
        <x:v>4.5</x:v>
      </x:c>
      <x:c r="J1817" t="n">
        <x:v>6</x:v>
      </x:c>
      <x:c r="K1817" t="n">
        <x:v>3</x:v>
      </x:c>
      <x:c r="L1817" t="str">
        <x:v>STORE-001</x:v>
      </x:c>
      <x:c r="M1817" s="22" t="n">
        <x:v>46065</x:v>
      </x:c>
      <x:c r="N1817" t="str">
        <x:v>SKU-015</x:v>
      </x:c>
      <x:c r="O1817" t="n">
        <x:v>2</x:v>
      </x:c>
      <x:c r="P1817" s="26" t="n">
        <x:f>F1817/O1817</x:f>
        <x:v>18.76</x:v>
      </x:c>
    </x:row>
    <x:row r="1818">
      <x:c r="A1818" t="n">
        <x:v>1817</x:v>
      </x:c>
      <x:c r="B1818" t="n">
        <x:v>60</x:v>
      </x:c>
      <x:c r="C1818" t="str">
        <x:v>Male</x:v>
      </x:c>
      <x:c r="D1818" t="str">
        <x:v>Sports</x:v>
      </x:c>
      <x:c r="E1818" t="str">
        <x:v>Yoga Mat</x:v>
      </x:c>
      <x:c r="F1818" s="24" t="n">
        <x:v>126.98</x:v>
      </x:c>
      <x:c r="G1818" t="str">
        <x:v>Autumn</x:v>
      </x:c>
      <x:c r="H1818" t="str">
        <x:v>Card</x:v>
      </x:c>
      <x:c r="I1818" t="n">
        <x:v>5</x:v>
      </x:c>
      <x:c r="J1818" t="n">
        <x:v>22</x:v>
      </x:c>
      <x:c r="K1818" t="n">
        <x:v>6</x:v>
      </x:c>
      <x:c r="L1818" t="str">
        <x:v>STORE-001</x:v>
      </x:c>
      <x:c r="M1818" s="22" t="n">
        <x:v>46126</x:v>
      </x:c>
      <x:c r="N1818" t="str">
        <x:v>SKU-030</x:v>
      </x:c>
      <x:c r="O1818" t="n">
        <x:v>2</x:v>
      </x:c>
      <x:c r="P1818" s="26" t="n">
        <x:f>F1818/O1818</x:f>
        <x:v>63.49</x:v>
      </x:c>
    </x:row>
    <x:row r="1819">
      <x:c r="A1819" t="n">
        <x:v>1818</x:v>
      </x:c>
      <x:c r="B1819" t="n">
        <x:v>36</x:v>
      </x:c>
      <x:c r="C1819" t="str">
        <x:v>Male</x:v>
      </x:c>
      <x:c r="D1819" t="str">
        <x:v>Footwear</x:v>
      </x:c>
      <x:c r="E1819" t="str">
        <x:v>Sandals</x:v>
      </x:c>
      <x:c r="F1819" s="24" t="n">
        <x:v>229.83</x:v>
      </x:c>
      <x:c r="G1819" t="str">
        <x:v>Summer</x:v>
      </x:c>
      <x:c r="H1819" t="str">
        <x:v>Card</x:v>
      </x:c>
      <x:c r="I1819" t="n">
        <x:v>4.8</x:v>
      </x:c>
      <x:c r="J1819" t="n">
        <x:v>8</x:v>
      </x:c>
      <x:c r="K1819" t="n">
        <x:v>4</x:v>
      </x:c>
      <x:c r="L1819" t="str">
        <x:v>STORE-001</x:v>
      </x:c>
      <x:c r="M1819" s="22" t="n">
        <x:v>46032</x:v>
      </x:c>
      <x:c r="N1819" t="str">
        <x:v>SKU-019</x:v>
      </x:c>
      <x:c r="O1819" t="n">
        <x:v>1</x:v>
      </x:c>
      <x:c r="P1819" s="26" t="n">
        <x:f>F1819/O1819</x:f>
        <x:v>229.83</x:v>
      </x:c>
    </x:row>
    <x:row r="1820">
      <x:c r="A1820" t="n">
        <x:v>1819</x:v>
      </x:c>
      <x:c r="B1820" t="n">
        <x:v>57</x:v>
      </x:c>
      <x:c r="C1820" t="str">
        <x:v>Female</x:v>
      </x:c>
      <x:c r="D1820" t="str">
        <x:v>Accessories</x:v>
      </x:c>
      <x:c r="E1820" t="str">
        <x:v>Wallet</x:v>
      </x:c>
      <x:c r="F1820" s="24" t="n">
        <x:v>179.83</x:v>
      </x:c>
      <x:c r="G1820" t="str">
        <x:v>Summer</x:v>
      </x:c>
      <x:c r="H1820" t="str">
        <x:v>Card</x:v>
      </x:c>
      <x:c r="I1820" t="n">
        <x:v>2.4</x:v>
      </x:c>
      <x:c r="J1820" t="n">
        <x:v>13</x:v>
      </x:c>
      <x:c r="K1820" t="n">
        <x:v>4</x:v>
      </x:c>
      <x:c r="L1820" t="str">
        <x:v>STORE-001</x:v>
      </x:c>
      <x:c r="M1820" s="22" t="n">
        <x:v>46029</x:v>
      </x:c>
      <x:c r="N1820" t="str">
        <x:v>SKU-029</x:v>
      </x:c>
      <x:c r="O1820" t="n">
        <x:v>1</x:v>
      </x:c>
      <x:c r="P1820" s="26" t="n">
        <x:f>F1820/O1820</x:f>
        <x:v>179.83</x:v>
      </x:c>
    </x:row>
    <x:row r="1821">
      <x:c r="A1821" t="n">
        <x:v>1820</x:v>
      </x:c>
      <x:c r="B1821" t="n">
        <x:v>21</x:v>
      </x:c>
      <x:c r="C1821" t="str">
        <x:v>Male</x:v>
      </x:c>
      <x:c r="D1821" t="str">
        <x:v>Footwear</x:v>
      </x:c>
      <x:c r="E1821" t="str">
        <x:v>Sneakers</x:v>
      </x:c>
      <x:c r="F1821" s="24" t="n">
        <x:v>231.92</x:v>
      </x:c>
      <x:c r="G1821" t="str">
        <x:v>Winter</x:v>
      </x:c>
      <x:c r="H1821" t="str">
        <x:v>Card</x:v>
      </x:c>
      <x:c r="I1821" t="n">
        <x:v>4.7</x:v>
      </x:c>
      <x:c r="J1821" t="n">
        <x:v>26</x:v>
      </x:c>
      <x:c r="K1821" t="n">
        <x:v>8</x:v>
      </x:c>
      <x:c r="L1821" t="str">
        <x:v>STORE-001</x:v>
      </x:c>
      <x:c r="M1821" s="22" t="n">
        <x:v>46225</x:v>
      </x:c>
      <x:c r="N1821" t="str">
        <x:v>SKU-025</x:v>
      </x:c>
      <x:c r="O1821" t="n">
        <x:v>2</x:v>
      </x:c>
      <x:c r="P1821" s="26" t="n">
        <x:f>F1821/O1821</x:f>
        <x:v>115.96</x:v>
      </x:c>
    </x:row>
    <x:row r="1822">
      <x:c r="A1822" t="n">
        <x:v>1821</x:v>
      </x:c>
      <x:c r="B1822" t="n">
        <x:v>55</x:v>
      </x:c>
      <x:c r="C1822" t="str">
        <x:v>Female</x:v>
      </x:c>
      <x:c r="D1822" t="str">
        <x:v>Footwear</x:v>
      </x:c>
      <x:c r="E1822" t="str">
        <x:v>Formal Shoes</x:v>
      </x:c>
      <x:c r="F1822" s="24" t="n">
        <x:v>108.55</x:v>
      </x:c>
      <x:c r="G1822" t="str">
        <x:v>Summer</x:v>
      </x:c>
      <x:c r="H1822" t="str">
        <x:v>Card</x:v>
      </x:c>
      <x:c r="I1822" t="n">
        <x:v>4</x:v>
      </x:c>
      <x:c r="J1822" t="n">
        <x:v>12</x:v>
      </x:c>
      <x:c r="K1822" t="n">
        <x:v>1</x:v>
      </x:c>
      <x:c r="L1822" t="str">
        <x:v>STORE-001</x:v>
      </x:c>
      <x:c r="M1822" s="22" t="n">
        <x:v>46070</x:v>
      </x:c>
      <x:c r="N1822" t="str">
        <x:v>SKU-007</x:v>
      </x:c>
      <x:c r="O1822" t="n">
        <x:v>1</x:v>
      </x:c>
      <x:c r="P1822" s="26" t="n">
        <x:f>F1822/O1822</x:f>
        <x:v>108.55</x:v>
      </x:c>
    </x:row>
    <x:row r="1823">
      <x:c r="A1823" t="n">
        <x:v>1822</x:v>
      </x:c>
      <x:c r="B1823" t="n">
        <x:v>39</x:v>
      </x:c>
      <x:c r="C1823" t="str">
        <x:v>Male</x:v>
      </x:c>
      <x:c r="D1823" t="str">
        <x:v>Footwear</x:v>
      </x:c>
      <x:c r="E1823" t="str">
        <x:v>Sandals</x:v>
      </x:c>
      <x:c r="F1823" s="24" t="n">
        <x:v>40.97</x:v>
      </x:c>
      <x:c r="G1823" t="str">
        <x:v>Autumn</x:v>
      </x:c>
      <x:c r="H1823" t="str">
        <x:v>Card</x:v>
      </x:c>
      <x:c r="I1823" t="n">
        <x:v>3.9</x:v>
      </x:c>
      <x:c r="J1823" t="n">
        <x:v>24</x:v>
      </x:c>
      <x:c r="K1823" t="n">
        <x:v>12</x:v>
      </x:c>
      <x:c r="L1823" t="str">
        <x:v>STORE-001</x:v>
      </x:c>
      <x:c r="M1823" s="22" t="n">
        <x:v>46131</x:v>
      </x:c>
      <x:c r="N1823" t="str">
        <x:v>SKU-019</x:v>
      </x:c>
      <x:c r="O1823" t="n">
        <x:v>1</x:v>
      </x:c>
      <x:c r="P1823" s="26" t="n">
        <x:f>F1823/O1823</x:f>
        <x:v>40.97</x:v>
      </x:c>
    </x:row>
    <x:row r="1824">
      <x:c r="A1824" t="n">
        <x:v>1823</x:v>
      </x:c>
      <x:c r="B1824" t="n">
        <x:v>35</x:v>
      </x:c>
      <x:c r="C1824" t="str">
        <x:v>Female</x:v>
      </x:c>
      <x:c r="D1824" t="str">
        <x:v>Beauty</x:v>
      </x:c>
      <x:c r="E1824" t="str">
        <x:v>Makeup Set</x:v>
      </x:c>
      <x:c r="F1824" s="24" t="n">
        <x:v>72.38</x:v>
      </x:c>
      <x:c r="G1824" t="str">
        <x:v>Autumn</x:v>
      </x:c>
      <x:c r="H1824" t="str">
        <x:v>Card</x:v>
      </x:c>
      <x:c r="I1824" t="n">
        <x:v>4.2</x:v>
      </x:c>
      <x:c r="J1824" t="n">
        <x:v>18</x:v>
      </x:c>
      <x:c r="K1824" t="n">
        <x:v>9</x:v>
      </x:c>
      <x:c r="L1824" t="str">
        <x:v>STORE-001</x:v>
      </x:c>
      <x:c r="M1824" s="22" t="n">
        <x:v>46146</x:v>
      </x:c>
      <x:c r="N1824" t="str">
        <x:v>SKU-015</x:v>
      </x:c>
      <x:c r="O1824" t="n">
        <x:v>1</x:v>
      </x:c>
      <x:c r="P1824" s="26" t="n">
        <x:f>F1824/O1824</x:f>
        <x:v>72.38</x:v>
      </x:c>
    </x:row>
    <x:row r="1825">
      <x:c r="A1825" t="n">
        <x:v>1824</x:v>
      </x:c>
      <x:c r="B1825" t="n">
        <x:v>54</x:v>
      </x:c>
      <x:c r="C1825" t="str">
        <x:v>Male</x:v>
      </x:c>
      <x:c r="D1825" t="str">
        <x:v>Mens Clothing</x:v>
      </x:c>
      <x:c r="E1825" t="str">
        <x:v>Jeans</x:v>
      </x:c>
      <x:c r="F1825" s="24" t="n">
        <x:v>77.65</x:v>
      </x:c>
      <x:c r="G1825" t="str">
        <x:v>Spring</x:v>
      </x:c>
      <x:c r="H1825" t="str">
        <x:v>Card</x:v>
      </x:c>
      <x:c r="I1825" t="n">
        <x:v>2.7</x:v>
      </x:c>
      <x:c r="J1825" t="n">
        <x:v>15</x:v>
      </x:c>
      <x:c r="K1825" t="n">
        <x:v>5</x:v>
      </x:c>
      <x:c r="L1825" t="str">
        <x:v>STORE-001</x:v>
      </x:c>
      <x:c r="M1825" s="22" t="n">
        <x:v>46274</x:v>
      </x:c>
      <x:c r="N1825" t="str">
        <x:v>SKU-011</x:v>
      </x:c>
      <x:c r="O1825" t="n">
        <x:v>1</x:v>
      </x:c>
      <x:c r="P1825" s="26" t="n">
        <x:f>F1825/O1825</x:f>
        <x:v>77.65</x:v>
      </x:c>
    </x:row>
    <x:row r="1826">
      <x:c r="A1826" t="n">
        <x:v>1825</x:v>
      </x:c>
      <x:c r="B1826" t="n">
        <x:v>34</x:v>
      </x:c>
      <x:c r="C1826" t="str">
        <x:v>Female</x:v>
      </x:c>
      <x:c r="D1826" t="str">
        <x:v>Beauty</x:v>
      </x:c>
      <x:c r="E1826" t="str">
        <x:v>Perfume</x:v>
      </x:c>
      <x:c r="F1826" s="24" t="n">
        <x:v>63.86</x:v>
      </x:c>
      <x:c r="G1826" t="str">
        <x:v>Spring</x:v>
      </x:c>
      <x:c r="H1826" t="str">
        <x:v>Cash on Delivery</x:v>
      </x:c>
      <x:c r="I1826" t="n">
        <x:v>2.5</x:v>
      </x:c>
      <x:c r="J1826" t="n">
        <x:v>13</x:v>
      </x:c>
      <x:c r="K1826" t="n">
        <x:v>4</x:v>
      </x:c>
      <x:c r="L1826" t="str">
        <x:v>STORE-001</x:v>
      </x:c>
      <x:c r="M1826" s="22" t="n">
        <x:v>46274</x:v>
      </x:c>
      <x:c r="N1826" t="str">
        <x:v>SKU-017</x:v>
      </x:c>
      <x:c r="O1826" t="n">
        <x:v>1</x:v>
      </x:c>
      <x:c r="P1826" s="26" t="n">
        <x:f>F1826/O1826</x:f>
        <x:v>63.86</x:v>
      </x:c>
    </x:row>
    <x:row r="1827">
      <x:c r="A1827" t="n">
        <x:v>1826</x:v>
      </x:c>
      <x:c r="B1827" t="n">
        <x:v>61</x:v>
      </x:c>
      <x:c r="C1827" t="str">
        <x:v>Male</x:v>
      </x:c>
      <x:c r="D1827" t="str">
        <x:v>Groceries</x:v>
      </x:c>
      <x:c r="E1827" t="str">
        <x:v>Beverages</x:v>
      </x:c>
      <x:c r="F1827" s="24" t="n">
        <x:v>75.86</x:v>
      </x:c>
      <x:c r="G1827" t="str">
        <x:v>Autumn</x:v>
      </x:c>
      <x:c r="H1827" t="str">
        <x:v>Card</x:v>
      </x:c>
      <x:c r="I1827" t="n">
        <x:v>4</x:v>
      </x:c>
      <x:c r="J1827" t="n">
        <x:v>10</x:v>
      </x:c>
      <x:c r="K1827" t="n">
        <x:v>5</x:v>
      </x:c>
      <x:c r="L1827" t="str">
        <x:v>STORE-001</x:v>
      </x:c>
      <x:c r="M1827" s="22" t="n">
        <x:v>46166</x:v>
      </x:c>
      <x:c r="N1827" t="str">
        <x:v>SKU-001</x:v>
      </x:c>
      <x:c r="O1827" t="n">
        <x:v>2</x:v>
      </x:c>
      <x:c r="P1827" s="26" t="n">
        <x:f>F1827/O1827</x:f>
        <x:v>37.93</x:v>
      </x:c>
    </x:row>
    <x:row r="1828">
      <x:c r="A1828" t="n">
        <x:v>1827</x:v>
      </x:c>
      <x:c r="B1828" t="n">
        <x:v>42</x:v>
      </x:c>
      <x:c r="C1828" t="str">
        <x:v>Female</x:v>
      </x:c>
      <x:c r="D1828" t="str">
        <x:v>Accessories</x:v>
      </x:c>
      <x:c r="E1828" t="str">
        <x:v>Sunglasses</x:v>
      </x:c>
      <x:c r="F1828" s="24" t="n">
        <x:v>37.67</x:v>
      </x:c>
      <x:c r="G1828" t="str">
        <x:v>Autumn</x:v>
      </x:c>
      <x:c r="H1828" t="str">
        <x:v>Card</x:v>
      </x:c>
      <x:c r="I1828" t="n">
        <x:v>3.2</x:v>
      </x:c>
      <x:c r="J1828" t="n">
        <x:v>26</x:v>
      </x:c>
      <x:c r="K1828" t="n">
        <x:v>8</x:v>
      </x:c>
      <x:c r="L1828" t="str">
        <x:v>STORE-001</x:v>
      </x:c>
      <x:c r="M1828" s="22" t="n">
        <x:v>46103</x:v>
      </x:c>
      <x:c r="N1828" t="str">
        <x:v>SKU-026</x:v>
      </x:c>
      <x:c r="O1828" t="n">
        <x:v>1</x:v>
      </x:c>
      <x:c r="P1828" s="26" t="n">
        <x:f>F1828/O1828</x:f>
        <x:v>37.67</x:v>
      </x:c>
    </x:row>
    <x:row r="1829">
      <x:c r="A1829" t="n">
        <x:v>1828</x:v>
      </x:c>
      <x:c r="B1829" t="n">
        <x:v>28</x:v>
      </x:c>
      <x:c r="C1829" t="str">
        <x:v>Female</x:v>
      </x:c>
      <x:c r="D1829" t="str">
        <x:v>Accessories</x:v>
      </x:c>
      <x:c r="E1829" t="str">
        <x:v>Handbag</x:v>
      </x:c>
      <x:c r="F1829" s="24" t="n">
        <x:v>120.28</x:v>
      </x:c>
      <x:c r="G1829" t="str">
        <x:v>Winter</x:v>
      </x:c>
      <x:c r="H1829" t="str">
        <x:v>Card</x:v>
      </x:c>
      <x:c r="I1829" t="n">
        <x:v>3.5</x:v>
      </x:c>
      <x:c r="J1829" t="n">
        <x:v>13</x:v>
      </x:c>
      <x:c r="K1829" t="n">
        <x:v>4</x:v>
      </x:c>
      <x:c r="L1829" t="str">
        <x:v>STORE-001</x:v>
      </x:c>
      <x:c r="M1829" s="22" t="n">
        <x:v>46256</x:v>
      </x:c>
      <x:c r="N1829" t="str">
        <x:v>SKU-008</x:v>
      </x:c>
      <x:c r="O1829" t="n">
        <x:v>3</x:v>
      </x:c>
      <x:c r="P1829" s="26" t="n">
        <x:f>F1829/O1829</x:f>
        <x:v>40.093333333333334</x:v>
      </x:c>
    </x:row>
    <x:row r="1830">
      <x:c r="A1830" t="n">
        <x:v>1829</x:v>
      </x:c>
      <x:c r="B1830" t="n">
        <x:v>30</x:v>
      </x:c>
      <x:c r="C1830" t="str">
        <x:v>Male</x:v>
      </x:c>
      <x:c r="D1830" t="str">
        <x:v>Groceries</x:v>
      </x:c>
      <x:c r="E1830" t="str">
        <x:v>Snacks</x:v>
      </x:c>
      <x:c r="F1830" s="24" t="n">
        <x:v>38.97</x:v>
      </x:c>
      <x:c r="G1830" t="str">
        <x:v>Spring</x:v>
      </x:c>
      <x:c r="H1830" t="str">
        <x:v>Card</x:v>
      </x:c>
      <x:c r="I1830" t="n">
        <x:v>3.6</x:v>
      </x:c>
      <x:c r="J1830" t="n">
        <x:v>6</x:v>
      </x:c>
      <x:c r="K1830" t="n">
        <x:v>3</x:v>
      </x:c>
      <x:c r="L1830" t="str">
        <x:v>STORE-001</x:v>
      </x:c>
      <x:c r="M1830" s="22" t="n">
        <x:v>46282</x:v>
      </x:c>
      <x:c r="N1830" t="str">
        <x:v>SKU-024</x:v>
      </x:c>
      <x:c r="O1830" t="n">
        <x:v>2</x:v>
      </x:c>
      <x:c r="P1830" s="26" t="n">
        <x:f>F1830/O1830</x:f>
        <x:v>19.485</x:v>
      </x:c>
    </x:row>
    <x:row r="1831">
      <x:c r="A1831" t="n">
        <x:v>1830</x:v>
      </x:c>
      <x:c r="B1831" t="n">
        <x:v>32</x:v>
      </x:c>
      <x:c r="C1831" t="str">
        <x:v>Female</x:v>
      </x:c>
      <x:c r="D1831" t="str">
        <x:v>Sports</x:v>
      </x:c>
      <x:c r="E1831" t="str">
        <x:v>Dumbbells</x:v>
      </x:c>
      <x:c r="F1831" s="24" t="n">
        <x:v>140.66</x:v>
      </x:c>
      <x:c r="G1831" t="str">
        <x:v>Winter</x:v>
      </x:c>
      <x:c r="H1831" t="str">
        <x:v>Card</x:v>
      </x:c>
      <x:c r="I1831" t="n">
        <x:v>3</x:v>
      </x:c>
      <x:c r="J1831" t="n">
        <x:v>12</x:v>
      </x:c>
      <x:c r="K1831" t="n">
        <x:v>6</x:v>
      </x:c>
      <x:c r="L1831" t="str">
        <x:v>STORE-001</x:v>
      </x:c>
      <x:c r="M1831" s="22" t="n">
        <x:v>46225</x:v>
      </x:c>
      <x:c r="N1831" t="str">
        <x:v>SKU-005</x:v>
      </x:c>
      <x:c r="O1831" t="n">
        <x:v>1</x:v>
      </x:c>
      <x:c r="P1831" s="26" t="n">
        <x:f>F1831/O1831</x:f>
        <x:v>140.66</x:v>
      </x:c>
    </x:row>
    <x:row r="1832">
      <x:c r="A1832" t="n">
        <x:v>1831</x:v>
      </x:c>
      <x:c r="B1832" t="n">
        <x:v>63</x:v>
      </x:c>
      <x:c r="C1832" t="str">
        <x:v>Female</x:v>
      </x:c>
      <x:c r="D1832" t="str">
        <x:v>Sports</x:v>
      </x:c>
      <x:c r="E1832" t="str">
        <x:v>Dumbbells</x:v>
      </x:c>
      <x:c r="F1832" s="24" t="n">
        <x:v>229.74</x:v>
      </x:c>
      <x:c r="G1832" t="str">
        <x:v>Autumn</x:v>
      </x:c>
      <x:c r="H1832" t="str">
        <x:v>Card</x:v>
      </x:c>
      <x:c r="I1832" t="n">
        <x:v>4.4</x:v>
      </x:c>
      <x:c r="J1832" t="n">
        <x:v>17</x:v>
      </x:c>
      <x:c r="K1832" t="n">
        <x:v>6</x:v>
      </x:c>
      <x:c r="L1832" t="str">
        <x:v>STORE-001</x:v>
      </x:c>
      <x:c r="M1832" s="22" t="n">
        <x:v>46120</x:v>
      </x:c>
      <x:c r="N1832" t="str">
        <x:v>SKU-005</x:v>
      </x:c>
      <x:c r="O1832" t="n">
        <x:v>1</x:v>
      </x:c>
      <x:c r="P1832" s="26" t="n">
        <x:f>F1832/O1832</x:f>
        <x:v>229.74</x:v>
      </x:c>
    </x:row>
    <x:row r="1833">
      <x:c r="A1833" t="n">
        <x:v>1832</x:v>
      </x:c>
      <x:c r="B1833" t="n">
        <x:v>27</x:v>
      </x:c>
      <x:c r="C1833" t="str">
        <x:v>Female</x:v>
      </x:c>
      <x:c r="D1833" t="str">
        <x:v>Home</x:v>
      </x:c>
      <x:c r="E1833" t="str">
        <x:v>Lamp</x:v>
      </x:c>
      <x:c r="F1833" s="24" t="n">
        <x:v>191.41</x:v>
      </x:c>
      <x:c r="G1833" t="str">
        <x:v>Spring</x:v>
      </x:c>
      <x:c r="H1833" t="str">
        <x:v>Card</x:v>
      </x:c>
      <x:c r="I1833" t="n">
        <x:v>4.5</x:v>
      </x:c>
      <x:c r="J1833" t="n">
        <x:v>6</x:v>
      </x:c>
      <x:c r="K1833" t="n">
        <x:v>3</x:v>
      </x:c>
      <x:c r="L1833" t="str">
        <x:v>STORE-001</x:v>
      </x:c>
      <x:c r="M1833" s="22" t="n">
        <x:v>46278</x:v>
      </x:c>
      <x:c r="N1833" t="str">
        <x:v>SKU-013</x:v>
      </x:c>
      <x:c r="O1833" t="n">
        <x:v>1</x:v>
      </x:c>
      <x:c r="P1833" s="26" t="n">
        <x:f>F1833/O1833</x:f>
        <x:v>191.41</x:v>
      </x:c>
    </x:row>
    <x:row r="1834">
      <x:c r="A1834" t="n">
        <x:v>1833</x:v>
      </x:c>
      <x:c r="B1834" t="n">
        <x:v>37</x:v>
      </x:c>
      <x:c r="C1834" t="str">
        <x:v>Male</x:v>
      </x:c>
      <x:c r="D1834" t="str">
        <x:v>Sports</x:v>
      </x:c>
      <x:c r="E1834" t="str">
        <x:v>Football</x:v>
      </x:c>
      <x:c r="F1834" s="24" t="n">
        <x:v>165.73</x:v>
      </x:c>
      <x:c r="G1834" t="str">
        <x:v>Autumn</x:v>
      </x:c>
      <x:c r="H1834" t="str">
        <x:v>Card</x:v>
      </x:c>
      <x:c r="I1834" t="n">
        <x:v>3.5</x:v>
      </x:c>
      <x:c r="J1834" t="n">
        <x:v>6</x:v>
      </x:c>
      <x:c r="K1834" t="n">
        <x:v>3</x:v>
      </x:c>
      <x:c r="L1834" t="str">
        <x:v>STORE-001</x:v>
      </x:c>
      <x:c r="M1834" s="22" t="n">
        <x:v>46090</x:v>
      </x:c>
      <x:c r="N1834" t="str">
        <x:v>SKU-006</x:v>
      </x:c>
      <x:c r="O1834" t="n">
        <x:v>1</x:v>
      </x:c>
      <x:c r="P1834" s="26" t="n">
        <x:f>F1834/O1834</x:f>
        <x:v>165.73</x:v>
      </x:c>
    </x:row>
    <x:row r="1835">
      <x:c r="A1835" t="n">
        <x:v>1834</x:v>
      </x:c>
      <x:c r="B1835" t="n">
        <x:v>54</x:v>
      </x:c>
      <x:c r="C1835" t="str">
        <x:v>Male</x:v>
      </x:c>
      <x:c r="D1835" t="str">
        <x:v>Electronics</x:v>
      </x:c>
      <x:c r="E1835" t="str">
        <x:v>Mobile Phone</x:v>
      </x:c>
      <x:c r="F1835" s="24" t="n">
        <x:v>2817.12</x:v>
      </x:c>
      <x:c r="G1835" t="str">
        <x:v>Winter</x:v>
      </x:c>
      <x:c r="H1835" t="str">
        <x:v>Card</x:v>
      </x:c>
      <x:c r="I1835" t="n">
        <x:v>4</x:v>
      </x:c>
      <x:c r="J1835" t="n">
        <x:v>18</x:v>
      </x:c>
      <x:c r="K1835" t="n">
        <x:v>4</x:v>
      </x:c>
      <x:c r="L1835" t="str">
        <x:v>STORE-001</x:v>
      </x:c>
      <x:c r="M1835" s="22" t="n">
        <x:v>46251</x:v>
      </x:c>
      <x:c r="N1835" t="str">
        <x:v>SKU-016</x:v>
      </x:c>
      <x:c r="O1835" t="n">
        <x:v>1</x:v>
      </x:c>
      <x:c r="P1835" s="26" t="n">
        <x:f>F1835/O1835</x:f>
        <x:v>2817.12</x:v>
      </x:c>
    </x:row>
    <x:row r="1836">
      <x:c r="A1836" t="n">
        <x:v>1835</x:v>
      </x:c>
      <x:c r="B1836" t="n">
        <x:v>34</x:v>
      </x:c>
      <x:c r="C1836" t="str">
        <x:v>Male</x:v>
      </x:c>
      <x:c r="D1836" t="str">
        <x:v>Footwear</x:v>
      </x:c>
      <x:c r="E1836" t="str">
        <x:v>Formal Shoes</x:v>
      </x:c>
      <x:c r="F1836" s="24" t="n">
        <x:v>243.34</x:v>
      </x:c>
      <x:c r="G1836" t="str">
        <x:v>Winter</x:v>
      </x:c>
      <x:c r="H1836" t="str">
        <x:v>Card</x:v>
      </x:c>
      <x:c r="I1836" t="n">
        <x:v>3.5</x:v>
      </x:c>
      <x:c r="J1836" t="n">
        <x:v>11</x:v>
      </x:c>
      <x:c r="K1836" t="n">
        <x:v>3</x:v>
      </x:c>
      <x:c r="L1836" t="str">
        <x:v>STORE-001</x:v>
      </x:c>
      <x:c r="M1836" s="22" t="n">
        <x:v>46210</x:v>
      </x:c>
      <x:c r="N1836" t="str">
        <x:v>SKU-007</x:v>
      </x:c>
      <x:c r="O1836" t="n">
        <x:v>1</x:v>
      </x:c>
      <x:c r="P1836" s="26" t="n">
        <x:f>F1836/O1836</x:f>
        <x:v>243.34</x:v>
      </x:c>
    </x:row>
    <x:row r="1837">
      <x:c r="A1837" t="n">
        <x:v>1836</x:v>
      </x:c>
      <x:c r="B1837" t="n">
        <x:v>56</x:v>
      </x:c>
      <x:c r="C1837" t="str">
        <x:v>Male</x:v>
      </x:c>
      <x:c r="D1837" t="str">
        <x:v>Electronics</x:v>
      </x:c>
      <x:c r="E1837" t="str">
        <x:v>Smart Watch</x:v>
      </x:c>
      <x:c r="F1837" s="24" t="n">
        <x:v>1574.28</x:v>
      </x:c>
      <x:c r="G1837" t="str">
        <x:v>Spring</x:v>
      </x:c>
      <x:c r="H1837" t="str">
        <x:v>Card</x:v>
      </x:c>
      <x:c r="I1837" t="n">
        <x:v>3.3</x:v>
      </x:c>
      <x:c r="J1837" t="n">
        <x:v>13</x:v>
      </x:c>
      <x:c r="K1837" t="n">
        <x:v>4</x:v>
      </x:c>
      <x:c r="L1837" t="str">
        <x:v>STORE-001</x:v>
      </x:c>
      <x:c r="M1837" s="22" t="n">
        <x:v>46273</x:v>
      </x:c>
      <x:c r="N1837" t="str">
        <x:v>SKU-023</x:v>
      </x:c>
      <x:c r="O1837" t="n">
        <x:v>1</x:v>
      </x:c>
      <x:c r="P1837" s="26" t="n">
        <x:f>F1837/O1837</x:f>
        <x:v>1574.28</x:v>
      </x:c>
    </x:row>
    <x:row r="1838">
      <x:c r="A1838" t="n">
        <x:v>1837</x:v>
      </x:c>
      <x:c r="B1838" t="n">
        <x:v>28</x:v>
      </x:c>
      <x:c r="C1838" t="str">
        <x:v>Female</x:v>
      </x:c>
      <x:c r="D1838" t="str">
        <x:v>Accessories</x:v>
      </x:c>
      <x:c r="E1838" t="str">
        <x:v>Handbag</x:v>
      </x:c>
      <x:c r="F1838" s="24" t="n">
        <x:v>142.54</x:v>
      </x:c>
      <x:c r="G1838" t="str">
        <x:v>Summer</x:v>
      </x:c>
      <x:c r="H1838" t="str">
        <x:v>Card</x:v>
      </x:c>
      <x:c r="I1838" t="n">
        <x:v>4.7</x:v>
      </x:c>
      <x:c r="J1838" t="n">
        <x:v>20</x:v>
      </x:c>
      <x:c r="K1838" t="n">
        <x:v>10</x:v>
      </x:c>
      <x:c r="L1838" t="str">
        <x:v>STORE-001</x:v>
      </x:c>
      <x:c r="M1838" s="22" t="n">
        <x:v>46027</x:v>
      </x:c>
      <x:c r="N1838" t="str">
        <x:v>SKU-008</x:v>
      </x:c>
      <x:c r="O1838" t="n">
        <x:v>1</x:v>
      </x:c>
      <x:c r="P1838" s="26" t="n">
        <x:f>F1838/O1838</x:f>
        <x:v>142.54</x:v>
      </x:c>
    </x:row>
    <x:row r="1839">
      <x:c r="A1839" t="n">
        <x:v>1838</x:v>
      </x:c>
      <x:c r="B1839" t="n">
        <x:v>26</x:v>
      </x:c>
      <x:c r="C1839" t="str">
        <x:v>Male</x:v>
      </x:c>
      <x:c r="D1839" t="str">
        <x:v>Sports</x:v>
      </x:c>
      <x:c r="E1839" t="str">
        <x:v>Football</x:v>
      </x:c>
      <x:c r="F1839" s="24" t="n">
        <x:v>138.28</x:v>
      </x:c>
      <x:c r="G1839" t="str">
        <x:v>Autumn</x:v>
      </x:c>
      <x:c r="H1839" t="str">
        <x:v>Card</x:v>
      </x:c>
      <x:c r="I1839" t="n">
        <x:v>4</x:v>
      </x:c>
      <x:c r="J1839" t="n">
        <x:v>15</x:v>
      </x:c>
      <x:c r="K1839" t="n">
        <x:v>5</x:v>
      </x:c>
      <x:c r="L1839" t="str">
        <x:v>STORE-001</x:v>
      </x:c>
      <x:c r="M1839" s="22" t="n">
        <x:v>46089</x:v>
      </x:c>
      <x:c r="N1839" t="str">
        <x:v>SKU-006</x:v>
      </x:c>
      <x:c r="O1839" t="n">
        <x:v>1</x:v>
      </x:c>
      <x:c r="P1839" s="26" t="n">
        <x:f>F1839/O1839</x:f>
        <x:v>138.28</x:v>
      </x:c>
    </x:row>
    <x:row r="1840">
      <x:c r="A1840" t="n">
        <x:v>1839</x:v>
      </x:c>
      <x:c r="B1840" t="n">
        <x:v>64</x:v>
      </x:c>
      <x:c r="C1840" t="str">
        <x:v>Female</x:v>
      </x:c>
      <x:c r="D1840" t="str">
        <x:v>Womens Clothing</x:v>
      </x:c>
      <x:c r="E1840" t="str">
        <x:v>Top</x:v>
      </x:c>
      <x:c r="F1840" s="24" t="n">
        <x:v>82.07</x:v>
      </x:c>
      <x:c r="G1840" t="str">
        <x:v>Winter</x:v>
      </x:c>
      <x:c r="H1840" t="str">
        <x:v>Card</x:v>
      </x:c>
      <x:c r="I1840" t="n">
        <x:v>4.4</x:v>
      </x:c>
      <x:c r="J1840" t="n">
        <x:v>9</x:v>
      </x:c>
      <x:c r="K1840" t="n">
        <x:v>2</x:v>
      </x:c>
      <x:c r="L1840" t="str">
        <x:v>STORE-001</x:v>
      </x:c>
      <x:c r="M1840" s="22" t="n">
        <x:v>46263</x:v>
      </x:c>
      <x:c r="N1840" t="str">
        <x:v>SKU-028</x:v>
      </x:c>
      <x:c r="O1840" t="n">
        <x:v>1</x:v>
      </x:c>
      <x:c r="P1840" s="26" t="n">
        <x:f>F1840/O1840</x:f>
        <x:v>82.07</x:v>
      </x:c>
    </x:row>
    <x:row r="1841">
      <x:c r="A1841" t="n">
        <x:v>1840</x:v>
      </x:c>
      <x:c r="B1841" t="n">
        <x:v>64</x:v>
      </x:c>
      <x:c r="C1841" t="str">
        <x:v>Female</x:v>
      </x:c>
      <x:c r="D1841" t="str">
        <x:v>Accessories</x:v>
      </x:c>
      <x:c r="E1841" t="str">
        <x:v>Wallet</x:v>
      </x:c>
      <x:c r="F1841" s="24" t="n">
        <x:v>137.64</x:v>
      </x:c>
      <x:c r="G1841" t="str">
        <x:v>Winter</x:v>
      </x:c>
      <x:c r="H1841" t="str">
        <x:v>Card</x:v>
      </x:c>
      <x:c r="I1841" t="n">
        <x:v>2.9</x:v>
      </x:c>
      <x:c r="J1841" t="n">
        <x:v>24</x:v>
      </x:c>
      <x:c r="K1841" t="n">
        <x:v>7</x:v>
      </x:c>
      <x:c r="L1841" t="str">
        <x:v>STORE-001</x:v>
      </x:c>
      <x:c r="M1841" s="22" t="n">
        <x:v>46234</x:v>
      </x:c>
      <x:c r="N1841" t="str">
        <x:v>SKU-029</x:v>
      </x:c>
      <x:c r="O1841" t="n">
        <x:v>1</x:v>
      </x:c>
      <x:c r="P1841" s="26" t="n">
        <x:f>F1841/O1841</x:f>
        <x:v>137.64</x:v>
      </x:c>
    </x:row>
    <x:row r="1842">
      <x:c r="A1842" t="n">
        <x:v>1841</x:v>
      </x:c>
      <x:c r="B1842" t="n">
        <x:v>64</x:v>
      </x:c>
      <x:c r="C1842" t="str">
        <x:v>Female</x:v>
      </x:c>
      <x:c r="D1842" t="str">
        <x:v>Accessories</x:v>
      </x:c>
      <x:c r="E1842" t="str">
        <x:v>Sunglasses</x:v>
      </x:c>
      <x:c r="F1842" s="24" t="n">
        <x:v>69.56</x:v>
      </x:c>
      <x:c r="G1842" t="str">
        <x:v>Winter</x:v>
      </x:c>
      <x:c r="H1842" t="str">
        <x:v>Cash on Delivery</x:v>
      </x:c>
      <x:c r="I1842" t="n">
        <x:v>3.2</x:v>
      </x:c>
      <x:c r="J1842" t="n">
        <x:v>23</x:v>
      </x:c>
      <x:c r="K1842" t="n">
        <x:v>9</x:v>
      </x:c>
      <x:c r="L1842" t="str">
        <x:v>STORE-001</x:v>
      </x:c>
      <x:c r="M1842" s="22" t="n">
        <x:v>46224</x:v>
      </x:c>
      <x:c r="N1842" t="str">
        <x:v>SKU-026</x:v>
      </x:c>
      <x:c r="O1842" t="n">
        <x:v>1</x:v>
      </x:c>
      <x:c r="P1842" s="26" t="n">
        <x:f>F1842/O1842</x:f>
        <x:v>69.56</x:v>
      </x:c>
    </x:row>
    <x:row r="1843">
      <x:c r="A1843" t="n">
        <x:v>1842</x:v>
      </x:c>
      <x:c r="B1843" t="n">
        <x:v>40</x:v>
      </x:c>
      <x:c r="C1843" t="str">
        <x:v>Male</x:v>
      </x:c>
      <x:c r="D1843" t="str">
        <x:v>Mens Clothing</x:v>
      </x:c>
      <x:c r="E1843" t="str">
        <x:v>Jacket</x:v>
      </x:c>
      <x:c r="F1843" s="24" t="n">
        <x:v>119.18</x:v>
      </x:c>
      <x:c r="G1843" t="str">
        <x:v>Summer</x:v>
      </x:c>
      <x:c r="H1843" t="str">
        <x:v>Card</x:v>
      </x:c>
      <x:c r="I1843" t="n">
        <x:v>4</x:v>
      </x:c>
      <x:c r="J1843" t="n">
        <x:v>24</x:v>
      </x:c>
      <x:c r="K1843" t="n">
        <x:v>7</x:v>
      </x:c>
      <x:c r="L1843" t="str">
        <x:v>STORE-001</x:v>
      </x:c>
      <x:c r="M1843" s="22" t="n">
        <x:v>46069</x:v>
      </x:c>
      <x:c r="N1843" t="str">
        <x:v>SKU-010</x:v>
      </x:c>
      <x:c r="O1843" t="n">
        <x:v>1</x:v>
      </x:c>
      <x:c r="P1843" s="26" t="n">
        <x:f>F1843/O1843</x:f>
        <x:v>119.18</x:v>
      </x:c>
    </x:row>
    <x:row r="1844">
      <x:c r="A1844" t="n">
        <x:v>1843</x:v>
      </x:c>
      <x:c r="B1844" t="n">
        <x:v>28</x:v>
      </x:c>
      <x:c r="C1844" t="str">
        <x:v>Male</x:v>
      </x:c>
      <x:c r="D1844" t="str">
        <x:v>Sports</x:v>
      </x:c>
      <x:c r="E1844" t="str">
        <x:v>Dumbbells</x:v>
      </x:c>
      <x:c r="F1844" s="24" t="n">
        <x:v>197.53</x:v>
      </x:c>
      <x:c r="G1844" t="str">
        <x:v>Winter</x:v>
      </x:c>
      <x:c r="H1844" t="str">
        <x:v>Card</x:v>
      </x:c>
      <x:c r="I1844" t="n">
        <x:v>4.1</x:v>
      </x:c>
      <x:c r="J1844" t="n">
        <x:v>22</x:v>
      </x:c>
      <x:c r="K1844" t="n">
        <x:v>6</x:v>
      </x:c>
      <x:c r="L1844" t="str">
        <x:v>STORE-001</x:v>
      </x:c>
      <x:c r="M1844" s="22" t="n">
        <x:v>46252</x:v>
      </x:c>
      <x:c r="N1844" t="str">
        <x:v>SKU-005</x:v>
      </x:c>
      <x:c r="O1844" t="n">
        <x:v>1</x:v>
      </x:c>
      <x:c r="P1844" s="26" t="n">
        <x:f>F1844/O1844</x:f>
        <x:v>197.53</x:v>
      </x:c>
    </x:row>
    <x:row r="1845">
      <x:c r="A1845" t="n">
        <x:v>1844</x:v>
      </x:c>
      <x:c r="B1845" t="n">
        <x:v>63</x:v>
      </x:c>
      <x:c r="C1845" t="str">
        <x:v>Female</x:v>
      </x:c>
      <x:c r="D1845" t="str">
        <x:v>Footwear</x:v>
      </x:c>
      <x:c r="E1845" t="str">
        <x:v>Sandals</x:v>
      </x:c>
      <x:c r="F1845" s="24" t="n">
        <x:v>183.93</x:v>
      </x:c>
      <x:c r="G1845" t="str">
        <x:v>Autumn</x:v>
      </x:c>
      <x:c r="H1845" t="str">
        <x:v>Card</x:v>
      </x:c>
      <x:c r="I1845" t="n">
        <x:v>4.7</x:v>
      </x:c>
      <x:c r="J1845" t="n">
        <x:v>22</x:v>
      </x:c>
      <x:c r="K1845" t="n">
        <x:v>6</x:v>
      </x:c>
      <x:c r="L1845" t="str">
        <x:v>STORE-001</x:v>
      </x:c>
      <x:c r="M1845" s="22" t="n">
        <x:v>46161</x:v>
      </x:c>
      <x:c r="N1845" t="str">
        <x:v>SKU-019</x:v>
      </x:c>
      <x:c r="O1845" t="n">
        <x:v>1</x:v>
      </x:c>
      <x:c r="P1845" s="26" t="n">
        <x:f>F1845/O1845</x:f>
        <x:v>183.93</x:v>
      </x:c>
    </x:row>
    <x:row r="1846">
      <x:c r="A1846" t="n">
        <x:v>1845</x:v>
      </x:c>
      <x:c r="B1846" t="n">
        <x:v>54</x:v>
      </x:c>
      <x:c r="C1846" t="str">
        <x:v>Male</x:v>
      </x:c>
      <x:c r="D1846" t="str">
        <x:v>Electronics</x:v>
      </x:c>
      <x:c r="E1846" t="str">
        <x:v>Mobile Phone</x:v>
      </x:c>
      <x:c r="F1846" s="24" t="n">
        <x:v>1324.31</x:v>
      </x:c>
      <x:c r="G1846" t="str">
        <x:v>Summer</x:v>
      </x:c>
      <x:c r="H1846" t="str">
        <x:v>Card</x:v>
      </x:c>
      <x:c r="I1846" t="n">
        <x:v>3.5</x:v>
      </x:c>
      <x:c r="J1846" t="n">
        <x:v>18</x:v>
      </x:c>
      <x:c r="K1846" t="n">
        <x:v>4</x:v>
      </x:c>
      <x:c r="L1846" t="str">
        <x:v>STORE-001</x:v>
      </x:c>
      <x:c r="M1846" s="22" t="n">
        <x:v>46066</x:v>
      </x:c>
      <x:c r="N1846" t="str">
        <x:v>SKU-016</x:v>
      </x:c>
      <x:c r="O1846" t="n">
        <x:v>1</x:v>
      </x:c>
      <x:c r="P1846" s="26" t="n">
        <x:f>F1846/O1846</x:f>
        <x:v>1324.31</x:v>
      </x:c>
    </x:row>
    <x:row r="1847">
      <x:c r="A1847" t="n">
        <x:v>1846</x:v>
      </x:c>
      <x:c r="B1847" t="n">
        <x:v>57</x:v>
      </x:c>
      <x:c r="C1847" t="str">
        <x:v>Male</x:v>
      </x:c>
      <x:c r="D1847" t="str">
        <x:v>Footwear</x:v>
      </x:c>
      <x:c r="E1847" t="str">
        <x:v>Sandals</x:v>
      </x:c>
      <x:c r="F1847" s="24" t="n">
        <x:v>192.19</x:v>
      </x:c>
      <x:c r="G1847" t="str">
        <x:v>Autumn</x:v>
      </x:c>
      <x:c r="H1847" t="str">
        <x:v>Card</x:v>
      </x:c>
      <x:c r="I1847" t="n">
        <x:v>3.8</x:v>
      </x:c>
      <x:c r="J1847" t="n">
        <x:v>8</x:v>
      </x:c>
      <x:c r="K1847" t="n">
        <x:v>4</x:v>
      </x:c>
      <x:c r="L1847" t="str">
        <x:v>STORE-001</x:v>
      </x:c>
      <x:c r="M1847" s="22" t="n">
        <x:v>46173</x:v>
      </x:c>
      <x:c r="N1847" t="str">
        <x:v>SKU-019</x:v>
      </x:c>
      <x:c r="O1847" t="n">
        <x:v>1</x:v>
      </x:c>
      <x:c r="P1847" s="26" t="n">
        <x:f>F1847/O1847</x:f>
        <x:v>192.19</x:v>
      </x:c>
    </x:row>
    <x:row r="1848">
      <x:c r="A1848" t="n">
        <x:v>1847</x:v>
      </x:c>
      <x:c r="B1848" t="n">
        <x:v>34</x:v>
      </x:c>
      <x:c r="C1848" t="str">
        <x:v>Male</x:v>
      </x:c>
      <x:c r="D1848" t="str">
        <x:v>Sports</x:v>
      </x:c>
      <x:c r="E1848" t="str">
        <x:v>Dumbbells</x:v>
      </x:c>
      <x:c r="F1848" s="24" t="n">
        <x:v>111.77</x:v>
      </x:c>
      <x:c r="G1848" t="str">
        <x:v>Spring</x:v>
      </x:c>
      <x:c r="H1848" t="str">
        <x:v>Card</x:v>
      </x:c>
      <x:c r="I1848" t="n">
        <x:v>4.6</x:v>
      </x:c>
      <x:c r="J1848" t="n">
        <x:v>12</x:v>
      </x:c>
      <x:c r="K1848" t="n">
        <x:v>1</x:v>
      </x:c>
      <x:c r="L1848" t="str">
        <x:v>STORE-001</x:v>
      </x:c>
      <x:c r="M1848" s="22" t="n">
        <x:v>45981</x:v>
      </x:c>
      <x:c r="N1848" t="str">
        <x:v>SKU-005</x:v>
      </x:c>
      <x:c r="O1848" t="n">
        <x:v>1</x:v>
      </x:c>
      <x:c r="P1848" s="26" t="n">
        <x:f>F1848/O1848</x:f>
        <x:v>111.77</x:v>
      </x:c>
    </x:row>
    <x:row r="1849">
      <x:c r="A1849" t="n">
        <x:v>1848</x:v>
      </x:c>
      <x:c r="B1849" t="n">
        <x:v>52</x:v>
      </x:c>
      <x:c r="C1849" t="str">
        <x:v>Male</x:v>
      </x:c>
      <x:c r="D1849" t="str">
        <x:v>Sports</x:v>
      </x:c>
      <x:c r="E1849" t="str">
        <x:v>Football</x:v>
      </x:c>
      <x:c r="F1849" s="24" t="n">
        <x:v>105.58</x:v>
      </x:c>
      <x:c r="G1849" t="str">
        <x:v>Summer</x:v>
      </x:c>
      <x:c r="H1849" t="str">
        <x:v>Card</x:v>
      </x:c>
      <x:c r="I1849" t="n">
        <x:v>3.2</x:v>
      </x:c>
      <x:c r="J1849" t="n">
        <x:v>17</x:v>
      </x:c>
      <x:c r="K1849" t="n">
        <x:v>6</x:v>
      </x:c>
      <x:c r="L1849" t="str">
        <x:v>STORE-001</x:v>
      </x:c>
      <x:c r="M1849" s="22" t="n">
        <x:v>46004</x:v>
      </x:c>
      <x:c r="N1849" t="str">
        <x:v>SKU-006</x:v>
      </x:c>
      <x:c r="O1849" t="n">
        <x:v>1</x:v>
      </x:c>
      <x:c r="P1849" s="26" t="n">
        <x:f>F1849/O1849</x:f>
        <x:v>105.58</x:v>
      </x:c>
    </x:row>
    <x:row r="1850">
      <x:c r="A1850" t="n">
        <x:v>1849</x:v>
      </x:c>
      <x:c r="B1850" t="n">
        <x:v>44</x:v>
      </x:c>
      <x:c r="C1850" t="str">
        <x:v>Female</x:v>
      </x:c>
      <x:c r="D1850" t="str">
        <x:v>Beauty</x:v>
      </x:c>
      <x:c r="E1850" t="str">
        <x:v>Perfume</x:v>
      </x:c>
      <x:c r="F1850" s="24" t="n">
        <x:v>57.25</x:v>
      </x:c>
      <x:c r="G1850" t="str">
        <x:v>Summer</x:v>
      </x:c>
      <x:c r="H1850" t="str">
        <x:v>Cash on Delivery</x:v>
      </x:c>
      <x:c r="I1850" t="n">
        <x:v>3.3</x:v>
      </x:c>
      <x:c r="J1850" t="n">
        <x:v>10</x:v>
      </x:c>
      <x:c r="K1850" t="n">
        <x:v>5</x:v>
      </x:c>
      <x:c r="L1850" t="str">
        <x:v>STORE-001</x:v>
      </x:c>
      <x:c r="M1850" s="22" t="n">
        <x:v>46045</x:v>
      </x:c>
      <x:c r="N1850" t="str">
        <x:v>SKU-017</x:v>
      </x:c>
      <x:c r="O1850" t="n">
        <x:v>2</x:v>
      </x:c>
      <x:c r="P1850" s="26" t="n">
        <x:f>F1850/O1850</x:f>
        <x:v>28.625</x:v>
      </x:c>
    </x:row>
    <x:row r="1851">
      <x:c r="A1851" t="n">
        <x:v>1850</x:v>
      </x:c>
      <x:c r="B1851" t="n">
        <x:v>43</x:v>
      </x:c>
      <x:c r="C1851" t="str">
        <x:v>Female</x:v>
      </x:c>
      <x:c r="D1851" t="str">
        <x:v>Beauty</x:v>
      </x:c>
      <x:c r="E1851" t="str">
        <x:v>Makeup Set</x:v>
      </x:c>
      <x:c r="F1851" s="24" t="n">
        <x:v>146.27</x:v>
      </x:c>
      <x:c r="G1851" t="str">
        <x:v>Winter</x:v>
      </x:c>
      <x:c r="H1851" t="str">
        <x:v>Card</x:v>
      </x:c>
      <x:c r="I1851" t="n">
        <x:v>3.1</x:v>
      </x:c>
      <x:c r="J1851" t="n">
        <x:v>18</x:v>
      </x:c>
      <x:c r="K1851" t="n">
        <x:v>4</x:v>
      </x:c>
      <x:c r="L1851" t="str">
        <x:v>STORE-001</x:v>
      </x:c>
      <x:c r="M1851" s="22" t="n">
        <x:v>46238</x:v>
      </x:c>
      <x:c r="N1851" t="str">
        <x:v>SKU-015</x:v>
      </x:c>
      <x:c r="O1851" t="n">
        <x:v>1</x:v>
      </x:c>
      <x:c r="P1851" s="26" t="n">
        <x:f>F1851/O1851</x:f>
        <x:v>146.27</x:v>
      </x:c>
    </x:row>
    <x:row r="1852">
      <x:c r="A1852" t="n">
        <x:v>1851</x:v>
      </x:c>
      <x:c r="B1852" t="n">
        <x:v>63</x:v>
      </x:c>
      <x:c r="C1852" t="str">
        <x:v>Female</x:v>
      </x:c>
      <x:c r="D1852" t="str">
        <x:v>Accessories</x:v>
      </x:c>
      <x:c r="E1852" t="str">
        <x:v>Wallet</x:v>
      </x:c>
      <x:c r="F1852" s="24" t="n">
        <x:v>137.27</x:v>
      </x:c>
      <x:c r="G1852" t="str">
        <x:v>Winter</x:v>
      </x:c>
      <x:c r="H1852" t="str">
        <x:v>Card</x:v>
      </x:c>
      <x:c r="I1852" t="n">
        <x:v>4.4</x:v>
      </x:c>
      <x:c r="J1852" t="n">
        <x:v>6</x:v>
      </x:c>
      <x:c r="K1852" t="n">
        <x:v>3</x:v>
      </x:c>
      <x:c r="L1852" t="str">
        <x:v>STORE-001</x:v>
      </x:c>
      <x:c r="M1852" s="22" t="n">
        <x:v>46210</x:v>
      </x:c>
      <x:c r="N1852" t="str">
        <x:v>SKU-029</x:v>
      </x:c>
      <x:c r="O1852" t="n">
        <x:v>1</x:v>
      </x:c>
      <x:c r="P1852" s="26" t="n">
        <x:f>F1852/O1852</x:f>
        <x:v>137.27</x:v>
      </x:c>
    </x:row>
    <x:row r="1853">
      <x:c r="A1853" t="n">
        <x:v>1852</x:v>
      </x:c>
      <x:c r="B1853" t="n">
        <x:v>37</x:v>
      </x:c>
      <x:c r="C1853" t="str">
        <x:v>Male</x:v>
      </x:c>
      <x:c r="D1853" t="str">
        <x:v>Mens Clothing</x:v>
      </x:c>
      <x:c r="E1853" t="str">
        <x:v>Jeans</x:v>
      </x:c>
      <x:c r="F1853" s="24" t="n">
        <x:v>79.69</x:v>
      </x:c>
      <x:c r="G1853" t="str">
        <x:v>Autumn</x:v>
      </x:c>
      <x:c r="H1853" t="str">
        <x:v>Cash on Delivery</x:v>
      </x:c>
      <x:c r="I1853" t="n">
        <x:v>4.3</x:v>
      </x:c>
      <x:c r="J1853" t="n">
        <x:v>4</x:v>
      </x:c>
      <x:c r="K1853" t="n">
        <x:v>2</x:v>
      </x:c>
      <x:c r="L1853" t="str">
        <x:v>STORE-001</x:v>
      </x:c>
      <x:c r="M1853" s="22" t="n">
        <x:v>46103</x:v>
      </x:c>
      <x:c r="N1853" t="str">
        <x:v>SKU-011</x:v>
      </x:c>
      <x:c r="O1853" t="n">
        <x:v>1</x:v>
      </x:c>
      <x:c r="P1853" s="26" t="n">
        <x:f>F1853/O1853</x:f>
        <x:v>79.69</x:v>
      </x:c>
    </x:row>
    <x:row r="1854">
      <x:c r="A1854" t="n">
        <x:v>1853</x:v>
      </x:c>
      <x:c r="B1854" t="n">
        <x:v>48</x:v>
      </x:c>
      <x:c r="C1854" t="str">
        <x:v>Female</x:v>
      </x:c>
      <x:c r="D1854" t="str">
        <x:v>Beauty</x:v>
      </x:c>
      <x:c r="E1854" t="str">
        <x:v>Makeup Set</x:v>
      </x:c>
      <x:c r="F1854" s="24" t="n">
        <x:v>29.31</x:v>
      </x:c>
      <x:c r="G1854" t="str">
        <x:v>Winter</x:v>
      </x:c>
      <x:c r="H1854" t="str">
        <x:v>Card</x:v>
      </x:c>
      <x:c r="I1854" t="n">
        <x:v>4.9</x:v>
      </x:c>
      <x:c r="J1854" t="n">
        <x:v>18</x:v>
      </x:c>
      <x:c r="K1854" t="n">
        <x:v>4</x:v>
      </x:c>
      <x:c r="L1854" t="str">
        <x:v>STORE-001</x:v>
      </x:c>
      <x:c r="M1854" s="22" t="n">
        <x:v>46249</x:v>
      </x:c>
      <x:c r="N1854" t="str">
        <x:v>SKU-015</x:v>
      </x:c>
      <x:c r="O1854" t="n">
        <x:v>1</x:v>
      </x:c>
      <x:c r="P1854" s="26" t="n">
        <x:f>F1854/O1854</x:f>
        <x:v>29.31</x:v>
      </x:c>
    </x:row>
    <x:row r="1855">
      <x:c r="A1855" t="n">
        <x:v>1854</x:v>
      </x:c>
      <x:c r="B1855" t="n">
        <x:v>47</x:v>
      </x:c>
      <x:c r="C1855" t="str">
        <x:v>Male</x:v>
      </x:c>
      <x:c r="D1855" t="str">
        <x:v>Mens Clothing</x:v>
      </x:c>
      <x:c r="E1855" t="str">
        <x:v>Jacket</x:v>
      </x:c>
      <x:c r="F1855" s="24" t="n">
        <x:v>110.78</x:v>
      </x:c>
      <x:c r="G1855" t="str">
        <x:v>Spring</x:v>
      </x:c>
      <x:c r="H1855" t="str">
        <x:v>Card</x:v>
      </x:c>
      <x:c r="I1855" t="n">
        <x:v>3.9</x:v>
      </x:c>
      <x:c r="J1855" t="n">
        <x:v>10</x:v>
      </x:c>
      <x:c r="K1855" t="n">
        <x:v>5</x:v>
      </x:c>
      <x:c r="L1855" t="str">
        <x:v>STORE-001</x:v>
      </x:c>
      <x:c r="M1855" s="22" t="n">
        <x:v>46294</x:v>
      </x:c>
      <x:c r="N1855" t="str">
        <x:v>SKU-010</x:v>
      </x:c>
      <x:c r="O1855" t="n">
        <x:v>1</x:v>
      </x:c>
      <x:c r="P1855" s="26" t="n">
        <x:f>F1855/O1855</x:f>
        <x:v>110.78</x:v>
      </x:c>
    </x:row>
    <x:row r="1856">
      <x:c r="A1856" t="n">
        <x:v>1855</x:v>
      </x:c>
      <x:c r="B1856" t="n">
        <x:v>60</x:v>
      </x:c>
      <x:c r="C1856" t="str">
        <x:v>Female</x:v>
      </x:c>
      <x:c r="D1856" t="str">
        <x:v>Accessories</x:v>
      </x:c>
      <x:c r="E1856" t="str">
        <x:v>Sunglasses</x:v>
      </x:c>
      <x:c r="F1856" s="24" t="n">
        <x:v>88.27</x:v>
      </x:c>
      <x:c r="G1856" t="str">
        <x:v>Autumn</x:v>
      </x:c>
      <x:c r="H1856" t="str">
        <x:v>Card</x:v>
      </x:c>
      <x:c r="I1856" t="n">
        <x:v>2.9</x:v>
      </x:c>
      <x:c r="J1856" t="n">
        <x:v>14</x:v>
      </x:c>
      <x:c r="K1856" t="n">
        <x:v>7</x:v>
      </x:c>
      <x:c r="L1856" t="str">
        <x:v>STORE-001</x:v>
      </x:c>
      <x:c r="M1856" s="22" t="n">
        <x:v>46110</x:v>
      </x:c>
      <x:c r="N1856" t="str">
        <x:v>SKU-026</x:v>
      </x:c>
      <x:c r="O1856" t="n">
        <x:v>2</x:v>
      </x:c>
      <x:c r="P1856" s="26" t="n">
        <x:f>F1856/O1856</x:f>
        <x:v>44.135</x:v>
      </x:c>
    </x:row>
    <x:row r="1857">
      <x:c r="A1857" t="n">
        <x:v>1856</x:v>
      </x:c>
      <x:c r="B1857" t="n">
        <x:v>25</x:v>
      </x:c>
      <x:c r="C1857" t="str">
        <x:v>Female</x:v>
      </x:c>
      <x:c r="D1857" t="str">
        <x:v>Accessories</x:v>
      </x:c>
      <x:c r="E1857" t="str">
        <x:v>Wallet</x:v>
      </x:c>
      <x:c r="F1857" s="24" t="n">
        <x:v>155.11</x:v>
      </x:c>
      <x:c r="G1857" t="str">
        <x:v>Autumn</x:v>
      </x:c>
      <x:c r="H1857" t="str">
        <x:v>Card</x:v>
      </x:c>
      <x:c r="I1857" t="n">
        <x:v>4.4</x:v>
      </x:c>
      <x:c r="J1857" t="n">
        <x:v>13</x:v>
      </x:c>
      <x:c r="K1857" t="n">
        <x:v>4</x:v>
      </x:c>
      <x:c r="L1857" t="str">
        <x:v>STORE-001</x:v>
      </x:c>
      <x:c r="M1857" s="22" t="n">
        <x:v>46147</x:v>
      </x:c>
      <x:c r="N1857" t="str">
        <x:v>SKU-029</x:v>
      </x:c>
      <x:c r="O1857" t="n">
        <x:v>1</x:v>
      </x:c>
      <x:c r="P1857" s="26" t="n">
        <x:f>F1857/O1857</x:f>
        <x:v>155.11</x:v>
      </x:c>
    </x:row>
    <x:row r="1858">
      <x:c r="A1858" t="n">
        <x:v>1857</x:v>
      </x:c>
      <x:c r="B1858" t="n">
        <x:v>20</x:v>
      </x:c>
      <x:c r="C1858" t="str">
        <x:v>Male</x:v>
      </x:c>
      <x:c r="D1858" t="str">
        <x:v>Footwear</x:v>
      </x:c>
      <x:c r="E1858" t="str">
        <x:v>Sneakers</x:v>
      </x:c>
      <x:c r="F1858" s="24" t="n">
        <x:v>125.9</x:v>
      </x:c>
      <x:c r="G1858" t="str">
        <x:v>Autumn</x:v>
      </x:c>
      <x:c r="H1858" t="str">
        <x:v>Card</x:v>
      </x:c>
      <x:c r="I1858" t="n">
        <x:v>4.1</x:v>
      </x:c>
      <x:c r="J1858" t="n">
        <x:v>20</x:v>
      </x:c>
      <x:c r="K1858" t="n">
        <x:v>5</x:v>
      </x:c>
      <x:c r="L1858" t="str">
        <x:v>STORE-001</x:v>
      </x:c>
      <x:c r="M1858" s="22" t="n">
        <x:v>46117</x:v>
      </x:c>
      <x:c r="N1858" t="str">
        <x:v>SKU-025</x:v>
      </x:c>
      <x:c r="O1858" t="n">
        <x:v>2</x:v>
      </x:c>
      <x:c r="P1858" s="26" t="n">
        <x:f>F1858/O1858</x:f>
        <x:v>62.95</x:v>
      </x:c>
    </x:row>
    <x:row r="1859">
      <x:c r="A1859" t="n">
        <x:v>1858</x:v>
      </x:c>
      <x:c r="B1859" t="n">
        <x:v>29</x:v>
      </x:c>
      <x:c r="C1859" t="str">
        <x:v>Female</x:v>
      </x:c>
      <x:c r="D1859" t="str">
        <x:v>Groceries</x:v>
      </x:c>
      <x:c r="E1859" t="str">
        <x:v>Rice Pack</x:v>
      </x:c>
      <x:c r="F1859" s="24" t="n">
        <x:v>78.52</x:v>
      </x:c>
      <x:c r="G1859" t="str">
        <x:v>Autumn</x:v>
      </x:c>
      <x:c r="H1859" t="str">
        <x:v>Cash on Delivery</x:v>
      </x:c>
      <x:c r="I1859" t="n">
        <x:v>3.5</x:v>
      </x:c>
      <x:c r="J1859" t="n">
        <x:v>18</x:v>
      </x:c>
      <x:c r="K1859" t="n">
        <x:v>4</x:v>
      </x:c>
      <x:c r="L1859" t="str">
        <x:v>STORE-001</x:v>
      </x:c>
      <x:c r="M1859" s="22" t="n">
        <x:v>46101</x:v>
      </x:c>
      <x:c r="N1859" t="str">
        <x:v>SKU-018</x:v>
      </x:c>
      <x:c r="O1859" t="n">
        <x:v>2</x:v>
      </x:c>
      <x:c r="P1859" s="26" t="n">
        <x:f>F1859/O1859</x:f>
        <x:v>39.26</x:v>
      </x:c>
    </x:row>
    <x:row r="1860">
      <x:c r="A1860" t="n">
        <x:v>1859</x:v>
      </x:c>
      <x:c r="B1860" t="n">
        <x:v>49</x:v>
      </x:c>
      <x:c r="C1860" t="str">
        <x:v>Female</x:v>
      </x:c>
      <x:c r="D1860" t="str">
        <x:v>Groceries</x:v>
      </x:c>
      <x:c r="E1860" t="str">
        <x:v>Snacks</x:v>
      </x:c>
      <x:c r="F1860" s="24" t="n">
        <x:v>21.32</x:v>
      </x:c>
      <x:c r="G1860" t="str">
        <x:v>Autumn</x:v>
      </x:c>
      <x:c r="H1860" t="str">
        <x:v>Cash on Delivery</x:v>
      </x:c>
      <x:c r="I1860" t="n">
        <x:v>4.6</x:v>
      </x:c>
      <x:c r="J1860" t="n">
        <x:v>13</x:v>
      </x:c>
      <x:c r="K1860" t="n">
        <x:v>4</x:v>
      </x:c>
      <x:c r="L1860" t="str">
        <x:v>STORE-001</x:v>
      </x:c>
      <x:c r="M1860" s="22" t="n">
        <x:v>46171</x:v>
      </x:c>
      <x:c r="N1860" t="str">
        <x:v>SKU-024</x:v>
      </x:c>
      <x:c r="O1860" t="n">
        <x:v>2</x:v>
      </x:c>
      <x:c r="P1860" s="26" t="n">
        <x:f>F1860/O1860</x:f>
        <x:v>10.66</x:v>
      </x:c>
    </x:row>
    <x:row r="1861">
      <x:c r="A1861" t="n">
        <x:v>1860</x:v>
      </x:c>
      <x:c r="B1861" t="n">
        <x:v>70</x:v>
      </x:c>
      <x:c r="C1861" t="str">
        <x:v>Female</x:v>
      </x:c>
      <x:c r="D1861" t="str">
        <x:v>Footwear</x:v>
      </x:c>
      <x:c r="E1861" t="str">
        <x:v>Sneakers</x:v>
      </x:c>
      <x:c r="F1861" s="24" t="n">
        <x:v>180.88</x:v>
      </x:c>
      <x:c r="G1861" t="str">
        <x:v>Winter</x:v>
      </x:c>
      <x:c r="H1861" t="str">
        <x:v>Card</x:v>
      </x:c>
      <x:c r="I1861" t="n">
        <x:v>3.1</x:v>
      </x:c>
      <x:c r="J1861" t="n">
        <x:v>14</x:v>
      </x:c>
      <x:c r="K1861" t="n">
        <x:v>2</x:v>
      </x:c>
      <x:c r="L1861" t="str">
        <x:v>STORE-001</x:v>
      </x:c>
      <x:c r="M1861" s="22" t="n">
        <x:v>46192</x:v>
      </x:c>
      <x:c r="N1861" t="str">
        <x:v>SKU-025</x:v>
      </x:c>
      <x:c r="O1861" t="n">
        <x:v>1</x:v>
      </x:c>
      <x:c r="P1861" s="26" t="n">
        <x:f>F1861/O1861</x:f>
        <x:v>180.88</x:v>
      </x:c>
    </x:row>
    <x:row r="1862">
      <x:c r="A1862" t="n">
        <x:v>1861</x:v>
      </x:c>
      <x:c r="B1862" t="n">
        <x:v>23</x:v>
      </x:c>
      <x:c r="C1862" t="str">
        <x:v>Female</x:v>
      </x:c>
      <x:c r="D1862" t="str">
        <x:v>Sports</x:v>
      </x:c>
      <x:c r="E1862" t="str">
        <x:v>Yoga Mat</x:v>
      </x:c>
      <x:c r="F1862" s="24" t="n">
        <x:v>240.21</x:v>
      </x:c>
      <x:c r="G1862" t="str">
        <x:v>Winter</x:v>
      </x:c>
      <x:c r="H1862" t="str">
        <x:v>Card</x:v>
      </x:c>
      <x:c r="I1862" t="n">
        <x:v>2.3</x:v>
      </x:c>
      <x:c r="J1862" t="n">
        <x:v>18</x:v>
      </x:c>
      <x:c r="K1862" t="n">
        <x:v>4</x:v>
      </x:c>
      <x:c r="L1862" t="str">
        <x:v>STORE-001</x:v>
      </x:c>
      <x:c r="M1862" s="22" t="n">
        <x:v>46233</x:v>
      </x:c>
      <x:c r="N1862" t="str">
        <x:v>SKU-030</x:v>
      </x:c>
      <x:c r="O1862" t="n">
        <x:v>1</x:v>
      </x:c>
      <x:c r="P1862" s="26" t="n">
        <x:f>F1862/O1862</x:f>
        <x:v>240.21</x:v>
      </x:c>
    </x:row>
    <x:row r="1863">
      <x:c r="A1863" t="n">
        <x:v>1862</x:v>
      </x:c>
      <x:c r="B1863" t="n">
        <x:v>34</x:v>
      </x:c>
      <x:c r="C1863" t="str">
        <x:v>Male</x:v>
      </x:c>
      <x:c r="D1863" t="str">
        <x:v>Mens Clothing</x:v>
      </x:c>
      <x:c r="E1863" t="str">
        <x:v>Jeans</x:v>
      </x:c>
      <x:c r="F1863" s="24" t="n">
        <x:v>76.04</x:v>
      </x:c>
      <x:c r="G1863" t="str">
        <x:v>Summer</x:v>
      </x:c>
      <x:c r="H1863" t="str">
        <x:v>Cash on Delivery</x:v>
      </x:c>
      <x:c r="I1863" t="n">
        <x:v>4</x:v>
      </x:c>
      <x:c r="J1863" t="n">
        <x:v>6</x:v>
      </x:c>
      <x:c r="K1863" t="n">
        <x:v>3</x:v>
      </x:c>
      <x:c r="L1863" t="str">
        <x:v>STORE-001</x:v>
      </x:c>
      <x:c r="M1863" s="22" t="n">
        <x:v>46027</x:v>
      </x:c>
      <x:c r="N1863" t="str">
        <x:v>SKU-011</x:v>
      </x:c>
      <x:c r="O1863" t="n">
        <x:v>1</x:v>
      </x:c>
      <x:c r="P1863" s="26" t="n">
        <x:f>F1863/O1863</x:f>
        <x:v>76.04</x:v>
      </x:c>
    </x:row>
    <x:row r="1864">
      <x:c r="A1864" t="n">
        <x:v>1863</x:v>
      </x:c>
      <x:c r="B1864" t="n">
        <x:v>68</x:v>
      </x:c>
      <x:c r="C1864" t="str">
        <x:v>Male</x:v>
      </x:c>
      <x:c r="D1864" t="str">
        <x:v>Footwear</x:v>
      </x:c>
      <x:c r="E1864" t="str">
        <x:v>Sandals</x:v>
      </x:c>
      <x:c r="F1864" s="24" t="n">
        <x:v>52.98</x:v>
      </x:c>
      <x:c r="G1864" t="str">
        <x:v>Spring</x:v>
      </x:c>
      <x:c r="H1864" t="str">
        <x:v>Card</x:v>
      </x:c>
      <x:c r="I1864" t="n">
        <x:v>3.8</x:v>
      </x:c>
      <x:c r="J1864" t="n">
        <x:v>22</x:v>
      </x:c>
      <x:c r="K1864" t="n">
        <x:v>6</x:v>
      </x:c>
      <x:c r="L1864" t="str">
        <x:v>STORE-001</x:v>
      </x:c>
      <x:c r="M1864" s="22" t="n">
        <x:v>46282</x:v>
      </x:c>
      <x:c r="N1864" t="str">
        <x:v>SKU-019</x:v>
      </x:c>
      <x:c r="O1864" t="n">
        <x:v>1</x:v>
      </x:c>
      <x:c r="P1864" s="26" t="n">
        <x:f>F1864/O1864</x:f>
        <x:v>52.98</x:v>
      </x:c>
    </x:row>
    <x:row r="1865">
      <x:c r="A1865" t="n">
        <x:v>1864</x:v>
      </x:c>
      <x:c r="B1865" t="n">
        <x:v>51</x:v>
      </x:c>
      <x:c r="C1865" t="str">
        <x:v>Female</x:v>
      </x:c>
      <x:c r="D1865" t="str">
        <x:v>Beauty</x:v>
      </x:c>
      <x:c r="E1865" t="str">
        <x:v>Skincare Kit</x:v>
      </x:c>
      <x:c r="F1865" s="24" t="n">
        <x:v>101.93</x:v>
      </x:c>
      <x:c r="G1865" t="str">
        <x:v>Spring</x:v>
      </x:c>
      <x:c r="H1865" t="str">
        <x:v>Card</x:v>
      </x:c>
      <x:c r="I1865" t="n">
        <x:v>3.7</x:v>
      </x:c>
      <x:c r="J1865" t="n">
        <x:v>9</x:v>
      </x:c>
      <x:c r="K1865" t="n">
        <x:v>2</x:v>
      </x:c>
      <x:c r="L1865" t="str">
        <x:v>STORE-001</x:v>
      </x:c>
      <x:c r="M1865" s="22" t="n">
        <x:v>46272</x:v>
      </x:c>
      <x:c r="N1865" t="str">
        <x:v>SKU-021</x:v>
      </x:c>
      <x:c r="O1865" t="n">
        <x:v>2</x:v>
      </x:c>
      <x:c r="P1865" s="26" t="n">
        <x:f>F1865/O1865</x:f>
        <x:v>50.965</x:v>
      </x:c>
    </x:row>
    <x:row r="1866">
      <x:c r="A1866" t="n">
        <x:v>1865</x:v>
      </x:c>
      <x:c r="B1866" t="n">
        <x:v>49</x:v>
      </x:c>
      <x:c r="C1866" t="str">
        <x:v>Male</x:v>
      </x:c>
      <x:c r="D1866" t="str">
        <x:v>Footwear</x:v>
      </x:c>
      <x:c r="E1866" t="str">
        <x:v>Sandals</x:v>
      </x:c>
      <x:c r="F1866" s="24" t="n">
        <x:v>122.96</x:v>
      </x:c>
      <x:c r="G1866" t="str">
        <x:v>Winter</x:v>
      </x:c>
      <x:c r="H1866" t="str">
        <x:v>Card</x:v>
      </x:c>
      <x:c r="I1866" t="n">
        <x:v>4.2</x:v>
      </x:c>
      <x:c r="J1866" t="n">
        <x:v>13</x:v>
      </x:c>
      <x:c r="K1866" t="n">
        <x:v>4</x:v>
      </x:c>
      <x:c r="L1866" t="str">
        <x:v>STORE-001</x:v>
      </x:c>
      <x:c r="M1866" s="22" t="n">
        <x:v>46254</x:v>
      </x:c>
      <x:c r="N1866" t="str">
        <x:v>SKU-019</x:v>
      </x:c>
      <x:c r="O1866" t="n">
        <x:v>1</x:v>
      </x:c>
      <x:c r="P1866" s="26" t="n">
        <x:f>F1866/O1866</x:f>
        <x:v>122.96</x:v>
      </x:c>
    </x:row>
    <x:row r="1867">
      <x:c r="A1867" t="n">
        <x:v>1866</x:v>
      </x:c>
      <x:c r="B1867" t="n">
        <x:v>46</x:v>
      </x:c>
      <x:c r="C1867" t="str">
        <x:v>Male</x:v>
      </x:c>
      <x:c r="D1867" t="str">
        <x:v>Electronics</x:v>
      </x:c>
      <x:c r="E1867" t="str">
        <x:v>Laptop</x:v>
      </x:c>
      <x:c r="F1867" s="24" t="n">
        <x:v>2820.93</x:v>
      </x:c>
      <x:c r="G1867" t="str">
        <x:v>Summer</x:v>
      </x:c>
      <x:c r="H1867" t="str">
        <x:v>Card</x:v>
      </x:c>
      <x:c r="I1867" t="n">
        <x:v>4.6</x:v>
      </x:c>
      <x:c r="J1867" t="n">
        <x:v>13</x:v>
      </x:c>
      <x:c r="K1867" t="n">
        <x:v>4</x:v>
      </x:c>
      <x:c r="L1867" t="str">
        <x:v>STORE-001</x:v>
      </x:c>
      <x:c r="M1867" s="22" t="n">
        <x:v>46023</x:v>
      </x:c>
      <x:c r="N1867" t="str">
        <x:v>SKU-014</x:v>
      </x:c>
      <x:c r="O1867" t="n">
        <x:v>1</x:v>
      </x:c>
      <x:c r="P1867" s="26" t="n">
        <x:f>F1867/O1867</x:f>
        <x:v>2820.93</x:v>
      </x:c>
    </x:row>
    <x:row r="1868">
      <x:c r="A1868" t="n">
        <x:v>1867</x:v>
      </x:c>
      <x:c r="B1868" t="n">
        <x:v>46</x:v>
      </x:c>
      <x:c r="C1868" t="str">
        <x:v>Male</x:v>
      </x:c>
      <x:c r="D1868" t="str">
        <x:v>Mens Clothing</x:v>
      </x:c>
      <x:c r="E1868" t="str">
        <x:v>Jacket</x:v>
      </x:c>
      <x:c r="F1868" s="24" t="n">
        <x:v>123.87</x:v>
      </x:c>
      <x:c r="G1868" t="str">
        <x:v>Summer</x:v>
      </x:c>
      <x:c r="H1868" t="str">
        <x:v>Card</x:v>
      </x:c>
      <x:c r="I1868" t="n">
        <x:v>3.8</x:v>
      </x:c>
      <x:c r="J1868" t="n">
        <x:v>5</x:v>
      </x:c>
      <x:c r="K1868" t="n">
        <x:v>0</x:v>
      </x:c>
      <x:c r="L1868" t="str">
        <x:v>STORE-001</x:v>
      </x:c>
      <x:c r="M1868" s="22" t="n">
        <x:v>46032</x:v>
      </x:c>
      <x:c r="N1868" t="str">
        <x:v>SKU-010</x:v>
      </x:c>
      <x:c r="O1868" t="n">
        <x:v>1</x:v>
      </x:c>
      <x:c r="P1868" s="26" t="n">
        <x:f>F1868/O1868</x:f>
        <x:v>123.87</x:v>
      </x:c>
    </x:row>
    <x:row r="1869">
      <x:c r="A1869" t="n">
        <x:v>1868</x:v>
      </x:c>
      <x:c r="B1869" t="n">
        <x:v>49</x:v>
      </x:c>
      <x:c r="C1869" t="str">
        <x:v>Male</x:v>
      </x:c>
      <x:c r="D1869" t="str">
        <x:v>Mens Clothing</x:v>
      </x:c>
      <x:c r="E1869" t="str">
        <x:v>Jacket</x:v>
      </x:c>
      <x:c r="F1869" s="24" t="n">
        <x:v>67.94</x:v>
      </x:c>
      <x:c r="G1869" t="str">
        <x:v>Summer</x:v>
      </x:c>
      <x:c r="H1869" t="str">
        <x:v>Cash on Delivery</x:v>
      </x:c>
      <x:c r="I1869" t="n">
        <x:v>3.9</x:v>
      </x:c>
      <x:c r="J1869" t="n">
        <x:v>24</x:v>
      </x:c>
      <x:c r="K1869" t="n">
        <x:v>7</x:v>
      </x:c>
      <x:c r="L1869" t="str">
        <x:v>STORE-001</x:v>
      </x:c>
      <x:c r="M1869" s="22" t="n">
        <x:v>46081</x:v>
      </x:c>
      <x:c r="N1869" t="str">
        <x:v>SKU-010</x:v>
      </x:c>
      <x:c r="O1869" t="n">
        <x:v>1</x:v>
      </x:c>
      <x:c r="P1869" s="26" t="n">
        <x:f>F1869/O1869</x:f>
        <x:v>67.94</x:v>
      </x:c>
    </x:row>
    <x:row r="1870">
      <x:c r="A1870" t="n">
        <x:v>1869</x:v>
      </x:c>
      <x:c r="B1870" t="n">
        <x:v>56</x:v>
      </x:c>
      <x:c r="C1870" t="str">
        <x:v>Male</x:v>
      </x:c>
      <x:c r="D1870" t="str">
        <x:v>Mens Clothing</x:v>
      </x:c>
      <x:c r="E1870" t="str">
        <x:v>Jacket</x:v>
      </x:c>
      <x:c r="F1870" s="24" t="n">
        <x:v>50.4</x:v>
      </x:c>
      <x:c r="G1870" t="str">
        <x:v>Spring</x:v>
      </x:c>
      <x:c r="H1870" t="str">
        <x:v>Card</x:v>
      </x:c>
      <x:c r="I1870" t="n">
        <x:v>4.2</x:v>
      </x:c>
      <x:c r="J1870" t="n">
        <x:v>18</x:v>
      </x:c>
      <x:c r="K1870" t="n">
        <x:v>4</x:v>
      </x:c>
      <x:c r="L1870" t="str">
        <x:v>STORE-001</x:v>
      </x:c>
      <x:c r="M1870" s="22" t="n">
        <x:v>45952</x:v>
      </x:c>
      <x:c r="N1870" t="str">
        <x:v>SKU-010</x:v>
      </x:c>
      <x:c r="O1870" t="n">
        <x:v>2</x:v>
      </x:c>
      <x:c r="P1870" s="26" t="n">
        <x:f>F1870/O1870</x:f>
        <x:v>25.2</x:v>
      </x:c>
    </x:row>
    <x:row r="1871">
      <x:c r="A1871" t="n">
        <x:v>1870</x:v>
      </x:c>
      <x:c r="B1871" t="n">
        <x:v>65</x:v>
      </x:c>
      <x:c r="C1871" t="str">
        <x:v>Male</x:v>
      </x:c>
      <x:c r="D1871" t="str">
        <x:v>Mens Clothing</x:v>
      </x:c>
      <x:c r="E1871" t="str">
        <x:v>T-Shirt</x:v>
      </x:c>
      <x:c r="F1871" s="24" t="n">
        <x:v>174.89</x:v>
      </x:c>
      <x:c r="G1871" t="str">
        <x:v>Winter</x:v>
      </x:c>
      <x:c r="H1871" t="str">
        <x:v>Card</x:v>
      </x:c>
      <x:c r="I1871" t="n">
        <x:v>2.4</x:v>
      </x:c>
      <x:c r="J1871" t="n">
        <x:v>2</x:v>
      </x:c>
      <x:c r="K1871" t="n">
        <x:v>1</x:v>
      </x:c>
      <x:c r="L1871" t="str">
        <x:v>STORE-001</x:v>
      </x:c>
      <x:c r="M1871" s="22" t="n">
        <x:v>46205</x:v>
      </x:c>
      <x:c r="N1871" t="str">
        <x:v>SKU-027</x:v>
      </x:c>
      <x:c r="O1871" t="n">
        <x:v>1</x:v>
      </x:c>
      <x:c r="P1871" s="26" t="n">
        <x:f>F1871/O1871</x:f>
        <x:v>174.89</x:v>
      </x:c>
    </x:row>
    <x:row r="1872">
      <x:c r="A1872" t="n">
        <x:v>1871</x:v>
      </x:c>
      <x:c r="B1872" t="n">
        <x:v>44</x:v>
      </x:c>
      <x:c r="C1872" t="str">
        <x:v>Female</x:v>
      </x:c>
      <x:c r="D1872" t="str">
        <x:v>Womens Clothing</x:v>
      </x:c>
      <x:c r="E1872" t="str">
        <x:v>Top</x:v>
      </x:c>
      <x:c r="F1872" s="24" t="n">
        <x:v>119.31</x:v>
      </x:c>
      <x:c r="G1872" t="str">
        <x:v>Spring</x:v>
      </x:c>
      <x:c r="H1872" t="str">
        <x:v>Card</x:v>
      </x:c>
      <x:c r="I1872" t="n">
        <x:v>3.8</x:v>
      </x:c>
      <x:c r="J1872" t="n">
        <x:v>15</x:v>
      </x:c>
      <x:c r="K1872" t="n">
        <x:v>5</x:v>
      </x:c>
      <x:c r="L1872" t="str">
        <x:v>STORE-001</x:v>
      </x:c>
      <x:c r="M1872" s="22" t="n">
        <x:v>46289</x:v>
      </x:c>
      <x:c r="N1872" t="str">
        <x:v>SKU-028</x:v>
      </x:c>
      <x:c r="O1872" t="n">
        <x:v>1</x:v>
      </x:c>
      <x:c r="P1872" s="26" t="n">
        <x:f>F1872/O1872</x:f>
        <x:v>119.31</x:v>
      </x:c>
    </x:row>
    <x:row r="1873">
      <x:c r="A1873" t="n">
        <x:v>1872</x:v>
      </x:c>
      <x:c r="B1873" t="n">
        <x:v>43</x:v>
      </x:c>
      <x:c r="C1873" t="str">
        <x:v>Male</x:v>
      </x:c>
      <x:c r="D1873" t="str">
        <x:v>Sports</x:v>
      </x:c>
      <x:c r="E1873" t="str">
        <x:v>Football</x:v>
      </x:c>
      <x:c r="F1873" s="24" t="n">
        <x:v>188.28</x:v>
      </x:c>
      <x:c r="G1873" t="str">
        <x:v>Spring</x:v>
      </x:c>
      <x:c r="H1873" t="str">
        <x:v>Card</x:v>
      </x:c>
      <x:c r="I1873" t="n">
        <x:v>3.7</x:v>
      </x:c>
      <x:c r="J1873" t="n">
        <x:v>22</x:v>
      </x:c>
      <x:c r="K1873" t="n">
        <x:v>6</x:v>
      </x:c>
      <x:c r="L1873" t="str">
        <x:v>STORE-001</x:v>
      </x:c>
      <x:c r="M1873" s="22" t="n">
        <x:v>46291</x:v>
      </x:c>
      <x:c r="N1873" t="str">
        <x:v>SKU-006</x:v>
      </x:c>
      <x:c r="O1873" t="n">
        <x:v>1</x:v>
      </x:c>
      <x:c r="P1873" s="26" t="n">
        <x:f>F1873/O1873</x:f>
        <x:v>188.28</x:v>
      </x:c>
    </x:row>
    <x:row r="1874">
      <x:c r="A1874" t="n">
        <x:v>1873</x:v>
      </x:c>
      <x:c r="B1874" t="n">
        <x:v>58</x:v>
      </x:c>
      <x:c r="C1874" t="str">
        <x:v>Male</x:v>
      </x:c>
      <x:c r="D1874" t="str">
        <x:v>Footwear</x:v>
      </x:c>
      <x:c r="E1874" t="str">
        <x:v>Sneakers</x:v>
      </x:c>
      <x:c r="F1874" s="24" t="n">
        <x:v>75.03</x:v>
      </x:c>
      <x:c r="G1874" t="str">
        <x:v>Spring</x:v>
      </x:c>
      <x:c r="H1874" t="str">
        <x:v>Card</x:v>
      </x:c>
      <x:c r="I1874" t="n">
        <x:v>4.3</x:v>
      </x:c>
      <x:c r="J1874" t="n">
        <x:v>10</x:v>
      </x:c>
      <x:c r="K1874" t="n">
        <x:v>5</x:v>
      </x:c>
      <x:c r="L1874" t="str">
        <x:v>STORE-001</x:v>
      </x:c>
      <x:c r="M1874" s="22" t="n">
        <x:v>46284</x:v>
      </x:c>
      <x:c r="N1874" t="str">
        <x:v>SKU-025</x:v>
      </x:c>
      <x:c r="O1874" t="n">
        <x:v>1</x:v>
      </x:c>
      <x:c r="P1874" s="26" t="n">
        <x:f>F1874/O1874</x:f>
        <x:v>75.03</x:v>
      </x:c>
    </x:row>
    <x:row r="1875">
      <x:c r="A1875" t="n">
        <x:v>1874</x:v>
      </x:c>
      <x:c r="B1875" t="n">
        <x:v>27</x:v>
      </x:c>
      <x:c r="C1875" t="str">
        <x:v>Female</x:v>
      </x:c>
      <x:c r="D1875" t="str">
        <x:v>Sports</x:v>
      </x:c>
      <x:c r="E1875" t="str">
        <x:v>Football</x:v>
      </x:c>
      <x:c r="F1875" s="24" t="n">
        <x:v>122.27</x:v>
      </x:c>
      <x:c r="G1875" t="str">
        <x:v>Autumn</x:v>
      </x:c>
      <x:c r="H1875" t="str">
        <x:v>Card</x:v>
      </x:c>
      <x:c r="I1875" t="n">
        <x:v>5</x:v>
      </x:c>
      <x:c r="J1875" t="n">
        <x:v>15</x:v>
      </x:c>
      <x:c r="K1875" t="n">
        <x:v>5</x:v>
      </x:c>
      <x:c r="L1875" t="str">
        <x:v>STORE-001</x:v>
      </x:c>
      <x:c r="M1875" s="22" t="n">
        <x:v>46165</x:v>
      </x:c>
      <x:c r="N1875" t="str">
        <x:v>SKU-006</x:v>
      </x:c>
      <x:c r="O1875" t="n">
        <x:v>1</x:v>
      </x:c>
      <x:c r="P1875" s="26" t="n">
        <x:f>F1875/O1875</x:f>
        <x:v>122.27</x:v>
      </x:c>
    </x:row>
    <x:row r="1876">
      <x:c r="A1876" t="n">
        <x:v>1875</x:v>
      </x:c>
      <x:c r="B1876" t="n">
        <x:v>67</x:v>
      </x:c>
      <x:c r="C1876" t="str">
        <x:v>Female</x:v>
      </x:c>
      <x:c r="D1876" t="str">
        <x:v>Womens Clothing</x:v>
      </x:c>
      <x:c r="E1876" t="str">
        <x:v>Jeans</x:v>
      </x:c>
      <x:c r="F1876" s="24" t="n">
        <x:v>48.15</x:v>
      </x:c>
      <x:c r="G1876" t="str">
        <x:v>Summer</x:v>
      </x:c>
      <x:c r="H1876" t="str">
        <x:v>Cash on Delivery</x:v>
      </x:c>
      <x:c r="I1876" t="n">
        <x:v>3.5</x:v>
      </x:c>
      <x:c r="J1876" t="n">
        <x:v>12</x:v>
      </x:c>
      <x:c r="K1876" t="n">
        <x:v>6</x:v>
      </x:c>
      <x:c r="L1876" t="str">
        <x:v>STORE-001</x:v>
      </x:c>
      <x:c r="M1876" s="22" t="n">
        <x:v>46045</x:v>
      </x:c>
      <x:c r="N1876" t="str">
        <x:v>SKU-011</x:v>
      </x:c>
      <x:c r="O1876" t="n">
        <x:v>1</x:v>
      </x:c>
      <x:c r="P1876" s="26" t="n">
        <x:f>F1876/O1876</x:f>
        <x:v>48.15</x:v>
      </x:c>
    </x:row>
    <x:row r="1877">
      <x:c r="A1877" t="n">
        <x:v>1876</x:v>
      </x:c>
      <x:c r="B1877" t="n">
        <x:v>57</x:v>
      </x:c>
      <x:c r="C1877" t="str">
        <x:v>Female</x:v>
      </x:c>
      <x:c r="D1877" t="str">
        <x:v>Groceries</x:v>
      </x:c>
      <x:c r="E1877" t="str">
        <x:v>Beverages</x:v>
      </x:c>
      <x:c r="F1877" s="24" t="n">
        <x:v>75.56</x:v>
      </x:c>
      <x:c r="G1877" t="str">
        <x:v>Summer</x:v>
      </x:c>
      <x:c r="H1877" t="str">
        <x:v>Cash on Delivery</x:v>
      </x:c>
      <x:c r="I1877" t="n">
        <x:v>3.8</x:v>
      </x:c>
      <x:c r="J1877" t="n">
        <x:v>22</x:v>
      </x:c>
      <x:c r="K1877" t="n">
        <x:v>6</x:v>
      </x:c>
      <x:c r="L1877" t="str">
        <x:v>STORE-001</x:v>
      </x:c>
      <x:c r="M1877" s="22" t="n">
        <x:v>46053</x:v>
      </x:c>
      <x:c r="N1877" t="str">
        <x:v>SKU-001</x:v>
      </x:c>
      <x:c r="O1877" t="n">
        <x:v>2</x:v>
      </x:c>
      <x:c r="P1877" s="26" t="n">
        <x:f>F1877/O1877</x:f>
        <x:v>37.78</x:v>
      </x:c>
    </x:row>
    <x:row r="1878">
      <x:c r="A1878" t="n">
        <x:v>1877</x:v>
      </x:c>
      <x:c r="B1878" t="n">
        <x:v>37</x:v>
      </x:c>
      <x:c r="C1878" t="str">
        <x:v>Male</x:v>
      </x:c>
      <x:c r="D1878" t="str">
        <x:v>Home</x:v>
      </x:c>
      <x:c r="E1878" t="str">
        <x:v>Kitchen Set</x:v>
      </x:c>
      <x:c r="F1878" s="24" t="n">
        <x:v>289.68</x:v>
      </x:c>
      <x:c r="G1878" t="str">
        <x:v>Spring</x:v>
      </x:c>
      <x:c r="H1878" t="str">
        <x:v>Card</x:v>
      </x:c>
      <x:c r="I1878" t="n">
        <x:v>5</x:v>
      </x:c>
      <x:c r="J1878" t="n">
        <x:v>24</x:v>
      </x:c>
      <x:c r="K1878" t="n">
        <x:v>7</x:v>
      </x:c>
      <x:c r="L1878" t="str">
        <x:v>STORE-001</x:v>
      </x:c>
      <x:c r="M1878" s="22" t="n">
        <x:v>45979</x:v>
      </x:c>
      <x:c r="N1878" t="str">
        <x:v>SKU-012</x:v>
      </x:c>
      <x:c r="O1878" t="n">
        <x:v>1</x:v>
      </x:c>
      <x:c r="P1878" s="26" t="n">
        <x:f>F1878/O1878</x:f>
        <x:v>289.68</x:v>
      </x:c>
    </x:row>
    <x:row r="1879">
      <x:c r="A1879" t="n">
        <x:v>1878</x:v>
      </x:c>
      <x:c r="B1879" t="n">
        <x:v>59</x:v>
      </x:c>
      <x:c r="C1879" t="str">
        <x:v>Male</x:v>
      </x:c>
      <x:c r="D1879" t="str">
        <x:v>Sports</x:v>
      </x:c>
      <x:c r="E1879" t="str">
        <x:v>Dumbbells</x:v>
      </x:c>
      <x:c r="F1879" s="24" t="n">
        <x:v>241.42</x:v>
      </x:c>
      <x:c r="G1879" t="str">
        <x:v>Summer</x:v>
      </x:c>
      <x:c r="H1879" t="str">
        <x:v>Card</x:v>
      </x:c>
      <x:c r="I1879" t="n">
        <x:v>5</x:v>
      </x:c>
      <x:c r="J1879" t="n">
        <x:v>19</x:v>
      </x:c>
      <x:c r="K1879" t="n">
        <x:v>7</x:v>
      </x:c>
      <x:c r="L1879" t="str">
        <x:v>STORE-001</x:v>
      </x:c>
      <x:c r="M1879" s="22" t="n">
        <x:v>46019</x:v>
      </x:c>
      <x:c r="N1879" t="str">
        <x:v>SKU-005</x:v>
      </x:c>
      <x:c r="O1879" t="n">
        <x:v>1</x:v>
      </x:c>
      <x:c r="P1879" s="26" t="n">
        <x:f>F1879/O1879</x:f>
        <x:v>241.42</x:v>
      </x:c>
    </x:row>
    <x:row r="1880">
      <x:c r="A1880" t="n">
        <x:v>1879</x:v>
      </x:c>
      <x:c r="B1880" t="n">
        <x:v>51</x:v>
      </x:c>
      <x:c r="C1880" t="str">
        <x:v>Female</x:v>
      </x:c>
      <x:c r="D1880" t="str">
        <x:v>Beauty</x:v>
      </x:c>
      <x:c r="E1880" t="str">
        <x:v>Perfume</x:v>
      </x:c>
      <x:c r="F1880" s="24" t="n">
        <x:v>138.15</x:v>
      </x:c>
      <x:c r="G1880" t="str">
        <x:v>Winter</x:v>
      </x:c>
      <x:c r="H1880" t="str">
        <x:v>Card</x:v>
      </x:c>
      <x:c r="I1880" t="n">
        <x:v>3.5</x:v>
      </x:c>
      <x:c r="J1880" t="n">
        <x:v>15</x:v>
      </x:c>
      <x:c r="K1880" t="n">
        <x:v>5</x:v>
      </x:c>
      <x:c r="L1880" t="str">
        <x:v>STORE-001</x:v>
      </x:c>
      <x:c r="M1880" s="22" t="n">
        <x:v>46174</x:v>
      </x:c>
      <x:c r="N1880" t="str">
        <x:v>SKU-017</x:v>
      </x:c>
      <x:c r="O1880" t="n">
        <x:v>3</x:v>
      </x:c>
      <x:c r="P1880" s="26" t="n">
        <x:f>F1880/O1880</x:f>
        <x:v>46.050000000000004</x:v>
      </x:c>
    </x:row>
    <x:row r="1881">
      <x:c r="A1881" t="n">
        <x:v>1880</x:v>
      </x:c>
      <x:c r="B1881" t="n">
        <x:v>30</x:v>
      </x:c>
      <x:c r="C1881" t="str">
        <x:v>Female</x:v>
      </x:c>
      <x:c r="D1881" t="str">
        <x:v>Accessories</x:v>
      </x:c>
      <x:c r="E1881" t="str">
        <x:v>Sunglasses</x:v>
      </x:c>
      <x:c r="F1881" s="24" t="n">
        <x:v>46.15</x:v>
      </x:c>
      <x:c r="G1881" t="str">
        <x:v>Autumn</x:v>
      </x:c>
      <x:c r="H1881" t="str">
        <x:v>Cash on Delivery</x:v>
      </x:c>
      <x:c r="I1881" t="n">
        <x:v>3.7</x:v>
      </x:c>
      <x:c r="J1881" t="n">
        <x:v>14</x:v>
      </x:c>
      <x:c r="K1881" t="n">
        <x:v>2</x:v>
      </x:c>
      <x:c r="L1881" t="str">
        <x:v>STORE-001</x:v>
      </x:c>
      <x:c r="M1881" s="22" t="n">
        <x:v>46100</x:v>
      </x:c>
      <x:c r="N1881" t="str">
        <x:v>SKU-026</x:v>
      </x:c>
      <x:c r="O1881" t="n">
        <x:v>1</x:v>
      </x:c>
      <x:c r="P1881" s="26" t="n">
        <x:f>F1881/O1881</x:f>
        <x:v>46.15</x:v>
      </x:c>
    </x:row>
    <x:row r="1882">
      <x:c r="A1882" t="n">
        <x:v>1881</x:v>
      </x:c>
      <x:c r="B1882" t="n">
        <x:v>61</x:v>
      </x:c>
      <x:c r="C1882" t="str">
        <x:v>Male</x:v>
      </x:c>
      <x:c r="D1882" t="str">
        <x:v>Groceries</x:v>
      </x:c>
      <x:c r="E1882" t="str">
        <x:v>Rice Pack</x:v>
      </x:c>
      <x:c r="F1882" s="24" t="n">
        <x:v>62.19</x:v>
      </x:c>
      <x:c r="G1882" t="str">
        <x:v>Summer</x:v>
      </x:c>
      <x:c r="H1882" t="str">
        <x:v>Card</x:v>
      </x:c>
      <x:c r="I1882" t="n">
        <x:v>2.9</x:v>
      </x:c>
      <x:c r="J1882" t="n">
        <x:v>12</x:v>
      </x:c>
      <x:c r="K1882" t="n">
        <x:v>6</x:v>
      </x:c>
      <x:c r="L1882" t="str">
        <x:v>STORE-001</x:v>
      </x:c>
      <x:c r="M1882" s="22" t="n">
        <x:v>46013</x:v>
      </x:c>
      <x:c r="N1882" t="str">
        <x:v>SKU-018</x:v>
      </x:c>
      <x:c r="O1882" t="n">
        <x:v>1</x:v>
      </x:c>
      <x:c r="P1882" s="26" t="n">
        <x:f>F1882/O1882</x:f>
        <x:v>62.19</x:v>
      </x:c>
    </x:row>
    <x:row r="1883">
      <x:c r="A1883" t="n">
        <x:v>1882</x:v>
      </x:c>
      <x:c r="B1883" t="n">
        <x:v>24</x:v>
      </x:c>
      <x:c r="C1883" t="str">
        <x:v>Male</x:v>
      </x:c>
      <x:c r="D1883" t="str">
        <x:v>Footwear</x:v>
      </x:c>
      <x:c r="E1883" t="str">
        <x:v>Formal Shoes</x:v>
      </x:c>
      <x:c r="F1883" s="24" t="n">
        <x:v>223.63</x:v>
      </x:c>
      <x:c r="G1883" t="str">
        <x:v>Spring</x:v>
      </x:c>
      <x:c r="H1883" t="str">
        <x:v>Card</x:v>
      </x:c>
      <x:c r="I1883" t="n">
        <x:v>5</x:v>
      </x:c>
      <x:c r="J1883" t="n">
        <x:v>5</x:v>
      </x:c>
      <x:c r="K1883" t="n">
        <x:v>0</x:v>
      </x:c>
      <x:c r="L1883" t="str">
        <x:v>STORE-001</x:v>
      </x:c>
      <x:c r="M1883" s="22" t="n">
        <x:v>46295</x:v>
      </x:c>
      <x:c r="N1883" t="str">
        <x:v>SKU-007</x:v>
      </x:c>
      <x:c r="O1883" t="n">
        <x:v>1</x:v>
      </x:c>
      <x:c r="P1883" s="26" t="n">
        <x:f>F1883/O1883</x:f>
        <x:v>223.63</x:v>
      </x:c>
    </x:row>
    <x:row r="1884">
      <x:c r="A1884" t="n">
        <x:v>1883</x:v>
      </x:c>
      <x:c r="B1884" t="n">
        <x:v>46</x:v>
      </x:c>
      <x:c r="C1884" t="str">
        <x:v>Female</x:v>
      </x:c>
      <x:c r="D1884" t="str">
        <x:v>Groceries</x:v>
      </x:c>
      <x:c r="E1884" t="str">
        <x:v>Beverages</x:v>
      </x:c>
      <x:c r="F1884" s="24" t="n">
        <x:v>61.01</x:v>
      </x:c>
      <x:c r="G1884" t="str">
        <x:v>Spring</x:v>
      </x:c>
      <x:c r="H1884" t="str">
        <x:v>Cash on Delivery</x:v>
      </x:c>
      <x:c r="I1884" t="n">
        <x:v>3.2</x:v>
      </x:c>
      <x:c r="J1884" t="n">
        <x:v>15</x:v>
      </x:c>
      <x:c r="K1884" t="n">
        <x:v>5</x:v>
      </x:c>
      <x:c r="L1884" t="str">
        <x:v>STORE-001</x:v>
      </x:c>
      <x:c r="M1884" s="22" t="n">
        <x:v>45934</x:v>
      </x:c>
      <x:c r="N1884" t="str">
        <x:v>SKU-001</x:v>
      </x:c>
      <x:c r="O1884" t="n">
        <x:v>2</x:v>
      </x:c>
      <x:c r="P1884" s="26" t="n">
        <x:f>F1884/O1884</x:f>
        <x:v>30.505</x:v>
      </x:c>
    </x:row>
    <x:row r="1885">
      <x:c r="A1885" t="n">
        <x:v>1884</x:v>
      </x:c>
      <x:c r="B1885" t="n">
        <x:v>24</x:v>
      </x:c>
      <x:c r="C1885" t="str">
        <x:v>Male</x:v>
      </x:c>
      <x:c r="D1885" t="str">
        <x:v>Mens Clothing</x:v>
      </x:c>
      <x:c r="E1885" t="str">
        <x:v>Shirt</x:v>
      </x:c>
      <x:c r="F1885" s="24" t="n">
        <x:v>55.92</x:v>
      </x:c>
      <x:c r="G1885" t="str">
        <x:v>Spring</x:v>
      </x:c>
      <x:c r="H1885" t="str">
        <x:v>Card</x:v>
      </x:c>
      <x:c r="I1885" t="n">
        <x:v>4</x:v>
      </x:c>
      <x:c r="J1885" t="n">
        <x:v>12</x:v>
      </x:c>
      <x:c r="K1885" t="n">
        <x:v>6</x:v>
      </x:c>
      <x:c r="L1885" t="str">
        <x:v>STORE-001</x:v>
      </x:c>
      <x:c r="M1885" s="22" t="n">
        <x:v>45948</x:v>
      </x:c>
      <x:c r="N1885" t="str">
        <x:v>SKU-020</x:v>
      </x:c>
      <x:c r="O1885" t="n">
        <x:v>1</x:v>
      </x:c>
      <x:c r="P1885" s="26" t="n">
        <x:f>F1885/O1885</x:f>
        <x:v>55.92</x:v>
      </x:c>
    </x:row>
    <x:row r="1886">
      <x:c r="A1886" t="n">
        <x:v>1885</x:v>
      </x:c>
      <x:c r="B1886" t="n">
        <x:v>23</x:v>
      </x:c>
      <x:c r="C1886" t="str">
        <x:v>Male</x:v>
      </x:c>
      <x:c r="D1886" t="str">
        <x:v>Electronics</x:v>
      </x:c>
      <x:c r="E1886" t="str">
        <x:v>Smart Watch</x:v>
      </x:c>
      <x:c r="F1886" s="24" t="n">
        <x:v>590.1</x:v>
      </x:c>
      <x:c r="G1886" t="str">
        <x:v>Spring</x:v>
      </x:c>
      <x:c r="H1886" t="str">
        <x:v>Card</x:v>
      </x:c>
      <x:c r="I1886" t="n">
        <x:v>4.3</x:v>
      </x:c>
      <x:c r="J1886" t="n">
        <x:v>6</x:v>
      </x:c>
      <x:c r="K1886" t="n">
        <x:v>3</x:v>
      </x:c>
      <x:c r="L1886" t="str">
        <x:v>STORE-001</x:v>
      </x:c>
      <x:c r="M1886" s="22" t="n">
        <x:v>46290</x:v>
      </x:c>
      <x:c r="N1886" t="str">
        <x:v>SKU-023</x:v>
      </x:c>
      <x:c r="O1886" t="n">
        <x:v>1</x:v>
      </x:c>
      <x:c r="P1886" s="26" t="n">
        <x:f>F1886/O1886</x:f>
        <x:v>590.1</x:v>
      </x:c>
    </x:row>
    <x:row r="1887">
      <x:c r="A1887" t="n">
        <x:v>1886</x:v>
      </x:c>
      <x:c r="B1887" t="n">
        <x:v>23</x:v>
      </x:c>
      <x:c r="C1887" t="str">
        <x:v>Female</x:v>
      </x:c>
      <x:c r="D1887" t="str">
        <x:v>Sports</x:v>
      </x:c>
      <x:c r="E1887" t="str">
        <x:v>Yoga Mat</x:v>
      </x:c>
      <x:c r="F1887" s="24" t="n">
        <x:v>193.08</x:v>
      </x:c>
      <x:c r="G1887" t="str">
        <x:v>Autumn</x:v>
      </x:c>
      <x:c r="H1887" t="str">
        <x:v>Card</x:v>
      </x:c>
      <x:c r="I1887" t="n">
        <x:v>3.3</x:v>
      </x:c>
      <x:c r="J1887" t="n">
        <x:v>17</x:v>
      </x:c>
      <x:c r="K1887" t="n">
        <x:v>6</x:v>
      </x:c>
      <x:c r="L1887" t="str">
        <x:v>STORE-001</x:v>
      </x:c>
      <x:c r="M1887" s="22" t="n">
        <x:v>46159</x:v>
      </x:c>
      <x:c r="N1887" t="str">
        <x:v>SKU-030</x:v>
      </x:c>
      <x:c r="O1887" t="n">
        <x:v>1</x:v>
      </x:c>
      <x:c r="P1887" s="26" t="n">
        <x:f>F1887/O1887</x:f>
        <x:v>193.08</x:v>
      </x:c>
    </x:row>
    <x:row r="1888">
      <x:c r="A1888" t="n">
        <x:v>1887</x:v>
      </x:c>
      <x:c r="B1888" t="n">
        <x:v>24</x:v>
      </x:c>
      <x:c r="C1888" t="str">
        <x:v>Female</x:v>
      </x:c>
      <x:c r="D1888" t="str">
        <x:v>Womens Clothing</x:v>
      </x:c>
      <x:c r="E1888" t="str">
        <x:v>Top</x:v>
      </x:c>
      <x:c r="F1888" s="24" t="n">
        <x:v>165.24</x:v>
      </x:c>
      <x:c r="G1888" t="str">
        <x:v>Winter</x:v>
      </x:c>
      <x:c r="H1888" t="str">
        <x:v>Card</x:v>
      </x:c>
      <x:c r="I1888" t="n">
        <x:v>3.9</x:v>
      </x:c>
      <x:c r="J1888" t="n">
        <x:v>15</x:v>
      </x:c>
      <x:c r="K1888" t="n">
        <x:v>5</x:v>
      </x:c>
      <x:c r="L1888" t="str">
        <x:v>STORE-001</x:v>
      </x:c>
      <x:c r="M1888" s="22" t="n">
        <x:v>46261</x:v>
      </x:c>
      <x:c r="N1888" t="str">
        <x:v>SKU-028</x:v>
      </x:c>
      <x:c r="O1888" t="n">
        <x:v>1</x:v>
      </x:c>
      <x:c r="P1888" s="26" t="n">
        <x:f>F1888/O1888</x:f>
        <x:v>165.24</x:v>
      </x:c>
    </x:row>
    <x:row r="1889">
      <x:c r="A1889" t="n">
        <x:v>1888</x:v>
      </x:c>
      <x:c r="B1889" t="n">
        <x:v>38</x:v>
      </x:c>
      <x:c r="C1889" t="str">
        <x:v>Male</x:v>
      </x:c>
      <x:c r="D1889" t="str">
        <x:v>Mens Clothing</x:v>
      </x:c>
      <x:c r="E1889" t="str">
        <x:v>Shirt</x:v>
      </x:c>
      <x:c r="F1889" s="24" t="n">
        <x:v>80.67</x:v>
      </x:c>
      <x:c r="G1889" t="str">
        <x:v>Summer</x:v>
      </x:c>
      <x:c r="H1889" t="str">
        <x:v>Card</x:v>
      </x:c>
      <x:c r="I1889" t="n">
        <x:v>3.6</x:v>
      </x:c>
      <x:c r="J1889" t="n">
        <x:v>19</x:v>
      </x:c>
      <x:c r="K1889" t="n">
        <x:v>7</x:v>
      </x:c>
      <x:c r="L1889" t="str">
        <x:v>STORE-001</x:v>
      </x:c>
      <x:c r="M1889" s="22" t="n">
        <x:v>46061</x:v>
      </x:c>
      <x:c r="N1889" t="str">
        <x:v>SKU-020</x:v>
      </x:c>
      <x:c r="O1889" t="n">
        <x:v>1</x:v>
      </x:c>
      <x:c r="P1889" s="26" t="n">
        <x:f>F1889/O1889</x:f>
        <x:v>80.67</x:v>
      </x:c>
    </x:row>
    <x:row r="1890">
      <x:c r="A1890" t="n">
        <x:v>1889</x:v>
      </x:c>
      <x:c r="B1890" t="n">
        <x:v>26</x:v>
      </x:c>
      <x:c r="C1890" t="str">
        <x:v>Female</x:v>
      </x:c>
      <x:c r="D1890" t="str">
        <x:v>Beauty</x:v>
      </x:c>
      <x:c r="E1890" t="str">
        <x:v>Perfume</x:v>
      </x:c>
      <x:c r="F1890" s="24" t="n">
        <x:v>121.33</x:v>
      </x:c>
      <x:c r="G1890" t="str">
        <x:v>Spring</x:v>
      </x:c>
      <x:c r="H1890" t="str">
        <x:v>Card</x:v>
      </x:c>
      <x:c r="I1890" t="n">
        <x:v>5</x:v>
      </x:c>
      <x:c r="J1890" t="n">
        <x:v>16</x:v>
      </x:c>
      <x:c r="K1890" t="n">
        <x:v>8</x:v>
      </x:c>
      <x:c r="L1890" t="str">
        <x:v>STORE-001</x:v>
      </x:c>
      <x:c r="M1890" s="22" t="n">
        <x:v>46282</x:v>
      </x:c>
      <x:c r="N1890" t="str">
        <x:v>SKU-017</x:v>
      </x:c>
      <x:c r="O1890" t="n">
        <x:v>2</x:v>
      </x:c>
      <x:c r="P1890" s="26" t="n">
        <x:f>F1890/O1890</x:f>
        <x:v>60.665</x:v>
      </x:c>
    </x:row>
    <x:row r="1891">
      <x:c r="A1891" t="n">
        <x:v>1890</x:v>
      </x:c>
      <x:c r="B1891" t="n">
        <x:v>42</x:v>
      </x:c>
      <x:c r="C1891" t="str">
        <x:v>Male</x:v>
      </x:c>
      <x:c r="D1891" t="str">
        <x:v>Sports</x:v>
      </x:c>
      <x:c r="E1891" t="str">
        <x:v>Yoga Mat</x:v>
      </x:c>
      <x:c r="F1891" s="24" t="n">
        <x:v>41.11</x:v>
      </x:c>
      <x:c r="G1891" t="str">
        <x:v>Spring</x:v>
      </x:c>
      <x:c r="H1891" t="str">
        <x:v>Card</x:v>
      </x:c>
      <x:c r="I1891" t="n">
        <x:v>3.1</x:v>
      </x:c>
      <x:c r="J1891" t="n">
        <x:v>28</x:v>
      </x:c>
      <x:c r="K1891" t="n">
        <x:v>9</x:v>
      </x:c>
      <x:c r="L1891" t="str">
        <x:v>STORE-001</x:v>
      </x:c>
      <x:c r="M1891" s="22" t="n">
        <x:v>46283</x:v>
      </x:c>
      <x:c r="N1891" t="str">
        <x:v>SKU-030</x:v>
      </x:c>
      <x:c r="O1891" t="n">
        <x:v>1</x:v>
      </x:c>
      <x:c r="P1891" s="26" t="n">
        <x:f>F1891/O1891</x:f>
        <x:v>41.11</x:v>
      </x:c>
    </x:row>
    <x:row r="1892">
      <x:c r="A1892" t="n">
        <x:v>1891</x:v>
      </x:c>
      <x:c r="B1892" t="n">
        <x:v>50</x:v>
      </x:c>
      <x:c r="C1892" t="str">
        <x:v>Male</x:v>
      </x:c>
      <x:c r="D1892" t="str">
        <x:v>Home</x:v>
      </x:c>
      <x:c r="E1892" t="str">
        <x:v>Lamp</x:v>
      </x:c>
      <x:c r="F1892" s="24" t="n">
        <x:v>45</x:v>
      </x:c>
      <x:c r="G1892" t="str">
        <x:v>Spring</x:v>
      </x:c>
      <x:c r="H1892" t="str">
        <x:v>Cash on Delivery</x:v>
      </x:c>
      <x:c r="I1892" t="n">
        <x:v>4.1</x:v>
      </x:c>
      <x:c r="J1892" t="n">
        <x:v>9</x:v>
      </x:c>
      <x:c r="K1892" t="n">
        <x:v>2</x:v>
      </x:c>
      <x:c r="L1892" t="str">
        <x:v>STORE-001</x:v>
      </x:c>
      <x:c r="M1892" s="22" t="n">
        <x:v>45962</x:v>
      </x:c>
      <x:c r="N1892" t="str">
        <x:v>SKU-013</x:v>
      </x:c>
      <x:c r="O1892" t="n">
        <x:v>4</x:v>
      </x:c>
      <x:c r="P1892" s="26" t="n">
        <x:f>F1892/O1892</x:f>
        <x:v>11.25</x:v>
      </x:c>
    </x:row>
    <x:row r="1893">
      <x:c r="A1893" t="n">
        <x:v>1892</x:v>
      </x:c>
      <x:c r="B1893" t="n">
        <x:v>42</x:v>
      </x:c>
      <x:c r="C1893" t="str">
        <x:v>Female</x:v>
      </x:c>
      <x:c r="D1893" t="str">
        <x:v>Accessories</x:v>
      </x:c>
      <x:c r="E1893" t="str">
        <x:v>Handbag</x:v>
      </x:c>
      <x:c r="F1893" s="24" t="n">
        <x:v>50.74</x:v>
      </x:c>
      <x:c r="G1893" t="str">
        <x:v>Autumn</x:v>
      </x:c>
      <x:c r="H1893" t="str">
        <x:v>Card</x:v>
      </x:c>
      <x:c r="I1893" t="n">
        <x:v>4.2</x:v>
      </x:c>
      <x:c r="J1893" t="n">
        <x:v>4</x:v>
      </x:c>
      <x:c r="K1893" t="n">
        <x:v>2</x:v>
      </x:c>
      <x:c r="L1893" t="str">
        <x:v>STORE-001</x:v>
      </x:c>
      <x:c r="M1893" s="22" t="n">
        <x:v>46150</x:v>
      </x:c>
      <x:c r="N1893" t="str">
        <x:v>SKU-008</x:v>
      </x:c>
      <x:c r="O1893" t="n">
        <x:v>1</x:v>
      </x:c>
      <x:c r="P1893" s="26" t="n">
        <x:f>F1893/O1893</x:f>
        <x:v>50.74</x:v>
      </x:c>
    </x:row>
    <x:row r="1894">
      <x:c r="A1894" t="n">
        <x:v>1893</x:v>
      </x:c>
      <x:c r="B1894" t="n">
        <x:v>22</x:v>
      </x:c>
      <x:c r="C1894" t="str">
        <x:v>Female</x:v>
      </x:c>
      <x:c r="D1894" t="str">
        <x:v>Womens Clothing</x:v>
      </x:c>
      <x:c r="E1894" t="str">
        <x:v>Top</x:v>
      </x:c>
      <x:c r="F1894" s="24" t="n">
        <x:v>109.38</x:v>
      </x:c>
      <x:c r="G1894" t="str">
        <x:v>Spring</x:v>
      </x:c>
      <x:c r="H1894" t="str">
        <x:v>Card</x:v>
      </x:c>
      <x:c r="I1894" t="n">
        <x:v>4.3</x:v>
      </x:c>
      <x:c r="J1894" t="n">
        <x:v>16</x:v>
      </x:c>
      <x:c r="K1894" t="n">
        <x:v>3</x:v>
      </x:c>
      <x:c r="L1894" t="str">
        <x:v>STORE-001</x:v>
      </x:c>
      <x:c r="M1894" s="22" t="n">
        <x:v>46285</x:v>
      </x:c>
      <x:c r="N1894" t="str">
        <x:v>SKU-028</x:v>
      </x:c>
      <x:c r="O1894" t="n">
        <x:v>2</x:v>
      </x:c>
      <x:c r="P1894" s="26" t="n">
        <x:f>F1894/O1894</x:f>
        <x:v>54.69</x:v>
      </x:c>
    </x:row>
    <x:row r="1895">
      <x:c r="A1895" t="n">
        <x:v>1894</x:v>
      </x:c>
      <x:c r="B1895" t="n">
        <x:v>40</x:v>
      </x:c>
      <x:c r="C1895" t="str">
        <x:v>Female</x:v>
      </x:c>
      <x:c r="D1895" t="str">
        <x:v>Womens Clothing</x:v>
      </x:c>
      <x:c r="E1895" t="str">
        <x:v>Top</x:v>
      </x:c>
      <x:c r="F1895" s="24" t="n">
        <x:v>55</x:v>
      </x:c>
      <x:c r="G1895" t="str">
        <x:v>Winter</x:v>
      </x:c>
      <x:c r="H1895" t="str">
        <x:v>Cash on Delivery</x:v>
      </x:c>
      <x:c r="I1895" t="n">
        <x:v>4</x:v>
      </x:c>
      <x:c r="J1895" t="n">
        <x:v>18</x:v>
      </x:c>
      <x:c r="K1895" t="n">
        <x:v>4</x:v>
      </x:c>
      <x:c r="L1895" t="str">
        <x:v>STORE-001</x:v>
      </x:c>
      <x:c r="M1895" s="22" t="n">
        <x:v>46221</x:v>
      </x:c>
      <x:c r="N1895" t="str">
        <x:v>SKU-028</x:v>
      </x:c>
      <x:c r="O1895" t="n">
        <x:v>1</x:v>
      </x:c>
      <x:c r="P1895" s="26" t="n">
        <x:f>F1895/O1895</x:f>
        <x:v>55</x:v>
      </x:c>
    </x:row>
    <x:row r="1896">
      <x:c r="A1896" t="n">
        <x:v>1895</x:v>
      </x:c>
      <x:c r="B1896" t="n">
        <x:v>52</x:v>
      </x:c>
      <x:c r="C1896" t="str">
        <x:v>Male</x:v>
      </x:c>
      <x:c r="D1896" t="str">
        <x:v>Footwear</x:v>
      </x:c>
      <x:c r="E1896" t="str">
        <x:v>Sandals</x:v>
      </x:c>
      <x:c r="F1896" s="24" t="n">
        <x:v>181.52</x:v>
      </x:c>
      <x:c r="G1896" t="str">
        <x:v>Winter</x:v>
      </x:c>
      <x:c r="H1896" t="str">
        <x:v>Card</x:v>
      </x:c>
      <x:c r="I1896" t="n">
        <x:v>4.3</x:v>
      </x:c>
      <x:c r="J1896" t="n">
        <x:v>24</x:v>
      </x:c>
      <x:c r="K1896" t="n">
        <x:v>7</x:v>
      </x:c>
      <x:c r="L1896" t="str">
        <x:v>STORE-001</x:v>
      </x:c>
      <x:c r="M1896" s="22" t="n">
        <x:v>46198</x:v>
      </x:c>
      <x:c r="N1896" t="str">
        <x:v>SKU-019</x:v>
      </x:c>
      <x:c r="O1896" t="n">
        <x:v>1</x:v>
      </x:c>
      <x:c r="P1896" s="26" t="n">
        <x:f>F1896/O1896</x:f>
        <x:v>181.52</x:v>
      </x:c>
    </x:row>
    <x:row r="1897">
      <x:c r="A1897" t="n">
        <x:v>1896</x:v>
      </x:c>
      <x:c r="B1897" t="n">
        <x:v>55</x:v>
      </x:c>
      <x:c r="C1897" t="str">
        <x:v>Female</x:v>
      </x:c>
      <x:c r="D1897" t="str">
        <x:v>Accessories</x:v>
      </x:c>
      <x:c r="E1897" t="str">
        <x:v>Handbag</x:v>
      </x:c>
      <x:c r="F1897" s="24" t="n">
        <x:v>89.11</x:v>
      </x:c>
      <x:c r="G1897" t="str">
        <x:v>Winter</x:v>
      </x:c>
      <x:c r="H1897" t="str">
        <x:v>Cash on Delivery</x:v>
      </x:c>
      <x:c r="I1897" t="n">
        <x:v>2.6</x:v>
      </x:c>
      <x:c r="J1897" t="n">
        <x:v>12</x:v>
      </x:c>
      <x:c r="K1897" t="n">
        <x:v>1</x:v>
      </x:c>
      <x:c r="L1897" t="str">
        <x:v>STORE-001</x:v>
      </x:c>
      <x:c r="M1897" s="22" t="n">
        <x:v>46239</x:v>
      </x:c>
      <x:c r="N1897" t="str">
        <x:v>SKU-008</x:v>
      </x:c>
      <x:c r="O1897" t="n">
        <x:v>1</x:v>
      </x:c>
      <x:c r="P1897" s="26" t="n">
        <x:f>F1897/O1897</x:f>
        <x:v>89.11</x:v>
      </x:c>
    </x:row>
    <x:row r="1898">
      <x:c r="A1898" t="n">
        <x:v>1897</x:v>
      </x:c>
      <x:c r="B1898" t="n">
        <x:v>34</x:v>
      </x:c>
      <x:c r="C1898" t="str">
        <x:v>Female</x:v>
      </x:c>
      <x:c r="D1898" t="str">
        <x:v>Accessories</x:v>
      </x:c>
      <x:c r="E1898" t="str">
        <x:v>Sunglasses</x:v>
      </x:c>
      <x:c r="F1898" s="24" t="n">
        <x:v>179.27</x:v>
      </x:c>
      <x:c r="G1898" t="str">
        <x:v>Winter</x:v>
      </x:c>
      <x:c r="H1898" t="str">
        <x:v>Card</x:v>
      </x:c>
      <x:c r="I1898" t="n">
        <x:v>4.2</x:v>
      </x:c>
      <x:c r="J1898" t="n">
        <x:v>13</x:v>
      </x:c>
      <x:c r="K1898" t="n">
        <x:v>4</x:v>
      </x:c>
      <x:c r="L1898" t="str">
        <x:v>STORE-001</x:v>
      </x:c>
      <x:c r="M1898" s="22" t="n">
        <x:v>46248</x:v>
      </x:c>
      <x:c r="N1898" t="str">
        <x:v>SKU-026</x:v>
      </x:c>
      <x:c r="O1898" t="n">
        <x:v>2</x:v>
      </x:c>
      <x:c r="P1898" s="26" t="n">
        <x:f>F1898/O1898</x:f>
        <x:v>89.635</x:v>
      </x:c>
    </x:row>
    <x:row r="1899">
      <x:c r="A1899" t="n">
        <x:v>1898</x:v>
      </x:c>
      <x:c r="B1899" t="n">
        <x:v>28</x:v>
      </x:c>
      <x:c r="C1899" t="str">
        <x:v>Male</x:v>
      </x:c>
      <x:c r="D1899" t="str">
        <x:v>Mens Clothing</x:v>
      </x:c>
      <x:c r="E1899" t="str">
        <x:v>T-Shirt</x:v>
      </x:c>
      <x:c r="F1899" s="24" t="n">
        <x:v>147.68</x:v>
      </x:c>
      <x:c r="G1899" t="str">
        <x:v>Autumn</x:v>
      </x:c>
      <x:c r="H1899" t="str">
        <x:v>Card</x:v>
      </x:c>
      <x:c r="I1899" t="n">
        <x:v>3.5</x:v>
      </x:c>
      <x:c r="J1899" t="n">
        <x:v>24</x:v>
      </x:c>
      <x:c r="K1899" t="n">
        <x:v>7</x:v>
      </x:c>
      <x:c r="L1899" t="str">
        <x:v>STORE-001</x:v>
      </x:c>
      <x:c r="M1899" s="22" t="n">
        <x:v>46098</x:v>
      </x:c>
      <x:c r="N1899" t="str">
        <x:v>SKU-027</x:v>
      </x:c>
      <x:c r="O1899" t="n">
        <x:v>1</x:v>
      </x:c>
      <x:c r="P1899" s="26" t="n">
        <x:f>F1899/O1899</x:f>
        <x:v>147.68</x:v>
      </x:c>
    </x:row>
    <x:row r="1900">
      <x:c r="A1900" t="n">
        <x:v>1899</x:v>
      </x:c>
      <x:c r="B1900" t="n">
        <x:v>63</x:v>
      </x:c>
      <x:c r="C1900" t="str">
        <x:v>Female</x:v>
      </x:c>
      <x:c r="D1900" t="str">
        <x:v>Womens Clothing</x:v>
      </x:c>
      <x:c r="E1900" t="str">
        <x:v>Jeans</x:v>
      </x:c>
      <x:c r="F1900" s="24" t="n">
        <x:v>90.28</x:v>
      </x:c>
      <x:c r="G1900" t="str">
        <x:v>Summer</x:v>
      </x:c>
      <x:c r="H1900" t="str">
        <x:v>Card</x:v>
      </x:c>
      <x:c r="I1900" t="n">
        <x:v>4</x:v>
      </x:c>
      <x:c r="J1900" t="n">
        <x:v>19</x:v>
      </x:c>
      <x:c r="K1900" t="n">
        <x:v>7</x:v>
      </x:c>
      <x:c r="L1900" t="str">
        <x:v>STORE-001</x:v>
      </x:c>
      <x:c r="M1900" s="22" t="n">
        <x:v>46050</x:v>
      </x:c>
      <x:c r="N1900" t="str">
        <x:v>SKU-011</x:v>
      </x:c>
      <x:c r="O1900" t="n">
        <x:v>1</x:v>
      </x:c>
      <x:c r="P1900" s="26" t="n">
        <x:f>F1900/O1900</x:f>
        <x:v>90.28</x:v>
      </x:c>
    </x:row>
    <x:row r="1901">
      <x:c r="A1901" t="n">
        <x:v>1900</x:v>
      </x:c>
      <x:c r="B1901" t="n">
        <x:v>43</x:v>
      </x:c>
      <x:c r="C1901" t="str">
        <x:v>Female</x:v>
      </x:c>
      <x:c r="D1901" t="str">
        <x:v>Home</x:v>
      </x:c>
      <x:c r="E1901" t="str">
        <x:v>Kitchen Set</x:v>
      </x:c>
      <x:c r="F1901" s="24" t="n">
        <x:v>261.98</x:v>
      </x:c>
      <x:c r="G1901" t="str">
        <x:v>Winter</x:v>
      </x:c>
      <x:c r="H1901" t="str">
        <x:v>Card</x:v>
      </x:c>
      <x:c r="I1901" t="n">
        <x:v>4.2</x:v>
      </x:c>
      <x:c r="J1901" t="n">
        <x:v>24</x:v>
      </x:c>
      <x:c r="K1901" t="n">
        <x:v>7</x:v>
      </x:c>
      <x:c r="L1901" t="str">
        <x:v>STORE-001</x:v>
      </x:c>
      <x:c r="M1901" s="22" t="n">
        <x:v>46227</x:v>
      </x:c>
      <x:c r="N1901" t="str">
        <x:v>SKU-012</x:v>
      </x:c>
      <x:c r="O1901" t="n">
        <x:v>1</x:v>
      </x:c>
      <x:c r="P1901" s="26" t="n">
        <x:f>F1901/O1901</x:f>
        <x:v>261.98</x:v>
      </x:c>
    </x:row>
    <x:row r="1902">
      <x:c r="A1902" t="n">
        <x:v>1901</x:v>
      </x:c>
      <x:c r="B1902" t="n">
        <x:v>35</x:v>
      </x:c>
      <x:c r="C1902" t="str">
        <x:v>Male</x:v>
      </x:c>
      <x:c r="D1902" t="str">
        <x:v>Electronics</x:v>
      </x:c>
      <x:c r="E1902" t="str">
        <x:v>Smart Watch</x:v>
      </x:c>
      <x:c r="F1902" s="24" t="n">
        <x:v>2479.4</x:v>
      </x:c>
      <x:c r="G1902" t="str">
        <x:v>Summer</x:v>
      </x:c>
      <x:c r="H1902" t="str">
        <x:v>Card</x:v>
      </x:c>
      <x:c r="I1902" t="n">
        <x:v>3.9</x:v>
      </x:c>
      <x:c r="J1902" t="n">
        <x:v>24</x:v>
      </x:c>
      <x:c r="K1902" t="n">
        <x:v>7</x:v>
      </x:c>
      <x:c r="L1902" t="str">
        <x:v>STORE-001</x:v>
      </x:c>
      <x:c r="M1902" s="22" t="n">
        <x:v>46023</x:v>
      </x:c>
      <x:c r="N1902" t="str">
        <x:v>SKU-023</x:v>
      </x:c>
      <x:c r="O1902" t="n">
        <x:v>1</x:v>
      </x:c>
      <x:c r="P1902" s="26" t="n">
        <x:f>F1902/O1902</x:f>
        <x:v>2479.4</x:v>
      </x:c>
    </x:row>
    <x:row r="1903">
      <x:c r="A1903" t="n">
        <x:v>1902</x:v>
      </x:c>
      <x:c r="B1903" t="n">
        <x:v>36</x:v>
      </x:c>
      <x:c r="C1903" t="str">
        <x:v>Male</x:v>
      </x:c>
      <x:c r="D1903" t="str">
        <x:v>Sports</x:v>
      </x:c>
      <x:c r="E1903" t="str">
        <x:v>Dumbbells</x:v>
      </x:c>
      <x:c r="F1903" s="24" t="n">
        <x:v>159.18</x:v>
      </x:c>
      <x:c r="G1903" t="str">
        <x:v>Spring</x:v>
      </x:c>
      <x:c r="H1903" t="str">
        <x:v>Card</x:v>
      </x:c>
      <x:c r="I1903" t="n">
        <x:v>2.4</x:v>
      </x:c>
      <x:c r="J1903" t="n">
        <x:v>12</x:v>
      </x:c>
      <x:c r="K1903" t="n">
        <x:v>6</x:v>
      </x:c>
      <x:c r="L1903" t="str">
        <x:v>STORE-001</x:v>
      </x:c>
      <x:c r="M1903" s="22" t="n">
        <x:v>45988</x:v>
      </x:c>
      <x:c r="N1903" t="str">
        <x:v>SKU-005</x:v>
      </x:c>
      <x:c r="O1903" t="n">
        <x:v>2</x:v>
      </x:c>
      <x:c r="P1903" s="26" t="n">
        <x:f>F1903/O1903</x:f>
        <x:v>79.59</x:v>
      </x:c>
    </x:row>
    <x:row r="1904">
      <x:c r="A1904" t="n">
        <x:v>1903</x:v>
      </x:c>
      <x:c r="B1904" t="n">
        <x:v>48</x:v>
      </x:c>
      <x:c r="C1904" t="str">
        <x:v>Male</x:v>
      </x:c>
      <x:c r="D1904" t="str">
        <x:v>Sports</x:v>
      </x:c>
      <x:c r="E1904" t="str">
        <x:v>Football</x:v>
      </x:c>
      <x:c r="F1904" s="24" t="n">
        <x:v>144.53</x:v>
      </x:c>
      <x:c r="G1904" t="str">
        <x:v>Winter</x:v>
      </x:c>
      <x:c r="H1904" t="str">
        <x:v>Card</x:v>
      </x:c>
      <x:c r="I1904" t="n">
        <x:v>3.7</x:v>
      </x:c>
      <x:c r="J1904" t="n">
        <x:v>12</x:v>
      </x:c>
      <x:c r="K1904" t="n">
        <x:v>6</x:v>
      </x:c>
      <x:c r="L1904" t="str">
        <x:v>STORE-001</x:v>
      </x:c>
      <x:c r="M1904" s="22" t="n">
        <x:v>46205</x:v>
      </x:c>
      <x:c r="N1904" t="str">
        <x:v>SKU-006</x:v>
      </x:c>
      <x:c r="O1904" t="n">
        <x:v>1</x:v>
      </x:c>
      <x:c r="P1904" s="26" t="n">
        <x:f>F1904/O1904</x:f>
        <x:v>144.53</x:v>
      </x:c>
    </x:row>
    <x:row r="1905">
      <x:c r="A1905" t="n">
        <x:v>1904</x:v>
      </x:c>
      <x:c r="B1905" t="n">
        <x:v>34</x:v>
      </x:c>
      <x:c r="C1905" t="str">
        <x:v>Male</x:v>
      </x:c>
      <x:c r="D1905" t="str">
        <x:v>Electronics</x:v>
      </x:c>
      <x:c r="E1905" t="str">
        <x:v>Headphones</x:v>
      </x:c>
      <x:c r="F1905" s="24" t="n">
        <x:v>1675.77</x:v>
      </x:c>
      <x:c r="G1905" t="str">
        <x:v>Autumn</x:v>
      </x:c>
      <x:c r="H1905" t="str">
        <x:v>Card</x:v>
      </x:c>
      <x:c r="I1905" t="n">
        <x:v>3.6</x:v>
      </x:c>
      <x:c r="J1905" t="n">
        <x:v>24</x:v>
      </x:c>
      <x:c r="K1905" t="n">
        <x:v>7</x:v>
      </x:c>
      <x:c r="L1905" t="str">
        <x:v>STORE-001</x:v>
      </x:c>
      <x:c r="M1905" s="22" t="n">
        <x:v>46136</x:v>
      </x:c>
      <x:c r="N1905" t="str">
        <x:v>SKU-009</x:v>
      </x:c>
      <x:c r="O1905" t="n">
        <x:v>1</x:v>
      </x:c>
      <x:c r="P1905" s="26" t="n">
        <x:f>F1905/O1905</x:f>
        <x:v>1675.77</x:v>
      </x:c>
    </x:row>
    <x:row r="1906">
      <x:c r="A1906" t="n">
        <x:v>1905</x:v>
      </x:c>
      <x:c r="B1906" t="n">
        <x:v>47</x:v>
      </x:c>
      <x:c r="C1906" t="str">
        <x:v>Female</x:v>
      </x:c>
      <x:c r="D1906" t="str">
        <x:v>Footwear</x:v>
      </x:c>
      <x:c r="E1906" t="str">
        <x:v>Sandals</x:v>
      </x:c>
      <x:c r="F1906" s="24" t="n">
        <x:v>64.76</x:v>
      </x:c>
      <x:c r="G1906" t="str">
        <x:v>Summer</x:v>
      </x:c>
      <x:c r="H1906" t="str">
        <x:v>Cash on Delivery</x:v>
      </x:c>
      <x:c r="I1906" t="n">
        <x:v>4.3</x:v>
      </x:c>
      <x:c r="J1906" t="n">
        <x:v>4</x:v>
      </x:c>
      <x:c r="K1906" t="n">
        <x:v>2</x:v>
      </x:c>
      <x:c r="L1906" t="str">
        <x:v>STORE-001</x:v>
      </x:c>
      <x:c r="M1906" s="22" t="n">
        <x:v>46076</x:v>
      </x:c>
      <x:c r="N1906" t="str">
        <x:v>SKU-019</x:v>
      </x:c>
      <x:c r="O1906" t="n">
        <x:v>2</x:v>
      </x:c>
      <x:c r="P1906" s="26" t="n">
        <x:f>F1906/O1906</x:f>
        <x:v>32.38</x:v>
      </x:c>
    </x:row>
    <x:row r="1907">
      <x:c r="A1907" t="n">
        <x:v>1906</x:v>
      </x:c>
      <x:c r="B1907" t="n">
        <x:v>48</x:v>
      </x:c>
      <x:c r="C1907" t="str">
        <x:v>Female</x:v>
      </x:c>
      <x:c r="D1907" t="str">
        <x:v>Womens Clothing</x:v>
      </x:c>
      <x:c r="E1907" t="str">
        <x:v>Top</x:v>
      </x:c>
      <x:c r="F1907" s="24" t="n">
        <x:v>118.33</x:v>
      </x:c>
      <x:c r="G1907" t="str">
        <x:v>Spring</x:v>
      </x:c>
      <x:c r="H1907" t="str">
        <x:v>Card</x:v>
      </x:c>
      <x:c r="I1907" t="n">
        <x:v>4</x:v>
      </x:c>
      <x:c r="J1907" t="n">
        <x:v>24</x:v>
      </x:c>
      <x:c r="K1907" t="n">
        <x:v>7</x:v>
      </x:c>
      <x:c r="L1907" t="str">
        <x:v>STORE-001</x:v>
      </x:c>
      <x:c r="M1907" s="22" t="n">
        <x:v>45978</x:v>
      </x:c>
      <x:c r="N1907" t="str">
        <x:v>SKU-028</x:v>
      </x:c>
      <x:c r="O1907" t="n">
        <x:v>1</x:v>
      </x:c>
      <x:c r="P1907" s="26" t="n">
        <x:f>F1907/O1907</x:f>
        <x:v>118.33</x:v>
      </x:c>
    </x:row>
    <x:row r="1908">
      <x:c r="A1908" t="n">
        <x:v>1907</x:v>
      </x:c>
      <x:c r="B1908" t="n">
        <x:v>50</x:v>
      </x:c>
      <x:c r="C1908" t="str">
        <x:v>Female</x:v>
      </x:c>
      <x:c r="D1908" t="str">
        <x:v>Accessories</x:v>
      </x:c>
      <x:c r="E1908" t="str">
        <x:v>Wallet</x:v>
      </x:c>
      <x:c r="F1908" s="24" t="n">
        <x:v>150.39</x:v>
      </x:c>
      <x:c r="G1908" t="str">
        <x:v>Summer</x:v>
      </x:c>
      <x:c r="H1908" t="str">
        <x:v>Card</x:v>
      </x:c>
      <x:c r="I1908" t="n">
        <x:v>4.2</x:v>
      </x:c>
      <x:c r="J1908" t="n">
        <x:v>11</x:v>
      </x:c>
      <x:c r="K1908" t="n">
        <x:v>3</x:v>
      </x:c>
      <x:c r="L1908" t="str">
        <x:v>STORE-001</x:v>
      </x:c>
      <x:c r="M1908" s="22" t="n">
        <x:v>46032</x:v>
      </x:c>
      <x:c r="N1908" t="str">
        <x:v>SKU-029</x:v>
      </x:c>
      <x:c r="O1908" t="n">
        <x:v>1</x:v>
      </x:c>
      <x:c r="P1908" s="26" t="n">
        <x:f>F1908/O1908</x:f>
        <x:v>150.39</x:v>
      </x:c>
    </x:row>
    <x:row r="1909">
      <x:c r="A1909" t="n">
        <x:v>1908</x:v>
      </x:c>
      <x:c r="B1909" t="n">
        <x:v>25</x:v>
      </x:c>
      <x:c r="C1909" t="str">
        <x:v>Male</x:v>
      </x:c>
      <x:c r="D1909" t="str">
        <x:v>Footwear</x:v>
      </x:c>
      <x:c r="E1909" t="str">
        <x:v>Sneakers</x:v>
      </x:c>
      <x:c r="F1909" s="24" t="n">
        <x:v>120.73</x:v>
      </x:c>
      <x:c r="G1909" t="str">
        <x:v>Winter</x:v>
      </x:c>
      <x:c r="H1909" t="str">
        <x:v>Card</x:v>
      </x:c>
      <x:c r="I1909" t="n">
        <x:v>4</x:v>
      </x:c>
      <x:c r="J1909" t="n">
        <x:v>11</x:v>
      </x:c>
      <x:c r="K1909" t="n">
        <x:v>3</x:v>
      </x:c>
      <x:c r="L1909" t="str">
        <x:v>STORE-001</x:v>
      </x:c>
      <x:c r="M1909" s="22" t="n">
        <x:v>46204</x:v>
      </x:c>
      <x:c r="N1909" t="str">
        <x:v>SKU-025</x:v>
      </x:c>
      <x:c r="O1909" t="n">
        <x:v>2</x:v>
      </x:c>
      <x:c r="P1909" s="26" t="n">
        <x:f>F1909/O1909</x:f>
        <x:v>60.365</x:v>
      </x:c>
    </x:row>
    <x:row r="1910">
      <x:c r="A1910" t="n">
        <x:v>1909</x:v>
      </x:c>
      <x:c r="B1910" t="n">
        <x:v>67</x:v>
      </x:c>
      <x:c r="C1910" t="str">
        <x:v>Male</x:v>
      </x:c>
      <x:c r="D1910" t="str">
        <x:v>Groceries</x:v>
      </x:c>
      <x:c r="E1910" t="str">
        <x:v>Rice Pack</x:v>
      </x:c>
      <x:c r="F1910" s="24" t="n">
        <x:v>25.65</x:v>
      </x:c>
      <x:c r="G1910" t="str">
        <x:v>Winter</x:v>
      </x:c>
      <x:c r="H1910" t="str">
        <x:v>Cash on Delivery</x:v>
      </x:c>
      <x:c r="I1910" t="n">
        <x:v>3.5</x:v>
      </x:c>
      <x:c r="J1910" t="n">
        <x:v>17</x:v>
      </x:c>
      <x:c r="K1910" t="n">
        <x:v>6</x:v>
      </x:c>
      <x:c r="L1910" t="str">
        <x:v>STORE-001</x:v>
      </x:c>
      <x:c r="M1910" s="22" t="n">
        <x:v>46233</x:v>
      </x:c>
      <x:c r="N1910" t="str">
        <x:v>SKU-018</x:v>
      </x:c>
      <x:c r="O1910" t="n">
        <x:v>2</x:v>
      </x:c>
      <x:c r="P1910" s="26" t="n">
        <x:f>F1910/O1910</x:f>
        <x:v>12.825</x:v>
      </x:c>
    </x:row>
    <x:row r="1911">
      <x:c r="A1911" t="n">
        <x:v>1910</x:v>
      </x:c>
      <x:c r="B1911" t="n">
        <x:v>65</x:v>
      </x:c>
      <x:c r="C1911" t="str">
        <x:v>Female</x:v>
      </x:c>
      <x:c r="D1911" t="str">
        <x:v>Groceries</x:v>
      </x:c>
      <x:c r="E1911" t="str">
        <x:v>Rice Pack</x:v>
      </x:c>
      <x:c r="F1911" s="24" t="n">
        <x:v>25.3</x:v>
      </x:c>
      <x:c r="G1911" t="str">
        <x:v>Autumn</x:v>
      </x:c>
      <x:c r="H1911" t="str">
        <x:v>Cash on Delivery</x:v>
      </x:c>
      <x:c r="I1911" t="n">
        <x:v>3.4</x:v>
      </x:c>
      <x:c r="J1911" t="n">
        <x:v>21</x:v>
      </x:c>
      <x:c r="K1911" t="n">
        <x:v>8</x:v>
      </x:c>
      <x:c r="L1911" t="str">
        <x:v>STORE-001</x:v>
      </x:c>
      <x:c r="M1911" s="22" t="n">
        <x:v>46117</x:v>
      </x:c>
      <x:c r="N1911" t="str">
        <x:v>SKU-018</x:v>
      </x:c>
      <x:c r="O1911" t="n">
        <x:v>3</x:v>
      </x:c>
      <x:c r="P1911" s="26" t="n">
        <x:f>F1911/O1911</x:f>
        <x:v>8.433333333333334</x:v>
      </x:c>
    </x:row>
    <x:row r="1912">
      <x:c r="A1912" t="n">
        <x:v>1911</x:v>
      </x:c>
      <x:c r="B1912" t="n">
        <x:v>33</x:v>
      </x:c>
      <x:c r="C1912" t="str">
        <x:v>Female</x:v>
      </x:c>
      <x:c r="D1912" t="str">
        <x:v>Sports</x:v>
      </x:c>
      <x:c r="E1912" t="str">
        <x:v>Football</x:v>
      </x:c>
      <x:c r="F1912" s="24" t="n">
        <x:v>54.43</x:v>
      </x:c>
      <x:c r="G1912" t="str">
        <x:v>Autumn</x:v>
      </x:c>
      <x:c r="H1912" t="str">
        <x:v>Cash on Delivery</x:v>
      </x:c>
      <x:c r="I1912" t="n">
        <x:v>3.6</x:v>
      </x:c>
      <x:c r="J1912" t="n">
        <x:v>20</x:v>
      </x:c>
      <x:c r="K1912" t="n">
        <x:v>10</x:v>
      </x:c>
      <x:c r="L1912" t="str">
        <x:v>STORE-001</x:v>
      </x:c>
      <x:c r="M1912" s="22" t="n">
        <x:v>46103</x:v>
      </x:c>
      <x:c r="N1912" t="str">
        <x:v>SKU-006</x:v>
      </x:c>
      <x:c r="O1912" t="n">
        <x:v>1</x:v>
      </x:c>
      <x:c r="P1912" s="26" t="n">
        <x:f>F1912/O1912</x:f>
        <x:v>54.43</x:v>
      </x:c>
    </x:row>
    <x:row r="1913">
      <x:c r="A1913" t="n">
        <x:v>1912</x:v>
      </x:c>
      <x:c r="B1913" t="n">
        <x:v>37</x:v>
      </x:c>
      <x:c r="C1913" t="str">
        <x:v>Male</x:v>
      </x:c>
      <x:c r="D1913" t="str">
        <x:v>Footwear</x:v>
      </x:c>
      <x:c r="E1913" t="str">
        <x:v>Sneakers</x:v>
      </x:c>
      <x:c r="F1913" s="24" t="n">
        <x:v>164.63</x:v>
      </x:c>
      <x:c r="G1913" t="str">
        <x:v>Winter</x:v>
      </x:c>
      <x:c r="H1913" t="str">
        <x:v>Card</x:v>
      </x:c>
      <x:c r="I1913" t="n">
        <x:v>2.5</x:v>
      </x:c>
      <x:c r="J1913" t="n">
        <x:v>16</x:v>
      </x:c>
      <x:c r="K1913" t="n">
        <x:v>3</x:v>
      </x:c>
      <x:c r="L1913" t="str">
        <x:v>STORE-001</x:v>
      </x:c>
      <x:c r="M1913" s="22" t="n">
        <x:v>46219</x:v>
      </x:c>
      <x:c r="N1913" t="str">
        <x:v>SKU-025</x:v>
      </x:c>
      <x:c r="O1913" t="n">
        <x:v>1</x:v>
      </x:c>
      <x:c r="P1913" s="26" t="n">
        <x:f>F1913/O1913</x:f>
        <x:v>164.63</x:v>
      </x:c>
    </x:row>
    <x:row r="1914">
      <x:c r="A1914" t="n">
        <x:v>1913</x:v>
      </x:c>
      <x:c r="B1914" t="n">
        <x:v>24</x:v>
      </x:c>
      <x:c r="C1914" t="str">
        <x:v>Male</x:v>
      </x:c>
      <x:c r="D1914" t="str">
        <x:v>Mens Clothing</x:v>
      </x:c>
      <x:c r="E1914" t="str">
        <x:v>Jeans</x:v>
      </x:c>
      <x:c r="F1914" s="24" t="n">
        <x:v>109.21</x:v>
      </x:c>
      <x:c r="G1914" t="str">
        <x:v>Summer</x:v>
      </x:c>
      <x:c r="H1914" t="str">
        <x:v>Card</x:v>
      </x:c>
      <x:c r="I1914" t="n">
        <x:v>3.9</x:v>
      </x:c>
      <x:c r="J1914" t="n">
        <x:v>22</x:v>
      </x:c>
      <x:c r="K1914" t="n">
        <x:v>11</x:v>
      </x:c>
      <x:c r="L1914" t="str">
        <x:v>STORE-001</x:v>
      </x:c>
      <x:c r="M1914" s="22" t="n">
        <x:v>46023</x:v>
      </x:c>
      <x:c r="N1914" t="str">
        <x:v>SKU-011</x:v>
      </x:c>
      <x:c r="O1914" t="n">
        <x:v>2</x:v>
      </x:c>
      <x:c r="P1914" s="26" t="n">
        <x:f>F1914/O1914</x:f>
        <x:v>54.605</x:v>
      </x:c>
    </x:row>
    <x:row r="1915">
      <x:c r="A1915" t="n">
        <x:v>1914</x:v>
      </x:c>
      <x:c r="B1915" t="n">
        <x:v>40</x:v>
      </x:c>
      <x:c r="C1915" t="str">
        <x:v>Female</x:v>
      </x:c>
      <x:c r="D1915" t="str">
        <x:v>Womens Clothing</x:v>
      </x:c>
      <x:c r="E1915" t="str">
        <x:v>Dress</x:v>
      </x:c>
      <x:c r="F1915" s="24" t="n">
        <x:v>96.67</x:v>
      </x:c>
      <x:c r="G1915" t="str">
        <x:v>Spring</x:v>
      </x:c>
      <x:c r="H1915" t="str">
        <x:v>Cash on Delivery</x:v>
      </x:c>
      <x:c r="I1915" t="n">
        <x:v>3.5</x:v>
      </x:c>
      <x:c r="J1915" t="n">
        <x:v>17</x:v>
      </x:c>
      <x:c r="K1915" t="n">
        <x:v>6</x:v>
      </x:c>
      <x:c r="L1915" t="str">
        <x:v>STORE-001</x:v>
      </x:c>
      <x:c r="M1915" s="22" t="n">
        <x:v>45975</x:v>
      </x:c>
      <x:c r="N1915" t="str">
        <x:v>SKU-004</x:v>
      </x:c>
      <x:c r="O1915" t="n">
        <x:v>1</x:v>
      </x:c>
      <x:c r="P1915" s="26" t="n">
        <x:f>F1915/O1915</x:f>
        <x:v>96.67</x:v>
      </x:c>
    </x:row>
    <x:row r="1916">
      <x:c r="A1916" t="n">
        <x:v>1915</x:v>
      </x:c>
      <x:c r="B1916" t="n">
        <x:v>69</x:v>
      </x:c>
      <x:c r="C1916" t="str">
        <x:v>Female</x:v>
      </x:c>
      <x:c r="D1916" t="str">
        <x:v>Sports</x:v>
      </x:c>
      <x:c r="E1916" t="str">
        <x:v>Dumbbells</x:v>
      </x:c>
      <x:c r="F1916" s="24" t="n">
        <x:v>243.62</x:v>
      </x:c>
      <x:c r="G1916" t="str">
        <x:v>Autumn</x:v>
      </x:c>
      <x:c r="H1916" t="str">
        <x:v>Card</x:v>
      </x:c>
      <x:c r="I1916" t="n">
        <x:v>4</x:v>
      </x:c>
      <x:c r="J1916" t="n">
        <x:v>16</x:v>
      </x:c>
      <x:c r="K1916" t="n">
        <x:v>3</x:v>
      </x:c>
      <x:c r="L1916" t="str">
        <x:v>STORE-001</x:v>
      </x:c>
      <x:c r="M1916" s="22" t="n">
        <x:v>46090</x:v>
      </x:c>
      <x:c r="N1916" t="str">
        <x:v>SKU-005</x:v>
      </x:c>
      <x:c r="O1916" t="n">
        <x:v>1</x:v>
      </x:c>
      <x:c r="P1916" s="26" t="n">
        <x:f>F1916/O1916</x:f>
        <x:v>243.62</x:v>
      </x:c>
    </x:row>
    <x:row r="1917">
      <x:c r="A1917" t="n">
        <x:v>1916</x:v>
      </x:c>
      <x:c r="B1917" t="n">
        <x:v>68</x:v>
      </x:c>
      <x:c r="C1917" t="str">
        <x:v>Male</x:v>
      </x:c>
      <x:c r="D1917" t="str">
        <x:v>Sports</x:v>
      </x:c>
      <x:c r="E1917" t="str">
        <x:v>Yoga Mat</x:v>
      </x:c>
      <x:c r="F1917" s="24" t="n">
        <x:v>241.87</x:v>
      </x:c>
      <x:c r="G1917" t="str">
        <x:v>Summer</x:v>
      </x:c>
      <x:c r="H1917" t="str">
        <x:v>Card</x:v>
      </x:c>
      <x:c r="I1917" t="n">
        <x:v>3.7</x:v>
      </x:c>
      <x:c r="J1917" t="n">
        <x:v>10</x:v>
      </x:c>
      <x:c r="K1917" t="n">
        <x:v>5</x:v>
      </x:c>
      <x:c r="L1917" t="str">
        <x:v>STORE-001</x:v>
      </x:c>
      <x:c r="M1917" s="22" t="n">
        <x:v>46060</x:v>
      </x:c>
      <x:c r="N1917" t="str">
        <x:v>SKU-030</x:v>
      </x:c>
      <x:c r="O1917" t="n">
        <x:v>2</x:v>
      </x:c>
      <x:c r="P1917" s="26" t="n">
        <x:f>F1917/O1917</x:f>
        <x:v>120.935</x:v>
      </x:c>
    </x:row>
    <x:row r="1918">
      <x:c r="A1918" t="n">
        <x:v>1917</x:v>
      </x:c>
      <x:c r="B1918" t="n">
        <x:v>38</x:v>
      </x:c>
      <x:c r="C1918" t="str">
        <x:v>Female</x:v>
      </x:c>
      <x:c r="D1918" t="str">
        <x:v>Sports</x:v>
      </x:c>
      <x:c r="E1918" t="str">
        <x:v>Football</x:v>
      </x:c>
      <x:c r="F1918" s="24" t="n">
        <x:v>77.44</x:v>
      </x:c>
      <x:c r="G1918" t="str">
        <x:v>Autumn</x:v>
      </x:c>
      <x:c r="H1918" t="str">
        <x:v>Card</x:v>
      </x:c>
      <x:c r="I1918" t="n">
        <x:v>4.3</x:v>
      </x:c>
      <x:c r="J1918" t="n">
        <x:v>10</x:v>
      </x:c>
      <x:c r="K1918" t="n">
        <x:v>5</x:v>
      </x:c>
      <x:c r="L1918" t="str">
        <x:v>STORE-001</x:v>
      </x:c>
      <x:c r="M1918" s="22" t="n">
        <x:v>46115</x:v>
      </x:c>
      <x:c r="N1918" t="str">
        <x:v>SKU-006</x:v>
      </x:c>
      <x:c r="O1918" t="n">
        <x:v>1</x:v>
      </x:c>
      <x:c r="P1918" s="26" t="n">
        <x:f>F1918/O1918</x:f>
        <x:v>77.44</x:v>
      </x:c>
    </x:row>
    <x:row r="1919">
      <x:c r="A1919" t="n">
        <x:v>1918</x:v>
      </x:c>
      <x:c r="B1919" t="n">
        <x:v>49</x:v>
      </x:c>
      <x:c r="C1919" t="str">
        <x:v>Female</x:v>
      </x:c>
      <x:c r="D1919" t="str">
        <x:v>Beauty</x:v>
      </x:c>
      <x:c r="E1919" t="str">
        <x:v>Makeup Set</x:v>
      </x:c>
      <x:c r="F1919" s="24" t="n">
        <x:v>107.16</x:v>
      </x:c>
      <x:c r="G1919" t="str">
        <x:v>Winter</x:v>
      </x:c>
      <x:c r="H1919" t="str">
        <x:v>Card</x:v>
      </x:c>
      <x:c r="I1919" t="n">
        <x:v>3.1</x:v>
      </x:c>
      <x:c r="J1919" t="n">
        <x:v>16</x:v>
      </x:c>
      <x:c r="K1919" t="n">
        <x:v>8</x:v>
      </x:c>
      <x:c r="L1919" t="str">
        <x:v>STORE-001</x:v>
      </x:c>
      <x:c r="M1919" s="22" t="n">
        <x:v>46224</x:v>
      </x:c>
      <x:c r="N1919" t="str">
        <x:v>SKU-015</x:v>
      </x:c>
      <x:c r="O1919" t="n">
        <x:v>1</x:v>
      </x:c>
      <x:c r="P1919" s="26" t="n">
        <x:f>F1919/O1919</x:f>
        <x:v>107.16</x:v>
      </x:c>
    </x:row>
    <x:row r="1920">
      <x:c r="A1920" t="n">
        <x:v>1919</x:v>
      </x:c>
      <x:c r="B1920" t="n">
        <x:v>50</x:v>
      </x:c>
      <x:c r="C1920" t="str">
        <x:v>Male</x:v>
      </x:c>
      <x:c r="D1920" t="str">
        <x:v>Mens Clothing</x:v>
      </x:c>
      <x:c r="E1920" t="str">
        <x:v>Shirt</x:v>
      </x:c>
      <x:c r="F1920" s="24" t="n">
        <x:v>109.18</x:v>
      </x:c>
      <x:c r="G1920" t="str">
        <x:v>Spring</x:v>
      </x:c>
      <x:c r="H1920" t="str">
        <x:v>Card</x:v>
      </x:c>
      <x:c r="I1920" t="n">
        <x:v>4.3</x:v>
      </x:c>
      <x:c r="J1920" t="n">
        <x:v>12</x:v>
      </x:c>
      <x:c r="K1920" t="n">
        <x:v>6</x:v>
      </x:c>
      <x:c r="L1920" t="str">
        <x:v>STORE-001</x:v>
      </x:c>
      <x:c r="M1920" s="22" t="n">
        <x:v>45988</x:v>
      </x:c>
      <x:c r="N1920" t="str">
        <x:v>SKU-020</x:v>
      </x:c>
      <x:c r="O1920" t="n">
        <x:v>1</x:v>
      </x:c>
      <x:c r="P1920" s="26" t="n">
        <x:f>F1920/O1920</x:f>
        <x:v>109.18</x:v>
      </x:c>
    </x:row>
    <x:row r="1921">
      <x:c r="A1921" t="n">
        <x:v>1920</x:v>
      </x:c>
      <x:c r="B1921" t="n">
        <x:v>62</x:v>
      </x:c>
      <x:c r="C1921" t="str">
        <x:v>Female</x:v>
      </x:c>
      <x:c r="D1921" t="str">
        <x:v>Womens Clothing</x:v>
      </x:c>
      <x:c r="E1921" t="str">
        <x:v>Skirt</x:v>
      </x:c>
      <x:c r="F1921" s="24" t="n">
        <x:v>135.93</x:v>
      </x:c>
      <x:c r="G1921" t="str">
        <x:v>Summer</x:v>
      </x:c>
      <x:c r="H1921" t="str">
        <x:v>Card</x:v>
      </x:c>
      <x:c r="I1921" t="n">
        <x:v>4.1</x:v>
      </x:c>
      <x:c r="J1921" t="n">
        <x:v>15</x:v>
      </x:c>
      <x:c r="K1921" t="n">
        <x:v>5</x:v>
      </x:c>
      <x:c r="L1921" t="str">
        <x:v>STORE-001</x:v>
      </x:c>
      <x:c r="M1921" s="22" t="n">
        <x:v>46024</x:v>
      </x:c>
      <x:c r="N1921" t="str">
        <x:v>SKU-022</x:v>
      </x:c>
      <x:c r="O1921" t="n">
        <x:v>1</x:v>
      </x:c>
      <x:c r="P1921" s="26" t="n">
        <x:f>F1921/O1921</x:f>
        <x:v>135.93</x:v>
      </x:c>
    </x:row>
    <x:row r="1922">
      <x:c r="A1922" t="n">
        <x:v>1921</x:v>
      </x:c>
      <x:c r="B1922" t="n">
        <x:v>34</x:v>
      </x:c>
      <x:c r="C1922" t="str">
        <x:v>Female</x:v>
      </x:c>
      <x:c r="D1922" t="str">
        <x:v>Footwear</x:v>
      </x:c>
      <x:c r="E1922" t="str">
        <x:v>Sneakers</x:v>
      </x:c>
      <x:c r="F1922" s="24" t="n">
        <x:v>219.3</x:v>
      </x:c>
      <x:c r="G1922" t="str">
        <x:v>Autumn</x:v>
      </x:c>
      <x:c r="H1922" t="str">
        <x:v>Card</x:v>
      </x:c>
      <x:c r="I1922" t="n">
        <x:v>2.8</x:v>
      </x:c>
      <x:c r="J1922" t="n">
        <x:v>20</x:v>
      </x:c>
      <x:c r="K1922" t="n">
        <x:v>5</x:v>
      </x:c>
      <x:c r="L1922" t="str">
        <x:v>STORE-001</x:v>
      </x:c>
      <x:c r="M1922" s="22" t="n">
        <x:v>46158</x:v>
      </x:c>
      <x:c r="N1922" t="str">
        <x:v>SKU-025</x:v>
      </x:c>
      <x:c r="O1922" t="n">
        <x:v>2</x:v>
      </x:c>
      <x:c r="P1922" s="26" t="n">
        <x:f>F1922/O1922</x:f>
        <x:v>109.65</x:v>
      </x:c>
    </x:row>
    <x:row r="1923">
      <x:c r="A1923" t="n">
        <x:v>1922</x:v>
      </x:c>
      <x:c r="B1923" t="n">
        <x:v>24</x:v>
      </x:c>
      <x:c r="C1923" t="str">
        <x:v>Male</x:v>
      </x:c>
      <x:c r="D1923" t="str">
        <x:v>Home</x:v>
      </x:c>
      <x:c r="E1923" t="str">
        <x:v>Curtains</x:v>
      </x:c>
      <x:c r="F1923" s="24" t="n">
        <x:v>265</x:v>
      </x:c>
      <x:c r="G1923" t="str">
        <x:v>Winter</x:v>
      </x:c>
      <x:c r="H1923" t="str">
        <x:v>Card</x:v>
      </x:c>
      <x:c r="I1923" t="n">
        <x:v>2.4</x:v>
      </x:c>
      <x:c r="J1923" t="n">
        <x:v>24</x:v>
      </x:c>
      <x:c r="K1923" t="n">
        <x:v>7</x:v>
      </x:c>
      <x:c r="L1923" t="str">
        <x:v>STORE-001</x:v>
      </x:c>
      <x:c r="M1923" s="22" t="n">
        <x:v>46259</x:v>
      </x:c>
      <x:c r="N1923" t="str">
        <x:v>SKU-003</x:v>
      </x:c>
      <x:c r="O1923" t="n">
        <x:v>1</x:v>
      </x:c>
      <x:c r="P1923" s="26" t="n">
        <x:f>F1923/O1923</x:f>
        <x:v>265</x:v>
      </x:c>
    </x:row>
    <x:row r="1924">
      <x:c r="A1924" t="n">
        <x:v>1923</x:v>
      </x:c>
      <x:c r="B1924" t="n">
        <x:v>68</x:v>
      </x:c>
      <x:c r="C1924" t="str">
        <x:v>Female</x:v>
      </x:c>
      <x:c r="D1924" t="str">
        <x:v>Beauty</x:v>
      </x:c>
      <x:c r="E1924" t="str">
        <x:v>Makeup Set</x:v>
      </x:c>
      <x:c r="F1924" s="24" t="n">
        <x:v>65.91</x:v>
      </x:c>
      <x:c r="G1924" t="str">
        <x:v>Autumn</x:v>
      </x:c>
      <x:c r="H1924" t="str">
        <x:v>Cash on Delivery</x:v>
      </x:c>
      <x:c r="I1924" t="n">
        <x:v>5</x:v>
      </x:c>
      <x:c r="J1924" t="n">
        <x:v>9</x:v>
      </x:c>
      <x:c r="K1924" t="n">
        <x:v>2</x:v>
      </x:c>
      <x:c r="L1924" t="str">
        <x:v>STORE-001</x:v>
      </x:c>
      <x:c r="M1924" s="22" t="n">
        <x:v>46111</x:v>
      </x:c>
      <x:c r="N1924" t="str">
        <x:v>SKU-015</x:v>
      </x:c>
      <x:c r="O1924" t="n">
        <x:v>1</x:v>
      </x:c>
      <x:c r="P1924" s="26" t="n">
        <x:f>F1924/O1924</x:f>
        <x:v>65.91</x:v>
      </x:c>
    </x:row>
    <x:row r="1925">
      <x:c r="A1925" t="n">
        <x:v>1924</x:v>
      </x:c>
      <x:c r="B1925" t="n">
        <x:v>28</x:v>
      </x:c>
      <x:c r="C1925" t="str">
        <x:v>Male</x:v>
      </x:c>
      <x:c r="D1925" t="str">
        <x:v>Sports</x:v>
      </x:c>
      <x:c r="E1925" t="str">
        <x:v>Dumbbells</x:v>
      </x:c>
      <x:c r="F1925" s="24" t="n">
        <x:v>167.74</x:v>
      </x:c>
      <x:c r="G1925" t="str">
        <x:v>Autumn</x:v>
      </x:c>
      <x:c r="H1925" t="str">
        <x:v>Card</x:v>
      </x:c>
      <x:c r="I1925" t="n">
        <x:v>4.4</x:v>
      </x:c>
      <x:c r="J1925" t="n">
        <x:v>13</x:v>
      </x:c>
      <x:c r="K1925" t="n">
        <x:v>4</x:v>
      </x:c>
      <x:c r="L1925" t="str">
        <x:v>STORE-001</x:v>
      </x:c>
      <x:c r="M1925" s="22" t="n">
        <x:v>46168</x:v>
      </x:c>
      <x:c r="N1925" t="str">
        <x:v>SKU-005</x:v>
      </x:c>
      <x:c r="O1925" t="n">
        <x:v>1</x:v>
      </x:c>
      <x:c r="P1925" s="26" t="n">
        <x:f>F1925/O1925</x:f>
        <x:v>167.74</x:v>
      </x:c>
    </x:row>
    <x:row r="1926">
      <x:c r="A1926" t="n">
        <x:v>1925</x:v>
      </x:c>
      <x:c r="B1926" t="n">
        <x:v>25</x:v>
      </x:c>
      <x:c r="C1926" t="str">
        <x:v>Female</x:v>
      </x:c>
      <x:c r="D1926" t="str">
        <x:v>Womens Clothing</x:v>
      </x:c>
      <x:c r="E1926" t="str">
        <x:v>Dress</x:v>
      </x:c>
      <x:c r="F1926" s="24" t="n">
        <x:v>197.6</x:v>
      </x:c>
      <x:c r="G1926" t="str">
        <x:v>Summer</x:v>
      </x:c>
      <x:c r="H1926" t="str">
        <x:v>Card</x:v>
      </x:c>
      <x:c r="I1926" t="n">
        <x:v>5</x:v>
      </x:c>
      <x:c r="J1926" t="n">
        <x:v>13</x:v>
      </x:c>
      <x:c r="K1926" t="n">
        <x:v>4</x:v>
      </x:c>
      <x:c r="L1926" t="str">
        <x:v>STORE-001</x:v>
      </x:c>
      <x:c r="M1926" s="22" t="n">
        <x:v>46010</x:v>
      </x:c>
      <x:c r="N1926" t="str">
        <x:v>SKU-004</x:v>
      </x:c>
      <x:c r="O1926" t="n">
        <x:v>1</x:v>
      </x:c>
      <x:c r="P1926" s="26" t="n">
        <x:f>F1926/O1926</x:f>
        <x:v>197.6</x:v>
      </x:c>
    </x:row>
    <x:row r="1927">
      <x:c r="A1927" t="n">
        <x:v>1926</x:v>
      </x:c>
      <x:c r="B1927" t="n">
        <x:v>66</x:v>
      </x:c>
      <x:c r="C1927" t="str">
        <x:v>Male</x:v>
      </x:c>
      <x:c r="D1927" t="str">
        <x:v>Sports</x:v>
      </x:c>
      <x:c r="E1927" t="str">
        <x:v>Football</x:v>
      </x:c>
      <x:c r="F1927" s="24" t="n">
        <x:v>69.37</x:v>
      </x:c>
      <x:c r="G1927" t="str">
        <x:v>Autumn</x:v>
      </x:c>
      <x:c r="H1927" t="str">
        <x:v>Card</x:v>
      </x:c>
      <x:c r="I1927" t="n">
        <x:v>3.8</x:v>
      </x:c>
      <x:c r="J1927" t="n">
        <x:v>6</x:v>
      </x:c>
      <x:c r="K1927" t="n">
        <x:v>3</x:v>
      </x:c>
      <x:c r="L1927" t="str">
        <x:v>STORE-001</x:v>
      </x:c>
      <x:c r="M1927" s="22" t="n">
        <x:v>46112</x:v>
      </x:c>
      <x:c r="N1927" t="str">
        <x:v>SKU-006</x:v>
      </x:c>
      <x:c r="O1927" t="n">
        <x:v>3</x:v>
      </x:c>
      <x:c r="P1927" s="26" t="n">
        <x:f>F1927/O1927</x:f>
        <x:v>23.123333333333335</x:v>
      </x:c>
    </x:row>
    <x:row r="1928">
      <x:c r="A1928" t="n">
        <x:v>1927</x:v>
      </x:c>
      <x:c r="B1928" t="n">
        <x:v>63</x:v>
      </x:c>
      <x:c r="C1928" t="str">
        <x:v>Female</x:v>
      </x:c>
      <x:c r="D1928" t="str">
        <x:v>Footwear</x:v>
      </x:c>
      <x:c r="E1928" t="str">
        <x:v>Sandals</x:v>
      </x:c>
      <x:c r="F1928" s="24" t="n">
        <x:v>176.79</x:v>
      </x:c>
      <x:c r="G1928" t="str">
        <x:v>Winter</x:v>
      </x:c>
      <x:c r="H1928" t="str">
        <x:v>Card</x:v>
      </x:c>
      <x:c r="I1928" t="n">
        <x:v>2.5</x:v>
      </x:c>
      <x:c r="J1928" t="n">
        <x:v>16</x:v>
      </x:c>
      <x:c r="K1928" t="n">
        <x:v>3</x:v>
      </x:c>
      <x:c r="L1928" t="str">
        <x:v>STORE-001</x:v>
      </x:c>
      <x:c r="M1928" s="22" t="n">
        <x:v>46175</x:v>
      </x:c>
      <x:c r="N1928" t="str">
        <x:v>SKU-019</x:v>
      </x:c>
      <x:c r="O1928" t="n">
        <x:v>1</x:v>
      </x:c>
      <x:c r="P1928" s="26" t="n">
        <x:f>F1928/O1928</x:f>
        <x:v>176.79</x:v>
      </x:c>
    </x:row>
    <x:row r="1929">
      <x:c r="A1929" t="n">
        <x:v>1928</x:v>
      </x:c>
      <x:c r="B1929" t="n">
        <x:v>57</x:v>
      </x:c>
      <x:c r="C1929" t="str">
        <x:v>Female</x:v>
      </x:c>
      <x:c r="D1929" t="str">
        <x:v>Beauty</x:v>
      </x:c>
      <x:c r="E1929" t="str">
        <x:v>Makeup Set</x:v>
      </x:c>
      <x:c r="F1929" s="24" t="n">
        <x:v>30.64</x:v>
      </x:c>
      <x:c r="G1929" t="str">
        <x:v>Spring</x:v>
      </x:c>
      <x:c r="H1929" t="str">
        <x:v>Card</x:v>
      </x:c>
      <x:c r="I1929" t="n">
        <x:v>3.2</x:v>
      </x:c>
      <x:c r="J1929" t="n">
        <x:v>22</x:v>
      </x:c>
      <x:c r="K1929" t="n">
        <x:v>6</x:v>
      </x:c>
      <x:c r="L1929" t="str">
        <x:v>STORE-001</x:v>
      </x:c>
      <x:c r="M1929" s="22" t="n">
        <x:v>45982</x:v>
      </x:c>
      <x:c r="N1929" t="str">
        <x:v>SKU-015</x:v>
      </x:c>
      <x:c r="O1929" t="n">
        <x:v>2</x:v>
      </x:c>
      <x:c r="P1929" s="26" t="n">
        <x:f>F1929/O1929</x:f>
        <x:v>15.32</x:v>
      </x:c>
    </x:row>
    <x:row r="1930">
      <x:c r="A1930" t="n">
        <x:v>1929</x:v>
      </x:c>
      <x:c r="B1930" t="n">
        <x:v>62</x:v>
      </x:c>
      <x:c r="C1930" t="str">
        <x:v>Male</x:v>
      </x:c>
      <x:c r="D1930" t="str">
        <x:v>Sports</x:v>
      </x:c>
      <x:c r="E1930" t="str">
        <x:v>Dumbbells</x:v>
      </x:c>
      <x:c r="F1930" s="24" t="n">
        <x:v>55.13</x:v>
      </x:c>
      <x:c r="G1930" t="str">
        <x:v>Winter</x:v>
      </x:c>
      <x:c r="H1930" t="str">
        <x:v>Card</x:v>
      </x:c>
      <x:c r="I1930" t="n">
        <x:v>4.2</x:v>
      </x:c>
      <x:c r="J1930" t="n">
        <x:v>13</x:v>
      </x:c>
      <x:c r="K1930" t="n">
        <x:v>4</x:v>
      </x:c>
      <x:c r="L1930" t="str">
        <x:v>STORE-001</x:v>
      </x:c>
      <x:c r="M1930" s="22" t="n">
        <x:v>46213</x:v>
      </x:c>
      <x:c r="N1930" t="str">
        <x:v>SKU-005</x:v>
      </x:c>
      <x:c r="O1930" t="n">
        <x:v>1</x:v>
      </x:c>
      <x:c r="P1930" s="26" t="n">
        <x:f>F1930/O1930</x:f>
        <x:v>55.13</x:v>
      </x:c>
    </x:row>
    <x:row r="1931">
      <x:c r="A1931" t="n">
        <x:v>1930</x:v>
      </x:c>
      <x:c r="B1931" t="n">
        <x:v>59</x:v>
      </x:c>
      <x:c r="C1931" t="str">
        <x:v>Female</x:v>
      </x:c>
      <x:c r="D1931" t="str">
        <x:v>Sports</x:v>
      </x:c>
      <x:c r="E1931" t="str">
        <x:v>Football</x:v>
      </x:c>
      <x:c r="F1931" s="24" t="n">
        <x:v>150.71</x:v>
      </x:c>
      <x:c r="G1931" t="str">
        <x:v>Spring</x:v>
      </x:c>
      <x:c r="H1931" t="str">
        <x:v>Card</x:v>
      </x:c>
      <x:c r="I1931" t="n">
        <x:v>3.5</x:v>
      </x:c>
      <x:c r="J1931" t="n">
        <x:v>15</x:v>
      </x:c>
      <x:c r="K1931" t="n">
        <x:v>5</x:v>
      </x:c>
      <x:c r="L1931" t="str">
        <x:v>STORE-001</x:v>
      </x:c>
      <x:c r="M1931" s="22" t="n">
        <x:v>46294</x:v>
      </x:c>
      <x:c r="N1931" t="str">
        <x:v>SKU-006</x:v>
      </x:c>
      <x:c r="O1931" t="n">
        <x:v>2</x:v>
      </x:c>
      <x:c r="P1931" s="26" t="n">
        <x:f>F1931/O1931</x:f>
        <x:v>75.355</x:v>
      </x:c>
    </x:row>
    <x:row r="1932">
      <x:c r="A1932" t="n">
        <x:v>1931</x:v>
      </x:c>
      <x:c r="B1932" t="n">
        <x:v>59</x:v>
      </x:c>
      <x:c r="C1932" t="str">
        <x:v>Female</x:v>
      </x:c>
      <x:c r="D1932" t="str">
        <x:v>Womens Clothing</x:v>
      </x:c>
      <x:c r="E1932" t="str">
        <x:v>Skirt</x:v>
      </x:c>
      <x:c r="F1932" s="24" t="n">
        <x:v>42.51</x:v>
      </x:c>
      <x:c r="G1932" t="str">
        <x:v>Autumn</x:v>
      </x:c>
      <x:c r="H1932" t="str">
        <x:v>Card</x:v>
      </x:c>
      <x:c r="I1932" t="n">
        <x:v>3.5</x:v>
      </x:c>
      <x:c r="J1932" t="n">
        <x:v>18</x:v>
      </x:c>
      <x:c r="K1932" t="n">
        <x:v>4</x:v>
      </x:c>
      <x:c r="L1932" t="str">
        <x:v>STORE-001</x:v>
      </x:c>
      <x:c r="M1932" s="22" t="n">
        <x:v>46152</x:v>
      </x:c>
      <x:c r="N1932" t="str">
        <x:v>SKU-022</x:v>
      </x:c>
      <x:c r="O1932" t="n">
        <x:v>1</x:v>
      </x:c>
      <x:c r="P1932" s="26" t="n">
        <x:f>F1932/O1932</x:f>
        <x:v>42.51</x:v>
      </x:c>
    </x:row>
    <x:row r="1933">
      <x:c r="A1933" t="n">
        <x:v>1932</x:v>
      </x:c>
      <x:c r="B1933" t="n">
        <x:v>64</x:v>
      </x:c>
      <x:c r="C1933" t="str">
        <x:v>Female</x:v>
      </x:c>
      <x:c r="D1933" t="str">
        <x:v>Beauty</x:v>
      </x:c>
      <x:c r="E1933" t="str">
        <x:v>Perfume</x:v>
      </x:c>
      <x:c r="F1933" s="24" t="n">
        <x:v>83.82</x:v>
      </x:c>
      <x:c r="G1933" t="str">
        <x:v>Summer</x:v>
      </x:c>
      <x:c r="H1933" t="str">
        <x:v>Card</x:v>
      </x:c>
      <x:c r="I1933" t="n">
        <x:v>2.9</x:v>
      </x:c>
      <x:c r="J1933" t="n">
        <x:v>12</x:v>
      </x:c>
      <x:c r="K1933" t="n">
        <x:v>6</x:v>
      </x:c>
      <x:c r="L1933" t="str">
        <x:v>STORE-001</x:v>
      </x:c>
      <x:c r="M1933" s="22" t="n">
        <x:v>46075</x:v>
      </x:c>
      <x:c r="N1933" t="str">
        <x:v>SKU-017</x:v>
      </x:c>
      <x:c r="O1933" t="n">
        <x:v>1</x:v>
      </x:c>
      <x:c r="P1933" s="26" t="n">
        <x:f>F1933/O1933</x:f>
        <x:v>83.82</x:v>
      </x:c>
    </x:row>
    <x:row r="1934">
      <x:c r="A1934" t="n">
        <x:v>1933</x:v>
      </x:c>
      <x:c r="B1934" t="n">
        <x:v>56</x:v>
      </x:c>
      <x:c r="C1934" t="str">
        <x:v>Female</x:v>
      </x:c>
      <x:c r="D1934" t="str">
        <x:v>Beauty</x:v>
      </x:c>
      <x:c r="E1934" t="str">
        <x:v>Perfume</x:v>
      </x:c>
      <x:c r="F1934" s="24" t="n">
        <x:v>53.72</x:v>
      </x:c>
      <x:c r="G1934" t="str">
        <x:v>Spring</x:v>
      </x:c>
      <x:c r="H1934" t="str">
        <x:v>Cash on Delivery</x:v>
      </x:c>
      <x:c r="I1934" t="n">
        <x:v>2.4</x:v>
      </x:c>
      <x:c r="J1934" t="n">
        <x:v>16</x:v>
      </x:c>
      <x:c r="K1934" t="n">
        <x:v>3</x:v>
      </x:c>
      <x:c r="L1934" t="str">
        <x:v>STORE-001</x:v>
      </x:c>
      <x:c r="M1934" s="22" t="n">
        <x:v>46295</x:v>
      </x:c>
      <x:c r="N1934" t="str">
        <x:v>SKU-017</x:v>
      </x:c>
      <x:c r="O1934" t="n">
        <x:v>1</x:v>
      </x:c>
      <x:c r="P1934" s="26" t="n">
        <x:f>F1934/O1934</x:f>
        <x:v>53.72</x:v>
      </x:c>
    </x:row>
    <x:row r="1935">
      <x:c r="A1935" t="n">
        <x:v>1934</x:v>
      </x:c>
      <x:c r="B1935" t="n">
        <x:v>42</x:v>
      </x:c>
      <x:c r="C1935" t="str">
        <x:v>Male</x:v>
      </x:c>
      <x:c r="D1935" t="str">
        <x:v>Footwear</x:v>
      </x:c>
      <x:c r="E1935" t="str">
        <x:v>Sneakers</x:v>
      </x:c>
      <x:c r="F1935" s="24" t="n">
        <x:v>158.32</x:v>
      </x:c>
      <x:c r="G1935" t="str">
        <x:v>Autumn</x:v>
      </x:c>
      <x:c r="H1935" t="str">
        <x:v>Card</x:v>
      </x:c>
      <x:c r="I1935" t="n">
        <x:v>4.4</x:v>
      </x:c>
      <x:c r="J1935" t="n">
        <x:v>10</x:v>
      </x:c>
      <x:c r="K1935" t="n">
        <x:v>5</x:v>
      </x:c>
      <x:c r="L1935" t="str">
        <x:v>STORE-001</x:v>
      </x:c>
      <x:c r="M1935" s="22" t="n">
        <x:v>46128</x:v>
      </x:c>
      <x:c r="N1935" t="str">
        <x:v>SKU-025</x:v>
      </x:c>
      <x:c r="O1935" t="n">
        <x:v>1</x:v>
      </x:c>
      <x:c r="P1935" s="26" t="n">
        <x:f>F1935/O1935</x:f>
        <x:v>158.32</x:v>
      </x:c>
    </x:row>
    <x:row r="1936">
      <x:c r="A1936" t="n">
        <x:v>1935</x:v>
      </x:c>
      <x:c r="B1936" t="n">
        <x:v>61</x:v>
      </x:c>
      <x:c r="C1936" t="str">
        <x:v>Female</x:v>
      </x:c>
      <x:c r="D1936" t="str">
        <x:v>Footwear</x:v>
      </x:c>
      <x:c r="E1936" t="str">
        <x:v>Sneakers</x:v>
      </x:c>
      <x:c r="F1936" s="24" t="n">
        <x:v>232.32</x:v>
      </x:c>
      <x:c r="G1936" t="str">
        <x:v>Spring</x:v>
      </x:c>
      <x:c r="H1936" t="str">
        <x:v>Card</x:v>
      </x:c>
      <x:c r="I1936" t="n">
        <x:v>2.7</x:v>
      </x:c>
      <x:c r="J1936" t="n">
        <x:v>4</x:v>
      </x:c>
      <x:c r="K1936" t="n">
        <x:v>2</x:v>
      </x:c>
      <x:c r="L1936" t="str">
        <x:v>STORE-001</x:v>
      </x:c>
      <x:c r="M1936" s="22" t="n">
        <x:v>45956</x:v>
      </x:c>
      <x:c r="N1936" t="str">
        <x:v>SKU-025</x:v>
      </x:c>
      <x:c r="O1936" t="n">
        <x:v>1</x:v>
      </x:c>
      <x:c r="P1936" s="26" t="n">
        <x:f>F1936/O1936</x:f>
        <x:v>232.32</x:v>
      </x:c>
    </x:row>
    <x:row r="1937">
      <x:c r="A1937" t="n">
        <x:v>1936</x:v>
      </x:c>
      <x:c r="B1937" t="n">
        <x:v>36</x:v>
      </x:c>
      <x:c r="C1937" t="str">
        <x:v>Male</x:v>
      </x:c>
      <x:c r="D1937" t="str">
        <x:v>Sports</x:v>
      </x:c>
      <x:c r="E1937" t="str">
        <x:v>Dumbbells</x:v>
      </x:c>
      <x:c r="F1937" s="24" t="n">
        <x:v>228.65</x:v>
      </x:c>
      <x:c r="G1937" t="str">
        <x:v>Summer</x:v>
      </x:c>
      <x:c r="H1937" t="str">
        <x:v>Card</x:v>
      </x:c>
      <x:c r="I1937" t="n">
        <x:v>4.1</x:v>
      </x:c>
      <x:c r="J1937" t="n">
        <x:v>13</x:v>
      </x:c>
      <x:c r="K1937" t="n">
        <x:v>4</x:v>
      </x:c>
      <x:c r="L1937" t="str">
        <x:v>STORE-001</x:v>
      </x:c>
      <x:c r="M1937" s="22" t="n">
        <x:v>46027</x:v>
      </x:c>
      <x:c r="N1937" t="str">
        <x:v>SKU-005</x:v>
      </x:c>
      <x:c r="O1937" t="n">
        <x:v>1</x:v>
      </x:c>
      <x:c r="P1937" s="26" t="n">
        <x:f>F1937/O1937</x:f>
        <x:v>228.65</x:v>
      </x:c>
    </x:row>
    <x:row r="1938">
      <x:c r="A1938" t="n">
        <x:v>1937</x:v>
      </x:c>
      <x:c r="B1938" t="n">
        <x:v>69</x:v>
      </x:c>
      <x:c r="C1938" t="str">
        <x:v>Male</x:v>
      </x:c>
      <x:c r="D1938" t="str">
        <x:v>Sports</x:v>
      </x:c>
      <x:c r="E1938" t="str">
        <x:v>Football</x:v>
      </x:c>
      <x:c r="F1938" s="24" t="n">
        <x:v>56.11</x:v>
      </x:c>
      <x:c r="G1938" t="str">
        <x:v>Summer</x:v>
      </x:c>
      <x:c r="H1938" t="str">
        <x:v>Cash on Delivery</x:v>
      </x:c>
      <x:c r="I1938" t="n">
        <x:v>2.7</x:v>
      </x:c>
      <x:c r="J1938" t="n">
        <x:v>22</x:v>
      </x:c>
      <x:c r="K1938" t="n">
        <x:v>6</x:v>
      </x:c>
      <x:c r="L1938" t="str">
        <x:v>STORE-001</x:v>
      </x:c>
      <x:c r="M1938" s="22" t="n">
        <x:v>46032</x:v>
      </x:c>
      <x:c r="N1938" t="str">
        <x:v>SKU-006</x:v>
      </x:c>
      <x:c r="O1938" t="n">
        <x:v>2</x:v>
      </x:c>
      <x:c r="P1938" s="26" t="n">
        <x:f>F1938/O1938</x:f>
        <x:v>28.055</x:v>
      </x:c>
    </x:row>
    <x:row r="1939">
      <x:c r="A1939" t="n">
        <x:v>1938</x:v>
      </x:c>
      <x:c r="B1939" t="n">
        <x:v>32</x:v>
      </x:c>
      <x:c r="C1939" t="str">
        <x:v>Female</x:v>
      </x:c>
      <x:c r="D1939" t="str">
        <x:v>Home</x:v>
      </x:c>
      <x:c r="E1939" t="str">
        <x:v>Curtains</x:v>
      </x:c>
      <x:c r="F1939" s="24" t="n">
        <x:v>175.14</x:v>
      </x:c>
      <x:c r="G1939" t="str">
        <x:v>Spring</x:v>
      </x:c>
      <x:c r="H1939" t="str">
        <x:v>Card</x:v>
      </x:c>
      <x:c r="I1939" t="n">
        <x:v>3.6</x:v>
      </x:c>
      <x:c r="J1939" t="n">
        <x:v>20</x:v>
      </x:c>
      <x:c r="K1939" t="n">
        <x:v>10</x:v>
      </x:c>
      <x:c r="L1939" t="str">
        <x:v>STORE-001</x:v>
      </x:c>
      <x:c r="M1939" s="22" t="n">
        <x:v>45966</x:v>
      </x:c>
      <x:c r="N1939" t="str">
        <x:v>SKU-003</x:v>
      </x:c>
      <x:c r="O1939" t="n">
        <x:v>2</x:v>
      </x:c>
      <x:c r="P1939" s="26" t="n">
        <x:f>F1939/O1939</x:f>
        <x:v>87.57</x:v>
      </x:c>
    </x:row>
    <x:row r="1940">
      <x:c r="A1940" t="n">
        <x:v>1939</x:v>
      </x:c>
      <x:c r="B1940" t="n">
        <x:v>58</x:v>
      </x:c>
      <x:c r="C1940" t="str">
        <x:v>Female</x:v>
      </x:c>
      <x:c r="D1940" t="str">
        <x:v>Sports</x:v>
      </x:c>
      <x:c r="E1940" t="str">
        <x:v>Yoga Mat</x:v>
      </x:c>
      <x:c r="F1940" s="24" t="n">
        <x:v>195.03</x:v>
      </x:c>
      <x:c r="G1940" t="str">
        <x:v>Winter</x:v>
      </x:c>
      <x:c r="H1940" t="str">
        <x:v>Card</x:v>
      </x:c>
      <x:c r="I1940" t="n">
        <x:v>3.1</x:v>
      </x:c>
      <x:c r="J1940" t="n">
        <x:v>13</x:v>
      </x:c>
      <x:c r="K1940" t="n">
        <x:v>4</x:v>
      </x:c>
      <x:c r="L1940" t="str">
        <x:v>STORE-001</x:v>
      </x:c>
      <x:c r="M1940" s="22" t="n">
        <x:v>46205</x:v>
      </x:c>
      <x:c r="N1940" t="str">
        <x:v>SKU-030</x:v>
      </x:c>
      <x:c r="O1940" t="n">
        <x:v>1</x:v>
      </x:c>
      <x:c r="P1940" s="26" t="n">
        <x:f>F1940/O1940</x:f>
        <x:v>195.03</x:v>
      </x:c>
    </x:row>
    <x:row r="1941">
      <x:c r="A1941" t="n">
        <x:v>1940</x:v>
      </x:c>
      <x:c r="B1941" t="n">
        <x:v>52</x:v>
      </x:c>
      <x:c r="C1941" t="str">
        <x:v>Female</x:v>
      </x:c>
      <x:c r="D1941" t="str">
        <x:v>Home</x:v>
      </x:c>
      <x:c r="E1941" t="str">
        <x:v>Curtains</x:v>
      </x:c>
      <x:c r="F1941" s="24" t="n">
        <x:v>181.83</x:v>
      </x:c>
      <x:c r="G1941" t="str">
        <x:v>Spring</x:v>
      </x:c>
      <x:c r="H1941" t="str">
        <x:v>Card</x:v>
      </x:c>
      <x:c r="I1941" t="n">
        <x:v>3.8</x:v>
      </x:c>
      <x:c r="J1941" t="n">
        <x:v>12</x:v>
      </x:c>
      <x:c r="K1941" t="n">
        <x:v>6</x:v>
      </x:c>
      <x:c r="L1941" t="str">
        <x:v>STORE-001</x:v>
      </x:c>
      <x:c r="M1941" s="22" t="n">
        <x:v>46274</x:v>
      </x:c>
      <x:c r="N1941" t="str">
        <x:v>SKU-003</x:v>
      </x:c>
      <x:c r="O1941" t="n">
        <x:v>1</x:v>
      </x:c>
      <x:c r="P1941" s="26" t="n">
        <x:f>F1941/O1941</x:f>
        <x:v>181.83</x:v>
      </x:c>
    </x:row>
    <x:row r="1942">
      <x:c r="A1942" t="n">
        <x:v>1941</x:v>
      </x:c>
      <x:c r="B1942" t="n">
        <x:v>64</x:v>
      </x:c>
      <x:c r="C1942" t="str">
        <x:v>Female</x:v>
      </x:c>
      <x:c r="D1942" t="str">
        <x:v>Footwear</x:v>
      </x:c>
      <x:c r="E1942" t="str">
        <x:v>Sneakers</x:v>
      </x:c>
      <x:c r="F1942" s="24" t="n">
        <x:v>107.22</x:v>
      </x:c>
      <x:c r="G1942" t="str">
        <x:v>Winter</x:v>
      </x:c>
      <x:c r="H1942" t="str">
        <x:v>Card</x:v>
      </x:c>
      <x:c r="I1942" t="n">
        <x:v>4.4</x:v>
      </x:c>
      <x:c r="J1942" t="n">
        <x:v>11</x:v>
      </x:c>
      <x:c r="K1942" t="n">
        <x:v>3</x:v>
      </x:c>
      <x:c r="L1942" t="str">
        <x:v>STORE-001</x:v>
      </x:c>
      <x:c r="M1942" s="22" t="n">
        <x:v>46239</x:v>
      </x:c>
      <x:c r="N1942" t="str">
        <x:v>SKU-025</x:v>
      </x:c>
      <x:c r="O1942" t="n">
        <x:v>1</x:v>
      </x:c>
      <x:c r="P1942" s="26" t="n">
        <x:f>F1942/O1942</x:f>
        <x:v>107.22</x:v>
      </x:c>
    </x:row>
    <x:row r="1943">
      <x:c r="A1943" t="n">
        <x:v>1942</x:v>
      </x:c>
      <x:c r="B1943" t="n">
        <x:v>42</x:v>
      </x:c>
      <x:c r="C1943" t="str">
        <x:v>Female</x:v>
      </x:c>
      <x:c r="D1943" t="str">
        <x:v>Accessories</x:v>
      </x:c>
      <x:c r="E1943" t="str">
        <x:v>Wallet</x:v>
      </x:c>
      <x:c r="F1943" s="24" t="n">
        <x:v>49.81</x:v>
      </x:c>
      <x:c r="G1943" t="str">
        <x:v>Autumn</x:v>
      </x:c>
      <x:c r="H1943" t="str">
        <x:v>Card</x:v>
      </x:c>
      <x:c r="I1943" t="n">
        <x:v>4.3</x:v>
      </x:c>
      <x:c r="J1943" t="n">
        <x:v>11</x:v>
      </x:c>
      <x:c r="K1943" t="n">
        <x:v>3</x:v>
      </x:c>
      <x:c r="L1943" t="str">
        <x:v>STORE-001</x:v>
      </x:c>
      <x:c r="M1943" s="22" t="n">
        <x:v>46107</x:v>
      </x:c>
      <x:c r="N1943" t="str">
        <x:v>SKU-029</x:v>
      </x:c>
      <x:c r="O1943" t="n">
        <x:v>2</x:v>
      </x:c>
      <x:c r="P1943" s="26" t="n">
        <x:f>F1943/O1943</x:f>
        <x:v>24.905</x:v>
      </x:c>
    </x:row>
    <x:row r="1944">
      <x:c r="A1944" t="n">
        <x:v>1943</x:v>
      </x:c>
      <x:c r="B1944" t="n">
        <x:v>65</x:v>
      </x:c>
      <x:c r="C1944" t="str">
        <x:v>Male</x:v>
      </x:c>
      <x:c r="D1944" t="str">
        <x:v>Sports</x:v>
      </x:c>
      <x:c r="E1944" t="str">
        <x:v>Football</x:v>
      </x:c>
      <x:c r="F1944" s="24" t="n">
        <x:v>54.39</x:v>
      </x:c>
      <x:c r="G1944" t="str">
        <x:v>Winter</x:v>
      </x:c>
      <x:c r="H1944" t="str">
        <x:v>Cash on Delivery</x:v>
      </x:c>
      <x:c r="I1944" t="n">
        <x:v>3.8</x:v>
      </x:c>
      <x:c r="J1944" t="n">
        <x:v>9</x:v>
      </x:c>
      <x:c r="K1944" t="n">
        <x:v>2</x:v>
      </x:c>
      <x:c r="L1944" t="str">
        <x:v>STORE-001</x:v>
      </x:c>
      <x:c r="M1944" s="22" t="n">
        <x:v>46187</x:v>
      </x:c>
      <x:c r="N1944" t="str">
        <x:v>SKU-006</x:v>
      </x:c>
      <x:c r="O1944" t="n">
        <x:v>2</x:v>
      </x:c>
      <x:c r="P1944" s="26" t="n">
        <x:f>F1944/O1944</x:f>
        <x:v>27.195</x:v>
      </x:c>
    </x:row>
    <x:row r="1945">
      <x:c r="A1945" t="n">
        <x:v>1944</x:v>
      </x:c>
      <x:c r="B1945" t="n">
        <x:v>48</x:v>
      </x:c>
      <x:c r="C1945" t="str">
        <x:v>Male</x:v>
      </x:c>
      <x:c r="D1945" t="str">
        <x:v>Footwear</x:v>
      </x:c>
      <x:c r="E1945" t="str">
        <x:v>Sneakers</x:v>
      </x:c>
      <x:c r="F1945" s="24" t="n">
        <x:v>63.06</x:v>
      </x:c>
      <x:c r="G1945" t="str">
        <x:v>Autumn</x:v>
      </x:c>
      <x:c r="H1945" t="str">
        <x:v>Card</x:v>
      </x:c>
      <x:c r="I1945" t="n">
        <x:v>4.2</x:v>
      </x:c>
      <x:c r="J1945" t="n">
        <x:v>22</x:v>
      </x:c>
      <x:c r="K1945" t="n">
        <x:v>6</x:v>
      </x:c>
      <x:c r="L1945" t="str">
        <x:v>STORE-001</x:v>
      </x:c>
      <x:c r="M1945" s="22" t="n">
        <x:v>46103</x:v>
      </x:c>
      <x:c r="N1945" t="str">
        <x:v>SKU-025</x:v>
      </x:c>
      <x:c r="O1945" t="n">
        <x:v>1</x:v>
      </x:c>
      <x:c r="P1945" s="26" t="n">
        <x:f>F1945/O1945</x:f>
        <x:v>63.06</x:v>
      </x:c>
    </x:row>
    <x:row r="1946">
      <x:c r="A1946" t="n">
        <x:v>1945</x:v>
      </x:c>
      <x:c r="B1946" t="n">
        <x:v>66</x:v>
      </x:c>
      <x:c r="C1946" t="str">
        <x:v>Male</x:v>
      </x:c>
      <x:c r="D1946" t="str">
        <x:v>Electronics</x:v>
      </x:c>
      <x:c r="E1946" t="str">
        <x:v>Laptop</x:v>
      </x:c>
      <x:c r="F1946" s="24" t="n">
        <x:v>1918.19</x:v>
      </x:c>
      <x:c r="G1946" t="str">
        <x:v>Autumn</x:v>
      </x:c>
      <x:c r="H1946" t="str">
        <x:v>Card</x:v>
      </x:c>
      <x:c r="I1946" t="n">
        <x:v>3.3</x:v>
      </x:c>
      <x:c r="J1946" t="n">
        <x:v>8</x:v>
      </x:c>
      <x:c r="K1946" t="n">
        <x:v>4</x:v>
      </x:c>
      <x:c r="L1946" t="str">
        <x:v>STORE-001</x:v>
      </x:c>
      <x:c r="M1946" s="22" t="n">
        <x:v>46142</x:v>
      </x:c>
      <x:c r="N1946" t="str">
        <x:v>SKU-014</x:v>
      </x:c>
      <x:c r="O1946" t="n">
        <x:v>2</x:v>
      </x:c>
      <x:c r="P1946" s="26" t="n">
        <x:f>F1946/O1946</x:f>
        <x:v>959.095</x:v>
      </x:c>
    </x:row>
    <x:row r="1947">
      <x:c r="A1947" t="n">
        <x:v>1946</x:v>
      </x:c>
      <x:c r="B1947" t="n">
        <x:v>50</x:v>
      </x:c>
      <x:c r="C1947" t="str">
        <x:v>Male</x:v>
      </x:c>
      <x:c r="D1947" t="str">
        <x:v>Mens Clothing</x:v>
      </x:c>
      <x:c r="E1947" t="str">
        <x:v>Shirt</x:v>
      </x:c>
      <x:c r="F1947" s="24" t="n">
        <x:v>132.11</x:v>
      </x:c>
      <x:c r="G1947" t="str">
        <x:v>Spring</x:v>
      </x:c>
      <x:c r="H1947" t="str">
        <x:v>Card</x:v>
      </x:c>
      <x:c r="I1947" t="n">
        <x:v>3.7</x:v>
      </x:c>
      <x:c r="J1947" t="n">
        <x:v>18</x:v>
      </x:c>
      <x:c r="K1947" t="n">
        <x:v>4</x:v>
      </x:c>
      <x:c r="L1947" t="str">
        <x:v>STORE-001</x:v>
      </x:c>
      <x:c r="M1947" s="22" t="n">
        <x:v>46270</x:v>
      </x:c>
      <x:c r="N1947" t="str">
        <x:v>SKU-020</x:v>
      </x:c>
      <x:c r="O1947" t="n">
        <x:v>2</x:v>
      </x:c>
      <x:c r="P1947" s="26" t="n">
        <x:f>F1947/O1947</x:f>
        <x:v>66.055</x:v>
      </x:c>
    </x:row>
    <x:row r="1948">
      <x:c r="A1948" t="n">
        <x:v>1947</x:v>
      </x:c>
      <x:c r="B1948" t="n">
        <x:v>35</x:v>
      </x:c>
      <x:c r="C1948" t="str">
        <x:v>Female</x:v>
      </x:c>
      <x:c r="D1948" t="str">
        <x:v>Womens Clothing</x:v>
      </x:c>
      <x:c r="E1948" t="str">
        <x:v>Top</x:v>
      </x:c>
      <x:c r="F1948" s="24" t="n">
        <x:v>84.23</x:v>
      </x:c>
      <x:c r="G1948" t="str">
        <x:v>Summer</x:v>
      </x:c>
      <x:c r="H1948" t="str">
        <x:v>Cash on Delivery</x:v>
      </x:c>
      <x:c r="I1948" t="n">
        <x:v>5</x:v>
      </x:c>
      <x:c r="J1948" t="n">
        <x:v>8</x:v>
      </x:c>
      <x:c r="K1948" t="n">
        <x:v>4</x:v>
      </x:c>
      <x:c r="L1948" t="str">
        <x:v>STORE-001</x:v>
      </x:c>
      <x:c r="M1948" s="22" t="n">
        <x:v>46025</x:v>
      </x:c>
      <x:c r="N1948" t="str">
        <x:v>SKU-028</x:v>
      </x:c>
      <x:c r="O1948" t="n">
        <x:v>1</x:v>
      </x:c>
      <x:c r="P1948" s="26" t="n">
        <x:f>F1948/O1948</x:f>
        <x:v>84.23</x:v>
      </x:c>
    </x:row>
    <x:row r="1949">
      <x:c r="A1949" t="n">
        <x:v>1948</x:v>
      </x:c>
      <x:c r="B1949" t="n">
        <x:v>42</x:v>
      </x:c>
      <x:c r="C1949" t="str">
        <x:v>Female</x:v>
      </x:c>
      <x:c r="D1949" t="str">
        <x:v>Beauty</x:v>
      </x:c>
      <x:c r="E1949" t="str">
        <x:v>Skincare Kit</x:v>
      </x:c>
      <x:c r="F1949" s="24" t="n">
        <x:v>114.27</x:v>
      </x:c>
      <x:c r="G1949" t="str">
        <x:v>Spring</x:v>
      </x:c>
      <x:c r="H1949" t="str">
        <x:v>Card</x:v>
      </x:c>
      <x:c r="I1949" t="n">
        <x:v>5</x:v>
      </x:c>
      <x:c r="J1949" t="n">
        <x:v>12</x:v>
      </x:c>
      <x:c r="K1949" t="n">
        <x:v>6</x:v>
      </x:c>
      <x:c r="L1949" t="str">
        <x:v>STORE-001</x:v>
      </x:c>
      <x:c r="M1949" s="22" t="n">
        <x:v>45964</x:v>
      </x:c>
      <x:c r="N1949" t="str">
        <x:v>SKU-021</x:v>
      </x:c>
      <x:c r="O1949" t="n">
        <x:v>1</x:v>
      </x:c>
      <x:c r="P1949" s="26" t="n">
        <x:f>F1949/O1949</x:f>
        <x:v>114.27</x:v>
      </x:c>
    </x:row>
    <x:row r="1950">
      <x:c r="A1950" t="n">
        <x:v>1949</x:v>
      </x:c>
      <x:c r="B1950" t="n">
        <x:v>30</x:v>
      </x:c>
      <x:c r="C1950" t="str">
        <x:v>Female</x:v>
      </x:c>
      <x:c r="D1950" t="str">
        <x:v>Home</x:v>
      </x:c>
      <x:c r="E1950" t="str">
        <x:v>Kitchen Set</x:v>
      </x:c>
      <x:c r="F1950" s="24" t="n">
        <x:v>39.24</x:v>
      </x:c>
      <x:c r="G1950" t="str">
        <x:v>Spring</x:v>
      </x:c>
      <x:c r="H1950" t="str">
        <x:v>Cash on Delivery</x:v>
      </x:c>
      <x:c r="I1950" t="n">
        <x:v>3.3</x:v>
      </x:c>
      <x:c r="J1950" t="n">
        <x:v>22</x:v>
      </x:c>
      <x:c r="K1950" t="n">
        <x:v>6</x:v>
      </x:c>
      <x:c r="L1950" t="str">
        <x:v>STORE-001</x:v>
      </x:c>
      <x:c r="M1950" s="22" t="n">
        <x:v>46283</x:v>
      </x:c>
      <x:c r="N1950" t="str">
        <x:v>SKU-012</x:v>
      </x:c>
      <x:c r="O1950" t="n">
        <x:v>3</x:v>
      </x:c>
      <x:c r="P1950" s="26" t="n">
        <x:f>F1950/O1950</x:f>
        <x:v>13.08</x:v>
      </x:c>
    </x:row>
    <x:row r="1951">
      <x:c r="A1951" t="n">
        <x:v>1950</x:v>
      </x:c>
      <x:c r="B1951" t="n">
        <x:v>42</x:v>
      </x:c>
      <x:c r="C1951" t="str">
        <x:v>Female</x:v>
      </x:c>
      <x:c r="D1951" t="str">
        <x:v>Footwear</x:v>
      </x:c>
      <x:c r="E1951" t="str">
        <x:v>Sandals</x:v>
      </x:c>
      <x:c r="F1951" s="24" t="n">
        <x:v>121.16</x:v>
      </x:c>
      <x:c r="G1951" t="str">
        <x:v>Spring</x:v>
      </x:c>
      <x:c r="H1951" t="str">
        <x:v>Card</x:v>
      </x:c>
      <x:c r="I1951" t="n">
        <x:v>2.8</x:v>
      </x:c>
      <x:c r="J1951" t="n">
        <x:v>16</x:v>
      </x:c>
      <x:c r="K1951" t="n">
        <x:v>8</x:v>
      </x:c>
      <x:c r="L1951" t="str">
        <x:v>STORE-001</x:v>
      </x:c>
      <x:c r="M1951" s="22" t="n">
        <x:v>45972</x:v>
      </x:c>
      <x:c r="N1951" t="str">
        <x:v>SKU-019</x:v>
      </x:c>
      <x:c r="O1951" t="n">
        <x:v>1</x:v>
      </x:c>
      <x:c r="P1951" s="26" t="n">
        <x:f>F1951/O1951</x:f>
        <x:v>121.16</x:v>
      </x:c>
    </x:row>
    <x:row r="1952">
      <x:c r="A1952" t="n">
        <x:v>1951</x:v>
      </x:c>
      <x:c r="B1952" t="n">
        <x:v>51</x:v>
      </x:c>
      <x:c r="C1952" t="str">
        <x:v>Female</x:v>
      </x:c>
      <x:c r="D1952" t="str">
        <x:v>Groceries</x:v>
      </x:c>
      <x:c r="E1952" t="str">
        <x:v>Snacks</x:v>
      </x:c>
      <x:c r="F1952" s="24" t="n">
        <x:v>45.86</x:v>
      </x:c>
      <x:c r="G1952" t="str">
        <x:v>Autumn</x:v>
      </x:c>
      <x:c r="H1952" t="str">
        <x:v>Card</x:v>
      </x:c>
      <x:c r="I1952" t="n">
        <x:v>3.6</x:v>
      </x:c>
      <x:c r="J1952" t="n">
        <x:v>8</x:v>
      </x:c>
      <x:c r="K1952" t="n">
        <x:v>4</x:v>
      </x:c>
      <x:c r="L1952" t="str">
        <x:v>STORE-001</x:v>
      </x:c>
      <x:c r="M1952" s="22" t="n">
        <x:v>46096</x:v>
      </x:c>
      <x:c r="N1952" t="str">
        <x:v>SKU-024</x:v>
      </x:c>
      <x:c r="O1952" t="n">
        <x:v>3</x:v>
      </x:c>
      <x:c r="P1952" s="26" t="n">
        <x:f>F1952/O1952</x:f>
        <x:v>15.286666666666667</x:v>
      </x:c>
    </x:row>
    <x:row r="1953">
      <x:c r="A1953" t="n">
        <x:v>1952</x:v>
      </x:c>
      <x:c r="B1953" t="n">
        <x:v>38</x:v>
      </x:c>
      <x:c r="C1953" t="str">
        <x:v>Male</x:v>
      </x:c>
      <x:c r="D1953" t="str">
        <x:v>Mens Clothing</x:v>
      </x:c>
      <x:c r="E1953" t="str">
        <x:v>Jeans</x:v>
      </x:c>
      <x:c r="F1953" s="24" t="n">
        <x:v>38.47</x:v>
      </x:c>
      <x:c r="G1953" t="str">
        <x:v>Spring</x:v>
      </x:c>
      <x:c r="H1953" t="str">
        <x:v>Card</x:v>
      </x:c>
      <x:c r="I1953" t="n">
        <x:v>3.6</x:v>
      </x:c>
      <x:c r="J1953" t="n">
        <x:v>17</x:v>
      </x:c>
      <x:c r="K1953" t="n">
        <x:v>6</x:v>
      </x:c>
      <x:c r="L1953" t="str">
        <x:v>STORE-001</x:v>
      </x:c>
      <x:c r="M1953" s="22" t="n">
        <x:v>46272</x:v>
      </x:c>
      <x:c r="N1953" t="str">
        <x:v>SKU-011</x:v>
      </x:c>
      <x:c r="O1953" t="n">
        <x:v>1</x:v>
      </x:c>
      <x:c r="P1953" s="26" t="n">
        <x:f>F1953/O1953</x:f>
        <x:v>38.47</x:v>
      </x:c>
    </x:row>
    <x:row r="1954">
      <x:c r="A1954" t="n">
        <x:v>1953</x:v>
      </x:c>
      <x:c r="B1954" t="n">
        <x:v>46</x:v>
      </x:c>
      <x:c r="C1954" t="str">
        <x:v>Male</x:v>
      </x:c>
      <x:c r="D1954" t="str">
        <x:v>Sports</x:v>
      </x:c>
      <x:c r="E1954" t="str">
        <x:v>Yoga Mat</x:v>
      </x:c>
      <x:c r="F1954" s="24" t="n">
        <x:v>98.54</x:v>
      </x:c>
      <x:c r="G1954" t="str">
        <x:v>Winter</x:v>
      </x:c>
      <x:c r="H1954" t="str">
        <x:v>Card</x:v>
      </x:c>
      <x:c r="I1954" t="n">
        <x:v>4.7</x:v>
      </x:c>
      <x:c r="J1954" t="n">
        <x:v>8</x:v>
      </x:c>
      <x:c r="K1954" t="n">
        <x:v>4</x:v>
      </x:c>
      <x:c r="L1954" t="str">
        <x:v>STORE-001</x:v>
      </x:c>
      <x:c r="M1954" s="22" t="n">
        <x:v>46223</x:v>
      </x:c>
      <x:c r="N1954" t="str">
        <x:v>SKU-030</x:v>
      </x:c>
      <x:c r="O1954" t="n">
        <x:v>2</x:v>
      </x:c>
      <x:c r="P1954" s="26" t="n">
        <x:f>F1954/O1954</x:f>
        <x:v>49.27</x:v>
      </x:c>
    </x:row>
    <x:row r="1955">
      <x:c r="A1955" t="n">
        <x:v>1954</x:v>
      </x:c>
      <x:c r="B1955" t="n">
        <x:v>55</x:v>
      </x:c>
      <x:c r="C1955" t="str">
        <x:v>Male</x:v>
      </x:c>
      <x:c r="D1955" t="str">
        <x:v>Footwear</x:v>
      </x:c>
      <x:c r="E1955" t="str">
        <x:v>Formal Shoes</x:v>
      </x:c>
      <x:c r="F1955" s="24" t="n">
        <x:v>194.32</x:v>
      </x:c>
      <x:c r="G1955" t="str">
        <x:v>Spring</x:v>
      </x:c>
      <x:c r="H1955" t="str">
        <x:v>Card</x:v>
      </x:c>
      <x:c r="I1955" t="n">
        <x:v>3.5</x:v>
      </x:c>
      <x:c r="J1955" t="n">
        <x:v>8</x:v>
      </x:c>
      <x:c r="K1955" t="n">
        <x:v>4</x:v>
      </x:c>
      <x:c r="L1955" t="str">
        <x:v>STORE-001</x:v>
      </x:c>
      <x:c r="M1955" s="22" t="n">
        <x:v>45990</x:v>
      </x:c>
      <x:c r="N1955" t="str">
        <x:v>SKU-007</x:v>
      </x:c>
      <x:c r="O1955" t="n">
        <x:v>1</x:v>
      </x:c>
      <x:c r="P1955" s="26" t="n">
        <x:f>F1955/O1955</x:f>
        <x:v>194.32</x:v>
      </x:c>
    </x:row>
    <x:row r="1956">
      <x:c r="A1956" t="n">
        <x:v>1955</x:v>
      </x:c>
      <x:c r="B1956" t="n">
        <x:v>61</x:v>
      </x:c>
      <x:c r="C1956" t="str">
        <x:v>Female</x:v>
      </x:c>
      <x:c r="D1956" t="str">
        <x:v>Beauty</x:v>
      </x:c>
      <x:c r="E1956" t="str">
        <x:v>Skincare Kit</x:v>
      </x:c>
      <x:c r="F1956" s="24" t="n">
        <x:v>71.83</x:v>
      </x:c>
      <x:c r="G1956" t="str">
        <x:v>Winter</x:v>
      </x:c>
      <x:c r="H1956" t="str">
        <x:v>Cash on Delivery</x:v>
      </x:c>
      <x:c r="I1956" t="n">
        <x:v>4</x:v>
      </x:c>
      <x:c r="J1956" t="n">
        <x:v>18</x:v>
      </x:c>
      <x:c r="K1956" t="n">
        <x:v>4</x:v>
      </x:c>
      <x:c r="L1956" t="str">
        <x:v>STORE-001</x:v>
      </x:c>
      <x:c r="M1956" s="22" t="n">
        <x:v>46176</x:v>
      </x:c>
      <x:c r="N1956" t="str">
        <x:v>SKU-021</x:v>
      </x:c>
      <x:c r="O1956" t="n">
        <x:v>1</x:v>
      </x:c>
      <x:c r="P1956" s="26" t="n">
        <x:f>F1956/O1956</x:f>
        <x:v>71.83</x:v>
      </x:c>
    </x:row>
    <x:row r="1957">
      <x:c r="A1957" t="n">
        <x:v>1956</x:v>
      </x:c>
      <x:c r="B1957" t="n">
        <x:v>65</x:v>
      </x:c>
      <x:c r="C1957" t="str">
        <x:v>Female</x:v>
      </x:c>
      <x:c r="D1957" t="str">
        <x:v>Footwear</x:v>
      </x:c>
      <x:c r="E1957" t="str">
        <x:v>Sneakers</x:v>
      </x:c>
      <x:c r="F1957" s="24" t="n">
        <x:v>119.74</x:v>
      </x:c>
      <x:c r="G1957" t="str">
        <x:v>Winter</x:v>
      </x:c>
      <x:c r="H1957" t="str">
        <x:v>Card</x:v>
      </x:c>
      <x:c r="I1957" t="n">
        <x:v>3.5</x:v>
      </x:c>
      <x:c r="J1957" t="n">
        <x:v>6</x:v>
      </x:c>
      <x:c r="K1957" t="n">
        <x:v>3</x:v>
      </x:c>
      <x:c r="L1957" t="str">
        <x:v>STORE-001</x:v>
      </x:c>
      <x:c r="M1957" s="22" t="n">
        <x:v>46237</x:v>
      </x:c>
      <x:c r="N1957" t="str">
        <x:v>SKU-025</x:v>
      </x:c>
      <x:c r="O1957" t="n">
        <x:v>1</x:v>
      </x:c>
      <x:c r="P1957" s="26" t="n">
        <x:f>F1957/O1957</x:f>
        <x:v>119.74</x:v>
      </x:c>
    </x:row>
    <x:row r="1958">
      <x:c r="A1958" t="n">
        <x:v>1957</x:v>
      </x:c>
      <x:c r="B1958" t="n">
        <x:v>66</x:v>
      </x:c>
      <x:c r="C1958" t="str">
        <x:v>Female</x:v>
      </x:c>
      <x:c r="D1958" t="str">
        <x:v>Footwear</x:v>
      </x:c>
      <x:c r="E1958" t="str">
        <x:v>Sneakers</x:v>
      </x:c>
      <x:c r="F1958" s="24" t="n">
        <x:v>242.56</x:v>
      </x:c>
      <x:c r="G1958" t="str">
        <x:v>Summer</x:v>
      </x:c>
      <x:c r="H1958" t="str">
        <x:v>Card</x:v>
      </x:c>
      <x:c r="I1958" t="n">
        <x:v>5</x:v>
      </x:c>
      <x:c r="J1958" t="n">
        <x:v>14</x:v>
      </x:c>
      <x:c r="K1958" t="n">
        <x:v>7</x:v>
      </x:c>
      <x:c r="L1958" t="str">
        <x:v>STORE-001</x:v>
      </x:c>
      <x:c r="M1958" s="22" t="n">
        <x:v>46021</x:v>
      </x:c>
      <x:c r="N1958" t="str">
        <x:v>SKU-025</x:v>
      </x:c>
      <x:c r="O1958" t="n">
        <x:v>1</x:v>
      </x:c>
      <x:c r="P1958" s="26" t="n">
        <x:f>F1958/O1958</x:f>
        <x:v>242.56</x:v>
      </x:c>
    </x:row>
    <x:row r="1959">
      <x:c r="A1959" t="n">
        <x:v>1958</x:v>
      </x:c>
      <x:c r="B1959" t="n">
        <x:v>51</x:v>
      </x:c>
      <x:c r="C1959" t="str">
        <x:v>Female</x:v>
      </x:c>
      <x:c r="D1959" t="str">
        <x:v>Womens Clothing</x:v>
      </x:c>
      <x:c r="E1959" t="str">
        <x:v>Dress</x:v>
      </x:c>
      <x:c r="F1959" s="24" t="n">
        <x:v>78.03</x:v>
      </x:c>
      <x:c r="G1959" t="str">
        <x:v>Autumn</x:v>
      </x:c>
      <x:c r="H1959" t="str">
        <x:v>Cash on Delivery</x:v>
      </x:c>
      <x:c r="I1959" t="n">
        <x:v>4.1</x:v>
      </x:c>
      <x:c r="J1959" t="n">
        <x:v>13</x:v>
      </x:c>
      <x:c r="K1959" t="n">
        <x:v>4</x:v>
      </x:c>
      <x:c r="L1959" t="str">
        <x:v>STORE-001</x:v>
      </x:c>
      <x:c r="M1959" s="22" t="n">
        <x:v>46139</x:v>
      </x:c>
      <x:c r="N1959" t="str">
        <x:v>SKU-004</x:v>
      </x:c>
      <x:c r="O1959" t="n">
        <x:v>2</x:v>
      </x:c>
      <x:c r="P1959" s="26" t="n">
        <x:f>F1959/O1959</x:f>
        <x:v>39.015</x:v>
      </x:c>
    </x:row>
    <x:row r="1960">
      <x:c r="A1960" t="n">
        <x:v>1959</x:v>
      </x:c>
      <x:c r="B1960" t="n">
        <x:v>52</x:v>
      </x:c>
      <x:c r="C1960" t="str">
        <x:v>Male</x:v>
      </x:c>
      <x:c r="D1960" t="str">
        <x:v>Sports</x:v>
      </x:c>
      <x:c r="E1960" t="str">
        <x:v>Football</x:v>
      </x:c>
      <x:c r="F1960" s="24" t="n">
        <x:v>82.92</x:v>
      </x:c>
      <x:c r="G1960" t="str">
        <x:v>Summer</x:v>
      </x:c>
      <x:c r="H1960" t="str">
        <x:v>Card</x:v>
      </x:c>
      <x:c r="I1960" t="n">
        <x:v>4.2</x:v>
      </x:c>
      <x:c r="J1960" t="n">
        <x:v>24</x:v>
      </x:c>
      <x:c r="K1960" t="n">
        <x:v>7</x:v>
      </x:c>
      <x:c r="L1960" t="str">
        <x:v>STORE-001</x:v>
      </x:c>
      <x:c r="M1960" s="22" t="n">
        <x:v>46063</x:v>
      </x:c>
      <x:c r="N1960" t="str">
        <x:v>SKU-006</x:v>
      </x:c>
      <x:c r="O1960" t="n">
        <x:v>2</x:v>
      </x:c>
      <x:c r="P1960" s="26" t="n">
        <x:f>F1960/O1960</x:f>
        <x:v>41.46</x:v>
      </x:c>
    </x:row>
    <x:row r="1961">
      <x:c r="A1961" t="n">
        <x:v>1960</x:v>
      </x:c>
      <x:c r="B1961" t="n">
        <x:v>56</x:v>
      </x:c>
      <x:c r="C1961" t="str">
        <x:v>Female</x:v>
      </x:c>
      <x:c r="D1961" t="str">
        <x:v>Home</x:v>
      </x:c>
      <x:c r="E1961" t="str">
        <x:v>Curtains</x:v>
      </x:c>
      <x:c r="F1961" s="24" t="n">
        <x:v>220.57</x:v>
      </x:c>
      <x:c r="G1961" t="str">
        <x:v>Spring</x:v>
      </x:c>
      <x:c r="H1961" t="str">
        <x:v>Card</x:v>
      </x:c>
      <x:c r="I1961" t="n">
        <x:v>3.1</x:v>
      </x:c>
      <x:c r="J1961" t="n">
        <x:v>18</x:v>
      </x:c>
      <x:c r="K1961" t="n">
        <x:v>4</x:v>
      </x:c>
      <x:c r="L1961" t="str">
        <x:v>STORE-001</x:v>
      </x:c>
      <x:c r="M1961" s="22" t="n">
        <x:v>46286</x:v>
      </x:c>
      <x:c r="N1961" t="str">
        <x:v>SKU-003</x:v>
      </x:c>
      <x:c r="O1961" t="n">
        <x:v>1</x:v>
      </x:c>
      <x:c r="P1961" s="26" t="n">
        <x:f>F1961/O1961</x:f>
        <x:v>220.57</x:v>
      </x:c>
    </x:row>
    <x:row r="1962">
      <x:c r="A1962" t="n">
        <x:v>1961</x:v>
      </x:c>
      <x:c r="B1962" t="n">
        <x:v>61</x:v>
      </x:c>
      <x:c r="C1962" t="str">
        <x:v>Male</x:v>
      </x:c>
      <x:c r="D1962" t="str">
        <x:v>Sports</x:v>
      </x:c>
      <x:c r="E1962" t="str">
        <x:v>Football</x:v>
      </x:c>
      <x:c r="F1962" s="24" t="n">
        <x:v>93.71</x:v>
      </x:c>
      <x:c r="G1962" t="str">
        <x:v>Winter</x:v>
      </x:c>
      <x:c r="H1962" t="str">
        <x:v>Cash on Delivery</x:v>
      </x:c>
      <x:c r="I1962" t="n">
        <x:v>3.6</x:v>
      </x:c>
      <x:c r="J1962" t="n">
        <x:v>2</x:v>
      </x:c>
      <x:c r="K1962" t="n">
        <x:v>1</x:v>
      </x:c>
      <x:c r="L1962" t="str">
        <x:v>STORE-001</x:v>
      </x:c>
      <x:c r="M1962" s="22" t="n">
        <x:v>46236</x:v>
      </x:c>
      <x:c r="N1962" t="str">
        <x:v>SKU-006</x:v>
      </x:c>
      <x:c r="O1962" t="n">
        <x:v>2</x:v>
      </x:c>
      <x:c r="P1962" s="26" t="n">
        <x:f>F1962/O1962</x:f>
        <x:v>46.855</x:v>
      </x:c>
    </x:row>
    <x:row r="1963">
      <x:c r="A1963" t="n">
        <x:v>1962</x:v>
      </x:c>
      <x:c r="B1963" t="n">
        <x:v>55</x:v>
      </x:c>
      <x:c r="C1963" t="str">
        <x:v>Male</x:v>
      </x:c>
      <x:c r="D1963" t="str">
        <x:v>Footwear</x:v>
      </x:c>
      <x:c r="E1963" t="str">
        <x:v>Sneakers</x:v>
      </x:c>
      <x:c r="F1963" s="24" t="n">
        <x:v>237.85</x:v>
      </x:c>
      <x:c r="G1963" t="str">
        <x:v>Spring</x:v>
      </x:c>
      <x:c r="H1963" t="str">
        <x:v>Card</x:v>
      </x:c>
      <x:c r="I1963" t="n">
        <x:v>3.4</x:v>
      </x:c>
      <x:c r="J1963" t="n">
        <x:v>24</x:v>
      </x:c>
      <x:c r="K1963" t="n">
        <x:v>7</x:v>
      </x:c>
      <x:c r="L1963" t="str">
        <x:v>STORE-001</x:v>
      </x:c>
      <x:c r="M1963" s="22" t="n">
        <x:v>46292</x:v>
      </x:c>
      <x:c r="N1963" t="str">
        <x:v>SKU-025</x:v>
      </x:c>
      <x:c r="O1963" t="n">
        <x:v>1</x:v>
      </x:c>
      <x:c r="P1963" s="26" t="n">
        <x:f>F1963/O1963</x:f>
        <x:v>237.85</x:v>
      </x:c>
    </x:row>
    <x:row r="1964">
      <x:c r="A1964" t="n">
        <x:v>1963</x:v>
      </x:c>
      <x:c r="B1964" t="n">
        <x:v>43</x:v>
      </x:c>
      <x:c r="C1964" t="str">
        <x:v>Female</x:v>
      </x:c>
      <x:c r="D1964" t="str">
        <x:v>Home</x:v>
      </x:c>
      <x:c r="E1964" t="str">
        <x:v>Lamp</x:v>
      </x:c>
      <x:c r="F1964" s="24" t="n">
        <x:v>209.95</x:v>
      </x:c>
      <x:c r="G1964" t="str">
        <x:v>Spring</x:v>
      </x:c>
      <x:c r="H1964" t="str">
        <x:v>Card</x:v>
      </x:c>
      <x:c r="I1964" t="n">
        <x:v>2.5</x:v>
      </x:c>
      <x:c r="J1964" t="n">
        <x:v>16</x:v>
      </x:c>
      <x:c r="K1964" t="n">
        <x:v>3</x:v>
      </x:c>
      <x:c r="L1964" t="str">
        <x:v>STORE-001</x:v>
      </x:c>
      <x:c r="M1964" s="22" t="n">
        <x:v>46285</x:v>
      </x:c>
      <x:c r="N1964" t="str">
        <x:v>SKU-013</x:v>
      </x:c>
      <x:c r="O1964" t="n">
        <x:v>1</x:v>
      </x:c>
      <x:c r="P1964" s="26" t="n">
        <x:f>F1964/O1964</x:f>
        <x:v>209.95</x:v>
      </x:c>
    </x:row>
    <x:row r="1965">
      <x:c r="A1965" t="n">
        <x:v>1964</x:v>
      </x:c>
      <x:c r="B1965" t="n">
        <x:v>67</x:v>
      </x:c>
      <x:c r="C1965" t="str">
        <x:v>Male</x:v>
      </x:c>
      <x:c r="D1965" t="str">
        <x:v>Footwear</x:v>
      </x:c>
      <x:c r="E1965" t="str">
        <x:v>Sandals</x:v>
      </x:c>
      <x:c r="F1965" s="24" t="n">
        <x:v>208.53</x:v>
      </x:c>
      <x:c r="G1965" t="str">
        <x:v>Winter</x:v>
      </x:c>
      <x:c r="H1965" t="str">
        <x:v>Card</x:v>
      </x:c>
      <x:c r="I1965" t="n">
        <x:v>4.4</x:v>
      </x:c>
      <x:c r="J1965" t="n">
        <x:v>25</x:v>
      </x:c>
      <x:c r="K1965" t="n">
        <x:v>10</x:v>
      </x:c>
      <x:c r="L1965" t="str">
        <x:v>STORE-001</x:v>
      </x:c>
      <x:c r="M1965" s="22" t="n">
        <x:v>46226</x:v>
      </x:c>
      <x:c r="N1965" t="str">
        <x:v>SKU-019</x:v>
      </x:c>
      <x:c r="O1965" t="n">
        <x:v>2</x:v>
      </x:c>
      <x:c r="P1965" s="26" t="n">
        <x:f>F1965/O1965</x:f>
        <x:v>104.265</x:v>
      </x:c>
    </x:row>
    <x:row r="1966">
      <x:c r="A1966" t="n">
        <x:v>1965</x:v>
      </x:c>
      <x:c r="B1966" t="n">
        <x:v>23</x:v>
      </x:c>
      <x:c r="C1966" t="str">
        <x:v>Male</x:v>
      </x:c>
      <x:c r="D1966" t="str">
        <x:v>Footwear</x:v>
      </x:c>
      <x:c r="E1966" t="str">
        <x:v>Sandals</x:v>
      </x:c>
      <x:c r="F1966" s="24" t="n">
        <x:v>79.07</x:v>
      </x:c>
      <x:c r="G1966" t="str">
        <x:v>Summer</x:v>
      </x:c>
      <x:c r="H1966" t="str">
        <x:v>Cash on Delivery</x:v>
      </x:c>
      <x:c r="I1966" t="n">
        <x:v>5</x:v>
      </x:c>
      <x:c r="J1966" t="n">
        <x:v>11</x:v>
      </x:c>
      <x:c r="K1966" t="n">
        <x:v>3</x:v>
      </x:c>
      <x:c r="L1966" t="str">
        <x:v>STORE-001</x:v>
      </x:c>
      <x:c r="M1966" s="22" t="n">
        <x:v>46023</x:v>
      </x:c>
      <x:c r="N1966" t="str">
        <x:v>SKU-019</x:v>
      </x:c>
      <x:c r="O1966" t="n">
        <x:v>1</x:v>
      </x:c>
      <x:c r="P1966" s="26" t="n">
        <x:f>F1966/O1966</x:f>
        <x:v>79.07</x:v>
      </x:c>
    </x:row>
    <x:row r="1967">
      <x:c r="A1967" t="n">
        <x:v>1966</x:v>
      </x:c>
      <x:c r="B1967" t="n">
        <x:v>54</x:v>
      </x:c>
      <x:c r="C1967" t="str">
        <x:v>Female</x:v>
      </x:c>
      <x:c r="D1967" t="str">
        <x:v>Womens Clothing</x:v>
      </x:c>
      <x:c r="E1967" t="str">
        <x:v>Skirt</x:v>
      </x:c>
      <x:c r="F1967" s="24" t="n">
        <x:v>86</x:v>
      </x:c>
      <x:c r="G1967" t="str">
        <x:v>Spring</x:v>
      </x:c>
      <x:c r="H1967" t="str">
        <x:v>Cash on Delivery</x:v>
      </x:c>
      <x:c r="I1967" t="n">
        <x:v>3.2</x:v>
      </x:c>
      <x:c r="J1967" t="n">
        <x:v>18</x:v>
      </x:c>
      <x:c r="K1967" t="n">
        <x:v>9</x:v>
      </x:c>
      <x:c r="L1967" t="str">
        <x:v>STORE-001</x:v>
      </x:c>
      <x:c r="M1967" s="22" t="n">
        <x:v>45981</x:v>
      </x:c>
      <x:c r="N1967" t="str">
        <x:v>SKU-022</x:v>
      </x:c>
      <x:c r="O1967" t="n">
        <x:v>2</x:v>
      </x:c>
      <x:c r="P1967" s="26" t="n">
        <x:f>F1967/O1967</x:f>
        <x:v>43</x:v>
      </x:c>
    </x:row>
    <x:row r="1968">
      <x:c r="A1968" t="n">
        <x:v>1967</x:v>
      </x:c>
      <x:c r="B1968" t="n">
        <x:v>37</x:v>
      </x:c>
      <x:c r="C1968" t="str">
        <x:v>Female</x:v>
      </x:c>
      <x:c r="D1968" t="str">
        <x:v>Womens Clothing</x:v>
      </x:c>
      <x:c r="E1968" t="str">
        <x:v>Dress</x:v>
      </x:c>
      <x:c r="F1968" s="24" t="n">
        <x:v>118.51</x:v>
      </x:c>
      <x:c r="G1968" t="str">
        <x:v>Summer</x:v>
      </x:c>
      <x:c r="H1968" t="str">
        <x:v>Card</x:v>
      </x:c>
      <x:c r="I1968" t="n">
        <x:v>4.6</x:v>
      </x:c>
      <x:c r="J1968" t="n">
        <x:v>9</x:v>
      </x:c>
      <x:c r="K1968" t="n">
        <x:v>2</x:v>
      </x:c>
      <x:c r="L1968" t="str">
        <x:v>STORE-001</x:v>
      </x:c>
      <x:c r="M1968" s="22" t="n">
        <x:v>46013</x:v>
      </x:c>
      <x:c r="N1968" t="str">
        <x:v>SKU-004</x:v>
      </x:c>
      <x:c r="O1968" t="n">
        <x:v>1</x:v>
      </x:c>
      <x:c r="P1968" s="26" t="n">
        <x:f>F1968/O1968</x:f>
        <x:v>118.51</x:v>
      </x:c>
    </x:row>
    <x:row r="1969">
      <x:c r="A1969" t="n">
        <x:v>1968</x:v>
      </x:c>
      <x:c r="B1969" t="n">
        <x:v>44</x:v>
      </x:c>
      <x:c r="C1969" t="str">
        <x:v>Male</x:v>
      </x:c>
      <x:c r="D1969" t="str">
        <x:v>Electronics</x:v>
      </x:c>
      <x:c r="E1969" t="str">
        <x:v>Laptop</x:v>
      </x:c>
      <x:c r="F1969" s="24" t="n">
        <x:v>1102.43</x:v>
      </x:c>
      <x:c r="G1969" t="str">
        <x:v>Spring</x:v>
      </x:c>
      <x:c r="H1969" t="str">
        <x:v>Card</x:v>
      </x:c>
      <x:c r="I1969" t="n">
        <x:v>3.9</x:v>
      </x:c>
      <x:c r="J1969" t="n">
        <x:v>30</x:v>
      </x:c>
      <x:c r="K1969" t="n">
        <x:v>10</x:v>
      </x:c>
      <x:c r="L1969" t="str">
        <x:v>STORE-001</x:v>
      </x:c>
      <x:c r="M1969" s="22" t="n">
        <x:v>45970</x:v>
      </x:c>
      <x:c r="N1969" t="str">
        <x:v>SKU-014</x:v>
      </x:c>
      <x:c r="O1969" t="n">
        <x:v>1</x:v>
      </x:c>
      <x:c r="P1969" s="26" t="n">
        <x:f>F1969/O1969</x:f>
        <x:v>1102.43</x:v>
      </x:c>
    </x:row>
    <x:row r="1970">
      <x:c r="A1970" t="n">
        <x:v>1969</x:v>
      </x:c>
      <x:c r="B1970" t="n">
        <x:v>54</x:v>
      </x:c>
      <x:c r="C1970" t="str">
        <x:v>Female</x:v>
      </x:c>
      <x:c r="D1970" t="str">
        <x:v>Womens Clothing</x:v>
      </x:c>
      <x:c r="E1970" t="str">
        <x:v>Jeans</x:v>
      </x:c>
      <x:c r="F1970" s="24" t="n">
        <x:v>130.37</x:v>
      </x:c>
      <x:c r="G1970" t="str">
        <x:v>Spring</x:v>
      </x:c>
      <x:c r="H1970" t="str">
        <x:v>Card</x:v>
      </x:c>
      <x:c r="I1970" t="n">
        <x:v>2.8</x:v>
      </x:c>
      <x:c r="J1970" t="n">
        <x:v>17</x:v>
      </x:c>
      <x:c r="K1970" t="n">
        <x:v>6</x:v>
      </x:c>
      <x:c r="L1970" t="str">
        <x:v>STORE-001</x:v>
      </x:c>
      <x:c r="M1970" s="22" t="n">
        <x:v>45943</x:v>
      </x:c>
      <x:c r="N1970" t="str">
        <x:v>SKU-011</x:v>
      </x:c>
      <x:c r="O1970" t="n">
        <x:v>3</x:v>
      </x:c>
      <x:c r="P1970" s="26" t="n">
        <x:f>F1970/O1970</x:f>
        <x:v>43.45666666666667</x:v>
      </x:c>
    </x:row>
    <x:row r="1971">
      <x:c r="A1971" t="n">
        <x:v>1970</x:v>
      </x:c>
      <x:c r="B1971" t="n">
        <x:v>39</x:v>
      </x:c>
      <x:c r="C1971" t="str">
        <x:v>Male</x:v>
      </x:c>
      <x:c r="D1971" t="str">
        <x:v>Sports</x:v>
      </x:c>
      <x:c r="E1971" t="str">
        <x:v>Dumbbells</x:v>
      </x:c>
      <x:c r="F1971" s="24" t="n">
        <x:v>26.25</x:v>
      </x:c>
      <x:c r="G1971" t="str">
        <x:v>Autumn</x:v>
      </x:c>
      <x:c r="H1971" t="str">
        <x:v>Cash on Delivery</x:v>
      </x:c>
      <x:c r="I1971" t="n">
        <x:v>3</x:v>
      </x:c>
      <x:c r="J1971" t="n">
        <x:v>22</x:v>
      </x:c>
      <x:c r="K1971" t="n">
        <x:v>6</x:v>
      </x:c>
      <x:c r="L1971" t="str">
        <x:v>STORE-001</x:v>
      </x:c>
      <x:c r="M1971" s="22" t="n">
        <x:v>46132</x:v>
      </x:c>
      <x:c r="N1971" t="str">
        <x:v>SKU-005</x:v>
      </x:c>
      <x:c r="O1971" t="n">
        <x:v>1</x:v>
      </x:c>
      <x:c r="P1971" s="26" t="n">
        <x:f>F1971/O1971</x:f>
        <x:v>26.25</x:v>
      </x:c>
    </x:row>
    <x:row r="1972">
      <x:c r="A1972" t="n">
        <x:v>1971</x:v>
      </x:c>
      <x:c r="B1972" t="n">
        <x:v>41</x:v>
      </x:c>
      <x:c r="C1972" t="str">
        <x:v>Male</x:v>
      </x:c>
      <x:c r="D1972" t="str">
        <x:v>Sports</x:v>
      </x:c>
      <x:c r="E1972" t="str">
        <x:v>Football</x:v>
      </x:c>
      <x:c r="F1972" s="24" t="n">
        <x:v>229.64</x:v>
      </x:c>
      <x:c r="G1972" t="str">
        <x:v>Summer</x:v>
      </x:c>
      <x:c r="H1972" t="str">
        <x:v>Card</x:v>
      </x:c>
      <x:c r="I1972" t="n">
        <x:v>4.2</x:v>
      </x:c>
      <x:c r="J1972" t="n">
        <x:v>10</x:v>
      </x:c>
      <x:c r="K1972" t="n">
        <x:v>5</x:v>
      </x:c>
      <x:c r="L1972" t="str">
        <x:v>STORE-001</x:v>
      </x:c>
      <x:c r="M1972" s="22" t="n">
        <x:v>45997</x:v>
      </x:c>
      <x:c r="N1972" t="str">
        <x:v>SKU-006</x:v>
      </x:c>
      <x:c r="O1972" t="n">
        <x:v>1</x:v>
      </x:c>
      <x:c r="P1972" s="26" t="n">
        <x:f>F1972/O1972</x:f>
        <x:v>229.64</x:v>
      </x:c>
    </x:row>
    <x:row r="1973">
      <x:c r="A1973" t="n">
        <x:v>1972</x:v>
      </x:c>
      <x:c r="B1973" t="n">
        <x:v>48</x:v>
      </x:c>
      <x:c r="C1973" t="str">
        <x:v>Female</x:v>
      </x:c>
      <x:c r="D1973" t="str">
        <x:v>Womens Clothing</x:v>
      </x:c>
      <x:c r="E1973" t="str">
        <x:v>Jeans</x:v>
      </x:c>
      <x:c r="F1973" s="24" t="n">
        <x:v>144.76</x:v>
      </x:c>
      <x:c r="G1973" t="str">
        <x:v>Summer</x:v>
      </x:c>
      <x:c r="H1973" t="str">
        <x:v>Card</x:v>
      </x:c>
      <x:c r="I1973" t="n">
        <x:v>4.2</x:v>
      </x:c>
      <x:c r="J1973" t="n">
        <x:v>10</x:v>
      </x:c>
      <x:c r="K1973" t="n">
        <x:v>5</x:v>
      </x:c>
      <x:c r="L1973" t="str">
        <x:v>STORE-001</x:v>
      </x:c>
      <x:c r="M1973" s="22" t="n">
        <x:v>46053</x:v>
      </x:c>
      <x:c r="N1973" t="str">
        <x:v>SKU-011</x:v>
      </x:c>
      <x:c r="O1973" t="n">
        <x:v>2</x:v>
      </x:c>
      <x:c r="P1973" s="26" t="n">
        <x:f>F1973/O1973</x:f>
        <x:v>72.38</x:v>
      </x:c>
    </x:row>
    <x:row r="1974">
      <x:c r="A1974" t="n">
        <x:v>1973</x:v>
      </x:c>
      <x:c r="B1974" t="n">
        <x:v>39</x:v>
      </x:c>
      <x:c r="C1974" t="str">
        <x:v>Female</x:v>
      </x:c>
      <x:c r="D1974" t="str">
        <x:v>Womens Clothing</x:v>
      </x:c>
      <x:c r="E1974" t="str">
        <x:v>Dress</x:v>
      </x:c>
      <x:c r="F1974" s="24" t="n">
        <x:v>188.91</x:v>
      </x:c>
      <x:c r="G1974" t="str">
        <x:v>Winter</x:v>
      </x:c>
      <x:c r="H1974" t="str">
        <x:v>Card</x:v>
      </x:c>
      <x:c r="I1974" t="n">
        <x:v>3.4</x:v>
      </x:c>
      <x:c r="J1974" t="n">
        <x:v>20</x:v>
      </x:c>
      <x:c r="K1974" t="n">
        <x:v>5</x:v>
      </x:c>
      <x:c r="L1974" t="str">
        <x:v>STORE-001</x:v>
      </x:c>
      <x:c r="M1974" s="22" t="n">
        <x:v>46202</x:v>
      </x:c>
      <x:c r="N1974" t="str">
        <x:v>SKU-004</x:v>
      </x:c>
      <x:c r="O1974" t="n">
        <x:v>2</x:v>
      </x:c>
      <x:c r="P1974" s="26" t="n">
        <x:f>F1974/O1974</x:f>
        <x:v>94.455</x:v>
      </x:c>
    </x:row>
    <x:row r="1975">
      <x:c r="A1975" t="n">
        <x:v>1974</x:v>
      </x:c>
      <x:c r="B1975" t="n">
        <x:v>44</x:v>
      </x:c>
      <x:c r="C1975" t="str">
        <x:v>Male</x:v>
      </x:c>
      <x:c r="D1975" t="str">
        <x:v>Footwear</x:v>
      </x:c>
      <x:c r="E1975" t="str">
        <x:v>Sandals</x:v>
      </x:c>
      <x:c r="F1975" s="24" t="n">
        <x:v>108.13</x:v>
      </x:c>
      <x:c r="G1975" t="str">
        <x:v>Winter</x:v>
      </x:c>
      <x:c r="H1975" t="str">
        <x:v>Card</x:v>
      </x:c>
      <x:c r="I1975" t="n">
        <x:v>3.5</x:v>
      </x:c>
      <x:c r="J1975" t="n">
        <x:v>4</x:v>
      </x:c>
      <x:c r="K1975" t="n">
        <x:v>2</x:v>
      </x:c>
      <x:c r="L1975" t="str">
        <x:v>STORE-001</x:v>
      </x:c>
      <x:c r="M1975" s="22" t="n">
        <x:v>46241</x:v>
      </x:c>
      <x:c r="N1975" t="str">
        <x:v>SKU-019</x:v>
      </x:c>
      <x:c r="O1975" t="n">
        <x:v>1</x:v>
      </x:c>
      <x:c r="P1975" s="26" t="n">
        <x:f>F1975/O1975</x:f>
        <x:v>108.13</x:v>
      </x:c>
    </x:row>
    <x:row r="1976">
      <x:c r="A1976" t="n">
        <x:v>1975</x:v>
      </x:c>
      <x:c r="B1976" t="n">
        <x:v>60</x:v>
      </x:c>
      <x:c r="C1976" t="str">
        <x:v>Female</x:v>
      </x:c>
      <x:c r="D1976" t="str">
        <x:v>Footwear</x:v>
      </x:c>
      <x:c r="E1976" t="str">
        <x:v>Sandals</x:v>
      </x:c>
      <x:c r="F1976" s="24" t="n">
        <x:v>49.64</x:v>
      </x:c>
      <x:c r="G1976" t="str">
        <x:v>Spring</x:v>
      </x:c>
      <x:c r="H1976" t="str">
        <x:v>Cash on Delivery</x:v>
      </x:c>
      <x:c r="I1976" t="n">
        <x:v>3.2</x:v>
      </x:c>
      <x:c r="J1976" t="n">
        <x:v>12</x:v>
      </x:c>
      <x:c r="K1976" t="n">
        <x:v>6</x:v>
      </x:c>
      <x:c r="L1976" t="str">
        <x:v>STORE-001</x:v>
      </x:c>
      <x:c r="M1976" s="22" t="n">
        <x:v>46295</x:v>
      </x:c>
      <x:c r="N1976" t="str">
        <x:v>SKU-019</x:v>
      </x:c>
      <x:c r="O1976" t="n">
        <x:v>3</x:v>
      </x:c>
      <x:c r="P1976" s="26" t="n">
        <x:f>F1976/O1976</x:f>
        <x:v>16.546666666666667</x:v>
      </x:c>
    </x:row>
    <x:row r="1977">
      <x:c r="A1977" t="n">
        <x:v>1976</x:v>
      </x:c>
      <x:c r="B1977" t="n">
        <x:v>57</x:v>
      </x:c>
      <x:c r="C1977" t="str">
        <x:v>Female</x:v>
      </x:c>
      <x:c r="D1977" t="str">
        <x:v>Womens Clothing</x:v>
      </x:c>
      <x:c r="E1977" t="str">
        <x:v>Dress</x:v>
      </x:c>
      <x:c r="F1977" s="24" t="n">
        <x:v>33.5</x:v>
      </x:c>
      <x:c r="G1977" t="str">
        <x:v>Summer</x:v>
      </x:c>
      <x:c r="H1977" t="str">
        <x:v>Card</x:v>
      </x:c>
      <x:c r="I1977" t="n">
        <x:v>1.7</x:v>
      </x:c>
      <x:c r="J1977" t="n">
        <x:v>11</x:v>
      </x:c>
      <x:c r="K1977" t="n">
        <x:v>3</x:v>
      </x:c>
      <x:c r="L1977" t="str">
        <x:v>STORE-001</x:v>
      </x:c>
      <x:c r="M1977" s="22" t="n">
        <x:v>46033</x:v>
      </x:c>
      <x:c r="N1977" t="str">
        <x:v>SKU-004</x:v>
      </x:c>
      <x:c r="O1977" t="n">
        <x:v>1</x:v>
      </x:c>
      <x:c r="P1977" s="26" t="n">
        <x:f>F1977/O1977</x:f>
        <x:v>33.5</x:v>
      </x:c>
    </x:row>
    <x:row r="1978">
      <x:c r="A1978" t="n">
        <x:v>1977</x:v>
      </x:c>
      <x:c r="B1978" t="n">
        <x:v>48</x:v>
      </x:c>
      <x:c r="C1978" t="str">
        <x:v>Male</x:v>
      </x:c>
      <x:c r="D1978" t="str">
        <x:v>Mens Clothing</x:v>
      </x:c>
      <x:c r="E1978" t="str">
        <x:v>Jacket</x:v>
      </x:c>
      <x:c r="F1978" s="24" t="n">
        <x:v>176.4</x:v>
      </x:c>
      <x:c r="G1978" t="str">
        <x:v>Autumn</x:v>
      </x:c>
      <x:c r="H1978" t="str">
        <x:v>Card</x:v>
      </x:c>
      <x:c r="I1978" t="n">
        <x:v>4.3</x:v>
      </x:c>
      <x:c r="J1978" t="n">
        <x:v>2</x:v>
      </x:c>
      <x:c r="K1978" t="n">
        <x:v>1</x:v>
      </x:c>
      <x:c r="L1978" t="str">
        <x:v>STORE-001</x:v>
      </x:c>
      <x:c r="M1978" s="22" t="n">
        <x:v>46126</x:v>
      </x:c>
      <x:c r="N1978" t="str">
        <x:v>SKU-010</x:v>
      </x:c>
      <x:c r="O1978" t="n">
        <x:v>1</x:v>
      </x:c>
      <x:c r="P1978" s="26" t="n">
        <x:f>F1978/O1978</x:f>
        <x:v>176.4</x:v>
      </x:c>
    </x:row>
    <x:row r="1979">
      <x:c r="A1979" t="n">
        <x:v>1978</x:v>
      </x:c>
      <x:c r="B1979" t="n">
        <x:v>38</x:v>
      </x:c>
      <x:c r="C1979" t="str">
        <x:v>Female</x:v>
      </x:c>
      <x:c r="D1979" t="str">
        <x:v>Footwear</x:v>
      </x:c>
      <x:c r="E1979" t="str">
        <x:v>Sandals</x:v>
      </x:c>
      <x:c r="F1979" s="24" t="n">
        <x:v>177.52</x:v>
      </x:c>
      <x:c r="G1979" t="str">
        <x:v>Winter</x:v>
      </x:c>
      <x:c r="H1979" t="str">
        <x:v>Card</x:v>
      </x:c>
      <x:c r="I1979" t="n">
        <x:v>4.7</x:v>
      </x:c>
      <x:c r="J1979" t="n">
        <x:v>11</x:v>
      </x:c>
      <x:c r="K1979" t="n">
        <x:v>3</x:v>
      </x:c>
      <x:c r="L1979" t="str">
        <x:v>STORE-001</x:v>
      </x:c>
      <x:c r="M1979" s="22" t="n">
        <x:v>46239</x:v>
      </x:c>
      <x:c r="N1979" t="str">
        <x:v>SKU-019</x:v>
      </x:c>
      <x:c r="O1979" t="n">
        <x:v>2</x:v>
      </x:c>
      <x:c r="P1979" s="26" t="n">
        <x:f>F1979/O1979</x:f>
        <x:v>88.76</x:v>
      </x:c>
    </x:row>
    <x:row r="1980">
      <x:c r="A1980" t="n">
        <x:v>1979</x:v>
      </x:c>
      <x:c r="B1980" t="n">
        <x:v>66</x:v>
      </x:c>
      <x:c r="C1980" t="str">
        <x:v>Female</x:v>
      </x:c>
      <x:c r="D1980" t="str">
        <x:v>Womens Clothing</x:v>
      </x:c>
      <x:c r="E1980" t="str">
        <x:v>Jeans</x:v>
      </x:c>
      <x:c r="F1980" s="24" t="n">
        <x:v>48.85</x:v>
      </x:c>
      <x:c r="G1980" t="str">
        <x:v>Spring</x:v>
      </x:c>
      <x:c r="H1980" t="str">
        <x:v>Card</x:v>
      </x:c>
      <x:c r="I1980" t="n">
        <x:v>4.3</x:v>
      </x:c>
      <x:c r="J1980" t="n">
        <x:v>24</x:v>
      </x:c>
      <x:c r="K1980" t="n">
        <x:v>7</x:v>
      </x:c>
      <x:c r="L1980" t="str">
        <x:v>STORE-001</x:v>
      </x:c>
      <x:c r="M1980" s="22" t="n">
        <x:v>45946</x:v>
      </x:c>
      <x:c r="N1980" t="str">
        <x:v>SKU-011</x:v>
      </x:c>
      <x:c r="O1980" t="n">
        <x:v>1</x:v>
      </x:c>
      <x:c r="P1980" s="26" t="n">
        <x:f>F1980/O1980</x:f>
        <x:v>48.85</x:v>
      </x:c>
    </x:row>
    <x:row r="1981">
      <x:c r="A1981" t="n">
        <x:v>1980</x:v>
      </x:c>
      <x:c r="B1981" t="n">
        <x:v>70</x:v>
      </x:c>
      <x:c r="C1981" t="str">
        <x:v>Female</x:v>
      </x:c>
      <x:c r="D1981" t="str">
        <x:v>Womens Clothing</x:v>
      </x:c>
      <x:c r="E1981" t="str">
        <x:v>Dress</x:v>
      </x:c>
      <x:c r="F1981" s="24" t="n">
        <x:v>139.17</x:v>
      </x:c>
      <x:c r="G1981" t="str">
        <x:v>Summer</x:v>
      </x:c>
      <x:c r="H1981" t="str">
        <x:v>Card</x:v>
      </x:c>
      <x:c r="I1981" t="n">
        <x:v>4.3</x:v>
      </x:c>
      <x:c r="J1981" t="n">
        <x:v>19</x:v>
      </x:c>
      <x:c r="K1981" t="n">
        <x:v>7</x:v>
      </x:c>
      <x:c r="L1981" t="str">
        <x:v>STORE-001</x:v>
      </x:c>
      <x:c r="M1981" s="22" t="n">
        <x:v>46004</x:v>
      </x:c>
      <x:c r="N1981" t="str">
        <x:v>SKU-004</x:v>
      </x:c>
      <x:c r="O1981" t="n">
        <x:v>1</x:v>
      </x:c>
      <x:c r="P1981" s="26" t="n">
        <x:f>F1981/O1981</x:f>
        <x:v>139.17</x:v>
      </x:c>
    </x:row>
    <x:row r="1982">
      <x:c r="A1982" t="n">
        <x:v>1981</x:v>
      </x:c>
      <x:c r="B1982" t="n">
        <x:v>24</x:v>
      </x:c>
      <x:c r="C1982" t="str">
        <x:v>Male</x:v>
      </x:c>
      <x:c r="D1982" t="str">
        <x:v>Mens Clothing</x:v>
      </x:c>
      <x:c r="E1982" t="str">
        <x:v>T-Shirt</x:v>
      </x:c>
      <x:c r="F1982" s="24" t="n">
        <x:v>196.55</x:v>
      </x:c>
      <x:c r="G1982" t="str">
        <x:v>Summer</x:v>
      </x:c>
      <x:c r="H1982" t="str">
        <x:v>Card</x:v>
      </x:c>
      <x:c r="I1982" t="n">
        <x:v>3.2</x:v>
      </x:c>
      <x:c r="J1982" t="n">
        <x:v>8</x:v>
      </x:c>
      <x:c r="K1982" t="n">
        <x:v>4</x:v>
      </x:c>
      <x:c r="L1982" t="str">
        <x:v>STORE-001</x:v>
      </x:c>
      <x:c r="M1982" s="22" t="n">
        <x:v>46002</x:v>
      </x:c>
      <x:c r="N1982" t="str">
        <x:v>SKU-027</x:v>
      </x:c>
      <x:c r="O1982" t="n">
        <x:v>1</x:v>
      </x:c>
      <x:c r="P1982" s="26" t="n">
        <x:f>F1982/O1982</x:f>
        <x:v>196.55</x:v>
      </x:c>
    </x:row>
    <x:row r="1983">
      <x:c r="A1983" t="n">
        <x:v>1982</x:v>
      </x:c>
      <x:c r="B1983" t="n">
        <x:v>41</x:v>
      </x:c>
      <x:c r="C1983" t="str">
        <x:v>Female</x:v>
      </x:c>
      <x:c r="D1983" t="str">
        <x:v>Beauty</x:v>
      </x:c>
      <x:c r="E1983" t="str">
        <x:v>Perfume</x:v>
      </x:c>
      <x:c r="F1983" s="24" t="n">
        <x:v>26.86</x:v>
      </x:c>
      <x:c r="G1983" t="str">
        <x:v>Winter</x:v>
      </x:c>
      <x:c r="H1983" t="str">
        <x:v>Card</x:v>
      </x:c>
      <x:c r="I1983" t="n">
        <x:v>3.5</x:v>
      </x:c>
      <x:c r="J1983" t="n">
        <x:v>9</x:v>
      </x:c>
      <x:c r="K1983" t="n">
        <x:v>2</x:v>
      </x:c>
      <x:c r="L1983" t="str">
        <x:v>STORE-001</x:v>
      </x:c>
      <x:c r="M1983" s="22" t="n">
        <x:v>46194</x:v>
      </x:c>
      <x:c r="N1983" t="str">
        <x:v>SKU-017</x:v>
      </x:c>
      <x:c r="O1983" t="n">
        <x:v>1</x:v>
      </x:c>
      <x:c r="P1983" s="26" t="n">
        <x:f>F1983/O1983</x:f>
        <x:v>26.86</x:v>
      </x:c>
    </x:row>
    <x:row r="1984">
      <x:c r="A1984" t="n">
        <x:v>1983</x:v>
      </x:c>
      <x:c r="B1984" t="n">
        <x:v>63</x:v>
      </x:c>
      <x:c r="C1984" t="str">
        <x:v>Male</x:v>
      </x:c>
      <x:c r="D1984" t="str">
        <x:v>Sports</x:v>
      </x:c>
      <x:c r="E1984" t="str">
        <x:v>Yoga Mat</x:v>
      </x:c>
      <x:c r="F1984" s="24" t="n">
        <x:v>161.59</x:v>
      </x:c>
      <x:c r="G1984" t="str">
        <x:v>Spring</x:v>
      </x:c>
      <x:c r="H1984" t="str">
        <x:v>Card</x:v>
      </x:c>
      <x:c r="I1984" t="n">
        <x:v>5</x:v>
      </x:c>
      <x:c r="J1984" t="n">
        <x:v>21</x:v>
      </x:c>
      <x:c r="K1984" t="n">
        <x:v>8</x:v>
      </x:c>
      <x:c r="L1984" t="str">
        <x:v>STORE-001</x:v>
      </x:c>
      <x:c r="M1984" s="22" t="n">
        <x:v>46271</x:v>
      </x:c>
      <x:c r="N1984" t="str">
        <x:v>SKU-030</x:v>
      </x:c>
      <x:c r="O1984" t="n">
        <x:v>2</x:v>
      </x:c>
      <x:c r="P1984" s="26" t="n">
        <x:f>F1984/O1984</x:f>
        <x:v>80.795</x:v>
      </x:c>
    </x:row>
    <x:row r="1985">
      <x:c r="A1985" t="n">
        <x:v>1984</x:v>
      </x:c>
      <x:c r="B1985" t="n">
        <x:v>40</x:v>
      </x:c>
      <x:c r="C1985" t="str">
        <x:v>Female</x:v>
      </x:c>
      <x:c r="D1985" t="str">
        <x:v>Womens Clothing</x:v>
      </x:c>
      <x:c r="E1985" t="str">
        <x:v>Top</x:v>
      </x:c>
      <x:c r="F1985" s="24" t="n">
        <x:v>171.74</x:v>
      </x:c>
      <x:c r="G1985" t="str">
        <x:v>Autumn</x:v>
      </x:c>
      <x:c r="H1985" t="str">
        <x:v>Card</x:v>
      </x:c>
      <x:c r="I1985" t="n">
        <x:v>2.9</x:v>
      </x:c>
      <x:c r="J1985" t="n">
        <x:v>18</x:v>
      </x:c>
      <x:c r="K1985" t="n">
        <x:v>4</x:v>
      </x:c>
      <x:c r="L1985" t="str">
        <x:v>STORE-001</x:v>
      </x:c>
      <x:c r="M1985" s="22" t="n">
        <x:v>46090</x:v>
      </x:c>
      <x:c r="N1985" t="str">
        <x:v>SKU-028</x:v>
      </x:c>
      <x:c r="O1985" t="n">
        <x:v>1</x:v>
      </x:c>
      <x:c r="P1985" s="26" t="n">
        <x:f>F1985/O1985</x:f>
        <x:v>171.74</x:v>
      </x:c>
    </x:row>
    <x:row r="1986">
      <x:c r="A1986" t="n">
        <x:v>1985</x:v>
      </x:c>
      <x:c r="B1986" t="n">
        <x:v>52</x:v>
      </x:c>
      <x:c r="C1986" t="str">
        <x:v>Male</x:v>
      </x:c>
      <x:c r="D1986" t="str">
        <x:v>Sports</x:v>
      </x:c>
      <x:c r="E1986" t="str">
        <x:v>Dumbbells</x:v>
      </x:c>
      <x:c r="F1986" s="24" t="n">
        <x:v>46.83</x:v>
      </x:c>
      <x:c r="G1986" t="str">
        <x:v>Winter</x:v>
      </x:c>
      <x:c r="H1986" t="str">
        <x:v>Card</x:v>
      </x:c>
      <x:c r="I1986" t="n">
        <x:v>3.7</x:v>
      </x:c>
      <x:c r="J1986" t="n">
        <x:v>22</x:v>
      </x:c>
      <x:c r="K1986" t="n">
        <x:v>6</x:v>
      </x:c>
      <x:c r="L1986" t="str">
        <x:v>STORE-001</x:v>
      </x:c>
      <x:c r="M1986" s="22" t="n">
        <x:v>46224</x:v>
      </x:c>
      <x:c r="N1986" t="str">
        <x:v>SKU-005</x:v>
      </x:c>
      <x:c r="O1986" t="n">
        <x:v>3</x:v>
      </x:c>
      <x:c r="P1986" s="26" t="n">
        <x:f>F1986/O1986</x:f>
        <x:v>15.61</x:v>
      </x:c>
    </x:row>
    <x:row r="1987">
      <x:c r="A1987" t="n">
        <x:v>1986</x:v>
      </x:c>
      <x:c r="B1987" t="n">
        <x:v>38</x:v>
      </x:c>
      <x:c r="C1987" t="str">
        <x:v>Male</x:v>
      </x:c>
      <x:c r="D1987" t="str">
        <x:v>Sports</x:v>
      </x:c>
      <x:c r="E1987" t="str">
        <x:v>Football</x:v>
      </x:c>
      <x:c r="F1987" s="24" t="n">
        <x:v>61.79</x:v>
      </x:c>
      <x:c r="G1987" t="str">
        <x:v>Autumn</x:v>
      </x:c>
      <x:c r="H1987" t="str">
        <x:v>Card</x:v>
      </x:c>
      <x:c r="I1987" t="n">
        <x:v>2.9</x:v>
      </x:c>
      <x:c r="J1987" t="n">
        <x:v>28</x:v>
      </x:c>
      <x:c r="K1987" t="n">
        <x:v>9</x:v>
      </x:c>
      <x:c r="L1987" t="str">
        <x:v>STORE-001</x:v>
      </x:c>
      <x:c r="M1987" s="22" t="n">
        <x:v>46086</x:v>
      </x:c>
      <x:c r="N1987" t="str">
        <x:v>SKU-006</x:v>
      </x:c>
      <x:c r="O1987" t="n">
        <x:v>1</x:v>
      </x:c>
      <x:c r="P1987" s="26" t="n">
        <x:f>F1987/O1987</x:f>
        <x:v>61.79</x:v>
      </x:c>
    </x:row>
    <x:row r="1988">
      <x:c r="A1988" t="n">
        <x:v>1987</x:v>
      </x:c>
      <x:c r="B1988" t="n">
        <x:v>25</x:v>
      </x:c>
      <x:c r="C1988" t="str">
        <x:v>Male</x:v>
      </x:c>
      <x:c r="D1988" t="str">
        <x:v>Mens Clothing</x:v>
      </x:c>
      <x:c r="E1988" t="str">
        <x:v>Jacket</x:v>
      </x:c>
      <x:c r="F1988" s="24" t="n">
        <x:v>111.92</x:v>
      </x:c>
      <x:c r="G1988" t="str">
        <x:v>Autumn</x:v>
      </x:c>
      <x:c r="H1988" t="str">
        <x:v>Card</x:v>
      </x:c>
      <x:c r="I1988" t="n">
        <x:v>4.3</x:v>
      </x:c>
      <x:c r="J1988" t="n">
        <x:v>21</x:v>
      </x:c>
      <x:c r="K1988" t="n">
        <x:v>8</x:v>
      </x:c>
      <x:c r="L1988" t="str">
        <x:v>STORE-001</x:v>
      </x:c>
      <x:c r="M1988" s="22" t="n">
        <x:v>46161</x:v>
      </x:c>
      <x:c r="N1988" t="str">
        <x:v>SKU-010</x:v>
      </x:c>
      <x:c r="O1988" t="n">
        <x:v>1</x:v>
      </x:c>
      <x:c r="P1988" s="26" t="n">
        <x:f>F1988/O1988</x:f>
        <x:v>111.92</x:v>
      </x:c>
    </x:row>
    <x:row r="1989">
      <x:c r="A1989" t="n">
        <x:v>1988</x:v>
      </x:c>
      <x:c r="B1989" t="n">
        <x:v>56</x:v>
      </x:c>
      <x:c r="C1989" t="str">
        <x:v>Male</x:v>
      </x:c>
      <x:c r="D1989" t="str">
        <x:v>Electronics</x:v>
      </x:c>
      <x:c r="E1989" t="str">
        <x:v>Laptop</x:v>
      </x:c>
      <x:c r="F1989" s="24" t="n">
        <x:v>1616.64</x:v>
      </x:c>
      <x:c r="G1989" t="str">
        <x:v>Summer</x:v>
      </x:c>
      <x:c r="H1989" t="str">
        <x:v>Card</x:v>
      </x:c>
      <x:c r="I1989" t="n">
        <x:v>4.2</x:v>
      </x:c>
      <x:c r="J1989" t="n">
        <x:v>16</x:v>
      </x:c>
      <x:c r="K1989" t="n">
        <x:v>3</x:v>
      </x:c>
      <x:c r="L1989" t="str">
        <x:v>STORE-001</x:v>
      </x:c>
      <x:c r="M1989" s="22" t="n">
        <x:v>46040</x:v>
      </x:c>
      <x:c r="N1989" t="str">
        <x:v>SKU-014</x:v>
      </x:c>
      <x:c r="O1989" t="n">
        <x:v>1</x:v>
      </x:c>
      <x:c r="P1989" s="26" t="n">
        <x:f>F1989/O1989</x:f>
        <x:v>1616.64</x:v>
      </x:c>
    </x:row>
    <x:row r="1990">
      <x:c r="A1990" t="n">
        <x:v>1989</x:v>
      </x:c>
      <x:c r="B1990" t="n">
        <x:v>48</x:v>
      </x:c>
      <x:c r="C1990" t="str">
        <x:v>Male</x:v>
      </x:c>
      <x:c r="D1990" t="str">
        <x:v>Sports</x:v>
      </x:c>
      <x:c r="E1990" t="str">
        <x:v>Yoga Mat</x:v>
      </x:c>
      <x:c r="F1990" s="24" t="n">
        <x:v>217.52</x:v>
      </x:c>
      <x:c r="G1990" t="str">
        <x:v>Summer</x:v>
      </x:c>
      <x:c r="H1990" t="str">
        <x:v>Card</x:v>
      </x:c>
      <x:c r="I1990" t="n">
        <x:v>4.5</x:v>
      </x:c>
      <x:c r="J1990" t="n">
        <x:v>22</x:v>
      </x:c>
      <x:c r="K1990" t="n">
        <x:v>6</x:v>
      </x:c>
      <x:c r="L1990" t="str">
        <x:v>STORE-001</x:v>
      </x:c>
      <x:c r="M1990" s="22" t="n">
        <x:v>46027</x:v>
      </x:c>
      <x:c r="N1990" t="str">
        <x:v>SKU-030</x:v>
      </x:c>
      <x:c r="O1990" t="n">
        <x:v>2</x:v>
      </x:c>
      <x:c r="P1990" s="26" t="n">
        <x:f>F1990/O1990</x:f>
        <x:v>108.76</x:v>
      </x:c>
    </x:row>
    <x:row r="1991">
      <x:c r="A1991" t="n">
        <x:v>1990</x:v>
      </x:c>
      <x:c r="B1991" t="n">
        <x:v>64</x:v>
      </x:c>
      <x:c r="C1991" t="str">
        <x:v>Male</x:v>
      </x:c>
      <x:c r="D1991" t="str">
        <x:v>Sports</x:v>
      </x:c>
      <x:c r="E1991" t="str">
        <x:v>Yoga Mat</x:v>
      </x:c>
      <x:c r="F1991" s="24" t="n">
        <x:v>162.8</x:v>
      </x:c>
      <x:c r="G1991" t="str">
        <x:v>Spring</x:v>
      </x:c>
      <x:c r="H1991" t="str">
        <x:v>Card</x:v>
      </x:c>
      <x:c r="I1991" t="n">
        <x:v>4.9</x:v>
      </x:c>
      <x:c r="J1991" t="n">
        <x:v>18</x:v>
      </x:c>
      <x:c r="K1991" t="n">
        <x:v>4</x:v>
      </x:c>
      <x:c r="L1991" t="str">
        <x:v>STORE-001</x:v>
      </x:c>
      <x:c r="M1991" s="22" t="n">
        <x:v>46273</x:v>
      </x:c>
      <x:c r="N1991" t="str">
        <x:v>SKU-030</x:v>
      </x:c>
      <x:c r="O1991" t="n">
        <x:v>1</x:v>
      </x:c>
      <x:c r="P1991" s="26" t="n">
        <x:f>F1991/O1991</x:f>
        <x:v>162.8</x:v>
      </x:c>
    </x:row>
    <x:row r="1992">
      <x:c r="A1992" t="n">
        <x:v>1991</x:v>
      </x:c>
      <x:c r="B1992" t="n">
        <x:v>22</x:v>
      </x:c>
      <x:c r="C1992" t="str">
        <x:v>Male</x:v>
      </x:c>
      <x:c r="D1992" t="str">
        <x:v>Mens Clothing</x:v>
      </x:c>
      <x:c r="E1992" t="str">
        <x:v>Jacket</x:v>
      </x:c>
      <x:c r="F1992" s="24" t="n">
        <x:v>65.02</x:v>
      </x:c>
      <x:c r="G1992" t="str">
        <x:v>Summer</x:v>
      </x:c>
      <x:c r="H1992" t="str">
        <x:v>Card</x:v>
      </x:c>
      <x:c r="I1992" t="n">
        <x:v>3.9</x:v>
      </x:c>
      <x:c r="J1992" t="n">
        <x:v>16</x:v>
      </x:c>
      <x:c r="K1992" t="n">
        <x:v>3</x:v>
      </x:c>
      <x:c r="L1992" t="str">
        <x:v>STORE-001</x:v>
      </x:c>
      <x:c r="M1992" s="22" t="n">
        <x:v>46041</x:v>
      </x:c>
      <x:c r="N1992" t="str">
        <x:v>SKU-010</x:v>
      </x:c>
      <x:c r="O1992" t="n">
        <x:v>2</x:v>
      </x:c>
      <x:c r="P1992" s="26" t="n">
        <x:f>F1992/O1992</x:f>
        <x:v>32.51</x:v>
      </x:c>
    </x:row>
    <x:row r="1993">
      <x:c r="A1993" t="n">
        <x:v>1992</x:v>
      </x:c>
      <x:c r="B1993" t="n">
        <x:v>36</x:v>
      </x:c>
      <x:c r="C1993" t="str">
        <x:v>Male</x:v>
      </x:c>
      <x:c r="D1993" t="str">
        <x:v>Footwear</x:v>
      </x:c>
      <x:c r="E1993" t="str">
        <x:v>Formal Shoes</x:v>
      </x:c>
      <x:c r="F1993" s="24" t="n">
        <x:v>138.45</x:v>
      </x:c>
      <x:c r="G1993" t="str">
        <x:v>Summer</x:v>
      </x:c>
      <x:c r="H1993" t="str">
        <x:v>Card</x:v>
      </x:c>
      <x:c r="I1993" t="n">
        <x:v>3.2</x:v>
      </x:c>
      <x:c r="J1993" t="n">
        <x:v>20</x:v>
      </x:c>
      <x:c r="K1993" t="n">
        <x:v>5</x:v>
      </x:c>
      <x:c r="L1993" t="str">
        <x:v>STORE-001</x:v>
      </x:c>
      <x:c r="M1993" s="22" t="n">
        <x:v>46021</x:v>
      </x:c>
      <x:c r="N1993" t="str">
        <x:v>SKU-007</x:v>
      </x:c>
      <x:c r="O1993" t="n">
        <x:v>1</x:v>
      </x:c>
      <x:c r="P1993" s="26" t="n">
        <x:f>F1993/O1993</x:f>
        <x:v>138.45</x:v>
      </x:c>
    </x:row>
    <x:row r="1994">
      <x:c r="A1994" t="n">
        <x:v>1993</x:v>
      </x:c>
      <x:c r="B1994" t="n">
        <x:v>45</x:v>
      </x:c>
      <x:c r="C1994" t="str">
        <x:v>Female</x:v>
      </x:c>
      <x:c r="D1994" t="str">
        <x:v>Sports</x:v>
      </x:c>
      <x:c r="E1994" t="str">
        <x:v>Football</x:v>
      </x:c>
      <x:c r="F1994" s="24" t="n">
        <x:v>184.55</x:v>
      </x:c>
      <x:c r="G1994" t="str">
        <x:v>Spring</x:v>
      </x:c>
      <x:c r="H1994" t="str">
        <x:v>Card</x:v>
      </x:c>
      <x:c r="I1994" t="n">
        <x:v>4.2</x:v>
      </x:c>
      <x:c r="J1994" t="n">
        <x:v>8</x:v>
      </x:c>
      <x:c r="K1994" t="n">
        <x:v>4</x:v>
      </x:c>
      <x:c r="L1994" t="str">
        <x:v>STORE-001</x:v>
      </x:c>
      <x:c r="M1994" s="22" t="n">
        <x:v>45931</x:v>
      </x:c>
      <x:c r="N1994" t="str">
        <x:v>SKU-006</x:v>
      </x:c>
      <x:c r="O1994" t="n">
        <x:v>1</x:v>
      </x:c>
      <x:c r="P1994" s="26" t="n">
        <x:f>F1994/O1994</x:f>
        <x:v>184.55</x:v>
      </x:c>
    </x:row>
    <x:row r="1995">
      <x:c r="A1995" t="n">
        <x:v>1994</x:v>
      </x:c>
      <x:c r="B1995" t="n">
        <x:v>33</x:v>
      </x:c>
      <x:c r="C1995" t="str">
        <x:v>Female</x:v>
      </x:c>
      <x:c r="D1995" t="str">
        <x:v>Womens Clothing</x:v>
      </x:c>
      <x:c r="E1995" t="str">
        <x:v>Top</x:v>
      </x:c>
      <x:c r="F1995" s="24" t="n">
        <x:v>109.48</x:v>
      </x:c>
      <x:c r="G1995" t="str">
        <x:v>Spring</x:v>
      </x:c>
      <x:c r="H1995" t="str">
        <x:v>Card</x:v>
      </x:c>
      <x:c r="I1995" t="n">
        <x:v>3.8</x:v>
      </x:c>
      <x:c r="J1995" t="n">
        <x:v>12</x:v>
      </x:c>
      <x:c r="K1995" t="n">
        <x:v>6</x:v>
      </x:c>
      <x:c r="L1995" t="str">
        <x:v>STORE-001</x:v>
      </x:c>
      <x:c r="M1995" s="22" t="n">
        <x:v>46295</x:v>
      </x:c>
      <x:c r="N1995" t="str">
        <x:v>SKU-028</x:v>
      </x:c>
      <x:c r="O1995" t="n">
        <x:v>2</x:v>
      </x:c>
      <x:c r="P1995" s="26" t="n">
        <x:f>F1995/O1995</x:f>
        <x:v>54.74</x:v>
      </x:c>
    </x:row>
    <x:row r="1996">
      <x:c r="A1996" t="n">
        <x:v>1995</x:v>
      </x:c>
      <x:c r="B1996" t="n">
        <x:v>59</x:v>
      </x:c>
      <x:c r="C1996" t="str">
        <x:v>Female</x:v>
      </x:c>
      <x:c r="D1996" t="str">
        <x:v>Womens Clothing</x:v>
      </x:c>
      <x:c r="E1996" t="str">
        <x:v>Jeans</x:v>
      </x:c>
      <x:c r="F1996" s="24" t="n">
        <x:v>147.63</x:v>
      </x:c>
      <x:c r="G1996" t="str">
        <x:v>Winter</x:v>
      </x:c>
      <x:c r="H1996" t="str">
        <x:v>Card</x:v>
      </x:c>
      <x:c r="I1996" t="n">
        <x:v>5</x:v>
      </x:c>
      <x:c r="J1996" t="n">
        <x:v>17</x:v>
      </x:c>
      <x:c r="K1996" t="n">
        <x:v>6</x:v>
      </x:c>
      <x:c r="L1996" t="str">
        <x:v>STORE-001</x:v>
      </x:c>
      <x:c r="M1996" s="22" t="n">
        <x:v>46198</x:v>
      </x:c>
      <x:c r="N1996" t="str">
        <x:v>SKU-011</x:v>
      </x:c>
      <x:c r="O1996" t="n">
        <x:v>1</x:v>
      </x:c>
      <x:c r="P1996" s="26" t="n">
        <x:f>F1996/O1996</x:f>
        <x:v>147.63</x:v>
      </x:c>
    </x:row>
    <x:row r="1997">
      <x:c r="A1997" t="n">
        <x:v>1996</x:v>
      </x:c>
      <x:c r="B1997" t="n">
        <x:v>49</x:v>
      </x:c>
      <x:c r="C1997" t="str">
        <x:v>Male</x:v>
      </x:c>
      <x:c r="D1997" t="str">
        <x:v>Mens Clothing</x:v>
      </x:c>
      <x:c r="E1997" t="str">
        <x:v>Shirt</x:v>
      </x:c>
      <x:c r="F1997" s="24" t="n">
        <x:v>176.47</x:v>
      </x:c>
      <x:c r="G1997" t="str">
        <x:v>Summer</x:v>
      </x:c>
      <x:c r="H1997" t="str">
        <x:v>Card</x:v>
      </x:c>
      <x:c r="I1997" t="n">
        <x:v>3.2</x:v>
      </x:c>
      <x:c r="J1997" t="n">
        <x:v>18</x:v>
      </x:c>
      <x:c r="K1997" t="n">
        <x:v>4</x:v>
      </x:c>
      <x:c r="L1997" t="str">
        <x:v>STORE-001</x:v>
      </x:c>
      <x:c r="M1997" s="22" t="n">
        <x:v>46028</x:v>
      </x:c>
      <x:c r="N1997" t="str">
        <x:v>SKU-020</x:v>
      </x:c>
      <x:c r="O1997" t="n">
        <x:v>1</x:v>
      </x:c>
      <x:c r="P1997" s="26" t="n">
        <x:f>F1997/O1997</x:f>
        <x:v>176.47</x:v>
      </x:c>
    </x:row>
    <x:row r="1998">
      <x:c r="A1998" t="n">
        <x:v>1997</x:v>
      </x:c>
      <x:c r="B1998" t="n">
        <x:v>36</x:v>
      </x:c>
      <x:c r="C1998" t="str">
        <x:v>Male</x:v>
      </x:c>
      <x:c r="D1998" t="str">
        <x:v>Electronics</x:v>
      </x:c>
      <x:c r="E1998" t="str">
        <x:v>Mobile Phone</x:v>
      </x:c>
      <x:c r="F1998" s="24" t="n">
        <x:v>1270.98</x:v>
      </x:c>
      <x:c r="G1998" t="str">
        <x:v>Spring</x:v>
      </x:c>
      <x:c r="H1998" t="str">
        <x:v>Card</x:v>
      </x:c>
      <x:c r="I1998" t="n">
        <x:v>5</x:v>
      </x:c>
      <x:c r="J1998" t="n">
        <x:v>12</x:v>
      </x:c>
      <x:c r="K1998" t="n">
        <x:v>6</x:v>
      </x:c>
      <x:c r="L1998" t="str">
        <x:v>STORE-001</x:v>
      </x:c>
      <x:c r="M1998" s="22" t="n">
        <x:v>45991</x:v>
      </x:c>
      <x:c r="N1998" t="str">
        <x:v>SKU-016</x:v>
      </x:c>
      <x:c r="O1998" t="n">
        <x:v>1</x:v>
      </x:c>
      <x:c r="P1998" s="26" t="n">
        <x:f>F1998/O1998</x:f>
        <x:v>1270.98</x:v>
      </x:c>
    </x:row>
    <x:row r="1999">
      <x:c r="A1999" t="n">
        <x:v>1998</x:v>
      </x:c>
      <x:c r="B1999" t="n">
        <x:v>59</x:v>
      </x:c>
      <x:c r="C1999" t="str">
        <x:v>Male</x:v>
      </x:c>
      <x:c r="D1999" t="str">
        <x:v>Sports</x:v>
      </x:c>
      <x:c r="E1999" t="str">
        <x:v>Football</x:v>
      </x:c>
      <x:c r="F1999" s="24" t="n">
        <x:v>158.36</x:v>
      </x:c>
      <x:c r="G1999" t="str">
        <x:v>Summer</x:v>
      </x:c>
      <x:c r="H1999" t="str">
        <x:v>Card</x:v>
      </x:c>
      <x:c r="I1999" t="n">
        <x:v>4.1</x:v>
      </x:c>
      <x:c r="J1999" t="n">
        <x:v>21</x:v>
      </x:c>
      <x:c r="K1999" t="n">
        <x:v>8</x:v>
      </x:c>
      <x:c r="L1999" t="str">
        <x:v>STORE-001</x:v>
      </x:c>
      <x:c r="M1999" s="22" t="n">
        <x:v>45999</x:v>
      </x:c>
      <x:c r="N1999" t="str">
        <x:v>SKU-006</x:v>
      </x:c>
      <x:c r="O1999" t="n">
        <x:v>2</x:v>
      </x:c>
      <x:c r="P1999" s="26" t="n">
        <x:f>F1999/O1999</x:f>
        <x:v>79.18</x:v>
      </x:c>
    </x:row>
    <x:row r="2000">
      <x:c r="A2000" t="n">
        <x:v>1999</x:v>
      </x:c>
      <x:c r="B2000" t="n">
        <x:v>47</x:v>
      </x:c>
      <x:c r="C2000" t="str">
        <x:v>Male</x:v>
      </x:c>
      <x:c r="D2000" t="str">
        <x:v>Sports</x:v>
      </x:c>
      <x:c r="E2000" t="str">
        <x:v>Football</x:v>
      </x:c>
      <x:c r="F2000" s="24" t="n">
        <x:v>25.96</x:v>
      </x:c>
      <x:c r="G2000" t="str">
        <x:v>Winter</x:v>
      </x:c>
      <x:c r="H2000" t="str">
        <x:v>Cash on Delivery</x:v>
      </x:c>
      <x:c r="I2000" t="n">
        <x:v>3.5</x:v>
      </x:c>
      <x:c r="J2000" t="n">
        <x:v>24</x:v>
      </x:c>
      <x:c r="K2000" t="n">
        <x:v>7</x:v>
      </x:c>
      <x:c r="L2000" t="str">
        <x:v>STORE-001</x:v>
      </x:c>
      <x:c r="M2000" s="22" t="n">
        <x:v>46196</x:v>
      </x:c>
      <x:c r="N2000" t="str">
        <x:v>SKU-006</x:v>
      </x:c>
      <x:c r="O2000" t="n">
        <x:v>1</x:v>
      </x:c>
      <x:c r="P2000" s="26" t="n">
        <x:f>F2000/O2000</x:f>
        <x:v>25.96</x:v>
      </x:c>
    </x:row>
    <x:row r="2001">
      <x:c r="A2001" t="n">
        <x:v>2000</x:v>
      </x:c>
      <x:c r="B2001" t="n">
        <x:v>45</x:v>
      </x:c>
      <x:c r="C2001" t="str">
        <x:v>Female</x:v>
      </x:c>
      <x:c r="D2001" t="str">
        <x:v>Footwear</x:v>
      </x:c>
      <x:c r="E2001" t="str">
        <x:v>Formal Shoes</x:v>
      </x:c>
      <x:c r="F2001" s="24" t="n">
        <x:v>219.08</x:v>
      </x:c>
      <x:c r="G2001" t="str">
        <x:v>Spring</x:v>
      </x:c>
      <x:c r="H2001" t="str">
        <x:v>Card</x:v>
      </x:c>
      <x:c r="I2001" t="n">
        <x:v>3.9</x:v>
      </x:c>
      <x:c r="J2001" t="n">
        <x:v>25</x:v>
      </x:c>
      <x:c r="K2001" t="n">
        <x:v>10</x:v>
      </x:c>
      <x:c r="L2001" t="str">
        <x:v>STORE-001</x:v>
      </x:c>
      <x:c r="M2001" s="22" t="n">
        <x:v>46268</x:v>
      </x:c>
      <x:c r="N2001" t="str">
        <x:v>SKU-007</x:v>
      </x:c>
      <x:c r="O2001" t="n">
        <x:v>1</x:v>
      </x:c>
      <x:c r="P2001" s="26" t="n">
        <x:f>F2001/O2001</x:f>
        <x:v>219.08</x:v>
      </x:c>
    </x:row>
    <x:row r="2002">
      <x:c r="A2002" t="n">
        <x:v>2001</x:v>
      </x:c>
      <x:c r="B2002" t="n">
        <x:v>44</x:v>
      </x:c>
      <x:c r="C2002" t="str">
        <x:v>Male</x:v>
      </x:c>
      <x:c r="D2002" t="str">
        <x:v>Sports</x:v>
      </x:c>
      <x:c r="E2002" t="str">
        <x:v>Yoga Mat</x:v>
      </x:c>
      <x:c r="F2002" s="24" t="n">
        <x:v>216.53</x:v>
      </x:c>
      <x:c r="G2002" t="str">
        <x:v>Spring</x:v>
      </x:c>
      <x:c r="H2002" t="str">
        <x:v>Card</x:v>
      </x:c>
      <x:c r="I2002" t="n">
        <x:v>3.4</x:v>
      </x:c>
      <x:c r="J2002" t="n">
        <x:v>2</x:v>
      </x:c>
      <x:c r="K2002" t="n">
        <x:v>1</x:v>
      </x:c>
      <x:c r="L2002" t="str">
        <x:v>STORE-001</x:v>
      </x:c>
      <x:c r="M2002" s="22" t="n">
        <x:v>45983</x:v>
      </x:c>
      <x:c r="N2002" t="str">
        <x:v>SKU-030</x:v>
      </x:c>
      <x:c r="O2002" t="n">
        <x:v>1</x:v>
      </x:c>
      <x:c r="P2002" s="26" t="n">
        <x:f>F2002/O2002</x:f>
        <x:v>216.53</x:v>
      </x:c>
    </x:row>
    <x:row r="2003">
      <x:c r="A2003" t="n">
        <x:v>2002</x:v>
      </x:c>
      <x:c r="B2003" t="n">
        <x:v>58</x:v>
      </x:c>
      <x:c r="C2003" t="str">
        <x:v>Male</x:v>
      </x:c>
      <x:c r="D2003" t="str">
        <x:v>Sports</x:v>
      </x:c>
      <x:c r="E2003" t="str">
        <x:v>Yoga Mat</x:v>
      </x:c>
      <x:c r="F2003" s="24" t="n">
        <x:v>155.39</x:v>
      </x:c>
      <x:c r="G2003" t="str">
        <x:v>Winter</x:v>
      </x:c>
      <x:c r="H2003" t="str">
        <x:v>Card</x:v>
      </x:c>
      <x:c r="I2003" t="n">
        <x:v>3.5</x:v>
      </x:c>
      <x:c r="J2003" t="n">
        <x:v>21</x:v>
      </x:c>
      <x:c r="K2003" t="n">
        <x:v>8</x:v>
      </x:c>
      <x:c r="L2003" t="str">
        <x:v>STORE-001</x:v>
      </x:c>
      <x:c r="M2003" s="22" t="n">
        <x:v>46249</x:v>
      </x:c>
      <x:c r="N2003" t="str">
        <x:v>SKU-030</x:v>
      </x:c>
      <x:c r="O2003" t="n">
        <x:v>1</x:v>
      </x:c>
      <x:c r="P2003" s="26" t="n">
        <x:f>F2003/O2003</x:f>
        <x:v>155.39</x:v>
      </x:c>
    </x:row>
    <x:row r="2004">
      <x:c r="A2004" t="n">
        <x:v>2003</x:v>
      </x:c>
      <x:c r="B2004" t="n">
        <x:v>65</x:v>
      </x:c>
      <x:c r="C2004" t="str">
        <x:v>Male</x:v>
      </x:c>
      <x:c r="D2004" t="str">
        <x:v>Footwear</x:v>
      </x:c>
      <x:c r="E2004" t="str">
        <x:v>Sandals</x:v>
      </x:c>
      <x:c r="F2004" s="24" t="n">
        <x:v>178.96</x:v>
      </x:c>
      <x:c r="G2004" t="str">
        <x:v>Winter</x:v>
      </x:c>
      <x:c r="H2004" t="str">
        <x:v>Card</x:v>
      </x:c>
      <x:c r="I2004" t="n">
        <x:v>3.1</x:v>
      </x:c>
      <x:c r="J2004" t="n">
        <x:v>16</x:v>
      </x:c>
      <x:c r="K2004" t="n">
        <x:v>3</x:v>
      </x:c>
      <x:c r="L2004" t="str">
        <x:v>STORE-001</x:v>
      </x:c>
      <x:c r="M2004" s="22" t="n">
        <x:v>46251</x:v>
      </x:c>
      <x:c r="N2004" t="str">
        <x:v>SKU-019</x:v>
      </x:c>
      <x:c r="O2004" t="n">
        <x:v>1</x:v>
      </x:c>
      <x:c r="P2004" s="26" t="n">
        <x:f>F2004/O2004</x:f>
        <x:v>178.96</x:v>
      </x:c>
    </x:row>
    <x:row r="2005">
      <x:c r="A2005" t="n">
        <x:v>2004</x:v>
      </x:c>
      <x:c r="B2005" t="n">
        <x:v>50</x:v>
      </x:c>
      <x:c r="C2005" t="str">
        <x:v>Male</x:v>
      </x:c>
      <x:c r="D2005" t="str">
        <x:v>Mens Clothing</x:v>
      </x:c>
      <x:c r="E2005" t="str">
        <x:v>T-Shirt</x:v>
      </x:c>
      <x:c r="F2005" s="24" t="n">
        <x:v>156.35</x:v>
      </x:c>
      <x:c r="G2005" t="str">
        <x:v>Winter</x:v>
      </x:c>
      <x:c r="H2005" t="str">
        <x:v>Card</x:v>
      </x:c>
      <x:c r="I2005" t="n">
        <x:v>3.1</x:v>
      </x:c>
      <x:c r="J2005" t="n">
        <x:v>9</x:v>
      </x:c>
      <x:c r="K2005" t="n">
        <x:v>2</x:v>
      </x:c>
      <x:c r="L2005" t="str">
        <x:v>STORE-001</x:v>
      </x:c>
      <x:c r="M2005" s="22" t="n">
        <x:v>46189</x:v>
      </x:c>
      <x:c r="N2005" t="str">
        <x:v>SKU-027</x:v>
      </x:c>
      <x:c r="O2005" t="n">
        <x:v>1</x:v>
      </x:c>
      <x:c r="P2005" s="26" t="n">
        <x:f>F2005/O2005</x:f>
        <x:v>156.35</x:v>
      </x:c>
    </x:row>
    <x:row r="2006">
      <x:c r="A2006" t="n">
        <x:v>2005</x:v>
      </x:c>
      <x:c r="B2006" t="n">
        <x:v>32</x:v>
      </x:c>
      <x:c r="C2006" t="str">
        <x:v>Female</x:v>
      </x:c>
      <x:c r="D2006" t="str">
        <x:v>Groceries</x:v>
      </x:c>
      <x:c r="E2006" t="str">
        <x:v>Cooking Oil</x:v>
      </x:c>
      <x:c r="F2006" s="24" t="n">
        <x:v>30.91</x:v>
      </x:c>
      <x:c r="G2006" t="str">
        <x:v>Spring</x:v>
      </x:c>
      <x:c r="H2006" t="str">
        <x:v>Card</x:v>
      </x:c>
      <x:c r="I2006" t="n">
        <x:v>3.4</x:v>
      </x:c>
      <x:c r="J2006" t="n">
        <x:v>14</x:v>
      </x:c>
      <x:c r="K2006" t="n">
        <x:v>2</x:v>
      </x:c>
      <x:c r="L2006" t="str">
        <x:v>STORE-001</x:v>
      </x:c>
      <x:c r="M2006" s="22" t="n">
        <x:v>46272</x:v>
      </x:c>
      <x:c r="N2006" t="str">
        <x:v>SKU-002</x:v>
      </x:c>
      <x:c r="O2006" t="n">
        <x:v>3</x:v>
      </x:c>
      <x:c r="P2006" s="26" t="n">
        <x:f>F2006/O2006</x:f>
        <x:v>10.303333333333333</x:v>
      </x:c>
    </x:row>
    <x:row r="2007">
      <x:c r="A2007" t="n">
        <x:v>2006</x:v>
      </x:c>
      <x:c r="B2007" t="n">
        <x:v>33</x:v>
      </x:c>
      <x:c r="C2007" t="str">
        <x:v>Female</x:v>
      </x:c>
      <x:c r="D2007" t="str">
        <x:v>Groceries</x:v>
      </x:c>
      <x:c r="E2007" t="str">
        <x:v>Beverages</x:v>
      </x:c>
      <x:c r="F2007" s="24" t="n">
        <x:v>33.28</x:v>
      </x:c>
      <x:c r="G2007" t="str">
        <x:v>Autumn</x:v>
      </x:c>
      <x:c r="H2007" t="str">
        <x:v>Card</x:v>
      </x:c>
      <x:c r="I2007" t="n">
        <x:v>4.2</x:v>
      </x:c>
      <x:c r="J2007" t="n">
        <x:v>8</x:v>
      </x:c>
      <x:c r="K2007" t="n">
        <x:v>4</x:v>
      </x:c>
      <x:c r="L2007" t="str">
        <x:v>STORE-001</x:v>
      </x:c>
      <x:c r="M2007" s="22" t="n">
        <x:v>46125</x:v>
      </x:c>
      <x:c r="N2007" t="str">
        <x:v>SKU-001</x:v>
      </x:c>
      <x:c r="O2007" t="n">
        <x:v>4</x:v>
      </x:c>
      <x:c r="P2007" s="26" t="n">
        <x:f>F2007/O2007</x:f>
        <x:v>8.32</x:v>
      </x:c>
    </x:row>
    <x:row r="2008">
      <x:c r="A2008" t="n">
        <x:v>2007</x:v>
      </x:c>
      <x:c r="B2008" t="n">
        <x:v>41</x:v>
      </x:c>
      <x:c r="C2008" t="str">
        <x:v>Female</x:v>
      </x:c>
      <x:c r="D2008" t="str">
        <x:v>Groceries</x:v>
      </x:c>
      <x:c r="E2008" t="str">
        <x:v>Snacks</x:v>
      </x:c>
      <x:c r="F2008" s="24" t="n">
        <x:v>14.36</x:v>
      </x:c>
      <x:c r="G2008" t="str">
        <x:v>Winter</x:v>
      </x:c>
      <x:c r="H2008" t="str">
        <x:v>Cash on Delivery</x:v>
      </x:c>
      <x:c r="I2008" t="n">
        <x:v>3.6</x:v>
      </x:c>
      <x:c r="J2008" t="n">
        <x:v>15</x:v>
      </x:c>
      <x:c r="K2008" t="n">
        <x:v>5</x:v>
      </x:c>
      <x:c r="L2008" t="str">
        <x:v>STORE-001</x:v>
      </x:c>
      <x:c r="M2008" s="22" t="n">
        <x:v>46247</x:v>
      </x:c>
      <x:c r="N2008" t="str">
        <x:v>SKU-024</x:v>
      </x:c>
      <x:c r="O2008" t="n">
        <x:v>2</x:v>
      </x:c>
      <x:c r="P2008" s="26" t="n">
        <x:f>F2008/O2008</x:f>
        <x:v>7.18</x:v>
      </x:c>
    </x:row>
    <x:row r="2009">
      <x:c r="A2009" t="n">
        <x:v>2008</x:v>
      </x:c>
      <x:c r="B2009" t="n">
        <x:v>60</x:v>
      </x:c>
      <x:c r="C2009" t="str">
        <x:v>Male</x:v>
      </x:c>
      <x:c r="D2009" t="str">
        <x:v>Sports</x:v>
      </x:c>
      <x:c r="E2009" t="str">
        <x:v>Football</x:v>
      </x:c>
      <x:c r="F2009" s="24" t="n">
        <x:v>164.7</x:v>
      </x:c>
      <x:c r="G2009" t="str">
        <x:v>Summer</x:v>
      </x:c>
      <x:c r="H2009" t="str">
        <x:v>Card</x:v>
      </x:c>
      <x:c r="I2009" t="n">
        <x:v>4.8</x:v>
      </x:c>
      <x:c r="J2009" t="n">
        <x:v>26</x:v>
      </x:c>
      <x:c r="K2009" t="n">
        <x:v>8</x:v>
      </x:c>
      <x:c r="L2009" t="str">
        <x:v>STORE-001</x:v>
      </x:c>
      <x:c r="M2009" s="22" t="n">
        <x:v>46006</x:v>
      </x:c>
      <x:c r="N2009" t="str">
        <x:v>SKU-006</x:v>
      </x:c>
      <x:c r="O2009" t="n">
        <x:v>1</x:v>
      </x:c>
      <x:c r="P2009" s="26" t="n">
        <x:f>F2009/O2009</x:f>
        <x:v>164.7</x:v>
      </x:c>
    </x:row>
    <x:row r="2010">
      <x:c r="A2010" t="n">
        <x:v>2009</x:v>
      </x:c>
      <x:c r="B2010" t="n">
        <x:v>54</x:v>
      </x:c>
      <x:c r="C2010" t="str">
        <x:v>Male</x:v>
      </x:c>
      <x:c r="D2010" t="str">
        <x:v>Sports</x:v>
      </x:c>
      <x:c r="E2010" t="str">
        <x:v>Dumbbells</x:v>
      </x:c>
      <x:c r="F2010" s="24" t="n">
        <x:v>156.24</x:v>
      </x:c>
      <x:c r="G2010" t="str">
        <x:v>Summer</x:v>
      </x:c>
      <x:c r="H2010" t="str">
        <x:v>Card</x:v>
      </x:c>
      <x:c r="I2010" t="n">
        <x:v>4.6</x:v>
      </x:c>
      <x:c r="J2010" t="n">
        <x:v>16</x:v>
      </x:c>
      <x:c r="K2010" t="n">
        <x:v>3</x:v>
      </x:c>
      <x:c r="L2010" t="str">
        <x:v>STORE-001</x:v>
      </x:c>
      <x:c r="M2010" s="22" t="n">
        <x:v>46011</x:v>
      </x:c>
      <x:c r="N2010" t="str">
        <x:v>SKU-005</x:v>
      </x:c>
      <x:c r="O2010" t="n">
        <x:v>1</x:v>
      </x:c>
      <x:c r="P2010" s="26" t="n">
        <x:f>F2010/O2010</x:f>
        <x:v>156.24</x:v>
      </x:c>
    </x:row>
    <x:row r="2011">
      <x:c r="A2011" t="n">
        <x:v>2010</x:v>
      </x:c>
      <x:c r="B2011" t="n">
        <x:v>34</x:v>
      </x:c>
      <x:c r="C2011" t="str">
        <x:v>Female</x:v>
      </x:c>
      <x:c r="D2011" t="str">
        <x:v>Womens Clothing</x:v>
      </x:c>
      <x:c r="E2011" t="str">
        <x:v>Skirt</x:v>
      </x:c>
      <x:c r="F2011" s="24" t="n">
        <x:v>153.01</x:v>
      </x:c>
      <x:c r="G2011" t="str">
        <x:v>Summer</x:v>
      </x:c>
      <x:c r="H2011" t="str">
        <x:v>Card</x:v>
      </x:c>
      <x:c r="I2011" t="n">
        <x:v>3.8</x:v>
      </x:c>
      <x:c r="J2011" t="n">
        <x:v>13</x:v>
      </x:c>
      <x:c r="K2011" t="n">
        <x:v>4</x:v>
      </x:c>
      <x:c r="L2011" t="str">
        <x:v>STORE-001</x:v>
      </x:c>
      <x:c r="M2011" s="22" t="n">
        <x:v>46009</x:v>
      </x:c>
      <x:c r="N2011" t="str">
        <x:v>SKU-022</x:v>
      </x:c>
      <x:c r="O2011" t="n">
        <x:v>1</x:v>
      </x:c>
      <x:c r="P2011" s="26" t="n">
        <x:f>F2011/O2011</x:f>
        <x:v>153.01</x:v>
      </x:c>
    </x:row>
    <x:row r="2012">
      <x:c r="A2012" t="n">
        <x:v>2011</x:v>
      </x:c>
      <x:c r="B2012" t="n">
        <x:v>46</x:v>
      </x:c>
      <x:c r="C2012" t="str">
        <x:v>Female</x:v>
      </x:c>
      <x:c r="D2012" t="str">
        <x:v>Footwear</x:v>
      </x:c>
      <x:c r="E2012" t="str">
        <x:v>Sandals</x:v>
      </x:c>
      <x:c r="F2012" s="24" t="n">
        <x:v>120.06</x:v>
      </x:c>
      <x:c r="G2012" t="str">
        <x:v>Autumn</x:v>
      </x:c>
      <x:c r="H2012" t="str">
        <x:v>Card</x:v>
      </x:c>
      <x:c r="I2012" t="n">
        <x:v>4.1</x:v>
      </x:c>
      <x:c r="J2012" t="n">
        <x:v>6</x:v>
      </x:c>
      <x:c r="K2012" t="n">
        <x:v>3</x:v>
      </x:c>
      <x:c r="L2012" t="str">
        <x:v>STORE-001</x:v>
      </x:c>
      <x:c r="M2012" s="22" t="n">
        <x:v>46119</x:v>
      </x:c>
      <x:c r="N2012" t="str">
        <x:v>SKU-019</x:v>
      </x:c>
      <x:c r="O2012" t="n">
        <x:v>1</x:v>
      </x:c>
      <x:c r="P2012" s="26" t="n">
        <x:f>F2012/O2012</x:f>
        <x:v>120.06</x:v>
      </x:c>
    </x:row>
    <x:row r="2013">
      <x:c r="A2013" t="n">
        <x:v>2012</x:v>
      </x:c>
      <x:c r="B2013" t="n">
        <x:v>38</x:v>
      </x:c>
      <x:c r="C2013" t="str">
        <x:v>Female</x:v>
      </x:c>
      <x:c r="D2013" t="str">
        <x:v>Womens Clothing</x:v>
      </x:c>
      <x:c r="E2013" t="str">
        <x:v>Top</x:v>
      </x:c>
      <x:c r="F2013" s="24" t="n">
        <x:v>162.6</x:v>
      </x:c>
      <x:c r="G2013" t="str">
        <x:v>Summer</x:v>
      </x:c>
      <x:c r="H2013" t="str">
        <x:v>Card</x:v>
      </x:c>
      <x:c r="I2013" t="n">
        <x:v>4.4</x:v>
      </x:c>
      <x:c r="J2013" t="n">
        <x:v>26</x:v>
      </x:c>
      <x:c r="K2013" t="n">
        <x:v>8</x:v>
      </x:c>
      <x:c r="L2013" t="str">
        <x:v>STORE-001</x:v>
      </x:c>
      <x:c r="M2013" s="22" t="n">
        <x:v>46019</x:v>
      </x:c>
      <x:c r="N2013" t="str">
        <x:v>SKU-028</x:v>
      </x:c>
      <x:c r="O2013" t="n">
        <x:v>2</x:v>
      </x:c>
      <x:c r="P2013" s="26" t="n">
        <x:f>F2013/O2013</x:f>
        <x:v>81.3</x:v>
      </x:c>
    </x:row>
    <x:row r="2014">
      <x:c r="A2014" t="n">
        <x:v>2013</x:v>
      </x:c>
      <x:c r="B2014" t="n">
        <x:v>51</x:v>
      </x:c>
      <x:c r="C2014" t="str">
        <x:v>Female</x:v>
      </x:c>
      <x:c r="D2014" t="str">
        <x:v>Beauty</x:v>
      </x:c>
      <x:c r="E2014" t="str">
        <x:v>Perfume</x:v>
      </x:c>
      <x:c r="F2014" s="24" t="n">
        <x:v>89.47</x:v>
      </x:c>
      <x:c r="G2014" t="str">
        <x:v>Spring</x:v>
      </x:c>
      <x:c r="H2014" t="str">
        <x:v>Card</x:v>
      </x:c>
      <x:c r="I2014" t="n">
        <x:v>3.6</x:v>
      </x:c>
      <x:c r="J2014" t="n">
        <x:v>10</x:v>
      </x:c>
      <x:c r="K2014" t="n">
        <x:v>5</x:v>
      </x:c>
      <x:c r="L2014" t="str">
        <x:v>STORE-001</x:v>
      </x:c>
      <x:c r="M2014" s="22" t="n">
        <x:v>45966</x:v>
      </x:c>
      <x:c r="N2014" t="str">
        <x:v>SKU-017</x:v>
      </x:c>
      <x:c r="O2014" t="n">
        <x:v>1</x:v>
      </x:c>
      <x:c r="P2014" s="26" t="n">
        <x:f>F2014/O2014</x:f>
        <x:v>89.47</x:v>
      </x:c>
    </x:row>
    <x:row r="2015">
      <x:c r="A2015" t="n">
        <x:v>2014</x:v>
      </x:c>
      <x:c r="B2015" t="n">
        <x:v>20</x:v>
      </x:c>
      <x:c r="C2015" t="str">
        <x:v>Female</x:v>
      </x:c>
      <x:c r="D2015" t="str">
        <x:v>Footwear</x:v>
      </x:c>
      <x:c r="E2015" t="str">
        <x:v>Sneakers</x:v>
      </x:c>
      <x:c r="F2015" s="24" t="n">
        <x:v>88.2</x:v>
      </x:c>
      <x:c r="G2015" t="str">
        <x:v>Winter</x:v>
      </x:c>
      <x:c r="H2015" t="str">
        <x:v>Cash on Delivery</x:v>
      </x:c>
      <x:c r="I2015" t="n">
        <x:v>3.4</x:v>
      </x:c>
      <x:c r="J2015" t="n">
        <x:v>17</x:v>
      </x:c>
      <x:c r="K2015" t="n">
        <x:v>6</x:v>
      </x:c>
      <x:c r="L2015" t="str">
        <x:v>STORE-001</x:v>
      </x:c>
      <x:c r="M2015" s="22" t="n">
        <x:v>46236</x:v>
      </x:c>
      <x:c r="N2015" t="str">
        <x:v>SKU-025</x:v>
      </x:c>
      <x:c r="O2015" t="n">
        <x:v>1</x:v>
      </x:c>
      <x:c r="P2015" s="26" t="n">
        <x:f>F2015/O2015</x:f>
        <x:v>88.2</x:v>
      </x:c>
    </x:row>
    <x:row r="2016">
      <x:c r="A2016" t="n">
        <x:v>2015</x:v>
      </x:c>
      <x:c r="B2016" t="n">
        <x:v>35</x:v>
      </x:c>
      <x:c r="C2016" t="str">
        <x:v>Male</x:v>
      </x:c>
      <x:c r="D2016" t="str">
        <x:v>Footwear</x:v>
      </x:c>
      <x:c r="E2016" t="str">
        <x:v>Sandals</x:v>
      </x:c>
      <x:c r="F2016" s="24" t="n">
        <x:v>199.05</x:v>
      </x:c>
      <x:c r="G2016" t="str">
        <x:v>Winter</x:v>
      </x:c>
      <x:c r="H2016" t="str">
        <x:v>Card</x:v>
      </x:c>
      <x:c r="I2016" t="n">
        <x:v>3.4</x:v>
      </x:c>
      <x:c r="J2016" t="n">
        <x:v>10</x:v>
      </x:c>
      <x:c r="K2016" t="n">
        <x:v>5</x:v>
      </x:c>
      <x:c r="L2016" t="str">
        <x:v>STORE-001</x:v>
      </x:c>
      <x:c r="M2016" s="22" t="n">
        <x:v>46257</x:v>
      </x:c>
      <x:c r="N2016" t="str">
        <x:v>SKU-019</x:v>
      </x:c>
      <x:c r="O2016" t="n">
        <x:v>1</x:v>
      </x:c>
      <x:c r="P2016" s="26" t="n">
        <x:f>F2016/O2016</x:f>
        <x:v>199.05</x:v>
      </x:c>
    </x:row>
    <x:row r="2017">
      <x:c r="A2017" t="n">
        <x:v>2016</x:v>
      </x:c>
      <x:c r="B2017" t="n">
        <x:v>57</x:v>
      </x:c>
      <x:c r="C2017" t="str">
        <x:v>Male</x:v>
      </x:c>
      <x:c r="D2017" t="str">
        <x:v>Home</x:v>
      </x:c>
      <x:c r="E2017" t="str">
        <x:v>Curtains</x:v>
      </x:c>
      <x:c r="F2017" s="24" t="n">
        <x:v>97.73</x:v>
      </x:c>
      <x:c r="G2017" t="str">
        <x:v>Winter</x:v>
      </x:c>
      <x:c r="H2017" t="str">
        <x:v>Cash on Delivery</x:v>
      </x:c>
      <x:c r="I2017" t="n">
        <x:v>4.1</x:v>
      </x:c>
      <x:c r="J2017" t="n">
        <x:v>12</x:v>
      </x:c>
      <x:c r="K2017" t="n">
        <x:v>6</x:v>
      </x:c>
      <x:c r="L2017" t="str">
        <x:v>STORE-001</x:v>
      </x:c>
      <x:c r="M2017" s="22" t="n">
        <x:v>46222</x:v>
      </x:c>
      <x:c r="N2017" t="str">
        <x:v>SKU-003</x:v>
      </x:c>
      <x:c r="O2017" t="n">
        <x:v>1</x:v>
      </x:c>
      <x:c r="P2017" s="26" t="n">
        <x:f>F2017/O2017</x:f>
        <x:v>97.73</x:v>
      </x:c>
    </x:row>
    <x:row r="2018">
      <x:c r="A2018" t="n">
        <x:v>2017</x:v>
      </x:c>
      <x:c r="B2018" t="n">
        <x:v>35</x:v>
      </x:c>
      <x:c r="C2018" t="str">
        <x:v>Male</x:v>
      </x:c>
      <x:c r="D2018" t="str">
        <x:v>Groceries</x:v>
      </x:c>
      <x:c r="E2018" t="str">
        <x:v>Cooking Oil</x:v>
      </x:c>
      <x:c r="F2018" s="24" t="n">
        <x:v>21.46</x:v>
      </x:c>
      <x:c r="G2018" t="str">
        <x:v>Summer</x:v>
      </x:c>
      <x:c r="H2018" t="str">
        <x:v>Cash on Delivery</x:v>
      </x:c>
      <x:c r="I2018" t="n">
        <x:v>3.7</x:v>
      </x:c>
      <x:c r="J2018" t="n">
        <x:v>8</x:v>
      </x:c>
      <x:c r="K2018" t="n">
        <x:v>4</x:v>
      </x:c>
      <x:c r="L2018" t="str">
        <x:v>STORE-001</x:v>
      </x:c>
      <x:c r="M2018" s="22" t="n">
        <x:v>46039</x:v>
      </x:c>
      <x:c r="N2018" t="str">
        <x:v>SKU-002</x:v>
      </x:c>
      <x:c r="O2018" t="n">
        <x:v>5</x:v>
      </x:c>
      <x:c r="P2018" s="26" t="n">
        <x:f>F2018/O2018</x:f>
        <x:v>4.292</x:v>
      </x:c>
    </x:row>
    <x:row r="2019">
      <x:c r="A2019" t="n">
        <x:v>2018</x:v>
      </x:c>
      <x:c r="B2019" t="n">
        <x:v>51</x:v>
      </x:c>
      <x:c r="C2019" t="str">
        <x:v>Female</x:v>
      </x:c>
      <x:c r="D2019" t="str">
        <x:v>Womens Clothing</x:v>
      </x:c>
      <x:c r="E2019" t="str">
        <x:v>Top</x:v>
      </x:c>
      <x:c r="F2019" s="24" t="n">
        <x:v>196.16</x:v>
      </x:c>
      <x:c r="G2019" t="str">
        <x:v>Autumn</x:v>
      </x:c>
      <x:c r="H2019" t="str">
        <x:v>Card</x:v>
      </x:c>
      <x:c r="I2019" t="n">
        <x:v>3.4</x:v>
      </x:c>
      <x:c r="J2019" t="n">
        <x:v>20</x:v>
      </x:c>
      <x:c r="K2019" t="n">
        <x:v>5</x:v>
      </x:c>
      <x:c r="L2019" t="str">
        <x:v>STORE-001</x:v>
      </x:c>
      <x:c r="M2019" s="22" t="n">
        <x:v>46121</x:v>
      </x:c>
      <x:c r="N2019" t="str">
        <x:v>SKU-028</x:v>
      </x:c>
      <x:c r="O2019" t="n">
        <x:v>2</x:v>
      </x:c>
      <x:c r="P2019" s="26" t="n">
        <x:f>F2019/O2019</x:f>
        <x:v>98.08</x:v>
      </x:c>
    </x:row>
    <x:row r="2020">
      <x:c r="A2020" t="n">
        <x:v>2019</x:v>
      </x:c>
      <x:c r="B2020" t="n">
        <x:v>45</x:v>
      </x:c>
      <x:c r="C2020" t="str">
        <x:v>Female</x:v>
      </x:c>
      <x:c r="D2020" t="str">
        <x:v>Beauty</x:v>
      </x:c>
      <x:c r="E2020" t="str">
        <x:v>Skincare Kit</x:v>
      </x:c>
      <x:c r="F2020" s="24" t="n">
        <x:v>89.54</x:v>
      </x:c>
      <x:c r="G2020" t="str">
        <x:v>Spring</x:v>
      </x:c>
      <x:c r="H2020" t="str">
        <x:v>Cash on Delivery</x:v>
      </x:c>
      <x:c r="I2020" t="n">
        <x:v>4.6</x:v>
      </x:c>
      <x:c r="J2020" t="n">
        <x:v>20</x:v>
      </x:c>
      <x:c r="K2020" t="n">
        <x:v>5</x:v>
      </x:c>
      <x:c r="L2020" t="str">
        <x:v>STORE-001</x:v>
      </x:c>
      <x:c r="M2020" s="22" t="n">
        <x:v>45979</x:v>
      </x:c>
      <x:c r="N2020" t="str">
        <x:v>SKU-021</x:v>
      </x:c>
      <x:c r="O2020" t="n">
        <x:v>1</x:v>
      </x:c>
      <x:c r="P2020" s="26" t="n">
        <x:f>F2020/O2020</x:f>
        <x:v>89.54</x:v>
      </x:c>
    </x:row>
    <x:row r="2021">
      <x:c r="A2021" t="n">
        <x:v>2020</x:v>
      </x:c>
      <x:c r="B2021" t="n">
        <x:v>48</x:v>
      </x:c>
      <x:c r="C2021" t="str">
        <x:v>Male</x:v>
      </x:c>
      <x:c r="D2021" t="str">
        <x:v>Footwear</x:v>
      </x:c>
      <x:c r="E2021" t="str">
        <x:v>Sneakers</x:v>
      </x:c>
      <x:c r="F2021" s="24" t="n">
        <x:v>65.63</x:v>
      </x:c>
      <x:c r="G2021" t="str">
        <x:v>Autumn</x:v>
      </x:c>
      <x:c r="H2021" t="str">
        <x:v>Card</x:v>
      </x:c>
      <x:c r="I2021" t="n">
        <x:v>3.4</x:v>
      </x:c>
      <x:c r="J2021" t="n">
        <x:v>20</x:v>
      </x:c>
      <x:c r="K2021" t="n">
        <x:v>5</x:v>
      </x:c>
      <x:c r="L2021" t="str">
        <x:v>STORE-001</x:v>
      </x:c>
      <x:c r="M2021" s="22" t="n">
        <x:v>46163</x:v>
      </x:c>
      <x:c r="N2021" t="str">
        <x:v>SKU-025</x:v>
      </x:c>
      <x:c r="O2021" t="n">
        <x:v>2</x:v>
      </x:c>
      <x:c r="P2021" s="26" t="n">
        <x:f>F2021/O2021</x:f>
        <x:v>32.815</x:v>
      </x:c>
    </x:row>
    <x:row r="2022">
      <x:c r="A2022" t="n">
        <x:v>2021</x:v>
      </x:c>
      <x:c r="B2022" t="n">
        <x:v>29</x:v>
      </x:c>
      <x:c r="C2022" t="str">
        <x:v>Male</x:v>
      </x:c>
      <x:c r="D2022" t="str">
        <x:v>Groceries</x:v>
      </x:c>
      <x:c r="E2022" t="str">
        <x:v>Cooking Oil</x:v>
      </x:c>
      <x:c r="F2022" s="24" t="n">
        <x:v>50.38</x:v>
      </x:c>
      <x:c r="G2022" t="str">
        <x:v>Autumn</x:v>
      </x:c>
      <x:c r="H2022" t="str">
        <x:v>Cash on Delivery</x:v>
      </x:c>
      <x:c r="I2022" t="n">
        <x:v>4.5</x:v>
      </x:c>
      <x:c r="J2022" t="n">
        <x:v>12</x:v>
      </x:c>
      <x:c r="K2022" t="n">
        <x:v>6</x:v>
      </x:c>
      <x:c r="L2022" t="str">
        <x:v>STORE-001</x:v>
      </x:c>
      <x:c r="M2022" s="22" t="n">
        <x:v>46133</x:v>
      </x:c>
      <x:c r="N2022" t="str">
        <x:v>SKU-002</x:v>
      </x:c>
      <x:c r="O2022" t="n">
        <x:v>2</x:v>
      </x:c>
      <x:c r="P2022" s="26" t="n">
        <x:f>F2022/O2022</x:f>
        <x:v>25.19</x:v>
      </x:c>
    </x:row>
    <x:row r="2023">
      <x:c r="A2023" t="n">
        <x:v>2022</x:v>
      </x:c>
      <x:c r="B2023" t="n">
        <x:v>58</x:v>
      </x:c>
      <x:c r="C2023" t="str">
        <x:v>Male</x:v>
      </x:c>
      <x:c r="D2023" t="str">
        <x:v>Groceries</x:v>
      </x:c>
      <x:c r="E2023" t="str">
        <x:v>Snacks</x:v>
      </x:c>
      <x:c r="F2023" s="24" t="n">
        <x:v>10.55</x:v>
      </x:c>
      <x:c r="G2023" t="str">
        <x:v>Autumn</x:v>
      </x:c>
      <x:c r="H2023" t="str">
        <x:v>Card</x:v>
      </x:c>
      <x:c r="I2023" t="n">
        <x:v>4.2</x:v>
      </x:c>
      <x:c r="J2023" t="n">
        <x:v>16</x:v>
      </x:c>
      <x:c r="K2023" t="n">
        <x:v>3</x:v>
      </x:c>
      <x:c r="L2023" t="str">
        <x:v>STORE-001</x:v>
      </x:c>
      <x:c r="M2023" s="22" t="n">
        <x:v>46096</x:v>
      </x:c>
      <x:c r="N2023" t="str">
        <x:v>SKU-024</x:v>
      </x:c>
      <x:c r="O2023" t="n">
        <x:v>3</x:v>
      </x:c>
      <x:c r="P2023" s="26" t="n">
        <x:f>F2023/O2023</x:f>
        <x:v>3.516666666666667</x:v>
      </x:c>
    </x:row>
    <x:row r="2024">
      <x:c r="A2024" t="n">
        <x:v>2023</x:v>
      </x:c>
      <x:c r="B2024" t="n">
        <x:v>22</x:v>
      </x:c>
      <x:c r="C2024" t="str">
        <x:v>Female</x:v>
      </x:c>
      <x:c r="D2024" t="str">
        <x:v>Groceries</x:v>
      </x:c>
      <x:c r="E2024" t="str">
        <x:v>Rice Pack</x:v>
      </x:c>
      <x:c r="F2024" s="24" t="n">
        <x:v>9.68</x:v>
      </x:c>
      <x:c r="G2024" t="str">
        <x:v>Summer</x:v>
      </x:c>
      <x:c r="H2024" t="str">
        <x:v>Cash on Delivery</x:v>
      </x:c>
      <x:c r="I2024" t="n">
        <x:v>4.4</x:v>
      </x:c>
      <x:c r="J2024" t="n">
        <x:v>18</x:v>
      </x:c>
      <x:c r="K2024" t="n">
        <x:v>4</x:v>
      </x:c>
      <x:c r="L2024" t="str">
        <x:v>STORE-001</x:v>
      </x:c>
      <x:c r="M2024" s="22" t="n">
        <x:v>46067</x:v>
      </x:c>
      <x:c r="N2024" t="str">
        <x:v>SKU-018</x:v>
      </x:c>
      <x:c r="O2024" t="n">
        <x:v>3</x:v>
      </x:c>
      <x:c r="P2024" s="26" t="n">
        <x:f>F2024/O2024</x:f>
        <x:v>3.2266666666666666</x:v>
      </x:c>
    </x:row>
    <x:row r="2025">
      <x:c r="A2025" t="n">
        <x:v>2024</x:v>
      </x:c>
      <x:c r="B2025" t="n">
        <x:v>69</x:v>
      </x:c>
      <x:c r="C2025" t="str">
        <x:v>Female</x:v>
      </x:c>
      <x:c r="D2025" t="str">
        <x:v>Home</x:v>
      </x:c>
      <x:c r="E2025" t="str">
        <x:v>Kitchen Set</x:v>
      </x:c>
      <x:c r="F2025" s="24" t="n">
        <x:v>58.08</x:v>
      </x:c>
      <x:c r="G2025" t="str">
        <x:v>Autumn</x:v>
      </x:c>
      <x:c r="H2025" t="str">
        <x:v>Cash on Delivery</x:v>
      </x:c>
      <x:c r="I2025" t="n">
        <x:v>3.3</x:v>
      </x:c>
      <x:c r="J2025" t="n">
        <x:v>20</x:v>
      </x:c>
      <x:c r="K2025" t="n">
        <x:v>5</x:v>
      </x:c>
      <x:c r="L2025" t="str">
        <x:v>STORE-001</x:v>
      </x:c>
      <x:c r="M2025" s="22" t="n">
        <x:v>46116</x:v>
      </x:c>
      <x:c r="N2025" t="str">
        <x:v>SKU-012</x:v>
      </x:c>
      <x:c r="O2025" t="n">
        <x:v>1</x:v>
      </x:c>
      <x:c r="P2025" s="26" t="n">
        <x:f>F2025/O2025</x:f>
        <x:v>58.08</x:v>
      </x:c>
    </x:row>
    <x:row r="2026">
      <x:c r="A2026" t="n">
        <x:v>2025</x:v>
      </x:c>
      <x:c r="B2026" t="n">
        <x:v>50</x:v>
      </x:c>
      <x:c r="C2026" t="str">
        <x:v>Male</x:v>
      </x:c>
      <x:c r="D2026" t="str">
        <x:v>Footwear</x:v>
      </x:c>
      <x:c r="E2026" t="str">
        <x:v>Sneakers</x:v>
      </x:c>
      <x:c r="F2026" s="24" t="n">
        <x:v>87.66</x:v>
      </x:c>
      <x:c r="G2026" t="str">
        <x:v>Winter</x:v>
      </x:c>
      <x:c r="H2026" t="str">
        <x:v>Card</x:v>
      </x:c>
      <x:c r="I2026" t="n">
        <x:v>3</x:v>
      </x:c>
      <x:c r="J2026" t="n">
        <x:v>16</x:v>
      </x:c>
      <x:c r="K2026" t="n">
        <x:v>3</x:v>
      </x:c>
      <x:c r="L2026" t="str">
        <x:v>STORE-001</x:v>
      </x:c>
      <x:c r="M2026" s="22" t="n">
        <x:v>46206</x:v>
      </x:c>
      <x:c r="N2026" t="str">
        <x:v>SKU-025</x:v>
      </x:c>
      <x:c r="O2026" t="n">
        <x:v>1</x:v>
      </x:c>
      <x:c r="P2026" s="26" t="n">
        <x:f>F2026/O2026</x:f>
        <x:v>87.66</x:v>
      </x:c>
    </x:row>
    <x:row r="2027">
      <x:c r="A2027" t="n">
        <x:v>2026</x:v>
      </x:c>
      <x:c r="B2027" t="n">
        <x:v>58</x:v>
      </x:c>
      <x:c r="C2027" t="str">
        <x:v>Male</x:v>
      </x:c>
      <x:c r="D2027" t="str">
        <x:v>Electronics</x:v>
      </x:c>
      <x:c r="E2027" t="str">
        <x:v>Laptop</x:v>
      </x:c>
      <x:c r="F2027" s="24" t="n">
        <x:v>715.45</x:v>
      </x:c>
      <x:c r="G2027" t="str">
        <x:v>Autumn</x:v>
      </x:c>
      <x:c r="H2027" t="str">
        <x:v>Card</x:v>
      </x:c>
      <x:c r="I2027" t="n">
        <x:v>3.3</x:v>
      </x:c>
      <x:c r="J2027" t="n">
        <x:v>20</x:v>
      </x:c>
      <x:c r="K2027" t="n">
        <x:v>5</x:v>
      </x:c>
      <x:c r="L2027" t="str">
        <x:v>STORE-001</x:v>
      </x:c>
      <x:c r="M2027" s="22" t="n">
        <x:v>46141</x:v>
      </x:c>
      <x:c r="N2027" t="str">
        <x:v>SKU-014</x:v>
      </x:c>
      <x:c r="O2027" t="n">
        <x:v>1</x:v>
      </x:c>
      <x:c r="P2027" s="26" t="n">
        <x:f>F2027/O2027</x:f>
        <x:v>715.45</x:v>
      </x:c>
    </x:row>
    <x:row r="2028">
      <x:c r="A2028" t="n">
        <x:v>2027</x:v>
      </x:c>
      <x:c r="B2028" t="n">
        <x:v>30</x:v>
      </x:c>
      <x:c r="C2028" t="str">
        <x:v>Female</x:v>
      </x:c>
      <x:c r="D2028" t="str">
        <x:v>Accessories</x:v>
      </x:c>
      <x:c r="E2028" t="str">
        <x:v>Wallet</x:v>
      </x:c>
      <x:c r="F2028" s="24" t="n">
        <x:v>96.49</x:v>
      </x:c>
      <x:c r="G2028" t="str">
        <x:v>Winter</x:v>
      </x:c>
      <x:c r="H2028" t="str">
        <x:v>Cash on Delivery</x:v>
      </x:c>
      <x:c r="I2028" t="n">
        <x:v>4.7</x:v>
      </x:c>
      <x:c r="J2028" t="n">
        <x:v>29</x:v>
      </x:c>
      <x:c r="K2028" t="n">
        <x:v>12</x:v>
      </x:c>
      <x:c r="L2028" t="str">
        <x:v>STORE-001</x:v>
      </x:c>
      <x:c r="M2028" s="22" t="n">
        <x:v>46225</x:v>
      </x:c>
      <x:c r="N2028" t="str">
        <x:v>SKU-029</x:v>
      </x:c>
      <x:c r="O2028" t="n">
        <x:v>1</x:v>
      </x:c>
      <x:c r="P2028" s="26" t="n">
        <x:f>F2028/O2028</x:f>
        <x:v>96.49</x:v>
      </x:c>
    </x:row>
    <x:row r="2029">
      <x:c r="A2029" t="n">
        <x:v>2028</x:v>
      </x:c>
      <x:c r="B2029" t="n">
        <x:v>25</x:v>
      </x:c>
      <x:c r="C2029" t="str">
        <x:v>Female</x:v>
      </x:c>
      <x:c r="D2029" t="str">
        <x:v>Accessories</x:v>
      </x:c>
      <x:c r="E2029" t="str">
        <x:v>Wallet</x:v>
      </x:c>
      <x:c r="F2029" s="24" t="n">
        <x:v>152.71</x:v>
      </x:c>
      <x:c r="G2029" t="str">
        <x:v>Winter</x:v>
      </x:c>
      <x:c r="H2029" t="str">
        <x:v>Card</x:v>
      </x:c>
      <x:c r="I2029" t="n">
        <x:v>3.8</x:v>
      </x:c>
      <x:c r="J2029" t="n">
        <x:v>18</x:v>
      </x:c>
      <x:c r="K2029" t="n">
        <x:v>4</x:v>
      </x:c>
      <x:c r="L2029" t="str">
        <x:v>STORE-001</x:v>
      </x:c>
      <x:c r="M2029" s="22" t="n">
        <x:v>46239</x:v>
      </x:c>
      <x:c r="N2029" t="str">
        <x:v>SKU-029</x:v>
      </x:c>
      <x:c r="O2029" t="n">
        <x:v>2</x:v>
      </x:c>
      <x:c r="P2029" s="26" t="n">
        <x:f>F2029/O2029</x:f>
        <x:v>76.355</x:v>
      </x:c>
    </x:row>
    <x:row r="2030">
      <x:c r="A2030" t="n">
        <x:v>2029</x:v>
      </x:c>
      <x:c r="B2030" t="n">
        <x:v>51</x:v>
      </x:c>
      <x:c r="C2030" t="str">
        <x:v>Female</x:v>
      </x:c>
      <x:c r="D2030" t="str">
        <x:v>Accessories</x:v>
      </x:c>
      <x:c r="E2030" t="str">
        <x:v>Handbag</x:v>
      </x:c>
      <x:c r="F2030" s="24" t="n">
        <x:v>72.38</x:v>
      </x:c>
      <x:c r="G2030" t="str">
        <x:v>Spring</x:v>
      </x:c>
      <x:c r="H2030" t="str">
        <x:v>Cash on Delivery</x:v>
      </x:c>
      <x:c r="I2030" t="n">
        <x:v>5</x:v>
      </x:c>
      <x:c r="J2030" t="n">
        <x:v>11</x:v>
      </x:c>
      <x:c r="K2030" t="n">
        <x:v>3</x:v>
      </x:c>
      <x:c r="L2030" t="str">
        <x:v>STORE-001</x:v>
      </x:c>
      <x:c r="M2030" s="22" t="n">
        <x:v>45947</x:v>
      </x:c>
      <x:c r="N2030" t="str">
        <x:v>SKU-008</x:v>
      </x:c>
      <x:c r="O2030" t="n">
        <x:v>1</x:v>
      </x:c>
      <x:c r="P2030" s="26" t="n">
        <x:f>F2030/O2030</x:f>
        <x:v>72.38</x:v>
      </x:c>
    </x:row>
    <x:row r="2031">
      <x:c r="A2031" t="n">
        <x:v>2030</x:v>
      </x:c>
      <x:c r="B2031" t="n">
        <x:v>46</x:v>
      </x:c>
      <x:c r="C2031" t="str">
        <x:v>Female</x:v>
      </x:c>
      <x:c r="D2031" t="str">
        <x:v>Accessories</x:v>
      </x:c>
      <x:c r="E2031" t="str">
        <x:v>Wallet</x:v>
      </x:c>
      <x:c r="F2031" s="24" t="n">
        <x:v>67.51</x:v>
      </x:c>
      <x:c r="G2031" t="str">
        <x:v>Winter</x:v>
      </x:c>
      <x:c r="H2031" t="str">
        <x:v>Cash on Delivery</x:v>
      </x:c>
      <x:c r="I2031" t="n">
        <x:v>3.8</x:v>
      </x:c>
      <x:c r="J2031" t="n">
        <x:v>13</x:v>
      </x:c>
      <x:c r="K2031" t="n">
        <x:v>4</x:v>
      </x:c>
      <x:c r="L2031" t="str">
        <x:v>STORE-001</x:v>
      </x:c>
      <x:c r="M2031" s="22" t="n">
        <x:v>46241</x:v>
      </x:c>
      <x:c r="N2031" t="str">
        <x:v>SKU-029</x:v>
      </x:c>
      <x:c r="O2031" t="n">
        <x:v>4</x:v>
      </x:c>
      <x:c r="P2031" s="26" t="n">
        <x:f>F2031/O2031</x:f>
        <x:v>16.8775</x:v>
      </x:c>
    </x:row>
    <x:row r="2032">
      <x:c r="A2032" t="n">
        <x:v>2031</x:v>
      </x:c>
      <x:c r="B2032" t="n">
        <x:v>54</x:v>
      </x:c>
      <x:c r="C2032" t="str">
        <x:v>Female</x:v>
      </x:c>
      <x:c r="D2032" t="str">
        <x:v>Home</x:v>
      </x:c>
      <x:c r="E2032" t="str">
        <x:v>Lamp</x:v>
      </x:c>
      <x:c r="F2032" s="24" t="n">
        <x:v>174.89</x:v>
      </x:c>
      <x:c r="G2032" t="str">
        <x:v>Summer</x:v>
      </x:c>
      <x:c r="H2032" t="str">
        <x:v>Card</x:v>
      </x:c>
      <x:c r="I2032" t="n">
        <x:v>4.2</x:v>
      </x:c>
      <x:c r="J2032" t="n">
        <x:v>11</x:v>
      </x:c>
      <x:c r="K2032" t="n">
        <x:v>3</x:v>
      </x:c>
      <x:c r="L2032" t="str">
        <x:v>STORE-001</x:v>
      </x:c>
      <x:c r="M2032" s="22" t="n">
        <x:v>45999</x:v>
      </x:c>
      <x:c r="N2032" t="str">
        <x:v>SKU-013</x:v>
      </x:c>
      <x:c r="O2032" t="n">
        <x:v>2</x:v>
      </x:c>
      <x:c r="P2032" s="26" t="n">
        <x:f>F2032/O2032</x:f>
        <x:v>87.445</x:v>
      </x:c>
    </x:row>
    <x:row r="2033">
      <x:c r="A2033" t="n">
        <x:v>2032</x:v>
      </x:c>
      <x:c r="B2033" t="n">
        <x:v>27</x:v>
      </x:c>
      <x:c r="C2033" t="str">
        <x:v>Male</x:v>
      </x:c>
      <x:c r="D2033" t="str">
        <x:v>Sports</x:v>
      </x:c>
      <x:c r="E2033" t="str">
        <x:v>Yoga Mat</x:v>
      </x:c>
      <x:c r="F2033" s="24" t="n">
        <x:v>96.73</x:v>
      </x:c>
      <x:c r="G2033" t="str">
        <x:v>Winter</x:v>
      </x:c>
      <x:c r="H2033" t="str">
        <x:v>Card</x:v>
      </x:c>
      <x:c r="I2033" t="n">
        <x:v>2.6</x:v>
      </x:c>
      <x:c r="J2033" t="n">
        <x:v>9</x:v>
      </x:c>
      <x:c r="K2033" t="n">
        <x:v>2</x:v>
      </x:c>
      <x:c r="L2033" t="str">
        <x:v>STORE-001</x:v>
      </x:c>
      <x:c r="M2033" s="22" t="n">
        <x:v>46243</x:v>
      </x:c>
      <x:c r="N2033" t="str">
        <x:v>SKU-030</x:v>
      </x:c>
      <x:c r="O2033" t="n">
        <x:v>2</x:v>
      </x:c>
      <x:c r="P2033" s="26" t="n">
        <x:f>F2033/O2033</x:f>
        <x:v>48.365</x:v>
      </x:c>
    </x:row>
    <x:row r="2034">
      <x:c r="A2034" t="n">
        <x:v>2033</x:v>
      </x:c>
      <x:c r="B2034" t="n">
        <x:v>63</x:v>
      </x:c>
      <x:c r="C2034" t="str">
        <x:v>Male</x:v>
      </x:c>
      <x:c r="D2034" t="str">
        <x:v>Mens Clothing</x:v>
      </x:c>
      <x:c r="E2034" t="str">
        <x:v>Shirt</x:v>
      </x:c>
      <x:c r="F2034" s="24" t="n">
        <x:v>68.14</x:v>
      </x:c>
      <x:c r="G2034" t="str">
        <x:v>Summer</x:v>
      </x:c>
      <x:c r="H2034" t="str">
        <x:v>Card</x:v>
      </x:c>
      <x:c r="I2034" t="n">
        <x:v>5</x:v>
      </x:c>
      <x:c r="J2034" t="n">
        <x:v>19</x:v>
      </x:c>
      <x:c r="K2034" t="n">
        <x:v>7</x:v>
      </x:c>
      <x:c r="L2034" t="str">
        <x:v>STORE-001</x:v>
      </x:c>
      <x:c r="M2034" s="22" t="n">
        <x:v>46004</x:v>
      </x:c>
      <x:c r="N2034" t="str">
        <x:v>SKU-020</x:v>
      </x:c>
      <x:c r="O2034" t="n">
        <x:v>1</x:v>
      </x:c>
      <x:c r="P2034" s="26" t="n">
        <x:f>F2034/O2034</x:f>
        <x:v>68.14</x:v>
      </x:c>
    </x:row>
    <x:row r="2035">
      <x:c r="A2035" t="n">
        <x:v>2034</x:v>
      </x:c>
      <x:c r="B2035" t="n">
        <x:v>66</x:v>
      </x:c>
      <x:c r="C2035" t="str">
        <x:v>Female</x:v>
      </x:c>
      <x:c r="D2035" t="str">
        <x:v>Footwear</x:v>
      </x:c>
      <x:c r="E2035" t="str">
        <x:v>Sandals</x:v>
      </x:c>
      <x:c r="F2035" s="24" t="n">
        <x:v>54.49</x:v>
      </x:c>
      <x:c r="G2035" t="str">
        <x:v>Autumn</x:v>
      </x:c>
      <x:c r="H2035" t="str">
        <x:v>Card</x:v>
      </x:c>
      <x:c r="I2035" t="n">
        <x:v>4.8</x:v>
      </x:c>
      <x:c r="J2035" t="n">
        <x:v>4</x:v>
      </x:c>
      <x:c r="K2035" t="n">
        <x:v>2</x:v>
      </x:c>
      <x:c r="L2035" t="str">
        <x:v>STORE-001</x:v>
      </x:c>
      <x:c r="M2035" s="22" t="n">
        <x:v>46140</x:v>
      </x:c>
      <x:c r="N2035" t="str">
        <x:v>SKU-019</x:v>
      </x:c>
      <x:c r="O2035" t="n">
        <x:v>2</x:v>
      </x:c>
      <x:c r="P2035" s="26" t="n">
        <x:f>F2035/O2035</x:f>
        <x:v>27.245</x:v>
      </x:c>
    </x:row>
    <x:row r="2036">
      <x:c r="A2036" t="n">
        <x:v>2035</x:v>
      </x:c>
      <x:c r="B2036" t="n">
        <x:v>70</x:v>
      </x:c>
      <x:c r="C2036" t="str">
        <x:v>Male</x:v>
      </x:c>
      <x:c r="D2036" t="str">
        <x:v>Electronics</x:v>
      </x:c>
      <x:c r="E2036" t="str">
        <x:v>Laptop</x:v>
      </x:c>
      <x:c r="F2036" s="24" t="n">
        <x:v>896.45</x:v>
      </x:c>
      <x:c r="G2036" t="str">
        <x:v>Summer</x:v>
      </x:c>
      <x:c r="H2036" t="str">
        <x:v>Card</x:v>
      </x:c>
      <x:c r="I2036" t="n">
        <x:v>4.4</x:v>
      </x:c>
      <x:c r="J2036" t="n">
        <x:v>15</x:v>
      </x:c>
      <x:c r="K2036" t="n">
        <x:v>5</x:v>
      </x:c>
      <x:c r="L2036" t="str">
        <x:v>STORE-001</x:v>
      </x:c>
      <x:c r="M2036" s="22" t="n">
        <x:v>46013</x:v>
      </x:c>
      <x:c r="N2036" t="str">
        <x:v>SKU-014</x:v>
      </x:c>
      <x:c r="O2036" t="n">
        <x:v>1</x:v>
      </x:c>
      <x:c r="P2036" s="26" t="n">
        <x:f>F2036/O2036</x:f>
        <x:v>896.45</x:v>
      </x:c>
    </x:row>
    <x:row r="2037">
      <x:c r="A2037" t="n">
        <x:v>2036</x:v>
      </x:c>
      <x:c r="B2037" t="n">
        <x:v>60</x:v>
      </x:c>
      <x:c r="C2037" t="str">
        <x:v>Female</x:v>
      </x:c>
      <x:c r="D2037" t="str">
        <x:v>Accessories</x:v>
      </x:c>
      <x:c r="E2037" t="str">
        <x:v>Wallet</x:v>
      </x:c>
      <x:c r="F2037" s="24" t="n">
        <x:v>129.05</x:v>
      </x:c>
      <x:c r="G2037" t="str">
        <x:v>Summer</x:v>
      </x:c>
      <x:c r="H2037" t="str">
        <x:v>Card</x:v>
      </x:c>
      <x:c r="I2037" t="n">
        <x:v>2.5</x:v>
      </x:c>
      <x:c r="J2037" t="n">
        <x:v>12</x:v>
      </x:c>
      <x:c r="K2037" t="n">
        <x:v>6</x:v>
      </x:c>
      <x:c r="L2037" t="str">
        <x:v>STORE-001</x:v>
      </x:c>
      <x:c r="M2037" s="22" t="n">
        <x:v>46009</x:v>
      </x:c>
      <x:c r="N2037" t="str">
        <x:v>SKU-029</x:v>
      </x:c>
      <x:c r="O2037" t="n">
        <x:v>2</x:v>
      </x:c>
      <x:c r="P2037" s="26" t="n">
        <x:f>F2037/O2037</x:f>
        <x:v>64.525</x:v>
      </x:c>
    </x:row>
    <x:row r="2038">
      <x:c r="A2038" t="n">
        <x:v>2037</x:v>
      </x:c>
      <x:c r="B2038" t="n">
        <x:v>57</x:v>
      </x:c>
      <x:c r="C2038" t="str">
        <x:v>Male</x:v>
      </x:c>
      <x:c r="D2038" t="str">
        <x:v>Groceries</x:v>
      </x:c>
      <x:c r="E2038" t="str">
        <x:v>Cooking Oil</x:v>
      </x:c>
      <x:c r="F2038" s="24" t="n">
        <x:v>74.01</x:v>
      </x:c>
      <x:c r="G2038" t="str">
        <x:v>Spring</x:v>
      </x:c>
      <x:c r="H2038" t="str">
        <x:v>Card</x:v>
      </x:c>
      <x:c r="I2038" t="n">
        <x:v>2.7</x:v>
      </x:c>
      <x:c r="J2038" t="n">
        <x:v>20</x:v>
      </x:c>
      <x:c r="K2038" t="n">
        <x:v>5</x:v>
      </x:c>
      <x:c r="L2038" t="str">
        <x:v>STORE-001</x:v>
      </x:c>
      <x:c r="M2038" s="22" t="n">
        <x:v>46290</x:v>
      </x:c>
      <x:c r="N2038" t="str">
        <x:v>SKU-002</x:v>
      </x:c>
      <x:c r="O2038" t="n">
        <x:v>1</x:v>
      </x:c>
      <x:c r="P2038" s="26" t="n">
        <x:f>F2038/O2038</x:f>
        <x:v>74.01</x:v>
      </x:c>
    </x:row>
    <x:row r="2039">
      <x:c r="A2039" t="n">
        <x:v>2038</x:v>
      </x:c>
      <x:c r="B2039" t="n">
        <x:v>47</x:v>
      </x:c>
      <x:c r="C2039" t="str">
        <x:v>Female</x:v>
      </x:c>
      <x:c r="D2039" t="str">
        <x:v>Groceries</x:v>
      </x:c>
      <x:c r="E2039" t="str">
        <x:v>Cooking Oil</x:v>
      </x:c>
      <x:c r="F2039" s="24" t="n">
        <x:v>28.94</x:v>
      </x:c>
      <x:c r="G2039" t="str">
        <x:v>Winter</x:v>
      </x:c>
      <x:c r="H2039" t="str">
        <x:v>Card</x:v>
      </x:c>
      <x:c r="I2039" t="n">
        <x:v>4.2</x:v>
      </x:c>
      <x:c r="J2039" t="n">
        <x:v>10</x:v>
      </x:c>
      <x:c r="K2039" t="n">
        <x:v>5</x:v>
      </x:c>
      <x:c r="L2039" t="str">
        <x:v>STORE-001</x:v>
      </x:c>
      <x:c r="M2039" s="22" t="n">
        <x:v>46239</x:v>
      </x:c>
      <x:c r="N2039" t="str">
        <x:v>SKU-002</x:v>
      </x:c>
      <x:c r="O2039" t="n">
        <x:v>4</x:v>
      </x:c>
      <x:c r="P2039" s="26" t="n">
        <x:f>F2039/O2039</x:f>
        <x:v>7.235</x:v>
      </x:c>
    </x:row>
    <x:row r="2040">
      <x:c r="A2040" t="n">
        <x:v>2039</x:v>
      </x:c>
      <x:c r="B2040" t="n">
        <x:v>60</x:v>
      </x:c>
      <x:c r="C2040" t="str">
        <x:v>Male</x:v>
      </x:c>
      <x:c r="D2040" t="str">
        <x:v>Mens Clothing</x:v>
      </x:c>
      <x:c r="E2040" t="str">
        <x:v>Jeans</x:v>
      </x:c>
      <x:c r="F2040" s="24" t="n">
        <x:v>97.47</x:v>
      </x:c>
      <x:c r="G2040" t="str">
        <x:v>Winter</x:v>
      </x:c>
      <x:c r="H2040" t="str">
        <x:v>Cash on Delivery</x:v>
      </x:c>
      <x:c r="I2040" t="n">
        <x:v>4.4</x:v>
      </x:c>
      <x:c r="J2040" t="n">
        <x:v>9</x:v>
      </x:c>
      <x:c r="K2040" t="n">
        <x:v>2</x:v>
      </x:c>
      <x:c r="L2040" t="str">
        <x:v>STORE-001</x:v>
      </x:c>
      <x:c r="M2040" s="22" t="n">
        <x:v>46220</x:v>
      </x:c>
      <x:c r="N2040" t="str">
        <x:v>SKU-011</x:v>
      </x:c>
      <x:c r="O2040" t="n">
        <x:v>2</x:v>
      </x:c>
      <x:c r="P2040" s="26" t="n">
        <x:f>F2040/O2040</x:f>
        <x:v>48.735</x:v>
      </x:c>
    </x:row>
    <x:row r="2041">
      <x:c r="A2041" t="n">
        <x:v>2040</x:v>
      </x:c>
      <x:c r="B2041" t="n">
        <x:v>59</x:v>
      </x:c>
      <x:c r="C2041" t="str">
        <x:v>Female</x:v>
      </x:c>
      <x:c r="D2041" t="str">
        <x:v>Footwear</x:v>
      </x:c>
      <x:c r="E2041" t="str">
        <x:v>Sneakers</x:v>
      </x:c>
      <x:c r="F2041" s="24" t="n">
        <x:v>145.79</x:v>
      </x:c>
      <x:c r="G2041" t="str">
        <x:v>Summer</x:v>
      </x:c>
      <x:c r="H2041" t="str">
        <x:v>Card</x:v>
      </x:c>
      <x:c r="I2041" t="n">
        <x:v>4</x:v>
      </x:c>
      <x:c r="J2041" t="n">
        <x:v>17</x:v>
      </x:c>
      <x:c r="K2041" t="n">
        <x:v>6</x:v>
      </x:c>
      <x:c r="L2041" t="str">
        <x:v>STORE-001</x:v>
      </x:c>
      <x:c r="M2041" s="22" t="n">
        <x:v>46000</x:v>
      </x:c>
      <x:c r="N2041" t="str">
        <x:v>SKU-025</x:v>
      </x:c>
      <x:c r="O2041" t="n">
        <x:v>1</x:v>
      </x:c>
      <x:c r="P2041" s="26" t="n">
        <x:f>F2041/O2041</x:f>
        <x:v>145.79</x:v>
      </x:c>
    </x:row>
    <x:row r="2042">
      <x:c r="A2042" t="n">
        <x:v>2041</x:v>
      </x:c>
      <x:c r="B2042" t="n">
        <x:v>54</x:v>
      </x:c>
      <x:c r="C2042" t="str">
        <x:v>Female</x:v>
      </x:c>
      <x:c r="D2042" t="str">
        <x:v>Home</x:v>
      </x:c>
      <x:c r="E2042" t="str">
        <x:v>Lamp</x:v>
      </x:c>
      <x:c r="F2042" s="24" t="n">
        <x:v>39.02</x:v>
      </x:c>
      <x:c r="G2042" t="str">
        <x:v>Autumn</x:v>
      </x:c>
      <x:c r="H2042" t="str">
        <x:v>Card</x:v>
      </x:c>
      <x:c r="I2042" t="n">
        <x:v>3.5</x:v>
      </x:c>
      <x:c r="J2042" t="n">
        <x:v>17</x:v>
      </x:c>
      <x:c r="K2042" t="n">
        <x:v>6</x:v>
      </x:c>
      <x:c r="L2042" t="str">
        <x:v>STORE-001</x:v>
      </x:c>
      <x:c r="M2042" s="22" t="n">
        <x:v>46164</x:v>
      </x:c>
      <x:c r="N2042" t="str">
        <x:v>SKU-013</x:v>
      </x:c>
      <x:c r="O2042" t="n">
        <x:v>2</x:v>
      </x:c>
      <x:c r="P2042" s="26" t="n">
        <x:f>F2042/O2042</x:f>
        <x:v>19.51</x:v>
      </x:c>
    </x:row>
    <x:row r="2043">
      <x:c r="A2043" t="n">
        <x:v>2042</x:v>
      </x:c>
      <x:c r="B2043" t="n">
        <x:v>49</x:v>
      </x:c>
      <x:c r="C2043" t="str">
        <x:v>Male</x:v>
      </x:c>
      <x:c r="D2043" t="str">
        <x:v>Sports</x:v>
      </x:c>
      <x:c r="E2043" t="str">
        <x:v>Yoga Mat</x:v>
      </x:c>
      <x:c r="F2043" s="24" t="n">
        <x:v>186.01</x:v>
      </x:c>
      <x:c r="G2043" t="str">
        <x:v>Winter</x:v>
      </x:c>
      <x:c r="H2043" t="str">
        <x:v>Card</x:v>
      </x:c>
      <x:c r="I2043" t="n">
        <x:v>4.3</x:v>
      </x:c>
      <x:c r="J2043" t="n">
        <x:v>18</x:v>
      </x:c>
      <x:c r="K2043" t="n">
        <x:v>4</x:v>
      </x:c>
      <x:c r="L2043" t="str">
        <x:v>STORE-001</x:v>
      </x:c>
      <x:c r="M2043" s="22" t="n">
        <x:v>46218</x:v>
      </x:c>
      <x:c r="N2043" t="str">
        <x:v>SKU-030</x:v>
      </x:c>
      <x:c r="O2043" t="n">
        <x:v>1</x:v>
      </x:c>
      <x:c r="P2043" s="26" t="n">
        <x:f>F2043/O2043</x:f>
        <x:v>186.01</x:v>
      </x:c>
    </x:row>
    <x:row r="2044">
      <x:c r="A2044" t="n">
        <x:v>2043</x:v>
      </x:c>
      <x:c r="B2044" t="n">
        <x:v>67</x:v>
      </x:c>
      <x:c r="C2044" t="str">
        <x:v>Male</x:v>
      </x:c>
      <x:c r="D2044" t="str">
        <x:v>Footwear</x:v>
      </x:c>
      <x:c r="E2044" t="str">
        <x:v>Sneakers</x:v>
      </x:c>
      <x:c r="F2044" s="24" t="n">
        <x:v>58.17</x:v>
      </x:c>
      <x:c r="G2044" t="str">
        <x:v>Summer</x:v>
      </x:c>
      <x:c r="H2044" t="str">
        <x:v>Card</x:v>
      </x:c>
      <x:c r="I2044" t="n">
        <x:v>4.9</x:v>
      </x:c>
      <x:c r="J2044" t="n">
        <x:v>15</x:v>
      </x:c>
      <x:c r="K2044" t="n">
        <x:v>5</x:v>
      </x:c>
      <x:c r="L2044" t="str">
        <x:v>STORE-001</x:v>
      </x:c>
      <x:c r="M2044" s="22" t="n">
        <x:v>46014</x:v>
      </x:c>
      <x:c r="N2044" t="str">
        <x:v>SKU-025</x:v>
      </x:c>
      <x:c r="O2044" t="n">
        <x:v>2</x:v>
      </x:c>
      <x:c r="P2044" s="26" t="n">
        <x:f>F2044/O2044</x:f>
        <x:v>29.085</x:v>
      </x:c>
    </x:row>
    <x:row r="2045">
      <x:c r="A2045" t="n">
        <x:v>2044</x:v>
      </x:c>
      <x:c r="B2045" t="n">
        <x:v>69</x:v>
      </x:c>
      <x:c r="C2045" t="str">
        <x:v>Male</x:v>
      </x:c>
      <x:c r="D2045" t="str">
        <x:v>Footwear</x:v>
      </x:c>
      <x:c r="E2045" t="str">
        <x:v>Sneakers</x:v>
      </x:c>
      <x:c r="F2045" s="24" t="n">
        <x:v>173.95</x:v>
      </x:c>
      <x:c r="G2045" t="str">
        <x:v>Summer</x:v>
      </x:c>
      <x:c r="H2045" t="str">
        <x:v>Card</x:v>
      </x:c>
      <x:c r="I2045" t="n">
        <x:v>3.6</x:v>
      </x:c>
      <x:c r="J2045" t="n">
        <x:v>21</x:v>
      </x:c>
      <x:c r="K2045" t="n">
        <x:v>8</x:v>
      </x:c>
      <x:c r="L2045" t="str">
        <x:v>STORE-001</x:v>
      </x:c>
      <x:c r="M2045" s="22" t="n">
        <x:v>46001</x:v>
      </x:c>
      <x:c r="N2045" t="str">
        <x:v>SKU-025</x:v>
      </x:c>
      <x:c r="O2045" t="n">
        <x:v>3</x:v>
      </x:c>
      <x:c r="P2045" s="26" t="n">
        <x:f>F2045/O2045</x:f>
        <x:v>57.98333333333333</x:v>
      </x:c>
    </x:row>
    <x:row r="2046">
      <x:c r="A2046" t="n">
        <x:v>2045</x:v>
      </x:c>
      <x:c r="B2046" t="n">
        <x:v>48</x:v>
      </x:c>
      <x:c r="C2046" t="str">
        <x:v>Male</x:v>
      </x:c>
      <x:c r="D2046" t="str">
        <x:v>Footwear</x:v>
      </x:c>
      <x:c r="E2046" t="str">
        <x:v>Sandals</x:v>
      </x:c>
      <x:c r="F2046" s="24" t="n">
        <x:v>249.92</x:v>
      </x:c>
      <x:c r="G2046" t="str">
        <x:v>Autumn</x:v>
      </x:c>
      <x:c r="H2046" t="str">
        <x:v>Card</x:v>
      </x:c>
      <x:c r="I2046" t="n">
        <x:v>4.5</x:v>
      </x:c>
      <x:c r="J2046" t="n">
        <x:v>9</x:v>
      </x:c>
      <x:c r="K2046" t="n">
        <x:v>2</x:v>
      </x:c>
      <x:c r="L2046" t="str">
        <x:v>STORE-001</x:v>
      </x:c>
      <x:c r="M2046" s="22" t="n">
        <x:v>46102</x:v>
      </x:c>
      <x:c r="N2046" t="str">
        <x:v>SKU-019</x:v>
      </x:c>
      <x:c r="O2046" t="n">
        <x:v>1</x:v>
      </x:c>
      <x:c r="P2046" s="26" t="n">
        <x:f>F2046/O2046</x:f>
        <x:v>249.92</x:v>
      </x:c>
    </x:row>
    <x:row r="2047">
      <x:c r="A2047" t="n">
        <x:v>2046</x:v>
      </x:c>
      <x:c r="B2047" t="n">
        <x:v>21</x:v>
      </x:c>
      <x:c r="C2047" t="str">
        <x:v>Male</x:v>
      </x:c>
      <x:c r="D2047" t="str">
        <x:v>Footwear</x:v>
      </x:c>
      <x:c r="E2047" t="str">
        <x:v>Sneakers</x:v>
      </x:c>
      <x:c r="F2047" s="24" t="n">
        <x:v>96.58</x:v>
      </x:c>
      <x:c r="G2047" t="str">
        <x:v>Autumn</x:v>
      </x:c>
      <x:c r="H2047" t="str">
        <x:v>Card</x:v>
      </x:c>
      <x:c r="I2047" t="n">
        <x:v>2.2</x:v>
      </x:c>
      <x:c r="J2047" t="n">
        <x:v>6</x:v>
      </x:c>
      <x:c r="K2047" t="n">
        <x:v>3</x:v>
      </x:c>
      <x:c r="L2047" t="str">
        <x:v>STORE-001</x:v>
      </x:c>
      <x:c r="M2047" s="22" t="n">
        <x:v>46128</x:v>
      </x:c>
      <x:c r="N2047" t="str">
        <x:v>SKU-025</x:v>
      </x:c>
      <x:c r="O2047" t="n">
        <x:v>1</x:v>
      </x:c>
      <x:c r="P2047" s="26" t="n">
        <x:f>F2047/O2047</x:f>
        <x:v>96.58</x:v>
      </x:c>
    </x:row>
    <x:row r="2048">
      <x:c r="A2048" t="n">
        <x:v>2047</x:v>
      </x:c>
      <x:c r="B2048" t="n">
        <x:v>33</x:v>
      </x:c>
      <x:c r="C2048" t="str">
        <x:v>Male</x:v>
      </x:c>
      <x:c r="D2048" t="str">
        <x:v>Sports</x:v>
      </x:c>
      <x:c r="E2048" t="str">
        <x:v>Football</x:v>
      </x:c>
      <x:c r="F2048" s="24" t="n">
        <x:v>80.86</x:v>
      </x:c>
      <x:c r="G2048" t="str">
        <x:v>Winter</x:v>
      </x:c>
      <x:c r="H2048" t="str">
        <x:v>Card</x:v>
      </x:c>
      <x:c r="I2048" t="n">
        <x:v>4.5</x:v>
      </x:c>
      <x:c r="J2048" t="n">
        <x:v>8</x:v>
      </x:c>
      <x:c r="K2048" t="n">
        <x:v>4</x:v>
      </x:c>
      <x:c r="L2048" t="str">
        <x:v>STORE-001</x:v>
      </x:c>
      <x:c r="M2048" s="22" t="n">
        <x:v>46238</x:v>
      </x:c>
      <x:c r="N2048" t="str">
        <x:v>SKU-006</x:v>
      </x:c>
      <x:c r="O2048" t="n">
        <x:v>2</x:v>
      </x:c>
      <x:c r="P2048" s="26" t="n">
        <x:f>F2048/O2048</x:f>
        <x:v>40.43</x:v>
      </x:c>
    </x:row>
    <x:row r="2049">
      <x:c r="A2049" t="n">
        <x:v>2048</x:v>
      </x:c>
      <x:c r="B2049" t="n">
        <x:v>37</x:v>
      </x:c>
      <x:c r="C2049" t="str">
        <x:v>Male</x:v>
      </x:c>
      <x:c r="D2049" t="str">
        <x:v>Mens Clothing</x:v>
      </x:c>
      <x:c r="E2049" t="str">
        <x:v>Shirt</x:v>
      </x:c>
      <x:c r="F2049" s="24" t="n">
        <x:v>50.27</x:v>
      </x:c>
      <x:c r="G2049" t="str">
        <x:v>Summer</x:v>
      </x:c>
      <x:c r="H2049" t="str">
        <x:v>Card</x:v>
      </x:c>
      <x:c r="I2049" t="n">
        <x:v>3</x:v>
      </x:c>
      <x:c r="J2049" t="n">
        <x:v>10</x:v>
      </x:c>
      <x:c r="K2049" t="n">
        <x:v>5</x:v>
      </x:c>
      <x:c r="L2049" t="str">
        <x:v>STORE-001</x:v>
      </x:c>
      <x:c r="M2049" s="22" t="n">
        <x:v>46028</x:v>
      </x:c>
      <x:c r="N2049" t="str">
        <x:v>SKU-020</x:v>
      </x:c>
      <x:c r="O2049" t="n">
        <x:v>2</x:v>
      </x:c>
      <x:c r="P2049" s="26" t="n">
        <x:f>F2049/O2049</x:f>
        <x:v>25.135</x:v>
      </x:c>
    </x:row>
    <x:row r="2050">
      <x:c r="A2050" t="n">
        <x:v>2049</x:v>
      </x:c>
      <x:c r="B2050" t="n">
        <x:v>24</x:v>
      </x:c>
      <x:c r="C2050" t="str">
        <x:v>Female</x:v>
      </x:c>
      <x:c r="D2050" t="str">
        <x:v>Beauty</x:v>
      </x:c>
      <x:c r="E2050" t="str">
        <x:v>Makeup Set</x:v>
      </x:c>
      <x:c r="F2050" s="24" t="n">
        <x:v>34.42</x:v>
      </x:c>
      <x:c r="G2050" t="str">
        <x:v>Autumn</x:v>
      </x:c>
      <x:c r="H2050" t="str">
        <x:v>Cash on Delivery</x:v>
      </x:c>
      <x:c r="I2050" t="n">
        <x:v>4.5</x:v>
      </x:c>
      <x:c r="J2050" t="n">
        <x:v>17</x:v>
      </x:c>
      <x:c r="K2050" t="n">
        <x:v>6</x:v>
      </x:c>
      <x:c r="L2050" t="str">
        <x:v>STORE-001</x:v>
      </x:c>
      <x:c r="M2050" s="22" t="n">
        <x:v>46173</x:v>
      </x:c>
      <x:c r="N2050" t="str">
        <x:v>SKU-015</x:v>
      </x:c>
      <x:c r="O2050" t="n">
        <x:v>2</x:v>
      </x:c>
      <x:c r="P2050" s="26" t="n">
        <x:f>F2050/O2050</x:f>
        <x:v>17.21</x:v>
      </x:c>
    </x:row>
    <x:row r="2051">
      <x:c r="A2051" t="n">
        <x:v>2050</x:v>
      </x:c>
      <x:c r="B2051" t="n">
        <x:v>34</x:v>
      </x:c>
      <x:c r="C2051" t="str">
        <x:v>Female</x:v>
      </x:c>
      <x:c r="D2051" t="str">
        <x:v>Beauty</x:v>
      </x:c>
      <x:c r="E2051" t="str">
        <x:v>Makeup Set</x:v>
      </x:c>
      <x:c r="F2051" s="24" t="n">
        <x:v>49.63</x:v>
      </x:c>
      <x:c r="G2051" t="str">
        <x:v>Summer</x:v>
      </x:c>
      <x:c r="H2051" t="str">
        <x:v>Card</x:v>
      </x:c>
      <x:c r="I2051" t="n">
        <x:v>3.7</x:v>
      </x:c>
      <x:c r="J2051" t="n">
        <x:v>19</x:v>
      </x:c>
      <x:c r="K2051" t="n">
        <x:v>7</x:v>
      </x:c>
      <x:c r="L2051" t="str">
        <x:v>STORE-001</x:v>
      </x:c>
      <x:c r="M2051" s="22" t="n">
        <x:v>46035</x:v>
      </x:c>
      <x:c r="N2051" t="str">
        <x:v>SKU-015</x:v>
      </x:c>
      <x:c r="O2051" t="n">
        <x:v>1</x:v>
      </x:c>
      <x:c r="P2051" s="26" t="n">
        <x:f>F2051/O2051</x:f>
        <x:v>49.63</x:v>
      </x:c>
    </x:row>
    <x:row r="2052">
      <x:c r="A2052" t="n">
        <x:v>2051</x:v>
      </x:c>
      <x:c r="B2052" t="n">
        <x:v>25</x:v>
      </x:c>
      <x:c r="C2052" t="str">
        <x:v>Female</x:v>
      </x:c>
      <x:c r="D2052" t="str">
        <x:v>Home</x:v>
      </x:c>
      <x:c r="E2052" t="str">
        <x:v>Curtains</x:v>
      </x:c>
      <x:c r="F2052" s="24" t="n">
        <x:v>219.43</x:v>
      </x:c>
      <x:c r="G2052" t="str">
        <x:v>Spring</x:v>
      </x:c>
      <x:c r="H2052" t="str">
        <x:v>Card</x:v>
      </x:c>
      <x:c r="I2052" t="n">
        <x:v>2.9</x:v>
      </x:c>
      <x:c r="J2052" t="n">
        <x:v>20</x:v>
      </x:c>
      <x:c r="K2052" t="n">
        <x:v>5</x:v>
      </x:c>
      <x:c r="L2052" t="str">
        <x:v>STORE-001</x:v>
      </x:c>
      <x:c r="M2052" s="22" t="n">
        <x:v>46276</x:v>
      </x:c>
      <x:c r="N2052" t="str">
        <x:v>SKU-003</x:v>
      </x:c>
      <x:c r="O2052" t="n">
        <x:v>3</x:v>
      </x:c>
      <x:c r="P2052" s="26" t="n">
        <x:f>F2052/O2052</x:f>
        <x:v>73.14333333333333</x:v>
      </x:c>
    </x:row>
    <x:row r="2053">
      <x:c r="A2053" t="n">
        <x:v>2052</x:v>
      </x:c>
      <x:c r="B2053" t="n">
        <x:v>69</x:v>
      </x:c>
      <x:c r="C2053" t="str">
        <x:v>Male</x:v>
      </x:c>
      <x:c r="D2053" t="str">
        <x:v>Footwear</x:v>
      </x:c>
      <x:c r="E2053" t="str">
        <x:v>Sneakers</x:v>
      </x:c>
      <x:c r="F2053" s="24" t="n">
        <x:v>145.48</x:v>
      </x:c>
      <x:c r="G2053" t="str">
        <x:v>Autumn</x:v>
      </x:c>
      <x:c r="H2053" t="str">
        <x:v>Card</x:v>
      </x:c>
      <x:c r="I2053" t="n">
        <x:v>3.7</x:v>
      </x:c>
      <x:c r="J2053" t="n">
        <x:v>13</x:v>
      </x:c>
      <x:c r="K2053" t="n">
        <x:v>4</x:v>
      </x:c>
      <x:c r="L2053" t="str">
        <x:v>STORE-001</x:v>
      </x:c>
      <x:c r="M2053" s="22" t="n">
        <x:v>46128</x:v>
      </x:c>
      <x:c r="N2053" t="str">
        <x:v>SKU-025</x:v>
      </x:c>
      <x:c r="O2053" t="n">
        <x:v>3</x:v>
      </x:c>
      <x:c r="P2053" s="26" t="n">
        <x:f>F2053/O2053</x:f>
        <x:v>48.49333333333333</x:v>
      </x:c>
    </x:row>
    <x:row r="2054">
      <x:c r="A2054" t="n">
        <x:v>2053</x:v>
      </x:c>
      <x:c r="B2054" t="n">
        <x:v>64</x:v>
      </x:c>
      <x:c r="C2054" t="str">
        <x:v>Female</x:v>
      </x:c>
      <x:c r="D2054" t="str">
        <x:v>Footwear</x:v>
      </x:c>
      <x:c r="E2054" t="str">
        <x:v>Sandals</x:v>
      </x:c>
      <x:c r="F2054" s="24" t="n">
        <x:v>194.52</x:v>
      </x:c>
      <x:c r="G2054" t="str">
        <x:v>Summer</x:v>
      </x:c>
      <x:c r="H2054" t="str">
        <x:v>Card</x:v>
      </x:c>
      <x:c r="I2054" t="n">
        <x:v>4.1</x:v>
      </x:c>
      <x:c r="J2054" t="n">
        <x:v>8</x:v>
      </x:c>
      <x:c r="K2054" t="n">
        <x:v>4</x:v>
      </x:c>
      <x:c r="L2054" t="str">
        <x:v>STORE-001</x:v>
      </x:c>
      <x:c r="M2054" s="22" t="n">
        <x:v>46055</x:v>
      </x:c>
      <x:c r="N2054" t="str">
        <x:v>SKU-019</x:v>
      </x:c>
      <x:c r="O2054" t="n">
        <x:v>1</x:v>
      </x:c>
      <x:c r="P2054" s="26" t="n">
        <x:f>F2054/O2054</x:f>
        <x:v>194.52</x:v>
      </x:c>
    </x:row>
    <x:row r="2055">
      <x:c r="A2055" t="n">
        <x:v>2054</x:v>
      </x:c>
      <x:c r="B2055" t="n">
        <x:v>65</x:v>
      </x:c>
      <x:c r="C2055" t="str">
        <x:v>Male</x:v>
      </x:c>
      <x:c r="D2055" t="str">
        <x:v>Footwear</x:v>
      </x:c>
      <x:c r="E2055" t="str">
        <x:v>Sneakers</x:v>
      </x:c>
      <x:c r="F2055" s="24" t="n">
        <x:v>230.37</x:v>
      </x:c>
      <x:c r="G2055" t="str">
        <x:v>Spring</x:v>
      </x:c>
      <x:c r="H2055" t="str">
        <x:v>Card</x:v>
      </x:c>
      <x:c r="I2055" t="n">
        <x:v>2.6</x:v>
      </x:c>
      <x:c r="J2055" t="n">
        <x:v>9</x:v>
      </x:c>
      <x:c r="K2055" t="n">
        <x:v>2</x:v>
      </x:c>
      <x:c r="L2055" t="str">
        <x:v>STORE-001</x:v>
      </x:c>
      <x:c r="M2055" s="22" t="n">
        <x:v>45940</x:v>
      </x:c>
      <x:c r="N2055" t="str">
        <x:v>SKU-025</x:v>
      </x:c>
      <x:c r="O2055" t="n">
        <x:v>1</x:v>
      </x:c>
      <x:c r="P2055" s="26" t="n">
        <x:f>F2055/O2055</x:f>
        <x:v>230.37</x:v>
      </x:c>
    </x:row>
    <x:row r="2056">
      <x:c r="A2056" t="n">
        <x:v>2055</x:v>
      </x:c>
      <x:c r="B2056" t="n">
        <x:v>45</x:v>
      </x:c>
      <x:c r="C2056" t="str">
        <x:v>Male</x:v>
      </x:c>
      <x:c r="D2056" t="str">
        <x:v>Footwear</x:v>
      </x:c>
      <x:c r="E2056" t="str">
        <x:v>Sandals</x:v>
      </x:c>
      <x:c r="F2056" s="24" t="n">
        <x:v>60.13</x:v>
      </x:c>
      <x:c r="G2056" t="str">
        <x:v>Spring</x:v>
      </x:c>
      <x:c r="H2056" t="str">
        <x:v>Card</x:v>
      </x:c>
      <x:c r="I2056" t="n">
        <x:v>2.8</x:v>
      </x:c>
      <x:c r="J2056" t="n">
        <x:v>19</x:v>
      </x:c>
      <x:c r="K2056" t="n">
        <x:v>7</x:v>
      </x:c>
      <x:c r="L2056" t="str">
        <x:v>STORE-001</x:v>
      </x:c>
      <x:c r="M2056" s="22" t="n">
        <x:v>46287</x:v>
      </x:c>
      <x:c r="N2056" t="str">
        <x:v>SKU-019</x:v>
      </x:c>
      <x:c r="O2056" t="n">
        <x:v>1</x:v>
      </x:c>
      <x:c r="P2056" s="26" t="n">
        <x:f>F2056/O2056</x:f>
        <x:v>60.13</x:v>
      </x:c>
    </x:row>
    <x:row r="2057">
      <x:c r="A2057" t="n">
        <x:v>2056</x:v>
      </x:c>
      <x:c r="B2057" t="n">
        <x:v>64</x:v>
      </x:c>
      <x:c r="C2057" t="str">
        <x:v>Male</x:v>
      </x:c>
      <x:c r="D2057" t="str">
        <x:v>Sports</x:v>
      </x:c>
      <x:c r="E2057" t="str">
        <x:v>Dumbbells</x:v>
      </x:c>
      <x:c r="F2057" s="24" t="n">
        <x:v>34.24</x:v>
      </x:c>
      <x:c r="G2057" t="str">
        <x:v>Winter</x:v>
      </x:c>
      <x:c r="H2057" t="str">
        <x:v>Card</x:v>
      </x:c>
      <x:c r="I2057" t="n">
        <x:v>4</x:v>
      </x:c>
      <x:c r="J2057" t="n">
        <x:v>16</x:v>
      </x:c>
      <x:c r="K2057" t="n">
        <x:v>8</x:v>
      </x:c>
      <x:c r="L2057" t="str">
        <x:v>STORE-001</x:v>
      </x:c>
      <x:c r="M2057" s="22" t="n">
        <x:v>46241</x:v>
      </x:c>
      <x:c r="N2057" t="str">
        <x:v>SKU-005</x:v>
      </x:c>
      <x:c r="O2057" t="n">
        <x:v>3</x:v>
      </x:c>
      <x:c r="P2057" s="26" t="n">
        <x:f>F2057/O2057</x:f>
        <x:v>11.413333333333334</x:v>
      </x:c>
    </x:row>
    <x:row r="2058">
      <x:c r="A2058" t="n">
        <x:v>2057</x:v>
      </x:c>
      <x:c r="B2058" t="n">
        <x:v>60</x:v>
      </x:c>
      <x:c r="C2058" t="str">
        <x:v>Male</x:v>
      </x:c>
      <x:c r="D2058" t="str">
        <x:v>Mens Clothing</x:v>
      </x:c>
      <x:c r="E2058" t="str">
        <x:v>Jacket</x:v>
      </x:c>
      <x:c r="F2058" s="24" t="n">
        <x:v>167.44</x:v>
      </x:c>
      <x:c r="G2058" t="str">
        <x:v>Winter</x:v>
      </x:c>
      <x:c r="H2058" t="str">
        <x:v>Card</x:v>
      </x:c>
      <x:c r="I2058" t="n">
        <x:v>3.9</x:v>
      </x:c>
      <x:c r="J2058" t="n">
        <x:v>18</x:v>
      </x:c>
      <x:c r="K2058" t="n">
        <x:v>4</x:v>
      </x:c>
      <x:c r="L2058" t="str">
        <x:v>STORE-001</x:v>
      </x:c>
      <x:c r="M2058" s="22" t="n">
        <x:v>46252</x:v>
      </x:c>
      <x:c r="N2058" t="str">
        <x:v>SKU-010</x:v>
      </x:c>
      <x:c r="O2058" t="n">
        <x:v>1</x:v>
      </x:c>
      <x:c r="P2058" s="26" t="n">
        <x:f>F2058/O2058</x:f>
        <x:v>167.44</x:v>
      </x:c>
    </x:row>
    <x:row r="2059">
      <x:c r="A2059" t="n">
        <x:v>2058</x:v>
      </x:c>
      <x:c r="B2059" t="n">
        <x:v>24</x:v>
      </x:c>
      <x:c r="C2059" t="str">
        <x:v>Female</x:v>
      </x:c>
      <x:c r="D2059" t="str">
        <x:v>Beauty</x:v>
      </x:c>
      <x:c r="E2059" t="str">
        <x:v>Makeup Set</x:v>
      </x:c>
      <x:c r="F2059" s="24" t="n">
        <x:v>115.74</x:v>
      </x:c>
      <x:c r="G2059" t="str">
        <x:v>Spring</x:v>
      </x:c>
      <x:c r="H2059" t="str">
        <x:v>Card</x:v>
      </x:c>
      <x:c r="I2059" t="n">
        <x:v>3.2</x:v>
      </x:c>
      <x:c r="J2059" t="n">
        <x:v>14</x:v>
      </x:c>
      <x:c r="K2059" t="n">
        <x:v>2</x:v>
      </x:c>
      <x:c r="L2059" t="str">
        <x:v>STORE-001</x:v>
      </x:c>
      <x:c r="M2059" s="22" t="n">
        <x:v>45974</x:v>
      </x:c>
      <x:c r="N2059" t="str">
        <x:v>SKU-015</x:v>
      </x:c>
      <x:c r="O2059" t="n">
        <x:v>1</x:v>
      </x:c>
      <x:c r="P2059" s="26" t="n">
        <x:f>F2059/O2059</x:f>
        <x:v>115.74</x:v>
      </x:c>
    </x:row>
    <x:row r="2060">
      <x:c r="A2060" t="n">
        <x:v>2059</x:v>
      </x:c>
      <x:c r="B2060" t="n">
        <x:v>54</x:v>
      </x:c>
      <x:c r="C2060" t="str">
        <x:v>Female</x:v>
      </x:c>
      <x:c r="D2060" t="str">
        <x:v>Footwear</x:v>
      </x:c>
      <x:c r="E2060" t="str">
        <x:v>Sandals</x:v>
      </x:c>
      <x:c r="F2060" s="24" t="n">
        <x:v>62.32</x:v>
      </x:c>
      <x:c r="G2060" t="str">
        <x:v>Summer</x:v>
      </x:c>
      <x:c r="H2060" t="str">
        <x:v>Cash on Delivery</x:v>
      </x:c>
      <x:c r="I2060" t="n">
        <x:v>3.2</x:v>
      </x:c>
      <x:c r="J2060" t="n">
        <x:v>18</x:v>
      </x:c>
      <x:c r="K2060" t="n">
        <x:v>4</x:v>
      </x:c>
      <x:c r="L2060" t="str">
        <x:v>STORE-001</x:v>
      </x:c>
      <x:c r="M2060" s="22" t="n">
        <x:v>46066</x:v>
      </x:c>
      <x:c r="N2060" t="str">
        <x:v>SKU-019</x:v>
      </x:c>
      <x:c r="O2060" t="n">
        <x:v>1</x:v>
      </x:c>
      <x:c r="P2060" s="26" t="n">
        <x:f>F2060/O2060</x:f>
        <x:v>62.32</x:v>
      </x:c>
    </x:row>
    <x:row r="2061">
      <x:c r="A2061" t="n">
        <x:v>2060</x:v>
      </x:c>
      <x:c r="B2061" t="n">
        <x:v>22</x:v>
      </x:c>
      <x:c r="C2061" t="str">
        <x:v>Female</x:v>
      </x:c>
      <x:c r="D2061" t="str">
        <x:v>Groceries</x:v>
      </x:c>
      <x:c r="E2061" t="str">
        <x:v>Cooking Oil</x:v>
      </x:c>
      <x:c r="F2061" s="24" t="n">
        <x:v>63.29</x:v>
      </x:c>
      <x:c r="G2061" t="str">
        <x:v>Spring</x:v>
      </x:c>
      <x:c r="H2061" t="str">
        <x:v>Card</x:v>
      </x:c>
      <x:c r="I2061" t="n">
        <x:v>4.3</x:v>
      </x:c>
      <x:c r="J2061" t="n">
        <x:v>13</x:v>
      </x:c>
      <x:c r="K2061" t="n">
        <x:v>4</x:v>
      </x:c>
      <x:c r="L2061" t="str">
        <x:v>STORE-001</x:v>
      </x:c>
      <x:c r="M2061" s="22" t="n">
        <x:v>46283</x:v>
      </x:c>
      <x:c r="N2061" t="str">
        <x:v>SKU-002</x:v>
      </x:c>
      <x:c r="O2061" t="n">
        <x:v>4</x:v>
      </x:c>
      <x:c r="P2061" s="26" t="n">
        <x:f>F2061/O2061</x:f>
        <x:v>15.8225</x:v>
      </x:c>
    </x:row>
    <x:row r="2062">
      <x:c r="A2062" t="n">
        <x:v>2061</x:v>
      </x:c>
      <x:c r="B2062" t="n">
        <x:v>34</x:v>
      </x:c>
      <x:c r="C2062" t="str">
        <x:v>Female</x:v>
      </x:c>
      <x:c r="D2062" t="str">
        <x:v>Accessories</x:v>
      </x:c>
      <x:c r="E2062" t="str">
        <x:v>Wallet</x:v>
      </x:c>
      <x:c r="F2062" s="24" t="n">
        <x:v>32.61</x:v>
      </x:c>
      <x:c r="G2062" t="str">
        <x:v>Summer</x:v>
      </x:c>
      <x:c r="H2062" t="str">
        <x:v>Cash on Delivery</x:v>
      </x:c>
      <x:c r="I2062" t="n">
        <x:v>3.4</x:v>
      </x:c>
      <x:c r="J2062" t="n">
        <x:v>22</x:v>
      </x:c>
      <x:c r="K2062" t="n">
        <x:v>6</x:v>
      </x:c>
      <x:c r="L2062" t="str">
        <x:v>STORE-001</x:v>
      </x:c>
      <x:c r="M2062" s="22" t="n">
        <x:v>46021</x:v>
      </x:c>
      <x:c r="N2062" t="str">
        <x:v>SKU-029</x:v>
      </x:c>
      <x:c r="O2062" t="n">
        <x:v>1</x:v>
      </x:c>
      <x:c r="P2062" s="26" t="n">
        <x:f>F2062/O2062</x:f>
        <x:v>32.61</x:v>
      </x:c>
    </x:row>
    <x:row r="2063">
      <x:c r="A2063" t="n">
        <x:v>2062</x:v>
      </x:c>
      <x:c r="B2063" t="n">
        <x:v>51</x:v>
      </x:c>
      <x:c r="C2063" t="str">
        <x:v>Female</x:v>
      </x:c>
      <x:c r="D2063" t="str">
        <x:v>Home</x:v>
      </x:c>
      <x:c r="E2063" t="str">
        <x:v>Lamp</x:v>
      </x:c>
      <x:c r="F2063" s="24" t="n">
        <x:v>108.64</x:v>
      </x:c>
      <x:c r="G2063" t="str">
        <x:v>Spring</x:v>
      </x:c>
      <x:c r="H2063" t="str">
        <x:v>Card</x:v>
      </x:c>
      <x:c r="I2063" t="n">
        <x:v>2.8</x:v>
      </x:c>
      <x:c r="J2063" t="n">
        <x:v>12</x:v>
      </x:c>
      <x:c r="K2063" t="n">
        <x:v>6</x:v>
      </x:c>
      <x:c r="L2063" t="str">
        <x:v>STORE-001</x:v>
      </x:c>
      <x:c r="M2063" s="22" t="n">
        <x:v>45986</x:v>
      </x:c>
      <x:c r="N2063" t="str">
        <x:v>SKU-013</x:v>
      </x:c>
      <x:c r="O2063" t="n">
        <x:v>2</x:v>
      </x:c>
      <x:c r="P2063" s="26" t="n">
        <x:f>F2063/O2063</x:f>
        <x:v>54.32</x:v>
      </x:c>
    </x:row>
    <x:row r="2064">
      <x:c r="A2064" t="n">
        <x:v>2063</x:v>
      </x:c>
      <x:c r="B2064" t="n">
        <x:v>36</x:v>
      </x:c>
      <x:c r="C2064" t="str">
        <x:v>Male</x:v>
      </x:c>
      <x:c r="D2064" t="str">
        <x:v>Mens Clothing</x:v>
      </x:c>
      <x:c r="E2064" t="str">
        <x:v>T-Shirt</x:v>
      </x:c>
      <x:c r="F2064" s="24" t="n">
        <x:v>193.29</x:v>
      </x:c>
      <x:c r="G2064" t="str">
        <x:v>Summer</x:v>
      </x:c>
      <x:c r="H2064" t="str">
        <x:v>Card</x:v>
      </x:c>
      <x:c r="I2064" t="n">
        <x:v>3.3</x:v>
      </x:c>
      <x:c r="J2064" t="n">
        <x:v>20</x:v>
      </x:c>
      <x:c r="K2064" t="n">
        <x:v>5</x:v>
      </x:c>
      <x:c r="L2064" t="str">
        <x:v>STORE-001</x:v>
      </x:c>
      <x:c r="M2064" s="22" t="n">
        <x:v>46016</x:v>
      </x:c>
      <x:c r="N2064" t="str">
        <x:v>SKU-027</x:v>
      </x:c>
      <x:c r="O2064" t="n">
        <x:v>1</x:v>
      </x:c>
      <x:c r="P2064" s="26" t="n">
        <x:f>F2064/O2064</x:f>
        <x:v>193.29</x:v>
      </x:c>
    </x:row>
    <x:row r="2065">
      <x:c r="A2065" t="n">
        <x:v>2064</x:v>
      </x:c>
      <x:c r="B2065" t="n">
        <x:v>45</x:v>
      </x:c>
      <x:c r="C2065" t="str">
        <x:v>Male</x:v>
      </x:c>
      <x:c r="D2065" t="str">
        <x:v>Mens Clothing</x:v>
      </x:c>
      <x:c r="E2065" t="str">
        <x:v>Jacket</x:v>
      </x:c>
      <x:c r="F2065" s="24" t="n">
        <x:v>58.73</x:v>
      </x:c>
      <x:c r="G2065" t="str">
        <x:v>Summer</x:v>
      </x:c>
      <x:c r="H2065" t="str">
        <x:v>Cash on Delivery</x:v>
      </x:c>
      <x:c r="I2065" t="n">
        <x:v>3.9</x:v>
      </x:c>
      <x:c r="J2065" t="n">
        <x:v>14</x:v>
      </x:c>
      <x:c r="K2065" t="n">
        <x:v>7</x:v>
      </x:c>
      <x:c r="L2065" t="str">
        <x:v>STORE-001</x:v>
      </x:c>
      <x:c r="M2065" s="22" t="n">
        <x:v>46067</x:v>
      </x:c>
      <x:c r="N2065" t="str">
        <x:v>SKU-010</x:v>
      </x:c>
      <x:c r="O2065" t="n">
        <x:v>2</x:v>
      </x:c>
      <x:c r="P2065" s="26" t="n">
        <x:f>F2065/O2065</x:f>
        <x:v>29.365</x:v>
      </x:c>
    </x:row>
    <x:row r="2066">
      <x:c r="A2066" t="n">
        <x:v>2065</x:v>
      </x:c>
      <x:c r="B2066" t="n">
        <x:v>55</x:v>
      </x:c>
      <x:c r="C2066" t="str">
        <x:v>Female</x:v>
      </x:c>
      <x:c r="D2066" t="str">
        <x:v>Footwear</x:v>
      </x:c>
      <x:c r="E2066" t="str">
        <x:v>Formal Shoes</x:v>
      </x:c>
      <x:c r="F2066" s="24" t="n">
        <x:v>178.52</x:v>
      </x:c>
      <x:c r="G2066" t="str">
        <x:v>Autumn</x:v>
      </x:c>
      <x:c r="H2066" t="str">
        <x:v>Card</x:v>
      </x:c>
      <x:c r="I2066" t="n">
        <x:v>3.8</x:v>
      </x:c>
      <x:c r="J2066" t="n">
        <x:v>11</x:v>
      </x:c>
      <x:c r="K2066" t="n">
        <x:v>3</x:v>
      </x:c>
      <x:c r="L2066" t="str">
        <x:v>STORE-001</x:v>
      </x:c>
      <x:c r="M2066" s="22" t="n">
        <x:v>46130</x:v>
      </x:c>
      <x:c r="N2066" t="str">
        <x:v>SKU-007</x:v>
      </x:c>
      <x:c r="O2066" t="n">
        <x:v>1</x:v>
      </x:c>
      <x:c r="P2066" s="26" t="n">
        <x:f>F2066/O2066</x:f>
        <x:v>178.52</x:v>
      </x:c>
    </x:row>
    <x:row r="2067">
      <x:c r="A2067" t="n">
        <x:v>2066</x:v>
      </x:c>
      <x:c r="B2067" t="n">
        <x:v>29</x:v>
      </x:c>
      <x:c r="C2067" t="str">
        <x:v>Male</x:v>
      </x:c>
      <x:c r="D2067" t="str">
        <x:v>Electronics</x:v>
      </x:c>
      <x:c r="E2067" t="str">
        <x:v>Smart Watch</x:v>
      </x:c>
      <x:c r="F2067" s="24" t="n">
        <x:v>636.49</x:v>
      </x:c>
      <x:c r="G2067" t="str">
        <x:v>Summer</x:v>
      </x:c>
      <x:c r="H2067" t="str">
        <x:v>Card</x:v>
      </x:c>
      <x:c r="I2067" t="n">
        <x:v>3.7</x:v>
      </x:c>
      <x:c r="J2067" t="n">
        <x:v>12</x:v>
      </x:c>
      <x:c r="K2067" t="n">
        <x:v>6</x:v>
      </x:c>
      <x:c r="L2067" t="str">
        <x:v>STORE-001</x:v>
      </x:c>
      <x:c r="M2067" s="22" t="n">
        <x:v>45999</x:v>
      </x:c>
      <x:c r="N2067" t="str">
        <x:v>SKU-023</x:v>
      </x:c>
      <x:c r="O2067" t="n">
        <x:v>1</x:v>
      </x:c>
      <x:c r="P2067" s="26" t="n">
        <x:f>F2067/O2067</x:f>
        <x:v>636.49</x:v>
      </x:c>
    </x:row>
    <x:row r="2068">
      <x:c r="A2068" t="n">
        <x:v>2067</x:v>
      </x:c>
      <x:c r="B2068" t="n">
        <x:v>46</x:v>
      </x:c>
      <x:c r="C2068" t="str">
        <x:v>Female</x:v>
      </x:c>
      <x:c r="D2068" t="str">
        <x:v>Beauty</x:v>
      </x:c>
      <x:c r="E2068" t="str">
        <x:v>Skincare Kit</x:v>
      </x:c>
      <x:c r="F2068" s="24" t="n">
        <x:v>86.93</x:v>
      </x:c>
      <x:c r="G2068" t="str">
        <x:v>Spring</x:v>
      </x:c>
      <x:c r="H2068" t="str">
        <x:v>Cash on Delivery</x:v>
      </x:c>
      <x:c r="I2068" t="n">
        <x:v>2.6</x:v>
      </x:c>
      <x:c r="J2068" t="n">
        <x:v>13</x:v>
      </x:c>
      <x:c r="K2068" t="n">
        <x:v>4</x:v>
      </x:c>
      <x:c r="L2068" t="str">
        <x:v>STORE-001</x:v>
      </x:c>
      <x:c r="M2068" s="22" t="n">
        <x:v>46283</x:v>
      </x:c>
      <x:c r="N2068" t="str">
        <x:v>SKU-021</x:v>
      </x:c>
      <x:c r="O2068" t="n">
        <x:v>1</x:v>
      </x:c>
      <x:c r="P2068" s="26" t="n">
        <x:f>F2068/O2068</x:f>
        <x:v>86.93</x:v>
      </x:c>
    </x:row>
    <x:row r="2069">
      <x:c r="A2069" t="n">
        <x:v>2068</x:v>
      </x:c>
      <x:c r="B2069" t="n">
        <x:v>63</x:v>
      </x:c>
      <x:c r="C2069" t="str">
        <x:v>Male</x:v>
      </x:c>
      <x:c r="D2069" t="str">
        <x:v>Mens Clothing</x:v>
      </x:c>
      <x:c r="E2069" t="str">
        <x:v>Jeans</x:v>
      </x:c>
      <x:c r="F2069" s="24" t="n">
        <x:v>101.13</x:v>
      </x:c>
      <x:c r="G2069" t="str">
        <x:v>Winter</x:v>
      </x:c>
      <x:c r="H2069" t="str">
        <x:v>Card</x:v>
      </x:c>
      <x:c r="I2069" t="n">
        <x:v>3.7</x:v>
      </x:c>
      <x:c r="J2069" t="n">
        <x:v>24</x:v>
      </x:c>
      <x:c r="K2069" t="n">
        <x:v>7</x:v>
      </x:c>
      <x:c r="L2069" t="str">
        <x:v>STORE-001</x:v>
      </x:c>
      <x:c r="M2069" s="22" t="n">
        <x:v>46191</x:v>
      </x:c>
      <x:c r="N2069" t="str">
        <x:v>SKU-011</x:v>
      </x:c>
      <x:c r="O2069" t="n">
        <x:v>1</x:v>
      </x:c>
      <x:c r="P2069" s="26" t="n">
        <x:f>F2069/O2069</x:f>
        <x:v>101.13</x:v>
      </x:c>
    </x:row>
    <x:row r="2070">
      <x:c r="A2070" t="n">
        <x:v>2069</x:v>
      </x:c>
      <x:c r="B2070" t="n">
        <x:v>42</x:v>
      </x:c>
      <x:c r="C2070" t="str">
        <x:v>Male</x:v>
      </x:c>
      <x:c r="D2070" t="str">
        <x:v>Home</x:v>
      </x:c>
      <x:c r="E2070" t="str">
        <x:v>Kitchen Set</x:v>
      </x:c>
      <x:c r="F2070" s="24" t="n">
        <x:v>143.76</x:v>
      </x:c>
      <x:c r="G2070" t="str">
        <x:v>Summer</x:v>
      </x:c>
      <x:c r="H2070" t="str">
        <x:v>Card</x:v>
      </x:c>
      <x:c r="I2070" t="n">
        <x:v>3.8</x:v>
      </x:c>
      <x:c r="J2070" t="n">
        <x:v>14</x:v>
      </x:c>
      <x:c r="K2070" t="n">
        <x:v>7</x:v>
      </x:c>
      <x:c r="L2070" t="str">
        <x:v>STORE-001</x:v>
      </x:c>
      <x:c r="M2070" s="22" t="n">
        <x:v>46057</x:v>
      </x:c>
      <x:c r="N2070" t="str">
        <x:v>SKU-012</x:v>
      </x:c>
      <x:c r="O2070" t="n">
        <x:v>1</x:v>
      </x:c>
      <x:c r="P2070" s="26" t="n">
        <x:f>F2070/O2070</x:f>
        <x:v>143.76</x:v>
      </x:c>
    </x:row>
    <x:row r="2071">
      <x:c r="A2071" t="n">
        <x:v>2070</x:v>
      </x:c>
      <x:c r="B2071" t="n">
        <x:v>42</x:v>
      </x:c>
      <x:c r="C2071" t="str">
        <x:v>Male</x:v>
      </x:c>
      <x:c r="D2071" t="str">
        <x:v>Home</x:v>
      </x:c>
      <x:c r="E2071" t="str">
        <x:v>Kitchen Set</x:v>
      </x:c>
      <x:c r="F2071" s="24" t="n">
        <x:v>204.7</x:v>
      </x:c>
      <x:c r="G2071" t="str">
        <x:v>Spring</x:v>
      </x:c>
      <x:c r="H2071" t="str">
        <x:v>Card</x:v>
      </x:c>
      <x:c r="I2071" t="n">
        <x:v>4.2</x:v>
      </x:c>
      <x:c r="J2071" t="n">
        <x:v>20</x:v>
      </x:c>
      <x:c r="K2071" t="n">
        <x:v>5</x:v>
      </x:c>
      <x:c r="L2071" t="str">
        <x:v>STORE-001</x:v>
      </x:c>
      <x:c r="M2071" s="22" t="n">
        <x:v>45970</x:v>
      </x:c>
      <x:c r="N2071" t="str">
        <x:v>SKU-012</x:v>
      </x:c>
      <x:c r="O2071" t="n">
        <x:v>1</x:v>
      </x:c>
      <x:c r="P2071" s="26" t="n">
        <x:f>F2071/O2071</x:f>
        <x:v>204.7</x:v>
      </x:c>
    </x:row>
    <x:row r="2072">
      <x:c r="A2072" t="n">
        <x:v>2071</x:v>
      </x:c>
      <x:c r="B2072" t="n">
        <x:v>54</x:v>
      </x:c>
      <x:c r="C2072" t="str">
        <x:v>Female</x:v>
      </x:c>
      <x:c r="D2072" t="str">
        <x:v>Beauty</x:v>
      </x:c>
      <x:c r="E2072" t="str">
        <x:v>Skincare Kit</x:v>
      </x:c>
      <x:c r="F2072" s="24" t="n">
        <x:v>78.61</x:v>
      </x:c>
      <x:c r="G2072" t="str">
        <x:v>Spring</x:v>
      </x:c>
      <x:c r="H2072" t="str">
        <x:v>Card</x:v>
      </x:c>
      <x:c r="I2072" t="n">
        <x:v>4.6</x:v>
      </x:c>
      <x:c r="J2072" t="n">
        <x:v>13</x:v>
      </x:c>
      <x:c r="K2072" t="n">
        <x:v>4</x:v>
      </x:c>
      <x:c r="L2072" t="str">
        <x:v>STORE-001</x:v>
      </x:c>
      <x:c r="M2072" s="22" t="n">
        <x:v>45976</x:v>
      </x:c>
      <x:c r="N2072" t="str">
        <x:v>SKU-021</x:v>
      </x:c>
      <x:c r="O2072" t="n">
        <x:v>1</x:v>
      </x:c>
      <x:c r="P2072" s="26" t="n">
        <x:f>F2072/O2072</x:f>
        <x:v>78.61</x:v>
      </x:c>
    </x:row>
    <x:row r="2073">
      <x:c r="A2073" t="n">
        <x:v>2072</x:v>
      </x:c>
      <x:c r="B2073" t="n">
        <x:v>43</x:v>
      </x:c>
      <x:c r="C2073" t="str">
        <x:v>Male</x:v>
      </x:c>
      <x:c r="D2073" t="str">
        <x:v>Electronics</x:v>
      </x:c>
      <x:c r="E2073" t="str">
        <x:v>Mobile Phone</x:v>
      </x:c>
      <x:c r="F2073" s="24" t="n">
        <x:v>2249.95</x:v>
      </x:c>
      <x:c r="G2073" t="str">
        <x:v>Spring</x:v>
      </x:c>
      <x:c r="H2073" t="str">
        <x:v>Card</x:v>
      </x:c>
      <x:c r="I2073" t="n">
        <x:v>3.8</x:v>
      </x:c>
      <x:c r="J2073" t="n">
        <x:v>14</x:v>
      </x:c>
      <x:c r="K2073" t="n">
        <x:v>2</x:v>
      </x:c>
      <x:c r="L2073" t="str">
        <x:v>STORE-001</x:v>
      </x:c>
      <x:c r="M2073" s="22" t="n">
        <x:v>45959</x:v>
      </x:c>
      <x:c r="N2073" t="str">
        <x:v>SKU-016</x:v>
      </x:c>
      <x:c r="O2073" t="n">
        <x:v>1</x:v>
      </x:c>
      <x:c r="P2073" s="26" t="n">
        <x:f>F2073/O2073</x:f>
        <x:v>2249.95</x:v>
      </x:c>
    </x:row>
    <x:row r="2074">
      <x:c r="A2074" t="n">
        <x:v>2073</x:v>
      </x:c>
      <x:c r="B2074" t="n">
        <x:v>47</x:v>
      </x:c>
      <x:c r="C2074" t="str">
        <x:v>Male</x:v>
      </x:c>
      <x:c r="D2074" t="str">
        <x:v>Home</x:v>
      </x:c>
      <x:c r="E2074" t="str">
        <x:v>Lamp</x:v>
      </x:c>
      <x:c r="F2074" s="24" t="n">
        <x:v>129.09</x:v>
      </x:c>
      <x:c r="G2074" t="str">
        <x:v>Summer</x:v>
      </x:c>
      <x:c r="H2074" t="str">
        <x:v>Card</x:v>
      </x:c>
      <x:c r="I2074" t="n">
        <x:v>4</x:v>
      </x:c>
      <x:c r="J2074" t="n">
        <x:v>19</x:v>
      </x:c>
      <x:c r="K2074" t="n">
        <x:v>7</x:v>
      </x:c>
      <x:c r="L2074" t="str">
        <x:v>STORE-001</x:v>
      </x:c>
      <x:c r="M2074" s="22" t="n">
        <x:v>46063</x:v>
      </x:c>
      <x:c r="N2074" t="str">
        <x:v>SKU-013</x:v>
      </x:c>
      <x:c r="O2074" t="n">
        <x:v>1</x:v>
      </x:c>
      <x:c r="P2074" s="26" t="n">
        <x:f>F2074/O2074</x:f>
        <x:v>129.09</x:v>
      </x:c>
    </x:row>
    <x:row r="2075">
      <x:c r="A2075" t="n">
        <x:v>2074</x:v>
      </x:c>
      <x:c r="B2075" t="n">
        <x:v>36</x:v>
      </x:c>
      <x:c r="C2075" t="str">
        <x:v>Male</x:v>
      </x:c>
      <x:c r="D2075" t="str">
        <x:v>Electronics</x:v>
      </x:c>
      <x:c r="E2075" t="str">
        <x:v>Headphones</x:v>
      </x:c>
      <x:c r="F2075" s="24" t="n">
        <x:v>2297.54</x:v>
      </x:c>
      <x:c r="G2075" t="str">
        <x:v>Autumn</x:v>
      </x:c>
      <x:c r="H2075" t="str">
        <x:v>Card</x:v>
      </x:c>
      <x:c r="I2075" t="n">
        <x:v>3.2</x:v>
      </x:c>
      <x:c r="J2075" t="n">
        <x:v>4</x:v>
      </x:c>
      <x:c r="K2075" t="n">
        <x:v>2</x:v>
      </x:c>
      <x:c r="L2075" t="str">
        <x:v>STORE-001</x:v>
      </x:c>
      <x:c r="M2075" s="22" t="n">
        <x:v>46156</x:v>
      </x:c>
      <x:c r="N2075" t="str">
        <x:v>SKU-009</x:v>
      </x:c>
      <x:c r="O2075" t="n">
        <x:v>1</x:v>
      </x:c>
      <x:c r="P2075" s="26" t="n">
        <x:f>F2075/O2075</x:f>
        <x:v>2297.54</x:v>
      </x:c>
    </x:row>
    <x:row r="2076">
      <x:c r="A2076" t="n">
        <x:v>2075</x:v>
      </x:c>
      <x:c r="B2076" t="n">
        <x:v>23</x:v>
      </x:c>
      <x:c r="C2076" t="str">
        <x:v>Female</x:v>
      </x:c>
      <x:c r="D2076" t="str">
        <x:v>Home</x:v>
      </x:c>
      <x:c r="E2076" t="str">
        <x:v>Curtains</x:v>
      </x:c>
      <x:c r="F2076" s="24" t="n">
        <x:v>219.81</x:v>
      </x:c>
      <x:c r="G2076" t="str">
        <x:v>Spring</x:v>
      </x:c>
      <x:c r="H2076" t="str">
        <x:v>Card</x:v>
      </x:c>
      <x:c r="I2076" t="n">
        <x:v>3.7</x:v>
      </x:c>
      <x:c r="J2076" t="n">
        <x:v>11</x:v>
      </x:c>
      <x:c r="K2076" t="n">
        <x:v>3</x:v>
      </x:c>
      <x:c r="L2076" t="str">
        <x:v>STORE-001</x:v>
      </x:c>
      <x:c r="M2076" s="22" t="n">
        <x:v>45972</x:v>
      </x:c>
      <x:c r="N2076" t="str">
        <x:v>SKU-003</x:v>
      </x:c>
      <x:c r="O2076" t="n">
        <x:v>2</x:v>
      </x:c>
      <x:c r="P2076" s="26" t="n">
        <x:f>F2076/O2076</x:f>
        <x:v>109.905</x:v>
      </x:c>
    </x:row>
    <x:row r="2077">
      <x:c r="A2077" t="n">
        <x:v>2076</x:v>
      </x:c>
      <x:c r="B2077" t="n">
        <x:v>40</x:v>
      </x:c>
      <x:c r="C2077" t="str">
        <x:v>Female</x:v>
      </x:c>
      <x:c r="D2077" t="str">
        <x:v>Sports</x:v>
      </x:c>
      <x:c r="E2077" t="str">
        <x:v>Dumbbells</x:v>
      </x:c>
      <x:c r="F2077" s="24" t="n">
        <x:v>211.71</x:v>
      </x:c>
      <x:c r="G2077" t="str">
        <x:v>Spring</x:v>
      </x:c>
      <x:c r="H2077" t="str">
        <x:v>Card</x:v>
      </x:c>
      <x:c r="I2077" t="n">
        <x:v>2.5</x:v>
      </x:c>
      <x:c r="J2077" t="n">
        <x:v>17</x:v>
      </x:c>
      <x:c r="K2077" t="n">
        <x:v>6</x:v>
      </x:c>
      <x:c r="L2077" t="str">
        <x:v>STORE-001</x:v>
      </x:c>
      <x:c r="M2077" s="22" t="n">
        <x:v>46284</x:v>
      </x:c>
      <x:c r="N2077" t="str">
        <x:v>SKU-005</x:v>
      </x:c>
      <x:c r="O2077" t="n">
        <x:v>2</x:v>
      </x:c>
      <x:c r="P2077" s="26" t="n">
        <x:f>F2077/O2077</x:f>
        <x:v>105.855</x:v>
      </x:c>
    </x:row>
    <x:row r="2078">
      <x:c r="A2078" t="n">
        <x:v>2077</x:v>
      </x:c>
      <x:c r="B2078" t="n">
        <x:v>62</x:v>
      </x:c>
      <x:c r="C2078" t="str">
        <x:v>Female</x:v>
      </x:c>
      <x:c r="D2078" t="str">
        <x:v>Groceries</x:v>
      </x:c>
      <x:c r="E2078" t="str">
        <x:v>Snacks</x:v>
      </x:c>
      <x:c r="F2078" s="24" t="n">
        <x:v>65.47</x:v>
      </x:c>
      <x:c r="G2078" t="str">
        <x:v>Winter</x:v>
      </x:c>
      <x:c r="H2078" t="str">
        <x:v>Card</x:v>
      </x:c>
      <x:c r="I2078" t="n">
        <x:v>4.8</x:v>
      </x:c>
      <x:c r="J2078" t="n">
        <x:v>14</x:v>
      </x:c>
      <x:c r="K2078" t="n">
        <x:v>2</x:v>
      </x:c>
      <x:c r="L2078" t="str">
        <x:v>STORE-001</x:v>
      </x:c>
      <x:c r="M2078" s="22" t="n">
        <x:v>46215</x:v>
      </x:c>
      <x:c r="N2078" t="str">
        <x:v>SKU-024</x:v>
      </x:c>
      <x:c r="O2078" t="n">
        <x:v>3</x:v>
      </x:c>
      <x:c r="P2078" s="26" t="n">
        <x:f>F2078/O2078</x:f>
        <x:v>21.823333333333334</x:v>
      </x:c>
    </x:row>
    <x:row r="2079">
      <x:c r="A2079" t="n">
        <x:v>2078</x:v>
      </x:c>
      <x:c r="B2079" t="n">
        <x:v>21</x:v>
      </x:c>
      <x:c r="C2079" t="str">
        <x:v>Male</x:v>
      </x:c>
      <x:c r="D2079" t="str">
        <x:v>Electronics</x:v>
      </x:c>
      <x:c r="E2079" t="str">
        <x:v>Mobile Phone</x:v>
      </x:c>
      <x:c r="F2079" s="24" t="n">
        <x:v>854.78</x:v>
      </x:c>
      <x:c r="G2079" t="str">
        <x:v>Winter</x:v>
      </x:c>
      <x:c r="H2079" t="str">
        <x:v>Card</x:v>
      </x:c>
      <x:c r="I2079" t="n">
        <x:v>2.3</x:v>
      </x:c>
      <x:c r="J2079" t="n">
        <x:v>13</x:v>
      </x:c>
      <x:c r="K2079" t="n">
        <x:v>4</x:v>
      </x:c>
      <x:c r="L2079" t="str">
        <x:v>STORE-001</x:v>
      </x:c>
      <x:c r="M2079" s="22" t="n">
        <x:v>46248</x:v>
      </x:c>
      <x:c r="N2079" t="str">
        <x:v>SKU-016</x:v>
      </x:c>
      <x:c r="O2079" t="n">
        <x:v>1</x:v>
      </x:c>
      <x:c r="P2079" s="26" t="n">
        <x:f>F2079/O2079</x:f>
        <x:v>854.78</x:v>
      </x:c>
    </x:row>
    <x:row r="2080">
      <x:c r="A2080" t="n">
        <x:v>2079</x:v>
      </x:c>
      <x:c r="B2080" t="n">
        <x:v>60</x:v>
      </x:c>
      <x:c r="C2080" t="str">
        <x:v>Female</x:v>
      </x:c>
      <x:c r="D2080" t="str">
        <x:v>Accessories</x:v>
      </x:c>
      <x:c r="E2080" t="str">
        <x:v>Handbag</x:v>
      </x:c>
      <x:c r="F2080" s="24" t="n">
        <x:v>177.57</x:v>
      </x:c>
      <x:c r="G2080" t="str">
        <x:v>Spring</x:v>
      </x:c>
      <x:c r="H2080" t="str">
        <x:v>Card</x:v>
      </x:c>
      <x:c r="I2080" t="n">
        <x:v>5</x:v>
      </x:c>
      <x:c r="J2080" t="n">
        <x:v>32</x:v>
      </x:c>
      <x:c r="K2080" t="n">
        <x:v>11</x:v>
      </x:c>
      <x:c r="L2080" t="str">
        <x:v>STORE-001</x:v>
      </x:c>
      <x:c r="M2080" s="22" t="n">
        <x:v>46295</x:v>
      </x:c>
      <x:c r="N2080" t="str">
        <x:v>SKU-008</x:v>
      </x:c>
      <x:c r="O2080" t="n">
        <x:v>1</x:v>
      </x:c>
      <x:c r="P2080" s="26" t="n">
        <x:f>F2080/O2080</x:f>
        <x:v>177.57</x:v>
      </x:c>
    </x:row>
    <x:row r="2081">
      <x:c r="A2081" t="n">
        <x:v>2080</x:v>
      </x:c>
      <x:c r="B2081" t="n">
        <x:v>45</x:v>
      </x:c>
      <x:c r="C2081" t="str">
        <x:v>Female</x:v>
      </x:c>
      <x:c r="D2081" t="str">
        <x:v>Accessories</x:v>
      </x:c>
      <x:c r="E2081" t="str">
        <x:v>Wallet</x:v>
      </x:c>
      <x:c r="F2081" s="24" t="n">
        <x:v>145.21</x:v>
      </x:c>
      <x:c r="G2081" t="str">
        <x:v>Autumn</x:v>
      </x:c>
      <x:c r="H2081" t="str">
        <x:v>Card</x:v>
      </x:c>
      <x:c r="I2081" t="n">
        <x:v>3.1</x:v>
      </x:c>
      <x:c r="J2081" t="n">
        <x:v>17</x:v>
      </x:c>
      <x:c r="K2081" t="n">
        <x:v>6</x:v>
      </x:c>
      <x:c r="L2081" t="str">
        <x:v>STORE-001</x:v>
      </x:c>
      <x:c r="M2081" s="22" t="n">
        <x:v>46124</x:v>
      </x:c>
      <x:c r="N2081" t="str">
        <x:v>SKU-029</x:v>
      </x:c>
      <x:c r="O2081" t="n">
        <x:v>2</x:v>
      </x:c>
      <x:c r="P2081" s="26" t="n">
        <x:f>F2081/O2081</x:f>
        <x:v>72.605</x:v>
      </x:c>
    </x:row>
    <x:row r="2082">
      <x:c r="A2082" t="n">
        <x:v>2081</x:v>
      </x:c>
      <x:c r="B2082" t="n">
        <x:v>30</x:v>
      </x:c>
      <x:c r="C2082" t="str">
        <x:v>Male</x:v>
      </x:c>
      <x:c r="D2082" t="str">
        <x:v>Footwear</x:v>
      </x:c>
      <x:c r="E2082" t="str">
        <x:v>Formal Shoes</x:v>
      </x:c>
      <x:c r="F2082" s="24" t="n">
        <x:v>162.9</x:v>
      </x:c>
      <x:c r="G2082" t="str">
        <x:v>Spring</x:v>
      </x:c>
      <x:c r="H2082" t="str">
        <x:v>Card</x:v>
      </x:c>
      <x:c r="I2082" t="n">
        <x:v>3.7</x:v>
      </x:c>
      <x:c r="J2082" t="n">
        <x:v>10</x:v>
      </x:c>
      <x:c r="K2082" t="n">
        <x:v>5</x:v>
      </x:c>
      <x:c r="L2082" t="str">
        <x:v>STORE-001</x:v>
      </x:c>
      <x:c r="M2082" s="22" t="n">
        <x:v>46280</x:v>
      </x:c>
      <x:c r="N2082" t="str">
        <x:v>SKU-007</x:v>
      </x:c>
      <x:c r="O2082" t="n">
        <x:v>2</x:v>
      </x:c>
      <x:c r="P2082" s="26" t="n">
        <x:f>F2082/O2082</x:f>
        <x:v>81.45</x:v>
      </x:c>
    </x:row>
    <x:row r="2083">
      <x:c r="A2083" t="n">
        <x:v>2082</x:v>
      </x:c>
      <x:c r="B2083" t="n">
        <x:v>31</x:v>
      </x:c>
      <x:c r="C2083" t="str">
        <x:v>Male</x:v>
      </x:c>
      <x:c r="D2083" t="str">
        <x:v>Footwear</x:v>
      </x:c>
      <x:c r="E2083" t="str">
        <x:v>Sandals</x:v>
      </x:c>
      <x:c r="F2083" s="24" t="n">
        <x:v>89.34</x:v>
      </x:c>
      <x:c r="G2083" t="str">
        <x:v>Spring</x:v>
      </x:c>
      <x:c r="H2083" t="str">
        <x:v>Cash on Delivery</x:v>
      </x:c>
      <x:c r="I2083" t="n">
        <x:v>3</x:v>
      </x:c>
      <x:c r="J2083" t="n">
        <x:v>6</x:v>
      </x:c>
      <x:c r="K2083" t="n">
        <x:v>3</x:v>
      </x:c>
      <x:c r="L2083" t="str">
        <x:v>STORE-001</x:v>
      </x:c>
      <x:c r="M2083" s="22" t="n">
        <x:v>45967</x:v>
      </x:c>
      <x:c r="N2083" t="str">
        <x:v>SKU-019</x:v>
      </x:c>
      <x:c r="O2083" t="n">
        <x:v>1</x:v>
      </x:c>
      <x:c r="P2083" s="26" t="n">
        <x:f>F2083/O2083</x:f>
        <x:v>89.34</x:v>
      </x:c>
    </x:row>
    <x:row r="2084">
      <x:c r="A2084" t="n">
        <x:v>2083</x:v>
      </x:c>
      <x:c r="B2084" t="n">
        <x:v>37</x:v>
      </x:c>
      <x:c r="C2084" t="str">
        <x:v>Female</x:v>
      </x:c>
      <x:c r="D2084" t="str">
        <x:v>Beauty</x:v>
      </x:c>
      <x:c r="E2084" t="str">
        <x:v>Skincare Kit</x:v>
      </x:c>
      <x:c r="F2084" s="24" t="n">
        <x:v>138.25</x:v>
      </x:c>
      <x:c r="G2084" t="str">
        <x:v>Winter</x:v>
      </x:c>
      <x:c r="H2084" t="str">
        <x:v>Card</x:v>
      </x:c>
      <x:c r="I2084" t="n">
        <x:v>4.6</x:v>
      </x:c>
      <x:c r="J2084" t="n">
        <x:v>6</x:v>
      </x:c>
      <x:c r="K2084" t="n">
        <x:v>3</x:v>
      </x:c>
      <x:c r="L2084" t="str">
        <x:v>STORE-001</x:v>
      </x:c>
      <x:c r="M2084" s="22" t="n">
        <x:v>46216</x:v>
      </x:c>
      <x:c r="N2084" t="str">
        <x:v>SKU-021</x:v>
      </x:c>
      <x:c r="O2084" t="n">
        <x:v>1</x:v>
      </x:c>
      <x:c r="P2084" s="26" t="n">
        <x:f>F2084/O2084</x:f>
        <x:v>138.25</x:v>
      </x:c>
    </x:row>
    <x:row r="2085">
      <x:c r="A2085" t="n">
        <x:v>2084</x:v>
      </x:c>
      <x:c r="B2085" t="n">
        <x:v>62</x:v>
      </x:c>
      <x:c r="C2085" t="str">
        <x:v>Male</x:v>
      </x:c>
      <x:c r="D2085" t="str">
        <x:v>Sports</x:v>
      </x:c>
      <x:c r="E2085" t="str">
        <x:v>Yoga Mat</x:v>
      </x:c>
      <x:c r="F2085" s="24" t="n">
        <x:v>99.57</x:v>
      </x:c>
      <x:c r="G2085" t="str">
        <x:v>Spring</x:v>
      </x:c>
      <x:c r="H2085" t="str">
        <x:v>Card</x:v>
      </x:c>
      <x:c r="I2085" t="n">
        <x:v>4.8</x:v>
      </x:c>
      <x:c r="J2085" t="n">
        <x:v>27</x:v>
      </x:c>
      <x:c r="K2085" t="n">
        <x:v>11</x:v>
      </x:c>
      <x:c r="L2085" t="str">
        <x:v>STORE-001</x:v>
      </x:c>
      <x:c r="M2085" s="22" t="n">
        <x:v>45933</x:v>
      </x:c>
      <x:c r="N2085" t="str">
        <x:v>SKU-030</x:v>
      </x:c>
      <x:c r="O2085" t="n">
        <x:v>2</x:v>
      </x:c>
      <x:c r="P2085" s="26" t="n">
        <x:f>F2085/O2085</x:f>
        <x:v>49.785</x:v>
      </x:c>
    </x:row>
    <x:row r="2086">
      <x:c r="A2086" t="n">
        <x:v>2085</x:v>
      </x:c>
      <x:c r="B2086" t="n">
        <x:v>56</x:v>
      </x:c>
      <x:c r="C2086" t="str">
        <x:v>Female</x:v>
      </x:c>
      <x:c r="D2086" t="str">
        <x:v>Accessories</x:v>
      </x:c>
      <x:c r="E2086" t="str">
        <x:v>Sunglasses</x:v>
      </x:c>
      <x:c r="F2086" s="24" t="n">
        <x:v>63.46</x:v>
      </x:c>
      <x:c r="G2086" t="str">
        <x:v>Summer</x:v>
      </x:c>
      <x:c r="H2086" t="str">
        <x:v>Cash on Delivery</x:v>
      </x:c>
      <x:c r="I2086" t="n">
        <x:v>3.5</x:v>
      </x:c>
      <x:c r="J2086" t="n">
        <x:v>13</x:v>
      </x:c>
      <x:c r="K2086" t="n">
        <x:v>4</x:v>
      </x:c>
      <x:c r="L2086" t="str">
        <x:v>STORE-001</x:v>
      </x:c>
      <x:c r="M2086" s="22" t="n">
        <x:v>46027</x:v>
      </x:c>
      <x:c r="N2086" t="str">
        <x:v>SKU-026</x:v>
      </x:c>
      <x:c r="O2086" t="n">
        <x:v>1</x:v>
      </x:c>
      <x:c r="P2086" s="26" t="n">
        <x:f>F2086/O2086</x:f>
        <x:v>63.46</x:v>
      </x:c>
    </x:row>
    <x:row r="2087">
      <x:c r="A2087" t="n">
        <x:v>2086</x:v>
      </x:c>
      <x:c r="B2087" t="n">
        <x:v>21</x:v>
      </x:c>
      <x:c r="C2087" t="str">
        <x:v>Male</x:v>
      </x:c>
      <x:c r="D2087" t="str">
        <x:v>Sports</x:v>
      </x:c>
      <x:c r="E2087" t="str">
        <x:v>Football</x:v>
      </x:c>
      <x:c r="F2087" s="24" t="n">
        <x:v>245.31</x:v>
      </x:c>
      <x:c r="G2087" t="str">
        <x:v>Autumn</x:v>
      </x:c>
      <x:c r="H2087" t="str">
        <x:v>Card</x:v>
      </x:c>
      <x:c r="I2087" t="n">
        <x:v>4.7</x:v>
      </x:c>
      <x:c r="J2087" t="n">
        <x:v>15</x:v>
      </x:c>
      <x:c r="K2087" t="n">
        <x:v>5</x:v>
      </x:c>
      <x:c r="L2087" t="str">
        <x:v>STORE-001</x:v>
      </x:c>
      <x:c r="M2087" s="22" t="n">
        <x:v>46112</x:v>
      </x:c>
      <x:c r="N2087" t="str">
        <x:v>SKU-006</x:v>
      </x:c>
      <x:c r="O2087" t="n">
        <x:v>2</x:v>
      </x:c>
      <x:c r="P2087" s="26" t="n">
        <x:f>F2087/O2087</x:f>
        <x:v>122.655</x:v>
      </x:c>
    </x:row>
    <x:row r="2088">
      <x:c r="A2088" t="n">
        <x:v>2087</x:v>
      </x:c>
      <x:c r="B2088" t="n">
        <x:v>39</x:v>
      </x:c>
      <x:c r="C2088" t="str">
        <x:v>Female</x:v>
      </x:c>
      <x:c r="D2088" t="str">
        <x:v>Home</x:v>
      </x:c>
      <x:c r="E2088" t="str">
        <x:v>Kitchen Set</x:v>
      </x:c>
      <x:c r="F2088" s="24" t="n">
        <x:v>214</x:v>
      </x:c>
      <x:c r="G2088" t="str">
        <x:v>Spring</x:v>
      </x:c>
      <x:c r="H2088" t="str">
        <x:v>Card</x:v>
      </x:c>
      <x:c r="I2088" t="n">
        <x:v>4</x:v>
      </x:c>
      <x:c r="J2088" t="n">
        <x:v>24</x:v>
      </x:c>
      <x:c r="K2088" t="n">
        <x:v>7</x:v>
      </x:c>
      <x:c r="L2088" t="str">
        <x:v>STORE-001</x:v>
      </x:c>
      <x:c r="M2088" s="22" t="n">
        <x:v>46278</x:v>
      </x:c>
      <x:c r="N2088" t="str">
        <x:v>SKU-012</x:v>
      </x:c>
      <x:c r="O2088" t="n">
        <x:v>2</x:v>
      </x:c>
      <x:c r="P2088" s="26" t="n">
        <x:f>F2088/O2088</x:f>
        <x:v>107</x:v>
      </x:c>
    </x:row>
    <x:row r="2089">
      <x:c r="A2089" t="n">
        <x:v>2088</x:v>
      </x:c>
      <x:c r="B2089" t="n">
        <x:v>39</x:v>
      </x:c>
      <x:c r="C2089" t="str">
        <x:v>Female</x:v>
      </x:c>
      <x:c r="D2089" t="str">
        <x:v>Groceries</x:v>
      </x:c>
      <x:c r="E2089" t="str">
        <x:v>Rice Pack</x:v>
      </x:c>
      <x:c r="F2089" s="24" t="n">
        <x:v>16.44</x:v>
      </x:c>
      <x:c r="G2089" t="str">
        <x:v>Autumn</x:v>
      </x:c>
      <x:c r="H2089" t="str">
        <x:v>Card</x:v>
      </x:c>
      <x:c r="I2089" t="n">
        <x:v>4.7</x:v>
      </x:c>
      <x:c r="J2089" t="n">
        <x:v>14</x:v>
      </x:c>
      <x:c r="K2089" t="n">
        <x:v>7</x:v>
      </x:c>
      <x:c r="L2089" t="str">
        <x:v>STORE-001</x:v>
      </x:c>
      <x:c r="M2089" s="22" t="n">
        <x:v>46128</x:v>
      </x:c>
      <x:c r="N2089" t="str">
        <x:v>SKU-018</x:v>
      </x:c>
      <x:c r="O2089" t="n">
        <x:v>2</x:v>
      </x:c>
      <x:c r="P2089" s="26" t="n">
        <x:f>F2089/O2089</x:f>
        <x:v>8.22</x:v>
      </x:c>
    </x:row>
    <x:row r="2090">
      <x:c r="A2090" t="n">
        <x:v>2089</x:v>
      </x:c>
      <x:c r="B2090" t="n">
        <x:v>37</x:v>
      </x:c>
      <x:c r="C2090" t="str">
        <x:v>Female</x:v>
      </x:c>
      <x:c r="D2090" t="str">
        <x:v>Womens Clothing</x:v>
      </x:c>
      <x:c r="E2090" t="str">
        <x:v>Top</x:v>
      </x:c>
      <x:c r="F2090" s="24" t="n">
        <x:v>141.18</x:v>
      </x:c>
      <x:c r="G2090" t="str">
        <x:v>Spring</x:v>
      </x:c>
      <x:c r="H2090" t="str">
        <x:v>Card</x:v>
      </x:c>
      <x:c r="I2090" t="n">
        <x:v>3.9</x:v>
      </x:c>
      <x:c r="J2090" t="n">
        <x:v>20</x:v>
      </x:c>
      <x:c r="K2090" t="n">
        <x:v>5</x:v>
      </x:c>
      <x:c r="L2090" t="str">
        <x:v>STORE-001</x:v>
      </x:c>
      <x:c r="M2090" s="22" t="n">
        <x:v>45982</x:v>
      </x:c>
      <x:c r="N2090" t="str">
        <x:v>SKU-028</x:v>
      </x:c>
      <x:c r="O2090" t="n">
        <x:v>1</x:v>
      </x:c>
      <x:c r="P2090" s="26" t="n">
        <x:f>F2090/O2090</x:f>
        <x:v>141.18</x:v>
      </x:c>
    </x:row>
    <x:row r="2091">
      <x:c r="A2091" t="n">
        <x:v>2090</x:v>
      </x:c>
      <x:c r="B2091" t="n">
        <x:v>45</x:v>
      </x:c>
      <x:c r="C2091" t="str">
        <x:v>Male</x:v>
      </x:c>
      <x:c r="D2091" t="str">
        <x:v>Footwear</x:v>
      </x:c>
      <x:c r="E2091" t="str">
        <x:v>Sneakers</x:v>
      </x:c>
      <x:c r="F2091" s="24" t="n">
        <x:v>178.77</x:v>
      </x:c>
      <x:c r="G2091" t="str">
        <x:v>Summer</x:v>
      </x:c>
      <x:c r="H2091" t="str">
        <x:v>Card</x:v>
      </x:c>
      <x:c r="I2091" t="n">
        <x:v>4.2</x:v>
      </x:c>
      <x:c r="J2091" t="n">
        <x:v>12</x:v>
      </x:c>
      <x:c r="K2091" t="n">
        <x:v>1</x:v>
      </x:c>
      <x:c r="L2091" t="str">
        <x:v>STORE-001</x:v>
      </x:c>
      <x:c r="M2091" s="22" t="n">
        <x:v>46066</x:v>
      </x:c>
      <x:c r="N2091" t="str">
        <x:v>SKU-025</x:v>
      </x:c>
      <x:c r="O2091" t="n">
        <x:v>2</x:v>
      </x:c>
      <x:c r="P2091" s="26" t="n">
        <x:f>F2091/O2091</x:f>
        <x:v>89.385</x:v>
      </x:c>
    </x:row>
    <x:row r="2092">
      <x:c r="A2092" t="n">
        <x:v>2091</x:v>
      </x:c>
      <x:c r="B2092" t="n">
        <x:v>30</x:v>
      </x:c>
      <x:c r="C2092" t="str">
        <x:v>Male</x:v>
      </x:c>
      <x:c r="D2092" t="str">
        <x:v>Footwear</x:v>
      </x:c>
      <x:c r="E2092" t="str">
        <x:v>Sandals</x:v>
      </x:c>
      <x:c r="F2092" s="24" t="n">
        <x:v>109.01</x:v>
      </x:c>
      <x:c r="G2092" t="str">
        <x:v>Summer</x:v>
      </x:c>
      <x:c r="H2092" t="str">
        <x:v>Card</x:v>
      </x:c>
      <x:c r="I2092" t="n">
        <x:v>2.5</x:v>
      </x:c>
      <x:c r="J2092" t="n">
        <x:v>20</x:v>
      </x:c>
      <x:c r="K2092" t="n">
        <x:v>5</x:v>
      </x:c>
      <x:c r="L2092" t="str">
        <x:v>STORE-001</x:v>
      </x:c>
      <x:c r="M2092" s="22" t="n">
        <x:v>46031</x:v>
      </x:c>
      <x:c r="N2092" t="str">
        <x:v>SKU-019</x:v>
      </x:c>
      <x:c r="O2092" t="n">
        <x:v>1</x:v>
      </x:c>
      <x:c r="P2092" s="26" t="n">
        <x:f>F2092/O2092</x:f>
        <x:v>109.01</x:v>
      </x:c>
    </x:row>
    <x:row r="2093">
      <x:c r="A2093" t="n">
        <x:v>2092</x:v>
      </x:c>
      <x:c r="B2093" t="n">
        <x:v>28</x:v>
      </x:c>
      <x:c r="C2093" t="str">
        <x:v>Female</x:v>
      </x:c>
      <x:c r="D2093" t="str">
        <x:v>Accessories</x:v>
      </x:c>
      <x:c r="E2093" t="str">
        <x:v>Wallet</x:v>
      </x:c>
      <x:c r="F2093" s="24" t="n">
        <x:v>167.86</x:v>
      </x:c>
      <x:c r="G2093" t="str">
        <x:v>Spring</x:v>
      </x:c>
      <x:c r="H2093" t="str">
        <x:v>Card</x:v>
      </x:c>
      <x:c r="I2093" t="n">
        <x:v>4.1</x:v>
      </x:c>
      <x:c r="J2093" t="n">
        <x:v>12</x:v>
      </x:c>
      <x:c r="K2093" t="n">
        <x:v>6</x:v>
      </x:c>
      <x:c r="L2093" t="str">
        <x:v>STORE-001</x:v>
      </x:c>
      <x:c r="M2093" s="22" t="n">
        <x:v>46294</x:v>
      </x:c>
      <x:c r="N2093" t="str">
        <x:v>SKU-029</x:v>
      </x:c>
      <x:c r="O2093" t="n">
        <x:v>2</x:v>
      </x:c>
      <x:c r="P2093" s="26" t="n">
        <x:f>F2093/O2093</x:f>
        <x:v>83.93</x:v>
      </x:c>
    </x:row>
    <x:row r="2094">
      <x:c r="A2094" t="n">
        <x:v>2093</x:v>
      </x:c>
      <x:c r="B2094" t="n">
        <x:v>49</x:v>
      </x:c>
      <x:c r="C2094" t="str">
        <x:v>Female</x:v>
      </x:c>
      <x:c r="D2094" t="str">
        <x:v>Beauty</x:v>
      </x:c>
      <x:c r="E2094" t="str">
        <x:v>Skincare Kit</x:v>
      </x:c>
      <x:c r="F2094" s="24" t="n">
        <x:v>115.21</x:v>
      </x:c>
      <x:c r="G2094" t="str">
        <x:v>Autumn</x:v>
      </x:c>
      <x:c r="H2094" t="str">
        <x:v>Card</x:v>
      </x:c>
      <x:c r="I2094" t="n">
        <x:v>3.4</x:v>
      </x:c>
      <x:c r="J2094" t="n">
        <x:v>9</x:v>
      </x:c>
      <x:c r="K2094" t="n">
        <x:v>2</x:v>
      </x:c>
      <x:c r="L2094" t="str">
        <x:v>STORE-001</x:v>
      </x:c>
      <x:c r="M2094" s="22" t="n">
        <x:v>46140</x:v>
      </x:c>
      <x:c r="N2094" t="str">
        <x:v>SKU-021</x:v>
      </x:c>
      <x:c r="O2094" t="n">
        <x:v>3</x:v>
      </x:c>
      <x:c r="P2094" s="26" t="n">
        <x:f>F2094/O2094</x:f>
        <x:v>38.40333333333333</x:v>
      </x:c>
    </x:row>
    <x:row r="2095">
      <x:c r="A2095" t="n">
        <x:v>2094</x:v>
      </x:c>
      <x:c r="B2095" t="n">
        <x:v>61</x:v>
      </x:c>
      <x:c r="C2095" t="str">
        <x:v>Female</x:v>
      </x:c>
      <x:c r="D2095" t="str">
        <x:v>Footwear</x:v>
      </x:c>
      <x:c r="E2095" t="str">
        <x:v>Sandals</x:v>
      </x:c>
      <x:c r="F2095" s="24" t="n">
        <x:v>54</x:v>
      </x:c>
      <x:c r="G2095" t="str">
        <x:v>Summer</x:v>
      </x:c>
      <x:c r="H2095" t="str">
        <x:v>Card</x:v>
      </x:c>
      <x:c r="I2095" t="n">
        <x:v>2</x:v>
      </x:c>
      <x:c r="J2095" t="n">
        <x:v>13</x:v>
      </x:c>
      <x:c r="K2095" t="n">
        <x:v>4</x:v>
      </x:c>
      <x:c r="L2095" t="str">
        <x:v>STORE-001</x:v>
      </x:c>
      <x:c r="M2095" s="22" t="n">
        <x:v>46044</x:v>
      </x:c>
      <x:c r="N2095" t="str">
        <x:v>SKU-019</x:v>
      </x:c>
      <x:c r="O2095" t="n">
        <x:v>2</x:v>
      </x:c>
      <x:c r="P2095" s="26" t="n">
        <x:f>F2095/O2095</x:f>
        <x:v>27</x:v>
      </x:c>
    </x:row>
    <x:row r="2096">
      <x:c r="A2096" t="n">
        <x:v>2095</x:v>
      </x:c>
      <x:c r="B2096" t="n">
        <x:v>46</x:v>
      </x:c>
      <x:c r="C2096" t="str">
        <x:v>Male</x:v>
      </x:c>
      <x:c r="D2096" t="str">
        <x:v>Electronics</x:v>
      </x:c>
      <x:c r="E2096" t="str">
        <x:v>Laptop</x:v>
      </x:c>
      <x:c r="F2096" s="24" t="n">
        <x:v>2492.66</x:v>
      </x:c>
      <x:c r="G2096" t="str">
        <x:v>Summer</x:v>
      </x:c>
      <x:c r="H2096" t="str">
        <x:v>Card</x:v>
      </x:c>
      <x:c r="I2096" t="n">
        <x:v>3.3</x:v>
      </x:c>
      <x:c r="J2096" t="n">
        <x:v>12</x:v>
      </x:c>
      <x:c r="K2096" t="n">
        <x:v>6</x:v>
      </x:c>
      <x:c r="L2096" t="str">
        <x:v>STORE-001</x:v>
      </x:c>
      <x:c r="M2096" s="22" t="n">
        <x:v>46014</x:v>
      </x:c>
      <x:c r="N2096" t="str">
        <x:v>SKU-014</x:v>
      </x:c>
      <x:c r="O2096" t="n">
        <x:v>1</x:v>
      </x:c>
      <x:c r="P2096" s="26" t="n">
        <x:f>F2096/O2096</x:f>
        <x:v>2492.66</x:v>
      </x:c>
    </x:row>
    <x:row r="2097">
      <x:c r="A2097" t="n">
        <x:v>2096</x:v>
      </x:c>
      <x:c r="B2097" t="n">
        <x:v>64</x:v>
      </x:c>
      <x:c r="C2097" t="str">
        <x:v>Female</x:v>
      </x:c>
      <x:c r="D2097" t="str">
        <x:v>Beauty</x:v>
      </x:c>
      <x:c r="E2097" t="str">
        <x:v>Skincare Kit</x:v>
      </x:c>
      <x:c r="F2097" s="24" t="n">
        <x:v>124.33</x:v>
      </x:c>
      <x:c r="G2097" t="str">
        <x:v>Spring</x:v>
      </x:c>
      <x:c r="H2097" t="str">
        <x:v>Card</x:v>
      </x:c>
      <x:c r="I2097" t="n">
        <x:v>4</x:v>
      </x:c>
      <x:c r="J2097" t="n">
        <x:v>18</x:v>
      </x:c>
      <x:c r="K2097" t="n">
        <x:v>4</x:v>
      </x:c>
      <x:c r="L2097" t="str">
        <x:v>STORE-001</x:v>
      </x:c>
      <x:c r="M2097" s="22" t="n">
        <x:v>45986</x:v>
      </x:c>
      <x:c r="N2097" t="str">
        <x:v>SKU-021</x:v>
      </x:c>
      <x:c r="O2097" t="n">
        <x:v>1</x:v>
      </x:c>
      <x:c r="P2097" s="26" t="n">
        <x:f>F2097/O2097</x:f>
        <x:v>124.33</x:v>
      </x:c>
    </x:row>
    <x:row r="2098">
      <x:c r="A2098" t="n">
        <x:v>2097</x:v>
      </x:c>
      <x:c r="B2098" t="n">
        <x:v>69</x:v>
      </x:c>
      <x:c r="C2098" t="str">
        <x:v>Female</x:v>
      </x:c>
      <x:c r="D2098" t="str">
        <x:v>Sports</x:v>
      </x:c>
      <x:c r="E2098" t="str">
        <x:v>Dumbbells</x:v>
      </x:c>
      <x:c r="F2098" s="24" t="n">
        <x:v>238.61</x:v>
      </x:c>
      <x:c r="G2098" t="str">
        <x:v>Summer</x:v>
      </x:c>
      <x:c r="H2098" t="str">
        <x:v>Card</x:v>
      </x:c>
      <x:c r="I2098" t="n">
        <x:v>5</x:v>
      </x:c>
      <x:c r="J2098" t="n">
        <x:v>18</x:v>
      </x:c>
      <x:c r="K2098" t="n">
        <x:v>4</x:v>
      </x:c>
      <x:c r="L2098" t="str">
        <x:v>STORE-001</x:v>
      </x:c>
      <x:c r="M2098" s="22" t="n">
        <x:v>46027</x:v>
      </x:c>
      <x:c r="N2098" t="str">
        <x:v>SKU-005</x:v>
      </x:c>
      <x:c r="O2098" t="n">
        <x:v>3</x:v>
      </x:c>
      <x:c r="P2098" s="26" t="n">
        <x:f>F2098/O2098</x:f>
        <x:v>79.53666666666668</x:v>
      </x:c>
    </x:row>
    <x:row r="2099">
      <x:c r="A2099" t="n">
        <x:v>2098</x:v>
      </x:c>
      <x:c r="B2099" t="n">
        <x:v>64</x:v>
      </x:c>
      <x:c r="C2099" t="str">
        <x:v>Male</x:v>
      </x:c>
      <x:c r="D2099" t="str">
        <x:v>Footwear</x:v>
      </x:c>
      <x:c r="E2099" t="str">
        <x:v>Sandals</x:v>
      </x:c>
      <x:c r="F2099" s="24" t="n">
        <x:v>93.33</x:v>
      </x:c>
      <x:c r="G2099" t="str">
        <x:v>Autumn</x:v>
      </x:c>
      <x:c r="H2099" t="str">
        <x:v>Cash on Delivery</x:v>
      </x:c>
      <x:c r="I2099" t="n">
        <x:v>3.7</x:v>
      </x:c>
      <x:c r="J2099" t="n">
        <x:v>14</x:v>
      </x:c>
      <x:c r="K2099" t="n">
        <x:v>2</x:v>
      </x:c>
      <x:c r="L2099" t="str">
        <x:v>STORE-001</x:v>
      </x:c>
      <x:c r="M2099" s="22" t="n">
        <x:v>46090</x:v>
      </x:c>
      <x:c r="N2099" t="str">
        <x:v>SKU-019</x:v>
      </x:c>
      <x:c r="O2099" t="n">
        <x:v>2</x:v>
      </x:c>
      <x:c r="P2099" s="26" t="n">
        <x:f>F2099/O2099</x:f>
        <x:v>46.665</x:v>
      </x:c>
    </x:row>
    <x:row r="2100">
      <x:c r="A2100" t="n">
        <x:v>2099</x:v>
      </x:c>
      <x:c r="B2100" t="n">
        <x:v>54</x:v>
      </x:c>
      <x:c r="C2100" t="str">
        <x:v>Male</x:v>
      </x:c>
      <x:c r="D2100" t="str">
        <x:v>Groceries</x:v>
      </x:c>
      <x:c r="E2100" t="str">
        <x:v>Rice Pack</x:v>
      </x:c>
      <x:c r="F2100" s="24" t="n">
        <x:v>63.11</x:v>
      </x:c>
      <x:c r="G2100" t="str">
        <x:v>Autumn</x:v>
      </x:c>
      <x:c r="H2100" t="str">
        <x:v>Cash on Delivery</x:v>
      </x:c>
      <x:c r="I2100" t="n">
        <x:v>5</x:v>
      </x:c>
      <x:c r="J2100" t="n">
        <x:v>24</x:v>
      </x:c>
      <x:c r="K2100" t="n">
        <x:v>7</x:v>
      </x:c>
      <x:c r="L2100" t="str">
        <x:v>STORE-001</x:v>
      </x:c>
      <x:c r="M2100" s="22" t="n">
        <x:v>46089</x:v>
      </x:c>
      <x:c r="N2100" t="str">
        <x:v>SKU-018</x:v>
      </x:c>
      <x:c r="O2100" t="n">
        <x:v>2</x:v>
      </x:c>
      <x:c r="P2100" s="26" t="n">
        <x:f>F2100/O2100</x:f>
        <x:v>31.555</x:v>
      </x:c>
    </x:row>
    <x:row r="2101">
      <x:c r="A2101" t="n">
        <x:v>2100</x:v>
      </x:c>
      <x:c r="B2101" t="n">
        <x:v>35</x:v>
      </x:c>
      <x:c r="C2101" t="str">
        <x:v>Male</x:v>
      </x:c>
      <x:c r="D2101" t="str">
        <x:v>Mens Clothing</x:v>
      </x:c>
      <x:c r="E2101" t="str">
        <x:v>Shirt</x:v>
      </x:c>
      <x:c r="F2101" s="24" t="n">
        <x:v>187.27</x:v>
      </x:c>
      <x:c r="G2101" t="str">
        <x:v>Summer</x:v>
      </x:c>
      <x:c r="H2101" t="str">
        <x:v>Card</x:v>
      </x:c>
      <x:c r="I2101" t="n">
        <x:v>4.4</x:v>
      </x:c>
      <x:c r="J2101" t="n">
        <x:v>20</x:v>
      </x:c>
      <x:c r="K2101" t="n">
        <x:v>5</x:v>
      </x:c>
      <x:c r="L2101" t="str">
        <x:v>STORE-001</x:v>
      </x:c>
      <x:c r="M2101" s="22" t="n">
        <x:v>46078</x:v>
      </x:c>
      <x:c r="N2101" t="str">
        <x:v>SKU-020</x:v>
      </x:c>
      <x:c r="O2101" t="n">
        <x:v>1</x:v>
      </x:c>
      <x:c r="P2101" s="26" t="n">
        <x:f>F2101/O2101</x:f>
        <x:v>187.27</x:v>
      </x:c>
    </x:row>
    <x:row r="2102">
      <x:c r="A2102" t="n">
        <x:v>2101</x:v>
      </x:c>
      <x:c r="B2102" t="n">
        <x:v>62</x:v>
      </x:c>
      <x:c r="C2102" t="str">
        <x:v>Female</x:v>
      </x:c>
      <x:c r="D2102" t="str">
        <x:v>Footwear</x:v>
      </x:c>
      <x:c r="E2102" t="str">
        <x:v>Sandals</x:v>
      </x:c>
      <x:c r="F2102" s="24" t="n">
        <x:v>106.67</x:v>
      </x:c>
      <x:c r="G2102" t="str">
        <x:v>Spring</x:v>
      </x:c>
      <x:c r="H2102" t="str">
        <x:v>Card</x:v>
      </x:c>
      <x:c r="I2102" t="n">
        <x:v>3.3</x:v>
      </x:c>
      <x:c r="J2102" t="n">
        <x:v>16</x:v>
      </x:c>
      <x:c r="K2102" t="n">
        <x:v>8</x:v>
      </x:c>
      <x:c r="L2102" t="str">
        <x:v>STORE-001</x:v>
      </x:c>
      <x:c r="M2102" s="22" t="n">
        <x:v>46270</x:v>
      </x:c>
      <x:c r="N2102" t="str">
        <x:v>SKU-019</x:v>
      </x:c>
      <x:c r="O2102" t="n">
        <x:v>1</x:v>
      </x:c>
      <x:c r="P2102" s="26" t="n">
        <x:f>F2102/O2102</x:f>
        <x:v>106.67</x:v>
      </x:c>
    </x:row>
    <x:row r="2103">
      <x:c r="A2103" t="n">
        <x:v>2102</x:v>
      </x:c>
      <x:c r="B2103" t="n">
        <x:v>63</x:v>
      </x:c>
      <x:c r="C2103" t="str">
        <x:v>Male</x:v>
      </x:c>
      <x:c r="D2103" t="str">
        <x:v>Mens Clothing</x:v>
      </x:c>
      <x:c r="E2103" t="str">
        <x:v>T-Shirt</x:v>
      </x:c>
      <x:c r="F2103" s="24" t="n">
        <x:v>52.94</x:v>
      </x:c>
      <x:c r="G2103" t="str">
        <x:v>Spring</x:v>
      </x:c>
      <x:c r="H2103" t="str">
        <x:v>Card</x:v>
      </x:c>
      <x:c r="I2103" t="n">
        <x:v>4.3</x:v>
      </x:c>
      <x:c r="J2103" t="n">
        <x:v>15</x:v>
      </x:c>
      <x:c r="K2103" t="n">
        <x:v>5</x:v>
      </x:c>
      <x:c r="L2103" t="str">
        <x:v>STORE-001</x:v>
      </x:c>
      <x:c r="M2103" s="22" t="n">
        <x:v>46277</x:v>
      </x:c>
      <x:c r="N2103" t="str">
        <x:v>SKU-027</x:v>
      </x:c>
      <x:c r="O2103" t="n">
        <x:v>1</x:v>
      </x:c>
      <x:c r="P2103" s="26" t="n">
        <x:f>F2103/O2103</x:f>
        <x:v>52.94</x:v>
      </x:c>
    </x:row>
    <x:row r="2104">
      <x:c r="A2104" t="n">
        <x:v>2103</x:v>
      </x:c>
      <x:c r="B2104" t="n">
        <x:v>56</x:v>
      </x:c>
      <x:c r="C2104" t="str">
        <x:v>Male</x:v>
      </x:c>
      <x:c r="D2104" t="str">
        <x:v>Mens Clothing</x:v>
      </x:c>
      <x:c r="E2104" t="str">
        <x:v>T-Shirt</x:v>
      </x:c>
      <x:c r="F2104" s="24" t="n">
        <x:v>124.47</x:v>
      </x:c>
      <x:c r="G2104" t="str">
        <x:v>Autumn</x:v>
      </x:c>
      <x:c r="H2104" t="str">
        <x:v>Card</x:v>
      </x:c>
      <x:c r="I2104" t="n">
        <x:v>3.6</x:v>
      </x:c>
      <x:c r="J2104" t="n">
        <x:v>12</x:v>
      </x:c>
      <x:c r="K2104" t="n">
        <x:v>6</x:v>
      </x:c>
      <x:c r="L2104" t="str">
        <x:v>STORE-001</x:v>
      </x:c>
      <x:c r="M2104" s="22" t="n">
        <x:v>46117</x:v>
      </x:c>
      <x:c r="N2104" t="str">
        <x:v>SKU-027</x:v>
      </x:c>
      <x:c r="O2104" t="n">
        <x:v>1</x:v>
      </x:c>
      <x:c r="P2104" s="26" t="n">
        <x:f>F2104/O2104</x:f>
        <x:v>124.47</x:v>
      </x:c>
    </x:row>
    <x:row r="2105">
      <x:c r="A2105" t="n">
        <x:v>2104</x:v>
      </x:c>
      <x:c r="B2105" t="n">
        <x:v>36</x:v>
      </x:c>
      <x:c r="C2105" t="str">
        <x:v>Female</x:v>
      </x:c>
      <x:c r="D2105" t="str">
        <x:v>Womens Clothing</x:v>
      </x:c>
      <x:c r="E2105" t="str">
        <x:v>Dress</x:v>
      </x:c>
      <x:c r="F2105" s="24" t="n">
        <x:v>165.8</x:v>
      </x:c>
      <x:c r="G2105" t="str">
        <x:v>Spring</x:v>
      </x:c>
      <x:c r="H2105" t="str">
        <x:v>Card</x:v>
      </x:c>
      <x:c r="I2105" t="n">
        <x:v>3.5</x:v>
      </x:c>
      <x:c r="J2105" t="n">
        <x:v>22</x:v>
      </x:c>
      <x:c r="K2105" t="n">
        <x:v>6</x:v>
      </x:c>
      <x:c r="L2105" t="str">
        <x:v>STORE-001</x:v>
      </x:c>
      <x:c r="M2105" s="22" t="n">
        <x:v>45968</x:v>
      </x:c>
      <x:c r="N2105" t="str">
        <x:v>SKU-004</x:v>
      </x:c>
      <x:c r="O2105" t="n">
        <x:v>1</x:v>
      </x:c>
      <x:c r="P2105" s="26" t="n">
        <x:f>F2105/O2105</x:f>
        <x:v>165.8</x:v>
      </x:c>
    </x:row>
    <x:row r="2106">
      <x:c r="A2106" t="n">
        <x:v>2105</x:v>
      </x:c>
      <x:c r="B2106" t="n">
        <x:v>30</x:v>
      </x:c>
      <x:c r="C2106" t="str">
        <x:v>Female</x:v>
      </x:c>
      <x:c r="D2106" t="str">
        <x:v>Accessories</x:v>
      </x:c>
      <x:c r="E2106" t="str">
        <x:v>Handbag</x:v>
      </x:c>
      <x:c r="F2106" s="24" t="n">
        <x:v>103.79</x:v>
      </x:c>
      <x:c r="G2106" t="str">
        <x:v>Autumn</x:v>
      </x:c>
      <x:c r="H2106" t="str">
        <x:v>Card</x:v>
      </x:c>
      <x:c r="I2106" t="n">
        <x:v>3.3</x:v>
      </x:c>
      <x:c r="J2106" t="n">
        <x:v>14</x:v>
      </x:c>
      <x:c r="K2106" t="n">
        <x:v>7</x:v>
      </x:c>
      <x:c r="L2106" t="str">
        <x:v>STORE-001</x:v>
      </x:c>
      <x:c r="M2106" s="22" t="n">
        <x:v>46085</x:v>
      </x:c>
      <x:c r="N2106" t="str">
        <x:v>SKU-008</x:v>
      </x:c>
      <x:c r="O2106" t="n">
        <x:v>1</x:v>
      </x:c>
      <x:c r="P2106" s="26" t="n">
        <x:f>F2106/O2106</x:f>
        <x:v>103.79</x:v>
      </x:c>
    </x:row>
    <x:row r="2107">
      <x:c r="A2107" t="n">
        <x:v>2106</x:v>
      </x:c>
      <x:c r="B2107" t="n">
        <x:v>20</x:v>
      </x:c>
      <x:c r="C2107" t="str">
        <x:v>Male</x:v>
      </x:c>
      <x:c r="D2107" t="str">
        <x:v>Electronics</x:v>
      </x:c>
      <x:c r="E2107" t="str">
        <x:v>Laptop</x:v>
      </x:c>
      <x:c r="F2107" s="24" t="n">
        <x:v>647.02</x:v>
      </x:c>
      <x:c r="G2107" t="str">
        <x:v>Spring</x:v>
      </x:c>
      <x:c r="H2107" t="str">
        <x:v>Card</x:v>
      </x:c>
      <x:c r="I2107" t="n">
        <x:v>3.5</x:v>
      </x:c>
      <x:c r="J2107" t="n">
        <x:v>10</x:v>
      </x:c>
      <x:c r="K2107" t="n">
        <x:v>5</x:v>
      </x:c>
      <x:c r="L2107" t="str">
        <x:v>STORE-001</x:v>
      </x:c>
      <x:c r="M2107" s="22" t="n">
        <x:v>45987</x:v>
      </x:c>
      <x:c r="N2107" t="str">
        <x:v>SKU-014</x:v>
      </x:c>
      <x:c r="O2107" t="n">
        <x:v>2</x:v>
      </x:c>
      <x:c r="P2107" s="26" t="n">
        <x:f>F2107/O2107</x:f>
        <x:v>323.51</x:v>
      </x:c>
    </x:row>
    <x:row r="2108">
      <x:c r="A2108" t="n">
        <x:v>2107</x:v>
      </x:c>
      <x:c r="B2108" t="n">
        <x:v>57</x:v>
      </x:c>
      <x:c r="C2108" t="str">
        <x:v>Male</x:v>
      </x:c>
      <x:c r="D2108" t="str">
        <x:v>Sports</x:v>
      </x:c>
      <x:c r="E2108" t="str">
        <x:v>Dumbbells</x:v>
      </x:c>
      <x:c r="F2108" s="24" t="n">
        <x:v>70.3</x:v>
      </x:c>
      <x:c r="G2108" t="str">
        <x:v>Spring</x:v>
      </x:c>
      <x:c r="H2108" t="str">
        <x:v>Cash on Delivery</x:v>
      </x:c>
      <x:c r="I2108" t="n">
        <x:v>3.9</x:v>
      </x:c>
      <x:c r="J2108" t="n">
        <x:v>17</x:v>
      </x:c>
      <x:c r="K2108" t="n">
        <x:v>6</x:v>
      </x:c>
      <x:c r="L2108" t="str">
        <x:v>STORE-001</x:v>
      </x:c>
      <x:c r="M2108" s="22" t="n">
        <x:v>45943</x:v>
      </x:c>
      <x:c r="N2108" t="str">
        <x:v>SKU-005</x:v>
      </x:c>
      <x:c r="O2108" t="n">
        <x:v>1</x:v>
      </x:c>
      <x:c r="P2108" s="26" t="n">
        <x:f>F2108/O2108</x:f>
        <x:v>70.3</x:v>
      </x:c>
    </x:row>
    <x:row r="2109">
      <x:c r="A2109" t="n">
        <x:v>2108</x:v>
      </x:c>
      <x:c r="B2109" t="n">
        <x:v>38</x:v>
      </x:c>
      <x:c r="C2109" t="str">
        <x:v>Male</x:v>
      </x:c>
      <x:c r="D2109" t="str">
        <x:v>Electronics</x:v>
      </x:c>
      <x:c r="E2109" t="str">
        <x:v>Laptop</x:v>
      </x:c>
      <x:c r="F2109" s="24" t="n">
        <x:v>1795.05</x:v>
      </x:c>
      <x:c r="G2109" t="str">
        <x:v>Winter</x:v>
      </x:c>
      <x:c r="H2109" t="str">
        <x:v>Card</x:v>
      </x:c>
      <x:c r="I2109" t="n">
        <x:v>3.6</x:v>
      </x:c>
      <x:c r="J2109" t="n">
        <x:v>18</x:v>
      </x:c>
      <x:c r="K2109" t="n">
        <x:v>4</x:v>
      </x:c>
      <x:c r="L2109" t="str">
        <x:v>STORE-001</x:v>
      </x:c>
      <x:c r="M2109" s="22" t="n">
        <x:v>46265</x:v>
      </x:c>
      <x:c r="N2109" t="str">
        <x:v>SKU-014</x:v>
      </x:c>
      <x:c r="O2109" t="n">
        <x:v>1</x:v>
      </x:c>
      <x:c r="P2109" s="26" t="n">
        <x:f>F2109/O2109</x:f>
        <x:v>1795.05</x:v>
      </x:c>
    </x:row>
    <x:row r="2110">
      <x:c r="A2110" t="n">
        <x:v>2109</x:v>
      </x:c>
      <x:c r="B2110" t="n">
        <x:v>64</x:v>
      </x:c>
      <x:c r="C2110" t="str">
        <x:v>Female</x:v>
      </x:c>
      <x:c r="D2110" t="str">
        <x:v>Footwear</x:v>
      </x:c>
      <x:c r="E2110" t="str">
        <x:v>Formal Shoes</x:v>
      </x:c>
      <x:c r="F2110" s="24" t="n">
        <x:v>247.74</x:v>
      </x:c>
      <x:c r="G2110" t="str">
        <x:v>Spring</x:v>
      </x:c>
      <x:c r="H2110" t="str">
        <x:v>Card</x:v>
      </x:c>
      <x:c r="I2110" t="n">
        <x:v>3.6</x:v>
      </x:c>
      <x:c r="J2110" t="n">
        <x:v>19</x:v>
      </x:c>
      <x:c r="K2110" t="n">
        <x:v>7</x:v>
      </x:c>
      <x:c r="L2110" t="str">
        <x:v>STORE-001</x:v>
      </x:c>
      <x:c r="M2110" s="22" t="n">
        <x:v>46290</x:v>
      </x:c>
      <x:c r="N2110" t="str">
        <x:v>SKU-007</x:v>
      </x:c>
      <x:c r="O2110" t="n">
        <x:v>1</x:v>
      </x:c>
      <x:c r="P2110" s="26" t="n">
        <x:f>F2110/O2110</x:f>
        <x:v>247.74</x:v>
      </x:c>
    </x:row>
    <x:row r="2111">
      <x:c r="A2111" t="n">
        <x:v>2110</x:v>
      </x:c>
      <x:c r="B2111" t="n">
        <x:v>54</x:v>
      </x:c>
      <x:c r="C2111" t="str">
        <x:v>Female</x:v>
      </x:c>
      <x:c r="D2111" t="str">
        <x:v>Accessories</x:v>
      </x:c>
      <x:c r="E2111" t="str">
        <x:v>Wallet</x:v>
      </x:c>
      <x:c r="F2111" s="24" t="n">
        <x:v>161.25</x:v>
      </x:c>
      <x:c r="G2111" t="str">
        <x:v>Summer</x:v>
      </x:c>
      <x:c r="H2111" t="str">
        <x:v>Card</x:v>
      </x:c>
      <x:c r="I2111" t="n">
        <x:v>3.8</x:v>
      </x:c>
      <x:c r="J2111" t="n">
        <x:v>15</x:v>
      </x:c>
      <x:c r="K2111" t="n">
        <x:v>5</x:v>
      </x:c>
      <x:c r="L2111" t="str">
        <x:v>STORE-001</x:v>
      </x:c>
      <x:c r="M2111" s="22" t="n">
        <x:v>45996</x:v>
      </x:c>
      <x:c r="N2111" t="str">
        <x:v>SKU-029</x:v>
      </x:c>
      <x:c r="O2111" t="n">
        <x:v>1</x:v>
      </x:c>
      <x:c r="P2111" s="26" t="n">
        <x:f>F2111/O2111</x:f>
        <x:v>161.25</x:v>
      </x:c>
    </x:row>
    <x:row r="2112">
      <x:c r="A2112" t="n">
        <x:v>2111</x:v>
      </x:c>
      <x:c r="B2112" t="n">
        <x:v>70</x:v>
      </x:c>
      <x:c r="C2112" t="str">
        <x:v>Female</x:v>
      </x:c>
      <x:c r="D2112" t="str">
        <x:v>Beauty</x:v>
      </x:c>
      <x:c r="E2112" t="str">
        <x:v>Skincare Kit</x:v>
      </x:c>
      <x:c r="F2112" s="24" t="n">
        <x:v>75.11</x:v>
      </x:c>
      <x:c r="G2112" t="str">
        <x:v>Summer</x:v>
      </x:c>
      <x:c r="H2112" t="str">
        <x:v>Cash on Delivery</x:v>
      </x:c>
      <x:c r="I2112" t="n">
        <x:v>4.2</x:v>
      </x:c>
      <x:c r="J2112" t="n">
        <x:v>16</x:v>
      </x:c>
      <x:c r="K2112" t="n">
        <x:v>3</x:v>
      </x:c>
      <x:c r="L2112" t="str">
        <x:v>STORE-001</x:v>
      </x:c>
      <x:c r="M2112" s="22" t="n">
        <x:v>46067</x:v>
      </x:c>
      <x:c r="N2112" t="str">
        <x:v>SKU-021</x:v>
      </x:c>
      <x:c r="O2112" t="n">
        <x:v>2</x:v>
      </x:c>
      <x:c r="P2112" s="26" t="n">
        <x:f>F2112/O2112</x:f>
        <x:v>37.555</x:v>
      </x:c>
    </x:row>
    <x:row r="2113">
      <x:c r="A2113" t="n">
        <x:v>2112</x:v>
      </x:c>
      <x:c r="B2113" t="n">
        <x:v>28</x:v>
      </x:c>
      <x:c r="C2113" t="str">
        <x:v>Male</x:v>
      </x:c>
      <x:c r="D2113" t="str">
        <x:v>Mens Clothing</x:v>
      </x:c>
      <x:c r="E2113" t="str">
        <x:v>Shirt</x:v>
      </x:c>
      <x:c r="F2113" s="24" t="n">
        <x:v>47.83</x:v>
      </x:c>
      <x:c r="G2113" t="str">
        <x:v>Winter</x:v>
      </x:c>
      <x:c r="H2113" t="str">
        <x:v>Card</x:v>
      </x:c>
      <x:c r="I2113" t="n">
        <x:v>2.2</x:v>
      </x:c>
      <x:c r="J2113" t="n">
        <x:v>16</x:v>
      </x:c>
      <x:c r="K2113" t="n">
        <x:v>3</x:v>
      </x:c>
      <x:c r="L2113" t="str">
        <x:v>STORE-001</x:v>
      </x:c>
      <x:c r="M2113" s="22" t="n">
        <x:v>46259</x:v>
      </x:c>
      <x:c r="N2113" t="str">
        <x:v>SKU-020</x:v>
      </x:c>
      <x:c r="O2113" t="n">
        <x:v>1</x:v>
      </x:c>
      <x:c r="P2113" s="26" t="n">
        <x:f>F2113/O2113</x:f>
        <x:v>47.83</x:v>
      </x:c>
    </x:row>
    <x:row r="2114">
      <x:c r="A2114" t="n">
        <x:v>2113</x:v>
      </x:c>
      <x:c r="B2114" t="n">
        <x:v>65</x:v>
      </x:c>
      <x:c r="C2114" t="str">
        <x:v>Male</x:v>
      </x:c>
      <x:c r="D2114" t="str">
        <x:v>Home</x:v>
      </x:c>
      <x:c r="E2114" t="str">
        <x:v>Kitchen Set</x:v>
      </x:c>
      <x:c r="F2114" s="24" t="n">
        <x:v>214.25</x:v>
      </x:c>
      <x:c r="G2114" t="str">
        <x:v>Autumn</x:v>
      </x:c>
      <x:c r="H2114" t="str">
        <x:v>Card</x:v>
      </x:c>
      <x:c r="I2114" t="n">
        <x:v>3.1</x:v>
      </x:c>
      <x:c r="J2114" t="n">
        <x:v>9</x:v>
      </x:c>
      <x:c r="K2114" t="n">
        <x:v>2</x:v>
      </x:c>
      <x:c r="L2114" t="str">
        <x:v>STORE-001</x:v>
      </x:c>
      <x:c r="M2114" s="22" t="n">
        <x:v>46126</x:v>
      </x:c>
      <x:c r="N2114" t="str">
        <x:v>SKU-012</x:v>
      </x:c>
      <x:c r="O2114" t="n">
        <x:v>2</x:v>
      </x:c>
      <x:c r="P2114" s="26" t="n">
        <x:f>F2114/O2114</x:f>
        <x:v>107.125</x:v>
      </x:c>
    </x:row>
    <x:row r="2115">
      <x:c r="A2115" t="n">
        <x:v>2114</x:v>
      </x:c>
      <x:c r="B2115" t="n">
        <x:v>42</x:v>
      </x:c>
      <x:c r="C2115" t="str">
        <x:v>Male</x:v>
      </x:c>
      <x:c r="D2115" t="str">
        <x:v>Footwear</x:v>
      </x:c>
      <x:c r="E2115" t="str">
        <x:v>Formal Shoes</x:v>
      </x:c>
      <x:c r="F2115" s="24" t="n">
        <x:v>246.94</x:v>
      </x:c>
      <x:c r="G2115" t="str">
        <x:v>Autumn</x:v>
      </x:c>
      <x:c r="H2115" t="str">
        <x:v>Card</x:v>
      </x:c>
      <x:c r="I2115" t="n">
        <x:v>2.5</x:v>
      </x:c>
      <x:c r="J2115" t="n">
        <x:v>9</x:v>
      </x:c>
      <x:c r="K2115" t="n">
        <x:v>2</x:v>
      </x:c>
      <x:c r="L2115" t="str">
        <x:v>STORE-001</x:v>
      </x:c>
      <x:c r="M2115" s="22" t="n">
        <x:v>46122</x:v>
      </x:c>
      <x:c r="N2115" t="str">
        <x:v>SKU-007</x:v>
      </x:c>
      <x:c r="O2115" t="n">
        <x:v>1</x:v>
      </x:c>
      <x:c r="P2115" s="26" t="n">
        <x:f>F2115/O2115</x:f>
        <x:v>246.94</x:v>
      </x:c>
    </x:row>
    <x:row r="2116">
      <x:c r="A2116" t="n">
        <x:v>2115</x:v>
      </x:c>
      <x:c r="B2116" t="n">
        <x:v>65</x:v>
      </x:c>
      <x:c r="C2116" t="str">
        <x:v>Female</x:v>
      </x:c>
      <x:c r="D2116" t="str">
        <x:v>Womens Clothing</x:v>
      </x:c>
      <x:c r="E2116" t="str">
        <x:v>Dress</x:v>
      </x:c>
      <x:c r="F2116" s="24" t="n">
        <x:v>32.9</x:v>
      </x:c>
      <x:c r="G2116" t="str">
        <x:v>Winter</x:v>
      </x:c>
      <x:c r="H2116" t="str">
        <x:v>Card</x:v>
      </x:c>
      <x:c r="I2116" t="n">
        <x:v>4.6</x:v>
      </x:c>
      <x:c r="J2116" t="n">
        <x:v>16</x:v>
      </x:c>
      <x:c r="K2116" t="n">
        <x:v>3</x:v>
      </x:c>
      <x:c r="L2116" t="str">
        <x:v>STORE-001</x:v>
      </x:c>
      <x:c r="M2116" s="22" t="n">
        <x:v>46265</x:v>
      </x:c>
      <x:c r="N2116" t="str">
        <x:v>SKU-004</x:v>
      </x:c>
      <x:c r="O2116" t="n">
        <x:v>1</x:v>
      </x:c>
      <x:c r="P2116" s="26" t="n">
        <x:f>F2116/O2116</x:f>
        <x:v>32.9</x:v>
      </x:c>
    </x:row>
    <x:row r="2117">
      <x:c r="A2117" t="n">
        <x:v>2116</x:v>
      </x:c>
      <x:c r="B2117" t="n">
        <x:v>20</x:v>
      </x:c>
      <x:c r="C2117" t="str">
        <x:v>Male</x:v>
      </x:c>
      <x:c r="D2117" t="str">
        <x:v>Groceries</x:v>
      </x:c>
      <x:c r="E2117" t="str">
        <x:v>Snacks</x:v>
      </x:c>
      <x:c r="F2117" s="24" t="n">
        <x:v>53.05</x:v>
      </x:c>
      <x:c r="G2117" t="str">
        <x:v>Spring</x:v>
      </x:c>
      <x:c r="H2117" t="str">
        <x:v>Card</x:v>
      </x:c>
      <x:c r="I2117" t="n">
        <x:v>4.8</x:v>
      </x:c>
      <x:c r="J2117" t="n">
        <x:v>28</x:v>
      </x:c>
      <x:c r="K2117" t="n">
        <x:v>9</x:v>
      </x:c>
      <x:c r="L2117" t="str">
        <x:v>STORE-001</x:v>
      </x:c>
      <x:c r="M2117" s="22" t="n">
        <x:v>46291</x:v>
      </x:c>
      <x:c r="N2117" t="str">
        <x:v>SKU-024</x:v>
      </x:c>
      <x:c r="O2117" t="n">
        <x:v>4</x:v>
      </x:c>
      <x:c r="P2117" s="26" t="n">
        <x:f>F2117/O2117</x:f>
        <x:v>13.2625</x:v>
      </x:c>
    </x:row>
    <x:row r="2118">
      <x:c r="A2118" t="n">
        <x:v>2117</x:v>
      </x:c>
      <x:c r="B2118" t="n">
        <x:v>68</x:v>
      </x:c>
      <x:c r="C2118" t="str">
        <x:v>Male</x:v>
      </x:c>
      <x:c r="D2118" t="str">
        <x:v>Mens Clothing</x:v>
      </x:c>
      <x:c r="E2118" t="str">
        <x:v>Jacket</x:v>
      </x:c>
      <x:c r="F2118" s="24" t="n">
        <x:v>68.39</x:v>
      </x:c>
      <x:c r="G2118" t="str">
        <x:v>Autumn</x:v>
      </x:c>
      <x:c r="H2118" t="str">
        <x:v>Cash on Delivery</x:v>
      </x:c>
      <x:c r="I2118" t="n">
        <x:v>4.1</x:v>
      </x:c>
      <x:c r="J2118" t="n">
        <x:v>26</x:v>
      </x:c>
      <x:c r="K2118" t="n">
        <x:v>8</x:v>
      </x:c>
      <x:c r="L2118" t="str">
        <x:v>STORE-001</x:v>
      </x:c>
      <x:c r="M2118" s="22" t="n">
        <x:v>46156</x:v>
      </x:c>
      <x:c r="N2118" t="str">
        <x:v>SKU-010</x:v>
      </x:c>
      <x:c r="O2118" t="n">
        <x:v>1</x:v>
      </x:c>
      <x:c r="P2118" s="26" t="n">
        <x:f>F2118/O2118</x:f>
        <x:v>68.39</x:v>
      </x:c>
    </x:row>
    <x:row r="2119">
      <x:c r="A2119" t="n">
        <x:v>2118</x:v>
      </x:c>
      <x:c r="B2119" t="n">
        <x:v>49</x:v>
      </x:c>
      <x:c r="C2119" t="str">
        <x:v>Male</x:v>
      </x:c>
      <x:c r="D2119" t="str">
        <x:v>Mens Clothing</x:v>
      </x:c>
      <x:c r="E2119" t="str">
        <x:v>Shirt</x:v>
      </x:c>
      <x:c r="F2119" s="24" t="n">
        <x:v>153.15</x:v>
      </x:c>
      <x:c r="G2119" t="str">
        <x:v>Winter</x:v>
      </x:c>
      <x:c r="H2119" t="str">
        <x:v>Card</x:v>
      </x:c>
      <x:c r="I2119" t="n">
        <x:v>3.1</x:v>
      </x:c>
      <x:c r="J2119" t="n">
        <x:v>8</x:v>
      </x:c>
      <x:c r="K2119" t="n">
        <x:v>4</x:v>
      </x:c>
      <x:c r="L2119" t="str">
        <x:v>STORE-001</x:v>
      </x:c>
      <x:c r="M2119" s="22" t="n">
        <x:v>46233</x:v>
      </x:c>
      <x:c r="N2119" t="str">
        <x:v>SKU-020</x:v>
      </x:c>
      <x:c r="O2119" t="n">
        <x:v>1</x:v>
      </x:c>
      <x:c r="P2119" s="26" t="n">
        <x:f>F2119/O2119</x:f>
        <x:v>153.15</x:v>
      </x:c>
    </x:row>
    <x:row r="2120">
      <x:c r="A2120" t="n">
        <x:v>2119</x:v>
      </x:c>
      <x:c r="B2120" t="n">
        <x:v>63</x:v>
      </x:c>
      <x:c r="C2120" t="str">
        <x:v>Female</x:v>
      </x:c>
      <x:c r="D2120" t="str">
        <x:v>Accessories</x:v>
      </x:c>
      <x:c r="E2120" t="str">
        <x:v>Handbag</x:v>
      </x:c>
      <x:c r="F2120" s="24" t="n">
        <x:v>50.16</x:v>
      </x:c>
      <x:c r="G2120" t="str">
        <x:v>Winter</x:v>
      </x:c>
      <x:c r="H2120" t="str">
        <x:v>Card</x:v>
      </x:c>
      <x:c r="I2120" t="n">
        <x:v>4.3</x:v>
      </x:c>
      <x:c r="J2120" t="n">
        <x:v>12</x:v>
      </x:c>
      <x:c r="K2120" t="n">
        <x:v>6</x:v>
      </x:c>
      <x:c r="L2120" t="str">
        <x:v>STORE-001</x:v>
      </x:c>
      <x:c r="M2120" s="22" t="n">
        <x:v>46195</x:v>
      </x:c>
      <x:c r="N2120" t="str">
        <x:v>SKU-008</x:v>
      </x:c>
      <x:c r="O2120" t="n">
        <x:v>1</x:v>
      </x:c>
      <x:c r="P2120" s="26" t="n">
        <x:f>F2120/O2120</x:f>
        <x:v>50.16</x:v>
      </x:c>
    </x:row>
    <x:row r="2121">
      <x:c r="A2121" t="n">
        <x:v>2120</x:v>
      </x:c>
      <x:c r="B2121" t="n">
        <x:v>30</x:v>
      </x:c>
      <x:c r="C2121" t="str">
        <x:v>Male</x:v>
      </x:c>
      <x:c r="D2121" t="str">
        <x:v>Footwear</x:v>
      </x:c>
      <x:c r="E2121" t="str">
        <x:v>Sandals</x:v>
      </x:c>
      <x:c r="F2121" s="24" t="n">
        <x:v>103.58</x:v>
      </x:c>
      <x:c r="G2121" t="str">
        <x:v>Spring</x:v>
      </x:c>
      <x:c r="H2121" t="str">
        <x:v>Card</x:v>
      </x:c>
      <x:c r="I2121" t="n">
        <x:v>4.5</x:v>
      </x:c>
      <x:c r="J2121" t="n">
        <x:v>15</x:v>
      </x:c>
      <x:c r="K2121" t="n">
        <x:v>5</x:v>
      </x:c>
      <x:c r="L2121" t="str">
        <x:v>STORE-001</x:v>
      </x:c>
      <x:c r="M2121" s="22" t="n">
        <x:v>46278</x:v>
      </x:c>
      <x:c r="N2121" t="str">
        <x:v>SKU-019</x:v>
      </x:c>
      <x:c r="O2121" t="n">
        <x:v>2</x:v>
      </x:c>
      <x:c r="P2121" s="26" t="n">
        <x:f>F2121/O2121</x:f>
        <x:v>51.79</x:v>
      </x:c>
    </x:row>
    <x:row r="2122">
      <x:c r="A2122" t="n">
        <x:v>2121</x:v>
      </x:c>
      <x:c r="B2122" t="n">
        <x:v>65</x:v>
      </x:c>
      <x:c r="C2122" t="str">
        <x:v>Female</x:v>
      </x:c>
      <x:c r="D2122" t="str">
        <x:v>Womens Clothing</x:v>
      </x:c>
      <x:c r="E2122" t="str">
        <x:v>Top</x:v>
      </x:c>
      <x:c r="F2122" s="24" t="n">
        <x:v>159.67</x:v>
      </x:c>
      <x:c r="G2122" t="str">
        <x:v>Autumn</x:v>
      </x:c>
      <x:c r="H2122" t="str">
        <x:v>Card</x:v>
      </x:c>
      <x:c r="I2122" t="n">
        <x:v>3.8</x:v>
      </x:c>
      <x:c r="J2122" t="n">
        <x:v>10</x:v>
      </x:c>
      <x:c r="K2122" t="n">
        <x:v>5</x:v>
      </x:c>
      <x:c r="L2122" t="str">
        <x:v>STORE-001</x:v>
      </x:c>
      <x:c r="M2122" s="22" t="n">
        <x:v>46115</x:v>
      </x:c>
      <x:c r="N2122" t="str">
        <x:v>SKU-028</x:v>
      </x:c>
      <x:c r="O2122" t="n">
        <x:v>1</x:v>
      </x:c>
      <x:c r="P2122" s="26" t="n">
        <x:f>F2122/O2122</x:f>
        <x:v>159.67</x:v>
      </x:c>
    </x:row>
    <x:row r="2123">
      <x:c r="A2123" t="n">
        <x:v>2122</x:v>
      </x:c>
      <x:c r="B2123" t="n">
        <x:v>22</x:v>
      </x:c>
      <x:c r="C2123" t="str">
        <x:v>Female</x:v>
      </x:c>
      <x:c r="D2123" t="str">
        <x:v>Beauty</x:v>
      </x:c>
      <x:c r="E2123" t="str">
        <x:v>Skincare Kit</x:v>
      </x:c>
      <x:c r="F2123" s="24" t="n">
        <x:v>100.76</x:v>
      </x:c>
      <x:c r="G2123" t="str">
        <x:v>Autumn</x:v>
      </x:c>
      <x:c r="H2123" t="str">
        <x:v>Card</x:v>
      </x:c>
      <x:c r="I2123" t="n">
        <x:v>5</x:v>
      </x:c>
      <x:c r="J2123" t="n">
        <x:v>19</x:v>
      </x:c>
      <x:c r="K2123" t="n">
        <x:v>7</x:v>
      </x:c>
      <x:c r="L2123" t="str">
        <x:v>STORE-001</x:v>
      </x:c>
      <x:c r="M2123" s="22" t="n">
        <x:v>46154</x:v>
      </x:c>
      <x:c r="N2123" t="str">
        <x:v>SKU-021</x:v>
      </x:c>
      <x:c r="O2123" t="n">
        <x:v>3</x:v>
      </x:c>
      <x:c r="P2123" s="26" t="n">
        <x:f>F2123/O2123</x:f>
        <x:v>33.586666666666666</x:v>
      </x:c>
    </x:row>
    <x:row r="2124">
      <x:c r="A2124" t="n">
        <x:v>2123</x:v>
      </x:c>
      <x:c r="B2124" t="n">
        <x:v>64</x:v>
      </x:c>
      <x:c r="C2124" t="str">
        <x:v>Male</x:v>
      </x:c>
      <x:c r="D2124" t="str">
        <x:v>Sports</x:v>
      </x:c>
      <x:c r="E2124" t="str">
        <x:v>Football</x:v>
      </x:c>
      <x:c r="F2124" s="24" t="n">
        <x:v>229.26</x:v>
      </x:c>
      <x:c r="G2124" t="str">
        <x:v>Autumn</x:v>
      </x:c>
      <x:c r="H2124" t="str">
        <x:v>Card</x:v>
      </x:c>
      <x:c r="I2124" t="n">
        <x:v>4</x:v>
      </x:c>
      <x:c r="J2124" t="n">
        <x:v>22</x:v>
      </x:c>
      <x:c r="K2124" t="n">
        <x:v>6</x:v>
      </x:c>
      <x:c r="L2124" t="str">
        <x:v>STORE-001</x:v>
      </x:c>
      <x:c r="M2124" s="22" t="n">
        <x:v>46128</x:v>
      </x:c>
      <x:c r="N2124" t="str">
        <x:v>SKU-006</x:v>
      </x:c>
      <x:c r="O2124" t="n">
        <x:v>2</x:v>
      </x:c>
      <x:c r="P2124" s="26" t="n">
        <x:f>F2124/O2124</x:f>
        <x:v>114.63</x:v>
      </x:c>
    </x:row>
    <x:row r="2125">
      <x:c r="A2125" t="n">
        <x:v>2124</x:v>
      </x:c>
      <x:c r="B2125" t="n">
        <x:v>20</x:v>
      </x:c>
      <x:c r="C2125" t="str">
        <x:v>Male</x:v>
      </x:c>
      <x:c r="D2125" t="str">
        <x:v>Mens Clothing</x:v>
      </x:c>
      <x:c r="E2125" t="str">
        <x:v>T-Shirt</x:v>
      </x:c>
      <x:c r="F2125" s="24" t="n">
        <x:v>121.19</x:v>
      </x:c>
      <x:c r="G2125" t="str">
        <x:v>Spring</x:v>
      </x:c>
      <x:c r="H2125" t="str">
        <x:v>Card</x:v>
      </x:c>
      <x:c r="I2125" t="n">
        <x:v>3.6</x:v>
      </x:c>
      <x:c r="J2125" t="n">
        <x:v>20</x:v>
      </x:c>
      <x:c r="K2125" t="n">
        <x:v>5</x:v>
      </x:c>
      <x:c r="L2125" t="str">
        <x:v>STORE-001</x:v>
      </x:c>
      <x:c r="M2125" s="22" t="n">
        <x:v>46273</x:v>
      </x:c>
      <x:c r="N2125" t="str">
        <x:v>SKU-027</x:v>
      </x:c>
      <x:c r="O2125" t="n">
        <x:v>1</x:v>
      </x:c>
      <x:c r="P2125" s="26" t="n">
        <x:f>F2125/O2125</x:f>
        <x:v>121.19</x:v>
      </x:c>
    </x:row>
    <x:row r="2126">
      <x:c r="A2126" t="n">
        <x:v>2125</x:v>
      </x:c>
      <x:c r="B2126" t="n">
        <x:v>36</x:v>
      </x:c>
      <x:c r="C2126" t="str">
        <x:v>Male</x:v>
      </x:c>
      <x:c r="D2126" t="str">
        <x:v>Mens Clothing</x:v>
      </x:c>
      <x:c r="E2126" t="str">
        <x:v>Jeans</x:v>
      </x:c>
      <x:c r="F2126" s="24" t="n">
        <x:v>172.85</x:v>
      </x:c>
      <x:c r="G2126" t="str">
        <x:v>Winter</x:v>
      </x:c>
      <x:c r="H2126" t="str">
        <x:v>Card</x:v>
      </x:c>
      <x:c r="I2126" t="n">
        <x:v>3.6</x:v>
      </x:c>
      <x:c r="J2126" t="n">
        <x:v>13</x:v>
      </x:c>
      <x:c r="K2126" t="n">
        <x:v>4</x:v>
      </x:c>
      <x:c r="L2126" t="str">
        <x:v>STORE-001</x:v>
      </x:c>
      <x:c r="M2126" s="22" t="n">
        <x:v>46197</x:v>
      </x:c>
      <x:c r="N2126" t="str">
        <x:v>SKU-011</x:v>
      </x:c>
      <x:c r="O2126" t="n">
        <x:v>1</x:v>
      </x:c>
      <x:c r="P2126" s="26" t="n">
        <x:f>F2126/O2126</x:f>
        <x:v>172.85</x:v>
      </x:c>
    </x:row>
    <x:row r="2127">
      <x:c r="A2127" t="n">
        <x:v>2126</x:v>
      </x:c>
      <x:c r="B2127" t="n">
        <x:v>37</x:v>
      </x:c>
      <x:c r="C2127" t="str">
        <x:v>Male</x:v>
      </x:c>
      <x:c r="D2127" t="str">
        <x:v>Electronics</x:v>
      </x:c>
      <x:c r="E2127" t="str">
        <x:v>Smart Watch</x:v>
      </x:c>
      <x:c r="F2127" s="24" t="n">
        <x:v>2994.75</x:v>
      </x:c>
      <x:c r="G2127" t="str">
        <x:v>Winter</x:v>
      </x:c>
      <x:c r="H2127" t="str">
        <x:v>Card</x:v>
      </x:c>
      <x:c r="I2127" t="n">
        <x:v>3.4</x:v>
      </x:c>
      <x:c r="J2127" t="n">
        <x:v>12</x:v>
      </x:c>
      <x:c r="K2127" t="n">
        <x:v>6</x:v>
      </x:c>
      <x:c r="L2127" t="str">
        <x:v>STORE-001</x:v>
      </x:c>
      <x:c r="M2127" s="22" t="n">
        <x:v>46175</x:v>
      </x:c>
      <x:c r="N2127" t="str">
        <x:v>SKU-023</x:v>
      </x:c>
      <x:c r="O2127" t="n">
        <x:v>3</x:v>
      </x:c>
      <x:c r="P2127" s="26" t="n">
        <x:f>F2127/O2127</x:f>
        <x:v>998.25</x:v>
      </x:c>
    </x:row>
    <x:row r="2128">
      <x:c r="A2128" t="n">
        <x:v>2127</x:v>
      </x:c>
      <x:c r="B2128" t="n">
        <x:v>24</x:v>
      </x:c>
      <x:c r="C2128" t="str">
        <x:v>Female</x:v>
      </x:c>
      <x:c r="D2128" t="str">
        <x:v>Footwear</x:v>
      </x:c>
      <x:c r="E2128" t="str">
        <x:v>Sandals</x:v>
      </x:c>
      <x:c r="F2128" s="24" t="n">
        <x:v>169.29</x:v>
      </x:c>
      <x:c r="G2128" t="str">
        <x:v>Spring</x:v>
      </x:c>
      <x:c r="H2128" t="str">
        <x:v>Card</x:v>
      </x:c>
      <x:c r="I2128" t="n">
        <x:v>3.5</x:v>
      </x:c>
      <x:c r="J2128" t="n">
        <x:v>22</x:v>
      </x:c>
      <x:c r="K2128" t="n">
        <x:v>6</x:v>
      </x:c>
      <x:c r="L2128" t="str">
        <x:v>STORE-001</x:v>
      </x:c>
      <x:c r="M2128" s="22" t="n">
        <x:v>45977</x:v>
      </x:c>
      <x:c r="N2128" t="str">
        <x:v>SKU-019</x:v>
      </x:c>
      <x:c r="O2128" t="n">
        <x:v>1</x:v>
      </x:c>
      <x:c r="P2128" s="26" t="n">
        <x:f>F2128/O2128</x:f>
        <x:v>169.29</x:v>
      </x:c>
    </x:row>
    <x:row r="2129">
      <x:c r="A2129" t="n">
        <x:v>2128</x:v>
      </x:c>
      <x:c r="B2129" t="n">
        <x:v>45</x:v>
      </x:c>
      <x:c r="C2129" t="str">
        <x:v>Female</x:v>
      </x:c>
      <x:c r="D2129" t="str">
        <x:v>Accessories</x:v>
      </x:c>
      <x:c r="E2129" t="str">
        <x:v>Sunglasses</x:v>
      </x:c>
      <x:c r="F2129" s="24" t="n">
        <x:v>48</x:v>
      </x:c>
      <x:c r="G2129" t="str">
        <x:v>Spring</x:v>
      </x:c>
      <x:c r="H2129" t="str">
        <x:v>Card</x:v>
      </x:c>
      <x:c r="I2129" t="n">
        <x:v>3.6</x:v>
      </x:c>
      <x:c r="J2129" t="n">
        <x:v>16</x:v>
      </x:c>
      <x:c r="K2129" t="n">
        <x:v>8</x:v>
      </x:c>
      <x:c r="L2129" t="str">
        <x:v>STORE-001</x:v>
      </x:c>
      <x:c r="M2129" s="22" t="n">
        <x:v>46276</x:v>
      </x:c>
      <x:c r="N2129" t="str">
        <x:v>SKU-026</x:v>
      </x:c>
      <x:c r="O2129" t="n">
        <x:v>1</x:v>
      </x:c>
      <x:c r="P2129" s="26" t="n">
        <x:f>F2129/O2129</x:f>
        <x:v>48</x:v>
      </x:c>
    </x:row>
    <x:row r="2130">
      <x:c r="A2130" t="n">
        <x:v>2129</x:v>
      </x:c>
      <x:c r="B2130" t="n">
        <x:v>28</x:v>
      </x:c>
      <x:c r="C2130" t="str">
        <x:v>Male</x:v>
      </x:c>
      <x:c r="D2130" t="str">
        <x:v>Sports</x:v>
      </x:c>
      <x:c r="E2130" t="str">
        <x:v>Football</x:v>
      </x:c>
      <x:c r="F2130" s="24" t="n">
        <x:v>73.95</x:v>
      </x:c>
      <x:c r="G2130" t="str">
        <x:v>Summer</x:v>
      </x:c>
      <x:c r="H2130" t="str">
        <x:v>Card</x:v>
      </x:c>
      <x:c r="I2130" t="n">
        <x:v>3.8</x:v>
      </x:c>
      <x:c r="J2130" t="n">
        <x:v>7</x:v>
      </x:c>
      <x:c r="K2130" t="n">
        <x:v>1</x:v>
      </x:c>
      <x:c r="L2130" t="str">
        <x:v>STORE-001</x:v>
      </x:c>
      <x:c r="M2130" s="22" t="n">
        <x:v>46056</x:v>
      </x:c>
      <x:c r="N2130" t="str">
        <x:v>SKU-006</x:v>
      </x:c>
      <x:c r="O2130" t="n">
        <x:v>1</x:v>
      </x:c>
      <x:c r="P2130" s="26" t="n">
        <x:f>F2130/O2130</x:f>
        <x:v>73.95</x:v>
      </x:c>
    </x:row>
    <x:row r="2131">
      <x:c r="A2131" t="n">
        <x:v>2130</x:v>
      </x:c>
      <x:c r="B2131" t="n">
        <x:v>38</x:v>
      </x:c>
      <x:c r="C2131" t="str">
        <x:v>Male</x:v>
      </x:c>
      <x:c r="D2131" t="str">
        <x:v>Groceries</x:v>
      </x:c>
      <x:c r="E2131" t="str">
        <x:v>Beverages</x:v>
      </x:c>
      <x:c r="F2131" s="24" t="n">
        <x:v>44.44</x:v>
      </x:c>
      <x:c r="G2131" t="str">
        <x:v>Spring</x:v>
      </x:c>
      <x:c r="H2131" t="str">
        <x:v>Cash on Delivery</x:v>
      </x:c>
      <x:c r="I2131" t="n">
        <x:v>4.9</x:v>
      </x:c>
      <x:c r="J2131" t="n">
        <x:v>20</x:v>
      </x:c>
      <x:c r="K2131" t="n">
        <x:v>5</x:v>
      </x:c>
      <x:c r="L2131" t="str">
        <x:v>STORE-001</x:v>
      </x:c>
      <x:c r="M2131" s="22" t="n">
        <x:v>45957</x:v>
      </x:c>
      <x:c r="N2131" t="str">
        <x:v>SKU-001</x:v>
      </x:c>
      <x:c r="O2131" t="n">
        <x:v>1</x:v>
      </x:c>
      <x:c r="P2131" s="26" t="n">
        <x:f>F2131/O2131</x:f>
        <x:v>44.44</x:v>
      </x:c>
    </x:row>
    <x:row r="2132">
      <x:c r="A2132" t="n">
        <x:v>2131</x:v>
      </x:c>
      <x:c r="B2132" t="n">
        <x:v>42</x:v>
      </x:c>
      <x:c r="C2132" t="str">
        <x:v>Female</x:v>
      </x:c>
      <x:c r="D2132" t="str">
        <x:v>Accessories</x:v>
      </x:c>
      <x:c r="E2132" t="str">
        <x:v>Wallet</x:v>
      </x:c>
      <x:c r="F2132" s="24" t="n">
        <x:v>162.6</x:v>
      </x:c>
      <x:c r="G2132" t="str">
        <x:v>Spring</x:v>
      </x:c>
      <x:c r="H2132" t="str">
        <x:v>Card</x:v>
      </x:c>
      <x:c r="I2132" t="n">
        <x:v>4.7</x:v>
      </x:c>
      <x:c r="J2132" t="n">
        <x:v>12</x:v>
      </x:c>
      <x:c r="K2132" t="n">
        <x:v>1</x:v>
      </x:c>
      <x:c r="L2132" t="str">
        <x:v>STORE-001</x:v>
      </x:c>
      <x:c r="M2132" s="22" t="n">
        <x:v>45966</x:v>
      </x:c>
      <x:c r="N2132" t="str">
        <x:v>SKU-029</x:v>
      </x:c>
      <x:c r="O2132" t="n">
        <x:v>3</x:v>
      </x:c>
      <x:c r="P2132" s="26" t="n">
        <x:f>F2132/O2132</x:f>
        <x:v>54.199999999999996</x:v>
      </x:c>
    </x:row>
    <x:row r="2133">
      <x:c r="A2133" t="n">
        <x:v>2132</x:v>
      </x:c>
      <x:c r="B2133" t="n">
        <x:v>36</x:v>
      </x:c>
      <x:c r="C2133" t="str">
        <x:v>Male</x:v>
      </x:c>
      <x:c r="D2133" t="str">
        <x:v>Electronics</x:v>
      </x:c>
      <x:c r="E2133" t="str">
        <x:v>Headphones</x:v>
      </x:c>
      <x:c r="F2133" s="24" t="n">
        <x:v>1381.61</x:v>
      </x:c>
      <x:c r="G2133" t="str">
        <x:v>Spring</x:v>
      </x:c>
      <x:c r="H2133" t="str">
        <x:v>Card</x:v>
      </x:c>
      <x:c r="I2133" t="n">
        <x:v>4.8</x:v>
      </x:c>
      <x:c r="J2133" t="n">
        <x:v>13</x:v>
      </x:c>
      <x:c r="K2133" t="n">
        <x:v>4</x:v>
      </x:c>
      <x:c r="L2133" t="str">
        <x:v>STORE-001</x:v>
      </x:c>
      <x:c r="M2133" s="22" t="n">
        <x:v>45991</x:v>
      </x:c>
      <x:c r="N2133" t="str">
        <x:v>SKU-009</x:v>
      </x:c>
      <x:c r="O2133" t="n">
        <x:v>1</x:v>
      </x:c>
      <x:c r="P2133" s="26" t="n">
        <x:f>F2133/O2133</x:f>
        <x:v>1381.61</x:v>
      </x:c>
    </x:row>
    <x:row r="2134">
      <x:c r="A2134" t="n">
        <x:v>2133</x:v>
      </x:c>
      <x:c r="B2134" t="n">
        <x:v>37</x:v>
      </x:c>
      <x:c r="C2134" t="str">
        <x:v>Male</x:v>
      </x:c>
      <x:c r="D2134" t="str">
        <x:v>Electronics</x:v>
      </x:c>
      <x:c r="E2134" t="str">
        <x:v>Headphones</x:v>
      </x:c>
      <x:c r="F2134" s="24" t="n">
        <x:v>2720.99</x:v>
      </x:c>
      <x:c r="G2134" t="str">
        <x:v>Spring</x:v>
      </x:c>
      <x:c r="H2134" t="str">
        <x:v>Card</x:v>
      </x:c>
      <x:c r="I2134" t="n">
        <x:v>3.1</x:v>
      </x:c>
      <x:c r="J2134" t="n">
        <x:v>20</x:v>
      </x:c>
      <x:c r="K2134" t="n">
        <x:v>5</x:v>
      </x:c>
      <x:c r="L2134" t="str">
        <x:v>STORE-001</x:v>
      </x:c>
      <x:c r="M2134" s="22" t="n">
        <x:v>46266</x:v>
      </x:c>
      <x:c r="N2134" t="str">
        <x:v>SKU-009</x:v>
      </x:c>
      <x:c r="O2134" t="n">
        <x:v>1</x:v>
      </x:c>
      <x:c r="P2134" s="26" t="n">
        <x:f>F2134/O2134</x:f>
        <x:v>2720.99</x:v>
      </x:c>
    </x:row>
    <x:row r="2135">
      <x:c r="A2135" t="n">
        <x:v>2134</x:v>
      </x:c>
      <x:c r="B2135" t="n">
        <x:v>24</x:v>
      </x:c>
      <x:c r="C2135" t="str">
        <x:v>Male</x:v>
      </x:c>
      <x:c r="D2135" t="str">
        <x:v>Footwear</x:v>
      </x:c>
      <x:c r="E2135" t="str">
        <x:v>Sandals</x:v>
      </x:c>
      <x:c r="F2135" s="24" t="n">
        <x:v>53.39</x:v>
      </x:c>
      <x:c r="G2135" t="str">
        <x:v>Spring</x:v>
      </x:c>
      <x:c r="H2135" t="str">
        <x:v>Cash on Delivery</x:v>
      </x:c>
      <x:c r="I2135" t="n">
        <x:v>3.3</x:v>
      </x:c>
      <x:c r="J2135" t="n">
        <x:v>10</x:v>
      </x:c>
      <x:c r="K2135" t="n">
        <x:v>5</x:v>
      </x:c>
      <x:c r="L2135" t="str">
        <x:v>STORE-001</x:v>
      </x:c>
      <x:c r="M2135" s="22" t="n">
        <x:v>46281</x:v>
      </x:c>
      <x:c r="N2135" t="str">
        <x:v>SKU-019</x:v>
      </x:c>
      <x:c r="O2135" t="n">
        <x:v>1</x:v>
      </x:c>
      <x:c r="P2135" s="26" t="n">
        <x:f>F2135/O2135</x:f>
        <x:v>53.39</x:v>
      </x:c>
    </x:row>
    <x:row r="2136">
      <x:c r="A2136" t="n">
        <x:v>2135</x:v>
      </x:c>
      <x:c r="B2136" t="n">
        <x:v>42</x:v>
      </x:c>
      <x:c r="C2136" t="str">
        <x:v>Male</x:v>
      </x:c>
      <x:c r="D2136" t="str">
        <x:v>Footwear</x:v>
      </x:c>
      <x:c r="E2136" t="str">
        <x:v>Sneakers</x:v>
      </x:c>
      <x:c r="F2136" s="24" t="n">
        <x:v>156.01</x:v>
      </x:c>
      <x:c r="G2136" t="str">
        <x:v>Summer</x:v>
      </x:c>
      <x:c r="H2136" t="str">
        <x:v>Card</x:v>
      </x:c>
      <x:c r="I2136" t="n">
        <x:v>3.9</x:v>
      </x:c>
      <x:c r="J2136" t="n">
        <x:v>8</x:v>
      </x:c>
      <x:c r="K2136" t="n">
        <x:v>4</x:v>
      </x:c>
      <x:c r="L2136" t="str">
        <x:v>STORE-001</x:v>
      </x:c>
      <x:c r="M2136" s="22" t="n">
        <x:v>46047</x:v>
      </x:c>
      <x:c r="N2136" t="str">
        <x:v>SKU-025</x:v>
      </x:c>
      <x:c r="O2136" t="n">
        <x:v>1</x:v>
      </x:c>
      <x:c r="P2136" s="26" t="n">
        <x:f>F2136/O2136</x:f>
        <x:v>156.01</x:v>
      </x:c>
    </x:row>
    <x:row r="2137">
      <x:c r="A2137" t="n">
        <x:v>2136</x:v>
      </x:c>
      <x:c r="B2137" t="n">
        <x:v>23</x:v>
      </x:c>
      <x:c r="C2137" t="str">
        <x:v>Female</x:v>
      </x:c>
      <x:c r="D2137" t="str">
        <x:v>Beauty</x:v>
      </x:c>
      <x:c r="E2137" t="str">
        <x:v>Perfume</x:v>
      </x:c>
      <x:c r="F2137" s="24" t="n">
        <x:v>107.23</x:v>
      </x:c>
      <x:c r="G2137" t="str">
        <x:v>Winter</x:v>
      </x:c>
      <x:c r="H2137" t="str">
        <x:v>Card</x:v>
      </x:c>
      <x:c r="I2137" t="n">
        <x:v>3.3</x:v>
      </x:c>
      <x:c r="J2137" t="n">
        <x:v>9</x:v>
      </x:c>
      <x:c r="K2137" t="n">
        <x:v>2</x:v>
      </x:c>
      <x:c r="L2137" t="str">
        <x:v>STORE-001</x:v>
      </x:c>
      <x:c r="M2137" s="22" t="n">
        <x:v>46257</x:v>
      </x:c>
      <x:c r="N2137" t="str">
        <x:v>SKU-017</x:v>
      </x:c>
      <x:c r="O2137" t="n">
        <x:v>1</x:v>
      </x:c>
      <x:c r="P2137" s="26" t="n">
        <x:f>F2137/O2137</x:f>
        <x:v>107.23</x:v>
      </x:c>
    </x:row>
    <x:row r="2138">
      <x:c r="A2138" t="n">
        <x:v>2137</x:v>
      </x:c>
      <x:c r="B2138" t="n">
        <x:v>31</x:v>
      </x:c>
      <x:c r="C2138" t="str">
        <x:v>Female</x:v>
      </x:c>
      <x:c r="D2138" t="str">
        <x:v>Beauty</x:v>
      </x:c>
      <x:c r="E2138" t="str">
        <x:v>Perfume</x:v>
      </x:c>
      <x:c r="F2138" s="24" t="n">
        <x:v>72.15</x:v>
      </x:c>
      <x:c r="G2138" t="str">
        <x:v>Autumn</x:v>
      </x:c>
      <x:c r="H2138" t="str">
        <x:v>Cash on Delivery</x:v>
      </x:c>
      <x:c r="I2138" t="n">
        <x:v>4.1</x:v>
      </x:c>
      <x:c r="J2138" t="n">
        <x:v>16</x:v>
      </x:c>
      <x:c r="K2138" t="n">
        <x:v>3</x:v>
      </x:c>
      <x:c r="L2138" t="str">
        <x:v>STORE-001</x:v>
      </x:c>
      <x:c r="M2138" s="22" t="n">
        <x:v>46092</x:v>
      </x:c>
      <x:c r="N2138" t="str">
        <x:v>SKU-017</x:v>
      </x:c>
      <x:c r="O2138" t="n">
        <x:v>2</x:v>
      </x:c>
      <x:c r="P2138" s="26" t="n">
        <x:f>F2138/O2138</x:f>
        <x:v>36.075</x:v>
      </x:c>
    </x:row>
    <x:row r="2139">
      <x:c r="A2139" t="n">
        <x:v>2138</x:v>
      </x:c>
      <x:c r="B2139" t="n">
        <x:v>28</x:v>
      </x:c>
      <x:c r="C2139" t="str">
        <x:v>Female</x:v>
      </x:c>
      <x:c r="D2139" t="str">
        <x:v>Footwear</x:v>
      </x:c>
      <x:c r="E2139" t="str">
        <x:v>Sneakers</x:v>
      </x:c>
      <x:c r="F2139" s="24" t="n">
        <x:v>235.98</x:v>
      </x:c>
      <x:c r="G2139" t="str">
        <x:v>Winter</x:v>
      </x:c>
      <x:c r="H2139" t="str">
        <x:v>Card</x:v>
      </x:c>
      <x:c r="I2139" t="n">
        <x:v>2.6</x:v>
      </x:c>
      <x:c r="J2139" t="n">
        <x:v>26</x:v>
      </x:c>
      <x:c r="K2139" t="n">
        <x:v>8</x:v>
      </x:c>
      <x:c r="L2139" t="str">
        <x:v>STORE-001</x:v>
      </x:c>
      <x:c r="M2139" s="22" t="n">
        <x:v>46227</x:v>
      </x:c>
      <x:c r="N2139" t="str">
        <x:v>SKU-025</x:v>
      </x:c>
      <x:c r="O2139" t="n">
        <x:v>2</x:v>
      </x:c>
      <x:c r="P2139" s="26" t="n">
        <x:f>F2139/O2139</x:f>
        <x:v>117.99</x:v>
      </x:c>
    </x:row>
    <x:row r="2140">
      <x:c r="A2140" t="n">
        <x:v>2139</x:v>
      </x:c>
      <x:c r="B2140" t="n">
        <x:v>65</x:v>
      </x:c>
      <x:c r="C2140" t="str">
        <x:v>Female</x:v>
      </x:c>
      <x:c r="D2140" t="str">
        <x:v>Footwear</x:v>
      </x:c>
      <x:c r="E2140" t="str">
        <x:v>Sneakers</x:v>
      </x:c>
      <x:c r="F2140" s="24" t="n">
        <x:v>216.73</x:v>
      </x:c>
      <x:c r="G2140" t="str">
        <x:v>Summer</x:v>
      </x:c>
      <x:c r="H2140" t="str">
        <x:v>Card</x:v>
      </x:c>
      <x:c r="I2140" t="n">
        <x:v>5</x:v>
      </x:c>
      <x:c r="J2140" t="n">
        <x:v>16</x:v>
      </x:c>
      <x:c r="K2140" t="n">
        <x:v>3</x:v>
      </x:c>
      <x:c r="L2140" t="str">
        <x:v>STORE-001</x:v>
      </x:c>
      <x:c r="M2140" s="22" t="n">
        <x:v>46001</x:v>
      </x:c>
      <x:c r="N2140" t="str">
        <x:v>SKU-025</x:v>
      </x:c>
      <x:c r="O2140" t="n">
        <x:v>1</x:v>
      </x:c>
      <x:c r="P2140" s="26" t="n">
        <x:f>F2140/O2140</x:f>
        <x:v>216.73</x:v>
      </x:c>
    </x:row>
    <x:row r="2141">
      <x:c r="A2141" t="n">
        <x:v>2140</x:v>
      </x:c>
      <x:c r="B2141" t="n">
        <x:v>57</x:v>
      </x:c>
      <x:c r="C2141" t="str">
        <x:v>Male</x:v>
      </x:c>
      <x:c r="D2141" t="str">
        <x:v>Mens Clothing</x:v>
      </x:c>
      <x:c r="E2141" t="str">
        <x:v>Jacket</x:v>
      </x:c>
      <x:c r="F2141" s="24" t="n">
        <x:v>76.98</x:v>
      </x:c>
      <x:c r="G2141" t="str">
        <x:v>Summer</x:v>
      </x:c>
      <x:c r="H2141" t="str">
        <x:v>Card</x:v>
      </x:c>
      <x:c r="I2141" t="n">
        <x:v>3.9</x:v>
      </x:c>
      <x:c r="J2141" t="n">
        <x:v>24</x:v>
      </x:c>
      <x:c r="K2141" t="n">
        <x:v>7</x:v>
      </x:c>
      <x:c r="L2141" t="str">
        <x:v>STORE-001</x:v>
      </x:c>
      <x:c r="M2141" s="22" t="n">
        <x:v>46062</x:v>
      </x:c>
      <x:c r="N2141" t="str">
        <x:v>SKU-010</x:v>
      </x:c>
      <x:c r="O2141" t="n">
        <x:v>1</x:v>
      </x:c>
      <x:c r="P2141" s="26" t="n">
        <x:f>F2141/O2141</x:f>
        <x:v>76.98</x:v>
      </x:c>
    </x:row>
    <x:row r="2142">
      <x:c r="A2142" t="n">
        <x:v>2141</x:v>
      </x:c>
      <x:c r="B2142" t="n">
        <x:v>66</x:v>
      </x:c>
      <x:c r="C2142" t="str">
        <x:v>Female</x:v>
      </x:c>
      <x:c r="D2142" t="str">
        <x:v>Womens Clothing</x:v>
      </x:c>
      <x:c r="E2142" t="str">
        <x:v>Dress</x:v>
      </x:c>
      <x:c r="F2142" s="24" t="n">
        <x:v>104.42</x:v>
      </x:c>
      <x:c r="G2142" t="str">
        <x:v>Spring</x:v>
      </x:c>
      <x:c r="H2142" t="str">
        <x:v>Card</x:v>
      </x:c>
      <x:c r="I2142" t="n">
        <x:v>3.6</x:v>
      </x:c>
      <x:c r="J2142" t="n">
        <x:v>10</x:v>
      </x:c>
      <x:c r="K2142" t="n">
        <x:v>5</x:v>
      </x:c>
      <x:c r="L2142" t="str">
        <x:v>STORE-001</x:v>
      </x:c>
      <x:c r="M2142" s="22" t="n">
        <x:v>45971</x:v>
      </x:c>
      <x:c r="N2142" t="str">
        <x:v>SKU-004</x:v>
      </x:c>
      <x:c r="O2142" t="n">
        <x:v>1</x:v>
      </x:c>
      <x:c r="P2142" s="26" t="n">
        <x:f>F2142/O2142</x:f>
        <x:v>104.42</x:v>
      </x:c>
    </x:row>
    <x:row r="2143">
      <x:c r="A2143" t="n">
        <x:v>2142</x:v>
      </x:c>
      <x:c r="B2143" t="n">
        <x:v>30</x:v>
      </x:c>
      <x:c r="C2143" t="str">
        <x:v>Female</x:v>
      </x:c>
      <x:c r="D2143" t="str">
        <x:v>Womens Clothing</x:v>
      </x:c>
      <x:c r="E2143" t="str">
        <x:v>Jeans</x:v>
      </x:c>
      <x:c r="F2143" s="24" t="n">
        <x:v>190.44</x:v>
      </x:c>
      <x:c r="G2143" t="str">
        <x:v>Winter</x:v>
      </x:c>
      <x:c r="H2143" t="str">
        <x:v>Card</x:v>
      </x:c>
      <x:c r="I2143" t="n">
        <x:v>4</x:v>
      </x:c>
      <x:c r="J2143" t="n">
        <x:v>8</x:v>
      </x:c>
      <x:c r="K2143" t="n">
        <x:v>4</x:v>
      </x:c>
      <x:c r="L2143" t="str">
        <x:v>STORE-001</x:v>
      </x:c>
      <x:c r="M2143" s="22" t="n">
        <x:v>46218</x:v>
      </x:c>
      <x:c r="N2143" t="str">
        <x:v>SKU-011</x:v>
      </x:c>
      <x:c r="O2143" t="n">
        <x:v>1</x:v>
      </x:c>
      <x:c r="P2143" s="26" t="n">
        <x:f>F2143/O2143</x:f>
        <x:v>190.44</x:v>
      </x:c>
    </x:row>
    <x:row r="2144">
      <x:c r="A2144" t="n">
        <x:v>2143</x:v>
      </x:c>
      <x:c r="B2144" t="n">
        <x:v>52</x:v>
      </x:c>
      <x:c r="C2144" t="str">
        <x:v>Male</x:v>
      </x:c>
      <x:c r="D2144" t="str">
        <x:v>Footwear</x:v>
      </x:c>
      <x:c r="E2144" t="str">
        <x:v>Sandals</x:v>
      </x:c>
      <x:c r="F2144" s="24" t="n">
        <x:v>140.52</x:v>
      </x:c>
      <x:c r="G2144" t="str">
        <x:v>Spring</x:v>
      </x:c>
      <x:c r="H2144" t="str">
        <x:v>Card</x:v>
      </x:c>
      <x:c r="I2144" t="n">
        <x:v>3.5</x:v>
      </x:c>
      <x:c r="J2144" t="n">
        <x:v>15</x:v>
      </x:c>
      <x:c r="K2144" t="n">
        <x:v>5</x:v>
      </x:c>
      <x:c r="L2144" t="str">
        <x:v>STORE-001</x:v>
      </x:c>
      <x:c r="M2144" s="22" t="n">
        <x:v>45951</x:v>
      </x:c>
      <x:c r="N2144" t="str">
        <x:v>SKU-019</x:v>
      </x:c>
      <x:c r="O2144" t="n">
        <x:v>1</x:v>
      </x:c>
      <x:c r="P2144" s="26" t="n">
        <x:f>F2144/O2144</x:f>
        <x:v>140.52</x:v>
      </x:c>
    </x:row>
    <x:row r="2145">
      <x:c r="A2145" t="n">
        <x:v>2144</x:v>
      </x:c>
      <x:c r="B2145" t="n">
        <x:v>59</x:v>
      </x:c>
      <x:c r="C2145" t="str">
        <x:v>Male</x:v>
      </x:c>
      <x:c r="D2145" t="str">
        <x:v>Footwear</x:v>
      </x:c>
      <x:c r="E2145" t="str">
        <x:v>Sandals</x:v>
      </x:c>
      <x:c r="F2145" s="24" t="n">
        <x:v>109.11</x:v>
      </x:c>
      <x:c r="G2145" t="str">
        <x:v>Winter</x:v>
      </x:c>
      <x:c r="H2145" t="str">
        <x:v>Card</x:v>
      </x:c>
      <x:c r="I2145" t="n">
        <x:v>4.3</x:v>
      </x:c>
      <x:c r="J2145" t="n">
        <x:v>8</x:v>
      </x:c>
      <x:c r="K2145" t="n">
        <x:v>4</x:v>
      </x:c>
      <x:c r="L2145" t="str">
        <x:v>STORE-001</x:v>
      </x:c>
      <x:c r="M2145" s="22" t="n">
        <x:v>46194</x:v>
      </x:c>
      <x:c r="N2145" t="str">
        <x:v>SKU-019</x:v>
      </x:c>
      <x:c r="O2145" t="n">
        <x:v>2</x:v>
      </x:c>
      <x:c r="P2145" s="26" t="n">
        <x:f>F2145/O2145</x:f>
        <x:v>54.555</x:v>
      </x:c>
    </x:row>
    <x:row r="2146">
      <x:c r="A2146" t="n">
        <x:v>2145</x:v>
      </x:c>
      <x:c r="B2146" t="n">
        <x:v>46</x:v>
      </x:c>
      <x:c r="C2146" t="str">
        <x:v>Male</x:v>
      </x:c>
      <x:c r="D2146" t="str">
        <x:v>Sports</x:v>
      </x:c>
      <x:c r="E2146" t="str">
        <x:v>Football</x:v>
      </x:c>
      <x:c r="F2146" s="24" t="n">
        <x:v>179.23</x:v>
      </x:c>
      <x:c r="G2146" t="str">
        <x:v>Spring</x:v>
      </x:c>
      <x:c r="H2146" t="str">
        <x:v>Card</x:v>
      </x:c>
      <x:c r="I2146" t="n">
        <x:v>3.8</x:v>
      </x:c>
      <x:c r="J2146" t="n">
        <x:v>12</x:v>
      </x:c>
      <x:c r="K2146" t="n">
        <x:v>6</x:v>
      </x:c>
      <x:c r="L2146" t="str">
        <x:v>STORE-001</x:v>
      </x:c>
      <x:c r="M2146" s="22" t="n">
        <x:v>45963</x:v>
      </x:c>
      <x:c r="N2146" t="str">
        <x:v>SKU-006</x:v>
      </x:c>
      <x:c r="O2146" t="n">
        <x:v>1</x:v>
      </x:c>
      <x:c r="P2146" s="26" t="n">
        <x:f>F2146/O2146</x:f>
        <x:v>179.23</x:v>
      </x:c>
    </x:row>
    <x:row r="2147">
      <x:c r="A2147" t="n">
        <x:v>2146</x:v>
      </x:c>
      <x:c r="B2147" t="n">
        <x:v>40</x:v>
      </x:c>
      <x:c r="C2147" t="str">
        <x:v>Male</x:v>
      </x:c>
      <x:c r="D2147" t="str">
        <x:v>Groceries</x:v>
      </x:c>
      <x:c r="E2147" t="str">
        <x:v>Cooking Oil</x:v>
      </x:c>
      <x:c r="F2147" s="24" t="n">
        <x:v>23.38</x:v>
      </x:c>
      <x:c r="G2147" t="str">
        <x:v>Autumn</x:v>
      </x:c>
      <x:c r="H2147" t="str">
        <x:v>Cash on Delivery</x:v>
      </x:c>
      <x:c r="I2147" t="n">
        <x:v>2.9</x:v>
      </x:c>
      <x:c r="J2147" t="n">
        <x:v>12</x:v>
      </x:c>
      <x:c r="K2147" t="n">
        <x:v>6</x:v>
      </x:c>
      <x:c r="L2147" t="str">
        <x:v>STORE-001</x:v>
      </x:c>
      <x:c r="M2147" s="22" t="n">
        <x:v>46112</x:v>
      </x:c>
      <x:c r="N2147" t="str">
        <x:v>SKU-002</x:v>
      </x:c>
      <x:c r="O2147" t="n">
        <x:v>1</x:v>
      </x:c>
      <x:c r="P2147" s="26" t="n">
        <x:f>F2147/O2147</x:f>
        <x:v>23.38</x:v>
      </x:c>
    </x:row>
    <x:row r="2148">
      <x:c r="A2148" t="n">
        <x:v>2147</x:v>
      </x:c>
      <x:c r="B2148" t="n">
        <x:v>60</x:v>
      </x:c>
      <x:c r="C2148" t="str">
        <x:v>Female</x:v>
      </x:c>
      <x:c r="D2148" t="str">
        <x:v>Sports</x:v>
      </x:c>
      <x:c r="E2148" t="str">
        <x:v>Yoga Mat</x:v>
      </x:c>
      <x:c r="F2148" s="24" t="n">
        <x:v>243.83</x:v>
      </x:c>
      <x:c r="G2148" t="str">
        <x:v>Autumn</x:v>
      </x:c>
      <x:c r="H2148" t="str">
        <x:v>Card</x:v>
      </x:c>
      <x:c r="I2148" t="n">
        <x:v>4</x:v>
      </x:c>
      <x:c r="J2148" t="n">
        <x:v>20</x:v>
      </x:c>
      <x:c r="K2148" t="n">
        <x:v>5</x:v>
      </x:c>
      <x:c r="L2148" t="str">
        <x:v>STORE-001</x:v>
      </x:c>
      <x:c r="M2148" s="22" t="n">
        <x:v>46159</x:v>
      </x:c>
      <x:c r="N2148" t="str">
        <x:v>SKU-030</x:v>
      </x:c>
      <x:c r="O2148" t="n">
        <x:v>1</x:v>
      </x:c>
      <x:c r="P2148" s="26" t="n">
        <x:f>F2148/O2148</x:f>
        <x:v>243.83</x:v>
      </x:c>
    </x:row>
    <x:row r="2149">
      <x:c r="A2149" t="n">
        <x:v>2148</x:v>
      </x:c>
      <x:c r="B2149" t="n">
        <x:v>57</x:v>
      </x:c>
      <x:c r="C2149" t="str">
        <x:v>Male</x:v>
      </x:c>
      <x:c r="D2149" t="str">
        <x:v>Sports</x:v>
      </x:c>
      <x:c r="E2149" t="str">
        <x:v>Yoga Mat</x:v>
      </x:c>
      <x:c r="F2149" s="24" t="n">
        <x:v>111.73</x:v>
      </x:c>
      <x:c r="G2149" t="str">
        <x:v>Spring</x:v>
      </x:c>
      <x:c r="H2149" t="str">
        <x:v>Card</x:v>
      </x:c>
      <x:c r="I2149" t="n">
        <x:v>5</x:v>
      </x:c>
      <x:c r="J2149" t="n">
        <x:v>26</x:v>
      </x:c>
      <x:c r="K2149" t="n">
        <x:v>8</x:v>
      </x:c>
      <x:c r="L2149" t="str">
        <x:v>STORE-001</x:v>
      </x:c>
      <x:c r="M2149" s="22" t="n">
        <x:v>46267</x:v>
      </x:c>
      <x:c r="N2149" t="str">
        <x:v>SKU-030</x:v>
      </x:c>
      <x:c r="O2149" t="n">
        <x:v>2</x:v>
      </x:c>
      <x:c r="P2149" s="26" t="n">
        <x:f>F2149/O2149</x:f>
        <x:v>55.865</x:v>
      </x:c>
    </x:row>
    <x:row r="2150">
      <x:c r="A2150" t="n">
        <x:v>2149</x:v>
      </x:c>
      <x:c r="B2150" t="n">
        <x:v>46</x:v>
      </x:c>
      <x:c r="C2150" t="str">
        <x:v>Male</x:v>
      </x:c>
      <x:c r="D2150" t="str">
        <x:v>Mens Clothing</x:v>
      </x:c>
      <x:c r="E2150" t="str">
        <x:v>T-Shirt</x:v>
      </x:c>
      <x:c r="F2150" s="24" t="n">
        <x:v>86.78</x:v>
      </x:c>
      <x:c r="G2150" t="str">
        <x:v>Winter</x:v>
      </x:c>
      <x:c r="H2150" t="str">
        <x:v>Card</x:v>
      </x:c>
      <x:c r="I2150" t="n">
        <x:v>4.4</x:v>
      </x:c>
      <x:c r="J2150" t="n">
        <x:v>12</x:v>
      </x:c>
      <x:c r="K2150" t="n">
        <x:v>6</x:v>
      </x:c>
      <x:c r="L2150" t="str">
        <x:v>STORE-001</x:v>
      </x:c>
      <x:c r="M2150" s="22" t="n">
        <x:v>46194</x:v>
      </x:c>
      <x:c r="N2150" t="str">
        <x:v>SKU-027</x:v>
      </x:c>
      <x:c r="O2150" t="n">
        <x:v>1</x:v>
      </x:c>
      <x:c r="P2150" s="26" t="n">
        <x:f>F2150/O2150</x:f>
        <x:v>86.78</x:v>
      </x:c>
    </x:row>
    <x:row r="2151">
      <x:c r="A2151" t="n">
        <x:v>2150</x:v>
      </x:c>
      <x:c r="B2151" t="n">
        <x:v>66</x:v>
      </x:c>
      <x:c r="C2151" t="str">
        <x:v>Male</x:v>
      </x:c>
      <x:c r="D2151" t="str">
        <x:v>Footwear</x:v>
      </x:c>
      <x:c r="E2151" t="str">
        <x:v>Formal Shoes</x:v>
      </x:c>
      <x:c r="F2151" s="24" t="n">
        <x:v>115.51</x:v>
      </x:c>
      <x:c r="G2151" t="str">
        <x:v>Autumn</x:v>
      </x:c>
      <x:c r="H2151" t="str">
        <x:v>Card</x:v>
      </x:c>
      <x:c r="I2151" t="n">
        <x:v>3.8</x:v>
      </x:c>
      <x:c r="J2151" t="n">
        <x:v>8</x:v>
      </x:c>
      <x:c r="K2151" t="n">
        <x:v>4</x:v>
      </x:c>
      <x:c r="L2151" t="str">
        <x:v>STORE-001</x:v>
      </x:c>
      <x:c r="M2151" s="22" t="n">
        <x:v>46171</x:v>
      </x:c>
      <x:c r="N2151" t="str">
        <x:v>SKU-007</x:v>
      </x:c>
      <x:c r="O2151" t="n">
        <x:v>1</x:v>
      </x:c>
      <x:c r="P2151" s="26" t="n">
        <x:f>F2151/O2151</x:f>
        <x:v>115.51</x:v>
      </x:c>
    </x:row>
    <x:row r="2152">
      <x:c r="A2152" t="n">
        <x:v>2151</x:v>
      </x:c>
      <x:c r="B2152" t="n">
        <x:v>25</x:v>
      </x:c>
      <x:c r="C2152" t="str">
        <x:v>Male</x:v>
      </x:c>
      <x:c r="D2152" t="str">
        <x:v>Electronics</x:v>
      </x:c>
      <x:c r="E2152" t="str">
        <x:v>Smart Watch</x:v>
      </x:c>
      <x:c r="F2152" s="24" t="n">
        <x:v>2459.81</x:v>
      </x:c>
      <x:c r="G2152" t="str">
        <x:v>Winter</x:v>
      </x:c>
      <x:c r="H2152" t="str">
        <x:v>Card</x:v>
      </x:c>
      <x:c r="I2152" t="n">
        <x:v>4.1</x:v>
      </x:c>
      <x:c r="J2152" t="n">
        <x:v>6</x:v>
      </x:c>
      <x:c r="K2152" t="n">
        <x:v>3</x:v>
      </x:c>
      <x:c r="L2152" t="str">
        <x:v>STORE-001</x:v>
      </x:c>
      <x:c r="M2152" s="22" t="n">
        <x:v>46264</x:v>
      </x:c>
      <x:c r="N2152" t="str">
        <x:v>SKU-023</x:v>
      </x:c>
      <x:c r="O2152" t="n">
        <x:v>1</x:v>
      </x:c>
      <x:c r="P2152" s="26" t="n">
        <x:f>F2152/O2152</x:f>
        <x:v>2459.81</x:v>
      </x:c>
    </x:row>
    <x:row r="2153">
      <x:c r="A2153" t="n">
        <x:v>2152</x:v>
      </x:c>
      <x:c r="B2153" t="n">
        <x:v>43</x:v>
      </x:c>
      <x:c r="C2153" t="str">
        <x:v>Female</x:v>
      </x:c>
      <x:c r="D2153" t="str">
        <x:v>Womens Clothing</x:v>
      </x:c>
      <x:c r="E2153" t="str">
        <x:v>Skirt</x:v>
      </x:c>
      <x:c r="F2153" s="24" t="n">
        <x:v>89.23</x:v>
      </x:c>
      <x:c r="G2153" t="str">
        <x:v>Summer</x:v>
      </x:c>
      <x:c r="H2153" t="str">
        <x:v>Card</x:v>
      </x:c>
      <x:c r="I2153" t="n">
        <x:v>3.2</x:v>
      </x:c>
      <x:c r="J2153" t="n">
        <x:v>10</x:v>
      </x:c>
      <x:c r="K2153" t="n">
        <x:v>5</x:v>
      </x:c>
      <x:c r="L2153" t="str">
        <x:v>STORE-001</x:v>
      </x:c>
      <x:c r="M2153" s="22" t="n">
        <x:v>46012</x:v>
      </x:c>
      <x:c r="N2153" t="str">
        <x:v>SKU-022</x:v>
      </x:c>
      <x:c r="O2153" t="n">
        <x:v>1</x:v>
      </x:c>
      <x:c r="P2153" s="26" t="n">
        <x:f>F2153/O2153</x:f>
        <x:v>89.23</x:v>
      </x:c>
    </x:row>
    <x:row r="2154">
      <x:c r="A2154" t="n">
        <x:v>2153</x:v>
      </x:c>
      <x:c r="B2154" t="n">
        <x:v>48</x:v>
      </x:c>
      <x:c r="C2154" t="str">
        <x:v>Female</x:v>
      </x:c>
      <x:c r="D2154" t="str">
        <x:v>Beauty</x:v>
      </x:c>
      <x:c r="E2154" t="str">
        <x:v>Makeup Set</x:v>
      </x:c>
      <x:c r="F2154" s="24" t="n">
        <x:v>108.66</x:v>
      </x:c>
      <x:c r="G2154" t="str">
        <x:v>Spring</x:v>
      </x:c>
      <x:c r="H2154" t="str">
        <x:v>Card</x:v>
      </x:c>
      <x:c r="I2154" t="n">
        <x:v>3.7</x:v>
      </x:c>
      <x:c r="J2154" t="n">
        <x:v>12</x:v>
      </x:c>
      <x:c r="K2154" t="n">
        <x:v>6</x:v>
      </x:c>
      <x:c r="L2154" t="str">
        <x:v>STORE-001</x:v>
      </x:c>
      <x:c r="M2154" s="22" t="n">
        <x:v>45982</x:v>
      </x:c>
      <x:c r="N2154" t="str">
        <x:v>SKU-015</x:v>
      </x:c>
      <x:c r="O2154" t="n">
        <x:v>1</x:v>
      </x:c>
      <x:c r="P2154" s="26" t="n">
        <x:f>F2154/O2154</x:f>
        <x:v>108.66</x:v>
      </x:c>
    </x:row>
    <x:row r="2155">
      <x:c r="A2155" t="n">
        <x:v>2154</x:v>
      </x:c>
      <x:c r="B2155" t="n">
        <x:v>32</x:v>
      </x:c>
      <x:c r="C2155" t="str">
        <x:v>Female</x:v>
      </x:c>
      <x:c r="D2155" t="str">
        <x:v>Sports</x:v>
      </x:c>
      <x:c r="E2155" t="str">
        <x:v>Dumbbells</x:v>
      </x:c>
      <x:c r="F2155" s="24" t="n">
        <x:v>156.96</x:v>
      </x:c>
      <x:c r="G2155" t="str">
        <x:v>Autumn</x:v>
      </x:c>
      <x:c r="H2155" t="str">
        <x:v>Card</x:v>
      </x:c>
      <x:c r="I2155" t="n">
        <x:v>3.4</x:v>
      </x:c>
      <x:c r="J2155" t="n">
        <x:v>22</x:v>
      </x:c>
      <x:c r="K2155" t="n">
        <x:v>6</x:v>
      </x:c>
      <x:c r="L2155" t="str">
        <x:v>STORE-001</x:v>
      </x:c>
      <x:c r="M2155" s="22" t="n">
        <x:v>46092</x:v>
      </x:c>
      <x:c r="N2155" t="str">
        <x:v>SKU-005</x:v>
      </x:c>
      <x:c r="O2155" t="n">
        <x:v>1</x:v>
      </x:c>
      <x:c r="P2155" s="26" t="n">
        <x:f>F2155/O2155</x:f>
        <x:v>156.96</x:v>
      </x:c>
    </x:row>
    <x:row r="2156">
      <x:c r="A2156" t="n">
        <x:v>2155</x:v>
      </x:c>
      <x:c r="B2156" t="n">
        <x:v>51</x:v>
      </x:c>
      <x:c r="C2156" t="str">
        <x:v>Female</x:v>
      </x:c>
      <x:c r="D2156" t="str">
        <x:v>Womens Clothing</x:v>
      </x:c>
      <x:c r="E2156" t="str">
        <x:v>Top</x:v>
      </x:c>
      <x:c r="F2156" s="24" t="n">
        <x:v>162.77</x:v>
      </x:c>
      <x:c r="G2156" t="str">
        <x:v>Winter</x:v>
      </x:c>
      <x:c r="H2156" t="str">
        <x:v>Card</x:v>
      </x:c>
      <x:c r="I2156" t="n">
        <x:v>3.3</x:v>
      </x:c>
      <x:c r="J2156" t="n">
        <x:v>20</x:v>
      </x:c>
      <x:c r="K2156" t="n">
        <x:v>5</x:v>
      </x:c>
      <x:c r="L2156" t="str">
        <x:v>STORE-001</x:v>
      </x:c>
      <x:c r="M2156" s="22" t="n">
        <x:v>46220</x:v>
      </x:c>
      <x:c r="N2156" t="str">
        <x:v>SKU-028</x:v>
      </x:c>
      <x:c r="O2156" t="n">
        <x:v>2</x:v>
      </x:c>
      <x:c r="P2156" s="26" t="n">
        <x:f>F2156/O2156</x:f>
        <x:v>81.385</x:v>
      </x:c>
    </x:row>
    <x:row r="2157">
      <x:c r="A2157" t="n">
        <x:v>2156</x:v>
      </x:c>
      <x:c r="B2157" t="n">
        <x:v>24</x:v>
      </x:c>
      <x:c r="C2157" t="str">
        <x:v>Female</x:v>
      </x:c>
      <x:c r="D2157" t="str">
        <x:v>Womens Clothing</x:v>
      </x:c>
      <x:c r="E2157" t="str">
        <x:v>Dress</x:v>
      </x:c>
      <x:c r="F2157" s="24" t="n">
        <x:v>134.74</x:v>
      </x:c>
      <x:c r="G2157" t="str">
        <x:v>Summer</x:v>
      </x:c>
      <x:c r="H2157" t="str">
        <x:v>Card</x:v>
      </x:c>
      <x:c r="I2157" t="n">
        <x:v>4.4</x:v>
      </x:c>
      <x:c r="J2157" t="n">
        <x:v>12</x:v>
      </x:c>
      <x:c r="K2157" t="n">
        <x:v>6</x:v>
      </x:c>
      <x:c r="L2157" t="str">
        <x:v>STORE-001</x:v>
      </x:c>
      <x:c r="M2157" s="22" t="n">
        <x:v>45992</x:v>
      </x:c>
      <x:c r="N2157" t="str">
        <x:v>SKU-004</x:v>
      </x:c>
      <x:c r="O2157" t="n">
        <x:v>1</x:v>
      </x:c>
      <x:c r="P2157" s="26" t="n">
        <x:f>F2157/O2157</x:f>
        <x:v>134.74</x:v>
      </x:c>
    </x:row>
    <x:row r="2158">
      <x:c r="A2158" t="n">
        <x:v>2157</x:v>
      </x:c>
      <x:c r="B2158" t="n">
        <x:v>25</x:v>
      </x:c>
      <x:c r="C2158" t="str">
        <x:v>Female</x:v>
      </x:c>
      <x:c r="D2158" t="str">
        <x:v>Womens Clothing</x:v>
      </x:c>
      <x:c r="E2158" t="str">
        <x:v>Skirt</x:v>
      </x:c>
      <x:c r="F2158" s="24" t="n">
        <x:v>62.82</x:v>
      </x:c>
      <x:c r="G2158" t="str">
        <x:v>Summer</x:v>
      </x:c>
      <x:c r="H2158" t="str">
        <x:v>Card</x:v>
      </x:c>
      <x:c r="I2158" t="n">
        <x:v>3.4</x:v>
      </x:c>
      <x:c r="J2158" t="n">
        <x:v>15</x:v>
      </x:c>
      <x:c r="K2158" t="n">
        <x:v>5</x:v>
      </x:c>
      <x:c r="L2158" t="str">
        <x:v>STORE-001</x:v>
      </x:c>
      <x:c r="M2158" s="22" t="n">
        <x:v>46012</x:v>
      </x:c>
      <x:c r="N2158" t="str">
        <x:v>SKU-022</x:v>
      </x:c>
      <x:c r="O2158" t="n">
        <x:v>1</x:v>
      </x:c>
      <x:c r="P2158" s="26" t="n">
        <x:f>F2158/O2158</x:f>
        <x:v>62.82</x:v>
      </x:c>
    </x:row>
    <x:row r="2159">
      <x:c r="A2159" t="n">
        <x:v>2158</x:v>
      </x:c>
      <x:c r="B2159" t="n">
        <x:v>21</x:v>
      </x:c>
      <x:c r="C2159" t="str">
        <x:v>Male</x:v>
      </x:c>
      <x:c r="D2159" t="str">
        <x:v>Mens Clothing</x:v>
      </x:c>
      <x:c r="E2159" t="str">
        <x:v>Jacket</x:v>
      </x:c>
      <x:c r="F2159" s="24" t="n">
        <x:v>185.24</x:v>
      </x:c>
      <x:c r="G2159" t="str">
        <x:v>Summer</x:v>
      </x:c>
      <x:c r="H2159" t="str">
        <x:v>Card</x:v>
      </x:c>
      <x:c r="I2159" t="n">
        <x:v>3.7</x:v>
      </x:c>
      <x:c r="J2159" t="n">
        <x:v>20</x:v>
      </x:c>
      <x:c r="K2159" t="n">
        <x:v>5</x:v>
      </x:c>
      <x:c r="L2159" t="str">
        <x:v>STORE-001</x:v>
      </x:c>
      <x:c r="M2159" s="22" t="n">
        <x:v>46007</x:v>
      </x:c>
      <x:c r="N2159" t="str">
        <x:v>SKU-010</x:v>
      </x:c>
      <x:c r="O2159" t="n">
        <x:v>1</x:v>
      </x:c>
      <x:c r="P2159" s="26" t="n">
        <x:f>F2159/O2159</x:f>
        <x:v>185.24</x:v>
      </x:c>
    </x:row>
    <x:row r="2160">
      <x:c r="A2160" t="n">
        <x:v>2159</x:v>
      </x:c>
      <x:c r="B2160" t="n">
        <x:v>21</x:v>
      </x:c>
      <x:c r="C2160" t="str">
        <x:v>Female</x:v>
      </x:c>
      <x:c r="D2160" t="str">
        <x:v>Beauty</x:v>
      </x:c>
      <x:c r="E2160" t="str">
        <x:v>Perfume</x:v>
      </x:c>
      <x:c r="F2160" s="24" t="n">
        <x:v>52.12</x:v>
      </x:c>
      <x:c r="G2160" t="str">
        <x:v>Summer</x:v>
      </x:c>
      <x:c r="H2160" t="str">
        <x:v>Card</x:v>
      </x:c>
      <x:c r="I2160" t="n">
        <x:v>2.2</x:v>
      </x:c>
      <x:c r="J2160" t="n">
        <x:v>14</x:v>
      </x:c>
      <x:c r="K2160" t="n">
        <x:v>7</x:v>
      </x:c>
      <x:c r="L2160" t="str">
        <x:v>STORE-001</x:v>
      </x:c>
      <x:c r="M2160" s="22" t="n">
        <x:v>46059</x:v>
      </x:c>
      <x:c r="N2160" t="str">
        <x:v>SKU-017</x:v>
      </x:c>
      <x:c r="O2160" t="n">
        <x:v>1</x:v>
      </x:c>
      <x:c r="P2160" s="26" t="n">
        <x:f>F2160/O2160</x:f>
        <x:v>52.12</x:v>
      </x:c>
    </x:row>
    <x:row r="2161">
      <x:c r="A2161" t="n">
        <x:v>2160</x:v>
      </x:c>
      <x:c r="B2161" t="n">
        <x:v>26</x:v>
      </x:c>
      <x:c r="C2161" t="str">
        <x:v>Male</x:v>
      </x:c>
      <x:c r="D2161" t="str">
        <x:v>Mens Clothing</x:v>
      </x:c>
      <x:c r="E2161" t="str">
        <x:v>Jeans</x:v>
      </x:c>
      <x:c r="F2161" s="24" t="n">
        <x:v>117.39</x:v>
      </x:c>
      <x:c r="G2161" t="str">
        <x:v>Winter</x:v>
      </x:c>
      <x:c r="H2161" t="str">
        <x:v>Card</x:v>
      </x:c>
      <x:c r="I2161" t="n">
        <x:v>4.1</x:v>
      </x:c>
      <x:c r="J2161" t="n">
        <x:v>17</x:v>
      </x:c>
      <x:c r="K2161" t="n">
        <x:v>6</x:v>
      </x:c>
      <x:c r="L2161" t="str">
        <x:v>STORE-001</x:v>
      </x:c>
      <x:c r="M2161" s="22" t="n">
        <x:v>46205</x:v>
      </x:c>
      <x:c r="N2161" t="str">
        <x:v>SKU-011</x:v>
      </x:c>
      <x:c r="O2161" t="n">
        <x:v>3</x:v>
      </x:c>
      <x:c r="P2161" s="26" t="n">
        <x:f>F2161/O2161</x:f>
        <x:v>39.13</x:v>
      </x:c>
    </x:row>
    <x:row r="2162">
      <x:c r="A2162" t="n">
        <x:v>2161</x:v>
      </x:c>
      <x:c r="B2162" t="n">
        <x:v>64</x:v>
      </x:c>
      <x:c r="C2162" t="str">
        <x:v>Male</x:v>
      </x:c>
      <x:c r="D2162" t="str">
        <x:v>Electronics</x:v>
      </x:c>
      <x:c r="E2162" t="str">
        <x:v>Headphones</x:v>
      </x:c>
      <x:c r="F2162" s="24" t="n">
        <x:v>1748.62</x:v>
      </x:c>
      <x:c r="G2162" t="str">
        <x:v>Spring</x:v>
      </x:c>
      <x:c r="H2162" t="str">
        <x:v>Card</x:v>
      </x:c>
      <x:c r="I2162" t="n">
        <x:v>4.6</x:v>
      </x:c>
      <x:c r="J2162" t="n">
        <x:v>13</x:v>
      </x:c>
      <x:c r="K2162" t="n">
        <x:v>4</x:v>
      </x:c>
      <x:c r="L2162" t="str">
        <x:v>STORE-001</x:v>
      </x:c>
      <x:c r="M2162" s="22" t="n">
        <x:v>45965</x:v>
      </x:c>
      <x:c r="N2162" t="str">
        <x:v>SKU-009</x:v>
      </x:c>
      <x:c r="O2162" t="n">
        <x:v>1</x:v>
      </x:c>
      <x:c r="P2162" s="26" t="n">
        <x:f>F2162/O2162</x:f>
        <x:v>1748.62</x:v>
      </x:c>
    </x:row>
    <x:row r="2163">
      <x:c r="A2163" t="n">
        <x:v>2162</x:v>
      </x:c>
      <x:c r="B2163" t="n">
        <x:v>47</x:v>
      </x:c>
      <x:c r="C2163" t="str">
        <x:v>Female</x:v>
      </x:c>
      <x:c r="D2163" t="str">
        <x:v>Womens Clothing</x:v>
      </x:c>
      <x:c r="E2163" t="str">
        <x:v>Top</x:v>
      </x:c>
      <x:c r="F2163" s="24" t="n">
        <x:v>156.93</x:v>
      </x:c>
      <x:c r="G2163" t="str">
        <x:v>Autumn</x:v>
      </x:c>
      <x:c r="H2163" t="str">
        <x:v>Card</x:v>
      </x:c>
      <x:c r="I2163" t="n">
        <x:v>3.4</x:v>
      </x:c>
      <x:c r="J2163" t="n">
        <x:v>11</x:v>
      </x:c>
      <x:c r="K2163" t="n">
        <x:v>3</x:v>
      </x:c>
      <x:c r="L2163" t="str">
        <x:v>STORE-001</x:v>
      </x:c>
      <x:c r="M2163" s="22" t="n">
        <x:v>46085</x:v>
      </x:c>
      <x:c r="N2163" t="str">
        <x:v>SKU-028</x:v>
      </x:c>
      <x:c r="O2163" t="n">
        <x:v>1</x:v>
      </x:c>
      <x:c r="P2163" s="26" t="n">
        <x:f>F2163/O2163</x:f>
        <x:v>156.93</x:v>
      </x:c>
    </x:row>
    <x:row r="2164">
      <x:c r="A2164" t="n">
        <x:v>2163</x:v>
      </x:c>
      <x:c r="B2164" t="n">
        <x:v>58</x:v>
      </x:c>
      <x:c r="C2164" t="str">
        <x:v>Female</x:v>
      </x:c>
      <x:c r="D2164" t="str">
        <x:v>Groceries</x:v>
      </x:c>
      <x:c r="E2164" t="str">
        <x:v>Cooking Oil</x:v>
      </x:c>
      <x:c r="F2164" s="24" t="n">
        <x:v>10.97</x:v>
      </x:c>
      <x:c r="G2164" t="str">
        <x:v>Autumn</x:v>
      </x:c>
      <x:c r="H2164" t="str">
        <x:v>Card</x:v>
      </x:c>
      <x:c r="I2164" t="n">
        <x:v>3.3</x:v>
      </x:c>
      <x:c r="J2164" t="n">
        <x:v>10</x:v>
      </x:c>
      <x:c r="K2164" t="n">
        <x:v>5</x:v>
      </x:c>
      <x:c r="L2164" t="str">
        <x:v>STORE-001</x:v>
      </x:c>
      <x:c r="M2164" s="22" t="n">
        <x:v>46101</x:v>
      </x:c>
      <x:c r="N2164" t="str">
        <x:v>SKU-002</x:v>
      </x:c>
      <x:c r="O2164" t="n">
        <x:v>1</x:v>
      </x:c>
      <x:c r="P2164" s="26" t="n">
        <x:f>F2164/O2164</x:f>
        <x:v>10.97</x:v>
      </x:c>
    </x:row>
    <x:row r="2165">
      <x:c r="A2165" t="n">
        <x:v>2164</x:v>
      </x:c>
      <x:c r="B2165" t="n">
        <x:v>38</x:v>
      </x:c>
      <x:c r="C2165" t="str">
        <x:v>Male</x:v>
      </x:c>
      <x:c r="D2165" t="str">
        <x:v>Mens Clothing</x:v>
      </x:c>
      <x:c r="E2165" t="str">
        <x:v>Jacket</x:v>
      </x:c>
      <x:c r="F2165" s="24" t="n">
        <x:v>196.58</x:v>
      </x:c>
      <x:c r="G2165" t="str">
        <x:v>Summer</x:v>
      </x:c>
      <x:c r="H2165" t="str">
        <x:v>Card</x:v>
      </x:c>
      <x:c r="I2165" t="n">
        <x:v>4.1</x:v>
      </x:c>
      <x:c r="J2165" t="n">
        <x:v>15</x:v>
      </x:c>
      <x:c r="K2165" t="n">
        <x:v>5</x:v>
      </x:c>
      <x:c r="L2165" t="str">
        <x:v>STORE-001</x:v>
      </x:c>
      <x:c r="M2165" s="22" t="n">
        <x:v>45997</x:v>
      </x:c>
      <x:c r="N2165" t="str">
        <x:v>SKU-010</x:v>
      </x:c>
      <x:c r="O2165" t="n">
        <x:v>1</x:v>
      </x:c>
      <x:c r="P2165" s="26" t="n">
        <x:f>F2165/O2165</x:f>
        <x:v>196.58</x:v>
      </x:c>
    </x:row>
    <x:row r="2166">
      <x:c r="A2166" t="n">
        <x:v>2165</x:v>
      </x:c>
      <x:c r="B2166" t="n">
        <x:v>33</x:v>
      </x:c>
      <x:c r="C2166" t="str">
        <x:v>Female</x:v>
      </x:c>
      <x:c r="D2166" t="str">
        <x:v>Beauty</x:v>
      </x:c>
      <x:c r="E2166" t="str">
        <x:v>Skincare Kit</x:v>
      </x:c>
      <x:c r="F2166" s="24" t="n">
        <x:v>124.79</x:v>
      </x:c>
      <x:c r="G2166" t="str">
        <x:v>Spring</x:v>
      </x:c>
      <x:c r="H2166" t="str">
        <x:v>Card</x:v>
      </x:c>
      <x:c r="I2166" t="n">
        <x:v>3.2</x:v>
      </x:c>
      <x:c r="J2166" t="n">
        <x:v>13</x:v>
      </x:c>
      <x:c r="K2166" t="n">
        <x:v>4</x:v>
      </x:c>
      <x:c r="L2166" t="str">
        <x:v>STORE-001</x:v>
      </x:c>
      <x:c r="M2166" s="22" t="n">
        <x:v>46291</x:v>
      </x:c>
      <x:c r="N2166" t="str">
        <x:v>SKU-021</x:v>
      </x:c>
      <x:c r="O2166" t="n">
        <x:v>1</x:v>
      </x:c>
      <x:c r="P2166" s="26" t="n">
        <x:f>F2166/O2166</x:f>
        <x:v>124.79</x:v>
      </x:c>
    </x:row>
    <x:row r="2167">
      <x:c r="A2167" t="n">
        <x:v>2166</x:v>
      </x:c>
      <x:c r="B2167" t="n">
        <x:v>58</x:v>
      </x:c>
      <x:c r="C2167" t="str">
        <x:v>Male</x:v>
      </x:c>
      <x:c r="D2167" t="str">
        <x:v>Mens Clothing</x:v>
      </x:c>
      <x:c r="E2167" t="str">
        <x:v>Shirt</x:v>
      </x:c>
      <x:c r="F2167" s="24" t="n">
        <x:v>126.22</x:v>
      </x:c>
      <x:c r="G2167" t="str">
        <x:v>Autumn</x:v>
      </x:c>
      <x:c r="H2167" t="str">
        <x:v>Card</x:v>
      </x:c>
      <x:c r="I2167" t="n">
        <x:v>4.9</x:v>
      </x:c>
      <x:c r="J2167" t="n">
        <x:v>16</x:v>
      </x:c>
      <x:c r="K2167" t="n">
        <x:v>3</x:v>
      </x:c>
      <x:c r="L2167" t="str">
        <x:v>STORE-001</x:v>
      </x:c>
      <x:c r="M2167" s="22" t="n">
        <x:v>46117</x:v>
      </x:c>
      <x:c r="N2167" t="str">
        <x:v>SKU-020</x:v>
      </x:c>
      <x:c r="O2167" t="n">
        <x:v>1</x:v>
      </x:c>
      <x:c r="P2167" s="26" t="n">
        <x:f>F2167/O2167</x:f>
        <x:v>126.22</x:v>
      </x:c>
    </x:row>
    <x:row r="2168">
      <x:c r="A2168" t="n">
        <x:v>2167</x:v>
      </x:c>
      <x:c r="B2168" t="n">
        <x:v>43</x:v>
      </x:c>
      <x:c r="C2168" t="str">
        <x:v>Female</x:v>
      </x:c>
      <x:c r="D2168" t="str">
        <x:v>Beauty</x:v>
      </x:c>
      <x:c r="E2168" t="str">
        <x:v>Skincare Kit</x:v>
      </x:c>
      <x:c r="F2168" s="24" t="n">
        <x:v>55.3</x:v>
      </x:c>
      <x:c r="G2168" t="str">
        <x:v>Winter</x:v>
      </x:c>
      <x:c r="H2168" t="str">
        <x:v>Cash on Delivery</x:v>
      </x:c>
      <x:c r="I2168" t="n">
        <x:v>2.7</x:v>
      </x:c>
      <x:c r="J2168" t="n">
        <x:v>8</x:v>
      </x:c>
      <x:c r="K2168" t="n">
        <x:v>4</x:v>
      </x:c>
      <x:c r="L2168" t="str">
        <x:v>STORE-001</x:v>
      </x:c>
      <x:c r="M2168" s="22" t="n">
        <x:v>46197</x:v>
      </x:c>
      <x:c r="N2168" t="str">
        <x:v>SKU-021</x:v>
      </x:c>
      <x:c r="O2168" t="n">
        <x:v>1</x:v>
      </x:c>
      <x:c r="P2168" s="26" t="n">
        <x:f>F2168/O2168</x:f>
        <x:v>55.3</x:v>
      </x:c>
    </x:row>
    <x:row r="2169">
      <x:c r="A2169" t="n">
        <x:v>2168</x:v>
      </x:c>
      <x:c r="B2169" t="n">
        <x:v>49</x:v>
      </x:c>
      <x:c r="C2169" t="str">
        <x:v>Female</x:v>
      </x:c>
      <x:c r="D2169" t="str">
        <x:v>Womens Clothing</x:v>
      </x:c>
      <x:c r="E2169" t="str">
        <x:v>Jeans</x:v>
      </x:c>
      <x:c r="F2169" s="24" t="n">
        <x:v>153.03</x:v>
      </x:c>
      <x:c r="G2169" t="str">
        <x:v>Spring</x:v>
      </x:c>
      <x:c r="H2169" t="str">
        <x:v>Card</x:v>
      </x:c>
      <x:c r="I2169" t="n">
        <x:v>3.9</x:v>
      </x:c>
      <x:c r="J2169" t="n">
        <x:v>23</x:v>
      </x:c>
      <x:c r="K2169" t="n">
        <x:v>9</x:v>
      </x:c>
      <x:c r="L2169" t="str">
        <x:v>STORE-001</x:v>
      </x:c>
      <x:c r="M2169" s="22" t="n">
        <x:v>45935</x:v>
      </x:c>
      <x:c r="N2169" t="str">
        <x:v>SKU-011</x:v>
      </x:c>
      <x:c r="O2169" t="n">
        <x:v>2</x:v>
      </x:c>
      <x:c r="P2169" s="26" t="n">
        <x:f>F2169/O2169</x:f>
        <x:v>76.515</x:v>
      </x:c>
    </x:row>
    <x:row r="2170">
      <x:c r="A2170" t="n">
        <x:v>2169</x:v>
      </x:c>
      <x:c r="B2170" t="n">
        <x:v>36</x:v>
      </x:c>
      <x:c r="C2170" t="str">
        <x:v>Male</x:v>
      </x:c>
      <x:c r="D2170" t="str">
        <x:v>Electronics</x:v>
      </x:c>
      <x:c r="E2170" t="str">
        <x:v>Mobile Phone</x:v>
      </x:c>
      <x:c r="F2170" s="24" t="n">
        <x:v>2044.39</x:v>
      </x:c>
      <x:c r="G2170" t="str">
        <x:v>Winter</x:v>
      </x:c>
      <x:c r="H2170" t="str">
        <x:v>Card</x:v>
      </x:c>
      <x:c r="I2170" t="n">
        <x:v>3.5</x:v>
      </x:c>
      <x:c r="J2170" t="n">
        <x:v>28</x:v>
      </x:c>
      <x:c r="K2170" t="n">
        <x:v>9</x:v>
      </x:c>
      <x:c r="L2170" t="str">
        <x:v>STORE-001</x:v>
      </x:c>
      <x:c r="M2170" s="22" t="n">
        <x:v>46179</x:v>
      </x:c>
      <x:c r="N2170" t="str">
        <x:v>SKU-016</x:v>
      </x:c>
      <x:c r="O2170" t="n">
        <x:v>2</x:v>
      </x:c>
      <x:c r="P2170" s="26" t="n">
        <x:f>F2170/O2170</x:f>
        <x:v>1022.195</x:v>
      </x:c>
    </x:row>
    <x:row r="2171">
      <x:c r="A2171" t="n">
        <x:v>2170</x:v>
      </x:c>
      <x:c r="B2171" t="n">
        <x:v>69</x:v>
      </x:c>
      <x:c r="C2171" t="str">
        <x:v>Female</x:v>
      </x:c>
      <x:c r="D2171" t="str">
        <x:v>Sports</x:v>
      </x:c>
      <x:c r="E2171" t="str">
        <x:v>Football</x:v>
      </x:c>
      <x:c r="F2171" s="24" t="n">
        <x:v>125.7</x:v>
      </x:c>
      <x:c r="G2171" t="str">
        <x:v>Winter</x:v>
      </x:c>
      <x:c r="H2171" t="str">
        <x:v>Card</x:v>
      </x:c>
      <x:c r="I2171" t="n">
        <x:v>4.4</x:v>
      </x:c>
      <x:c r="J2171" t="n">
        <x:v>15</x:v>
      </x:c>
      <x:c r="K2171" t="n">
        <x:v>5</x:v>
      </x:c>
      <x:c r="L2171" t="str">
        <x:v>STORE-001</x:v>
      </x:c>
      <x:c r="M2171" s="22" t="n">
        <x:v>46222</x:v>
      </x:c>
      <x:c r="N2171" t="str">
        <x:v>SKU-006</x:v>
      </x:c>
      <x:c r="O2171" t="n">
        <x:v>1</x:v>
      </x:c>
      <x:c r="P2171" s="26" t="n">
        <x:f>F2171/O2171</x:f>
        <x:v>125.7</x:v>
      </x:c>
    </x:row>
    <x:row r="2172">
      <x:c r="A2172" t="n">
        <x:v>2171</x:v>
      </x:c>
      <x:c r="B2172" t="n">
        <x:v>50</x:v>
      </x:c>
      <x:c r="C2172" t="str">
        <x:v>Male</x:v>
      </x:c>
      <x:c r="D2172" t="str">
        <x:v>Sports</x:v>
      </x:c>
      <x:c r="E2172" t="str">
        <x:v>Football</x:v>
      </x:c>
      <x:c r="F2172" s="24" t="n">
        <x:v>57.74</x:v>
      </x:c>
      <x:c r="G2172" t="str">
        <x:v>Summer</x:v>
      </x:c>
      <x:c r="H2172" t="str">
        <x:v>Cash on Delivery</x:v>
      </x:c>
      <x:c r="I2172" t="n">
        <x:v>3</x:v>
      </x:c>
      <x:c r="J2172" t="n">
        <x:v>16</x:v>
      </x:c>
      <x:c r="K2172" t="n">
        <x:v>8</x:v>
      </x:c>
      <x:c r="L2172" t="str">
        <x:v>STORE-001</x:v>
      </x:c>
      <x:c r="M2172" s="22" t="n">
        <x:v>46055</x:v>
      </x:c>
      <x:c r="N2172" t="str">
        <x:v>SKU-006</x:v>
      </x:c>
      <x:c r="O2172" t="n">
        <x:v>1</x:v>
      </x:c>
      <x:c r="P2172" s="26" t="n">
        <x:f>F2172/O2172</x:f>
        <x:v>57.74</x:v>
      </x:c>
    </x:row>
    <x:row r="2173">
      <x:c r="A2173" t="n">
        <x:v>2172</x:v>
      </x:c>
      <x:c r="B2173" t="n">
        <x:v>35</x:v>
      </x:c>
      <x:c r="C2173" t="str">
        <x:v>Female</x:v>
      </x:c>
      <x:c r="D2173" t="str">
        <x:v>Footwear</x:v>
      </x:c>
      <x:c r="E2173" t="str">
        <x:v>Formal Shoes</x:v>
      </x:c>
      <x:c r="F2173" s="24" t="n">
        <x:v>42.14</x:v>
      </x:c>
      <x:c r="G2173" t="str">
        <x:v>Summer</x:v>
      </x:c>
      <x:c r="H2173" t="str">
        <x:v>Card</x:v>
      </x:c>
      <x:c r="I2173" t="n">
        <x:v>2.9</x:v>
      </x:c>
      <x:c r="J2173" t="n">
        <x:v>17</x:v>
      </x:c>
      <x:c r="K2173" t="n">
        <x:v>6</x:v>
      </x:c>
      <x:c r="L2173" t="str">
        <x:v>STORE-001</x:v>
      </x:c>
      <x:c r="M2173" s="22" t="n">
        <x:v>46011</x:v>
      </x:c>
      <x:c r="N2173" t="str">
        <x:v>SKU-007</x:v>
      </x:c>
      <x:c r="O2173" t="n">
        <x:v>2</x:v>
      </x:c>
      <x:c r="P2173" s="26" t="n">
        <x:f>F2173/O2173</x:f>
        <x:v>21.07</x:v>
      </x:c>
    </x:row>
    <x:row r="2174">
      <x:c r="A2174" t="n">
        <x:v>2173</x:v>
      </x:c>
      <x:c r="B2174" t="n">
        <x:v>29</x:v>
      </x:c>
      <x:c r="C2174" t="str">
        <x:v>Female</x:v>
      </x:c>
      <x:c r="D2174" t="str">
        <x:v>Accessories</x:v>
      </x:c>
      <x:c r="E2174" t="str">
        <x:v>Wallet</x:v>
      </x:c>
      <x:c r="F2174" s="24" t="n">
        <x:v>65.65</x:v>
      </x:c>
      <x:c r="G2174" t="str">
        <x:v>Summer</x:v>
      </x:c>
      <x:c r="H2174" t="str">
        <x:v>Cash on Delivery</x:v>
      </x:c>
      <x:c r="I2174" t="n">
        <x:v>3.6</x:v>
      </x:c>
      <x:c r="J2174" t="n">
        <x:v>11</x:v>
      </x:c>
      <x:c r="K2174" t="n">
        <x:v>3</x:v>
      </x:c>
      <x:c r="L2174" t="str">
        <x:v>STORE-001</x:v>
      </x:c>
      <x:c r="M2174" s="22" t="n">
        <x:v>46006</x:v>
      </x:c>
      <x:c r="N2174" t="str">
        <x:v>SKU-029</x:v>
      </x:c>
      <x:c r="O2174" t="n">
        <x:v>2</x:v>
      </x:c>
      <x:c r="P2174" s="26" t="n">
        <x:f>F2174/O2174</x:f>
        <x:v>32.825</x:v>
      </x:c>
    </x:row>
    <x:row r="2175">
      <x:c r="A2175" t="n">
        <x:v>2174</x:v>
      </x:c>
      <x:c r="B2175" t="n">
        <x:v>23</x:v>
      </x:c>
      <x:c r="C2175" t="str">
        <x:v>Male</x:v>
      </x:c>
      <x:c r="D2175" t="str">
        <x:v>Electronics</x:v>
      </x:c>
      <x:c r="E2175" t="str">
        <x:v>Smart Watch</x:v>
      </x:c>
      <x:c r="F2175" s="24" t="n">
        <x:v>899.3</x:v>
      </x:c>
      <x:c r="G2175" t="str">
        <x:v>Spring</x:v>
      </x:c>
      <x:c r="H2175" t="str">
        <x:v>Card</x:v>
      </x:c>
      <x:c r="I2175" t="n">
        <x:v>3.8</x:v>
      </x:c>
      <x:c r="J2175" t="n">
        <x:v>14</x:v>
      </x:c>
      <x:c r="K2175" t="n">
        <x:v>2</x:v>
      </x:c>
      <x:c r="L2175" t="str">
        <x:v>STORE-001</x:v>
      </x:c>
      <x:c r="M2175" s="22" t="n">
        <x:v>46285</x:v>
      </x:c>
      <x:c r="N2175" t="str">
        <x:v>SKU-023</x:v>
      </x:c>
      <x:c r="O2175" t="n">
        <x:v>2</x:v>
      </x:c>
      <x:c r="P2175" s="26" t="n">
        <x:f>F2175/O2175</x:f>
        <x:v>449.65</x:v>
      </x:c>
    </x:row>
    <x:row r="2176">
      <x:c r="A2176" t="n">
        <x:v>2175</x:v>
      </x:c>
      <x:c r="B2176" t="n">
        <x:v>70</x:v>
      </x:c>
      <x:c r="C2176" t="str">
        <x:v>Male</x:v>
      </x:c>
      <x:c r="D2176" t="str">
        <x:v>Home</x:v>
      </x:c>
      <x:c r="E2176" t="str">
        <x:v>Lamp</x:v>
      </x:c>
      <x:c r="F2176" s="24" t="n">
        <x:v>189.01</x:v>
      </x:c>
      <x:c r="G2176" t="str">
        <x:v>Spring</x:v>
      </x:c>
      <x:c r="H2176" t="str">
        <x:v>Card</x:v>
      </x:c>
      <x:c r="I2176" t="n">
        <x:v>4.8</x:v>
      </x:c>
      <x:c r="J2176" t="n">
        <x:v>24</x:v>
      </x:c>
      <x:c r="K2176" t="n">
        <x:v>7</x:v>
      </x:c>
      <x:c r="L2176" t="str">
        <x:v>STORE-001</x:v>
      </x:c>
      <x:c r="M2176" s="22" t="n">
        <x:v>46289</x:v>
      </x:c>
      <x:c r="N2176" t="str">
        <x:v>SKU-013</x:v>
      </x:c>
      <x:c r="O2176" t="n">
        <x:v>1</x:v>
      </x:c>
      <x:c r="P2176" s="26" t="n">
        <x:f>F2176/O2176</x:f>
        <x:v>189.01</x:v>
      </x:c>
    </x:row>
    <x:row r="2177">
      <x:c r="A2177" t="n">
        <x:v>2176</x:v>
      </x:c>
      <x:c r="B2177" t="n">
        <x:v>55</x:v>
      </x:c>
      <x:c r="C2177" t="str">
        <x:v>Female</x:v>
      </x:c>
      <x:c r="D2177" t="str">
        <x:v>Accessories</x:v>
      </x:c>
      <x:c r="E2177" t="str">
        <x:v>Sunglasses</x:v>
      </x:c>
      <x:c r="F2177" s="24" t="n">
        <x:v>155.95</x:v>
      </x:c>
      <x:c r="G2177" t="str">
        <x:v>Spring</x:v>
      </x:c>
      <x:c r="H2177" t="str">
        <x:v>Card</x:v>
      </x:c>
      <x:c r="I2177" t="n">
        <x:v>3.1</x:v>
      </x:c>
      <x:c r="J2177" t="n">
        <x:v>15</x:v>
      </x:c>
      <x:c r="K2177" t="n">
        <x:v>5</x:v>
      </x:c>
      <x:c r="L2177" t="str">
        <x:v>STORE-001</x:v>
      </x:c>
      <x:c r="M2177" s="22" t="n">
        <x:v>45956</x:v>
      </x:c>
      <x:c r="N2177" t="str">
        <x:v>SKU-026</x:v>
      </x:c>
      <x:c r="O2177" t="n">
        <x:v>1</x:v>
      </x:c>
      <x:c r="P2177" s="26" t="n">
        <x:f>F2177/O2177</x:f>
        <x:v>155.95</x:v>
      </x:c>
    </x:row>
    <x:row r="2178">
      <x:c r="A2178" t="n">
        <x:v>2177</x:v>
      </x:c>
      <x:c r="B2178" t="n">
        <x:v>28</x:v>
      </x:c>
      <x:c r="C2178" t="str">
        <x:v>Female</x:v>
      </x:c>
      <x:c r="D2178" t="str">
        <x:v>Beauty</x:v>
      </x:c>
      <x:c r="E2178" t="str">
        <x:v>Makeup Set</x:v>
      </x:c>
      <x:c r="F2178" s="24" t="n">
        <x:v>90.72</x:v>
      </x:c>
      <x:c r="G2178" t="str">
        <x:v>Winter</x:v>
      </x:c>
      <x:c r="H2178" t="str">
        <x:v>Cash on Delivery</x:v>
      </x:c>
      <x:c r="I2178" t="n">
        <x:v>1.4</x:v>
      </x:c>
      <x:c r="J2178" t="n">
        <x:v>8</x:v>
      </x:c>
      <x:c r="K2178" t="n">
        <x:v>4</x:v>
      </x:c>
      <x:c r="L2178" t="str">
        <x:v>STORE-001</x:v>
      </x:c>
      <x:c r="M2178" s="22" t="n">
        <x:v>46218</x:v>
      </x:c>
      <x:c r="N2178" t="str">
        <x:v>SKU-015</x:v>
      </x:c>
      <x:c r="O2178" t="n">
        <x:v>1</x:v>
      </x:c>
      <x:c r="P2178" s="26" t="n">
        <x:f>F2178/O2178</x:f>
        <x:v>90.72</x:v>
      </x:c>
    </x:row>
    <x:row r="2179">
      <x:c r="A2179" t="n">
        <x:v>2178</x:v>
      </x:c>
      <x:c r="B2179" t="n">
        <x:v>24</x:v>
      </x:c>
      <x:c r="C2179" t="str">
        <x:v>Female</x:v>
      </x:c>
      <x:c r="D2179" t="str">
        <x:v>Beauty</x:v>
      </x:c>
      <x:c r="E2179" t="str">
        <x:v>Makeup Set</x:v>
      </x:c>
      <x:c r="F2179" s="24" t="n">
        <x:v>58.6</x:v>
      </x:c>
      <x:c r="G2179" t="str">
        <x:v>Winter</x:v>
      </x:c>
      <x:c r="H2179" t="str">
        <x:v>Card</x:v>
      </x:c>
      <x:c r="I2179" t="n">
        <x:v>3.1</x:v>
      </x:c>
      <x:c r="J2179" t="n">
        <x:v>17</x:v>
      </x:c>
      <x:c r="K2179" t="n">
        <x:v>6</x:v>
      </x:c>
      <x:c r="L2179" t="str">
        <x:v>STORE-001</x:v>
      </x:c>
      <x:c r="M2179" s="22" t="n">
        <x:v>46216</x:v>
      </x:c>
      <x:c r="N2179" t="str">
        <x:v>SKU-015</x:v>
      </x:c>
      <x:c r="O2179" t="n">
        <x:v>1</x:v>
      </x:c>
      <x:c r="P2179" s="26" t="n">
        <x:f>F2179/O2179</x:f>
        <x:v>58.6</x:v>
      </x:c>
    </x:row>
    <x:row r="2180">
      <x:c r="A2180" t="n">
        <x:v>2179</x:v>
      </x:c>
      <x:c r="B2180" t="n">
        <x:v>69</x:v>
      </x:c>
      <x:c r="C2180" t="str">
        <x:v>Female</x:v>
      </x:c>
      <x:c r="D2180" t="str">
        <x:v>Womens Clothing</x:v>
      </x:c>
      <x:c r="E2180" t="str">
        <x:v>Top</x:v>
      </x:c>
      <x:c r="F2180" s="24" t="n">
        <x:v>58.78</x:v>
      </x:c>
      <x:c r="G2180" t="str">
        <x:v>Summer</x:v>
      </x:c>
      <x:c r="H2180" t="str">
        <x:v>Card</x:v>
      </x:c>
      <x:c r="I2180" t="n">
        <x:v>3.7</x:v>
      </x:c>
      <x:c r="J2180" t="n">
        <x:v>18</x:v>
      </x:c>
      <x:c r="K2180" t="n">
        <x:v>4</x:v>
      </x:c>
      <x:c r="L2180" t="str">
        <x:v>STORE-001</x:v>
      </x:c>
      <x:c r="M2180" s="22" t="n">
        <x:v>46074</x:v>
      </x:c>
      <x:c r="N2180" t="str">
        <x:v>SKU-028</x:v>
      </x:c>
      <x:c r="O2180" t="n">
        <x:v>1</x:v>
      </x:c>
      <x:c r="P2180" s="26" t="n">
        <x:f>F2180/O2180</x:f>
        <x:v>58.78</x:v>
      </x:c>
    </x:row>
    <x:row r="2181">
      <x:c r="A2181" t="n">
        <x:v>2180</x:v>
      </x:c>
      <x:c r="B2181" t="n">
        <x:v>54</x:v>
      </x:c>
      <x:c r="C2181" t="str">
        <x:v>Female</x:v>
      </x:c>
      <x:c r="D2181" t="str">
        <x:v>Footwear</x:v>
      </x:c>
      <x:c r="E2181" t="str">
        <x:v>Sneakers</x:v>
      </x:c>
      <x:c r="F2181" s="24" t="n">
        <x:v>249.37</x:v>
      </x:c>
      <x:c r="G2181" t="str">
        <x:v>Summer</x:v>
      </x:c>
      <x:c r="H2181" t="str">
        <x:v>Card</x:v>
      </x:c>
      <x:c r="I2181" t="n">
        <x:v>3.8</x:v>
      </x:c>
      <x:c r="J2181" t="n">
        <x:v>8</x:v>
      </x:c>
      <x:c r="K2181" t="n">
        <x:v>4</x:v>
      </x:c>
      <x:c r="L2181" t="str">
        <x:v>STORE-001</x:v>
      </x:c>
      <x:c r="M2181" s="22" t="n">
        <x:v>46039</x:v>
      </x:c>
      <x:c r="N2181" t="str">
        <x:v>SKU-025</x:v>
      </x:c>
      <x:c r="O2181" t="n">
        <x:v>1</x:v>
      </x:c>
      <x:c r="P2181" s="26" t="n">
        <x:f>F2181/O2181</x:f>
        <x:v>249.37</x:v>
      </x:c>
    </x:row>
    <x:row r="2182">
      <x:c r="A2182" t="n">
        <x:v>2181</x:v>
      </x:c>
      <x:c r="B2182" t="n">
        <x:v>39</x:v>
      </x:c>
      <x:c r="C2182" t="str">
        <x:v>Male</x:v>
      </x:c>
      <x:c r="D2182" t="str">
        <x:v>Sports</x:v>
      </x:c>
      <x:c r="E2182" t="str">
        <x:v>Dumbbells</x:v>
      </x:c>
      <x:c r="F2182" s="24" t="n">
        <x:v>66.75</x:v>
      </x:c>
      <x:c r="G2182" t="str">
        <x:v>Summer</x:v>
      </x:c>
      <x:c r="H2182" t="str">
        <x:v>Card</x:v>
      </x:c>
      <x:c r="I2182" t="n">
        <x:v>3.3</x:v>
      </x:c>
      <x:c r="J2182" t="n">
        <x:v>8</x:v>
      </x:c>
      <x:c r="K2182" t="n">
        <x:v>4</x:v>
      </x:c>
      <x:c r="L2182" t="str">
        <x:v>STORE-001</x:v>
      </x:c>
      <x:c r="M2182" s="22" t="n">
        <x:v>46056</x:v>
      </x:c>
      <x:c r="N2182" t="str">
        <x:v>SKU-005</x:v>
      </x:c>
      <x:c r="O2182" t="n">
        <x:v>1</x:v>
      </x:c>
      <x:c r="P2182" s="26" t="n">
        <x:f>F2182/O2182</x:f>
        <x:v>66.75</x:v>
      </x:c>
    </x:row>
    <x:row r="2183">
      <x:c r="A2183" t="n">
        <x:v>2182</x:v>
      </x:c>
      <x:c r="B2183" t="n">
        <x:v>21</x:v>
      </x:c>
      <x:c r="C2183" t="str">
        <x:v>Male</x:v>
      </x:c>
      <x:c r="D2183" t="str">
        <x:v>Sports</x:v>
      </x:c>
      <x:c r="E2183" t="str">
        <x:v>Dumbbells</x:v>
      </x:c>
      <x:c r="F2183" s="24" t="n">
        <x:v>232.78</x:v>
      </x:c>
      <x:c r="G2183" t="str">
        <x:v>Spring</x:v>
      </x:c>
      <x:c r="H2183" t="str">
        <x:v>Card</x:v>
      </x:c>
      <x:c r="I2183" t="n">
        <x:v>4.1</x:v>
      </x:c>
      <x:c r="J2183" t="n">
        <x:v>16</x:v>
      </x:c>
      <x:c r="K2183" t="n">
        <x:v>3</x:v>
      </x:c>
      <x:c r="L2183" t="str">
        <x:v>STORE-001</x:v>
      </x:c>
      <x:c r="M2183" s="22" t="n">
        <x:v>46280</x:v>
      </x:c>
      <x:c r="N2183" t="str">
        <x:v>SKU-005</x:v>
      </x:c>
      <x:c r="O2183" t="n">
        <x:v>1</x:v>
      </x:c>
      <x:c r="P2183" s="26" t="n">
        <x:f>F2183/O2183</x:f>
        <x:v>232.78</x:v>
      </x:c>
    </x:row>
    <x:row r="2184">
      <x:c r="A2184" t="n">
        <x:v>2183</x:v>
      </x:c>
      <x:c r="B2184" t="n">
        <x:v>55</x:v>
      </x:c>
      <x:c r="C2184" t="str">
        <x:v>Male</x:v>
      </x:c>
      <x:c r="D2184" t="str">
        <x:v>Home</x:v>
      </x:c>
      <x:c r="E2184" t="str">
        <x:v>Lamp</x:v>
      </x:c>
      <x:c r="F2184" s="24" t="n">
        <x:v>271.73</x:v>
      </x:c>
      <x:c r="G2184" t="str">
        <x:v>Autumn</x:v>
      </x:c>
      <x:c r="H2184" t="str">
        <x:v>Card</x:v>
      </x:c>
      <x:c r="I2184" t="n">
        <x:v>2.8</x:v>
      </x:c>
      <x:c r="J2184" t="n">
        <x:v>4</x:v>
      </x:c>
      <x:c r="K2184" t="n">
        <x:v>2</x:v>
      </x:c>
      <x:c r="L2184" t="str">
        <x:v>STORE-001</x:v>
      </x:c>
      <x:c r="M2184" s="22" t="n">
        <x:v>46086</x:v>
      </x:c>
      <x:c r="N2184" t="str">
        <x:v>SKU-013</x:v>
      </x:c>
      <x:c r="O2184" t="n">
        <x:v>1</x:v>
      </x:c>
      <x:c r="P2184" s="26" t="n">
        <x:f>F2184/O2184</x:f>
        <x:v>271.73</x:v>
      </x:c>
    </x:row>
    <x:row r="2185">
      <x:c r="A2185" t="n">
        <x:v>2184</x:v>
      </x:c>
      <x:c r="B2185" t="n">
        <x:v>32</x:v>
      </x:c>
      <x:c r="C2185" t="str">
        <x:v>Female</x:v>
      </x:c>
      <x:c r="D2185" t="str">
        <x:v>Sports</x:v>
      </x:c>
      <x:c r="E2185" t="str">
        <x:v>Yoga Mat</x:v>
      </x:c>
      <x:c r="F2185" s="24" t="n">
        <x:v>117.69</x:v>
      </x:c>
      <x:c r="G2185" t="str">
        <x:v>Autumn</x:v>
      </x:c>
      <x:c r="H2185" t="str">
        <x:v>Card</x:v>
      </x:c>
      <x:c r="I2185" t="n">
        <x:v>3.4</x:v>
      </x:c>
      <x:c r="J2185" t="n">
        <x:v>22</x:v>
      </x:c>
      <x:c r="K2185" t="n">
        <x:v>6</x:v>
      </x:c>
      <x:c r="L2185" t="str">
        <x:v>STORE-001</x:v>
      </x:c>
      <x:c r="M2185" s="22" t="n">
        <x:v>46100</x:v>
      </x:c>
      <x:c r="N2185" t="str">
        <x:v>SKU-030</x:v>
      </x:c>
      <x:c r="O2185" t="n">
        <x:v>1</x:v>
      </x:c>
      <x:c r="P2185" s="26" t="n">
        <x:f>F2185/O2185</x:f>
        <x:v>117.69</x:v>
      </x:c>
    </x:row>
    <x:row r="2186">
      <x:c r="A2186" t="n">
        <x:v>2185</x:v>
      </x:c>
      <x:c r="B2186" t="n">
        <x:v>21</x:v>
      </x:c>
      <x:c r="C2186" t="str">
        <x:v>Female</x:v>
      </x:c>
      <x:c r="D2186" t="str">
        <x:v>Sports</x:v>
      </x:c>
      <x:c r="E2186" t="str">
        <x:v>Yoga Mat</x:v>
      </x:c>
      <x:c r="F2186" s="24" t="n">
        <x:v>248.21</x:v>
      </x:c>
      <x:c r="G2186" t="str">
        <x:v>Spring</x:v>
      </x:c>
      <x:c r="H2186" t="str">
        <x:v>Card</x:v>
      </x:c>
      <x:c r="I2186" t="n">
        <x:v>4</x:v>
      </x:c>
      <x:c r="J2186" t="n">
        <x:v>8</x:v>
      </x:c>
      <x:c r="K2186" t="n">
        <x:v>4</x:v>
      </x:c>
      <x:c r="L2186" t="str">
        <x:v>STORE-001</x:v>
      </x:c>
      <x:c r="M2186" s="22" t="n">
        <x:v>46285</x:v>
      </x:c>
      <x:c r="N2186" t="str">
        <x:v>SKU-030</x:v>
      </x:c>
      <x:c r="O2186" t="n">
        <x:v>1</x:v>
      </x:c>
      <x:c r="P2186" s="26" t="n">
        <x:f>F2186/O2186</x:f>
        <x:v>248.21</x:v>
      </x:c>
    </x:row>
    <x:row r="2187">
      <x:c r="A2187" t="n">
        <x:v>2186</x:v>
      </x:c>
      <x:c r="B2187" t="n">
        <x:v>20</x:v>
      </x:c>
      <x:c r="C2187" t="str">
        <x:v>Female</x:v>
      </x:c>
      <x:c r="D2187" t="str">
        <x:v>Sports</x:v>
      </x:c>
      <x:c r="E2187" t="str">
        <x:v>Football</x:v>
      </x:c>
      <x:c r="F2187" s="24" t="n">
        <x:v>83.38</x:v>
      </x:c>
      <x:c r="G2187" t="str">
        <x:v>Winter</x:v>
      </x:c>
      <x:c r="H2187" t="str">
        <x:v>Cash on Delivery</x:v>
      </x:c>
      <x:c r="I2187" t="n">
        <x:v>3.5</x:v>
      </x:c>
      <x:c r="J2187" t="n">
        <x:v>4</x:v>
      </x:c>
      <x:c r="K2187" t="n">
        <x:v>2</x:v>
      </x:c>
      <x:c r="L2187" t="str">
        <x:v>STORE-001</x:v>
      </x:c>
      <x:c r="M2187" s="22" t="n">
        <x:v>46263</x:v>
      </x:c>
      <x:c r="N2187" t="str">
        <x:v>SKU-006</x:v>
      </x:c>
      <x:c r="O2187" t="n">
        <x:v>1</x:v>
      </x:c>
      <x:c r="P2187" s="26" t="n">
        <x:f>F2187/O2187</x:f>
        <x:v>83.38</x:v>
      </x:c>
    </x:row>
    <x:row r="2188">
      <x:c r="A2188" t="n">
        <x:v>2187</x:v>
      </x:c>
      <x:c r="B2188" t="n">
        <x:v>39</x:v>
      </x:c>
      <x:c r="C2188" t="str">
        <x:v>Female</x:v>
      </x:c>
      <x:c r="D2188" t="str">
        <x:v>Home</x:v>
      </x:c>
      <x:c r="E2188" t="str">
        <x:v>Curtains</x:v>
      </x:c>
      <x:c r="F2188" s="24" t="n">
        <x:v>113.79</x:v>
      </x:c>
      <x:c r="G2188" t="str">
        <x:v>Autumn</x:v>
      </x:c>
      <x:c r="H2188" t="str">
        <x:v>Card</x:v>
      </x:c>
      <x:c r="I2188" t="n">
        <x:v>5</x:v>
      </x:c>
      <x:c r="J2188" t="n">
        <x:v>14</x:v>
      </x:c>
      <x:c r="K2188" t="n">
        <x:v>2</x:v>
      </x:c>
      <x:c r="L2188" t="str">
        <x:v>STORE-001</x:v>
      </x:c>
      <x:c r="M2188" s="22" t="n">
        <x:v>46164</x:v>
      </x:c>
      <x:c r="N2188" t="str">
        <x:v>SKU-003</x:v>
      </x:c>
      <x:c r="O2188" t="n">
        <x:v>3</x:v>
      </x:c>
      <x:c r="P2188" s="26" t="n">
        <x:f>F2188/O2188</x:f>
        <x:v>37.93</x:v>
      </x:c>
    </x:row>
    <x:row r="2189">
      <x:c r="A2189" t="n">
        <x:v>2188</x:v>
      </x:c>
      <x:c r="B2189" t="n">
        <x:v>44</x:v>
      </x:c>
      <x:c r="C2189" t="str">
        <x:v>Female</x:v>
      </x:c>
      <x:c r="D2189" t="str">
        <x:v>Home</x:v>
      </x:c>
      <x:c r="E2189" t="str">
        <x:v>Kitchen Set</x:v>
      </x:c>
      <x:c r="F2189" s="24" t="n">
        <x:v>278.16</x:v>
      </x:c>
      <x:c r="G2189" t="str">
        <x:v>Spring</x:v>
      </x:c>
      <x:c r="H2189" t="str">
        <x:v>Card</x:v>
      </x:c>
      <x:c r="I2189" t="n">
        <x:v>2.7</x:v>
      </x:c>
      <x:c r="J2189" t="n">
        <x:v>7</x:v>
      </x:c>
      <x:c r="K2189" t="n">
        <x:v>1</x:v>
      </x:c>
      <x:c r="L2189" t="str">
        <x:v>STORE-001</x:v>
      </x:c>
      <x:c r="M2189" s="22" t="n">
        <x:v>45965</x:v>
      </x:c>
      <x:c r="N2189" t="str">
        <x:v>SKU-012</x:v>
      </x:c>
      <x:c r="O2189" t="n">
        <x:v>1</x:v>
      </x:c>
      <x:c r="P2189" s="26" t="n">
        <x:f>F2189/O2189</x:f>
        <x:v>278.16</x:v>
      </x:c>
    </x:row>
    <x:row r="2190">
      <x:c r="A2190" t="n">
        <x:v>2189</x:v>
      </x:c>
      <x:c r="B2190" t="n">
        <x:v>45</x:v>
      </x:c>
      <x:c r="C2190" t="str">
        <x:v>Female</x:v>
      </x:c>
      <x:c r="D2190" t="str">
        <x:v>Footwear</x:v>
      </x:c>
      <x:c r="E2190" t="str">
        <x:v>Sneakers</x:v>
      </x:c>
      <x:c r="F2190" s="24" t="n">
        <x:v>136.82</x:v>
      </x:c>
      <x:c r="G2190" t="str">
        <x:v>Autumn</x:v>
      </x:c>
      <x:c r="H2190" t="str">
        <x:v>Card</x:v>
      </x:c>
      <x:c r="I2190" t="n">
        <x:v>3.7</x:v>
      </x:c>
      <x:c r="J2190" t="n">
        <x:v>13</x:v>
      </x:c>
      <x:c r="K2190" t="n">
        <x:v>4</x:v>
      </x:c>
      <x:c r="L2190" t="str">
        <x:v>STORE-001</x:v>
      </x:c>
      <x:c r="M2190" s="22" t="n">
        <x:v>46093</x:v>
      </x:c>
      <x:c r="N2190" t="str">
        <x:v>SKU-025</x:v>
      </x:c>
      <x:c r="O2190" t="n">
        <x:v>1</x:v>
      </x:c>
      <x:c r="P2190" s="26" t="n">
        <x:f>F2190/O2190</x:f>
        <x:v>136.82</x:v>
      </x:c>
    </x:row>
    <x:row r="2191">
      <x:c r="A2191" t="n">
        <x:v>2190</x:v>
      </x:c>
      <x:c r="B2191" t="n">
        <x:v>22</x:v>
      </x:c>
      <x:c r="C2191" t="str">
        <x:v>Female</x:v>
      </x:c>
      <x:c r="D2191" t="str">
        <x:v>Womens Clothing</x:v>
      </x:c>
      <x:c r="E2191" t="str">
        <x:v>Top</x:v>
      </x:c>
      <x:c r="F2191" s="24" t="n">
        <x:v>198.84</x:v>
      </x:c>
      <x:c r="G2191" t="str">
        <x:v>Winter</x:v>
      </x:c>
      <x:c r="H2191" t="str">
        <x:v>Card</x:v>
      </x:c>
      <x:c r="I2191" t="n">
        <x:v>3.5</x:v>
      </x:c>
      <x:c r="J2191" t="n">
        <x:v>15</x:v>
      </x:c>
      <x:c r="K2191" t="n">
        <x:v>5</x:v>
      </x:c>
      <x:c r="L2191" t="str">
        <x:v>STORE-001</x:v>
      </x:c>
      <x:c r="M2191" s="22" t="n">
        <x:v>46224</x:v>
      </x:c>
      <x:c r="N2191" t="str">
        <x:v>SKU-028</x:v>
      </x:c>
      <x:c r="O2191" t="n">
        <x:v>1</x:v>
      </x:c>
      <x:c r="P2191" s="26" t="n">
        <x:f>F2191/O2191</x:f>
        <x:v>198.84</x:v>
      </x:c>
    </x:row>
    <x:row r="2192">
      <x:c r="A2192" t="n">
        <x:v>2191</x:v>
      </x:c>
      <x:c r="B2192" t="n">
        <x:v>55</x:v>
      </x:c>
      <x:c r="C2192" t="str">
        <x:v>Female</x:v>
      </x:c>
      <x:c r="D2192" t="str">
        <x:v>Footwear</x:v>
      </x:c>
      <x:c r="E2192" t="str">
        <x:v>Sneakers</x:v>
      </x:c>
      <x:c r="F2192" s="24" t="n">
        <x:v>228.85</x:v>
      </x:c>
      <x:c r="G2192" t="str">
        <x:v>Summer</x:v>
      </x:c>
      <x:c r="H2192" t="str">
        <x:v>Card</x:v>
      </x:c>
      <x:c r="I2192" t="n">
        <x:v>4.3</x:v>
      </x:c>
      <x:c r="J2192" t="n">
        <x:v>18</x:v>
      </x:c>
      <x:c r="K2192" t="n">
        <x:v>4</x:v>
      </x:c>
      <x:c r="L2192" t="str">
        <x:v>STORE-001</x:v>
      </x:c>
      <x:c r="M2192" s="22" t="n">
        <x:v>46000</x:v>
      </x:c>
      <x:c r="N2192" t="str">
        <x:v>SKU-025</x:v>
      </x:c>
      <x:c r="O2192" t="n">
        <x:v>1</x:v>
      </x:c>
      <x:c r="P2192" s="26" t="n">
        <x:f>F2192/O2192</x:f>
        <x:v>228.85</x:v>
      </x:c>
    </x:row>
    <x:row r="2193">
      <x:c r="A2193" t="n">
        <x:v>2192</x:v>
      </x:c>
      <x:c r="B2193" t="n">
        <x:v>59</x:v>
      </x:c>
      <x:c r="C2193" t="str">
        <x:v>Male</x:v>
      </x:c>
      <x:c r="D2193" t="str">
        <x:v>Sports</x:v>
      </x:c>
      <x:c r="E2193" t="str">
        <x:v>Football</x:v>
      </x:c>
      <x:c r="F2193" s="24" t="n">
        <x:v>46.03</x:v>
      </x:c>
      <x:c r="G2193" t="str">
        <x:v>Summer</x:v>
      </x:c>
      <x:c r="H2193" t="str">
        <x:v>Cash on Delivery</x:v>
      </x:c>
      <x:c r="I2193" t="n">
        <x:v>3.2</x:v>
      </x:c>
      <x:c r="J2193" t="n">
        <x:v>12</x:v>
      </x:c>
      <x:c r="K2193" t="n">
        <x:v>6</x:v>
      </x:c>
      <x:c r="L2193" t="str">
        <x:v>STORE-001</x:v>
      </x:c>
      <x:c r="M2193" s="22" t="n">
        <x:v>46007</x:v>
      </x:c>
      <x:c r="N2193" t="str">
        <x:v>SKU-006</x:v>
      </x:c>
      <x:c r="O2193" t="n">
        <x:v>2</x:v>
      </x:c>
      <x:c r="P2193" s="26" t="n">
        <x:f>F2193/O2193</x:f>
        <x:v>23.015</x:v>
      </x:c>
    </x:row>
    <x:row r="2194">
      <x:c r="A2194" t="n">
        <x:v>2193</x:v>
      </x:c>
      <x:c r="B2194" t="n">
        <x:v>42</x:v>
      </x:c>
      <x:c r="C2194" t="str">
        <x:v>Female</x:v>
      </x:c>
      <x:c r="D2194" t="str">
        <x:v>Womens Clothing</x:v>
      </x:c>
      <x:c r="E2194" t="str">
        <x:v>Dress</x:v>
      </x:c>
      <x:c r="F2194" s="24" t="n">
        <x:v>66.91</x:v>
      </x:c>
      <x:c r="G2194" t="str">
        <x:v>Spring</x:v>
      </x:c>
      <x:c r="H2194" t="str">
        <x:v>Cash on Delivery</x:v>
      </x:c>
      <x:c r="I2194" t="n">
        <x:v>4.5</x:v>
      </x:c>
      <x:c r="J2194" t="n">
        <x:v>20</x:v>
      </x:c>
      <x:c r="K2194" t="n">
        <x:v>5</x:v>
      </x:c>
      <x:c r="L2194" t="str">
        <x:v>STORE-001</x:v>
      </x:c>
      <x:c r="M2194" s="22" t="n">
        <x:v>45944</x:v>
      </x:c>
      <x:c r="N2194" t="str">
        <x:v>SKU-004</x:v>
      </x:c>
      <x:c r="O2194" t="n">
        <x:v>1</x:v>
      </x:c>
      <x:c r="P2194" s="26" t="n">
        <x:f>F2194/O2194</x:f>
        <x:v>66.91</x:v>
      </x:c>
    </x:row>
    <x:row r="2195">
      <x:c r="A2195" t="n">
        <x:v>2194</x:v>
      </x:c>
      <x:c r="B2195" t="n">
        <x:v>63</x:v>
      </x:c>
      <x:c r="C2195" t="str">
        <x:v>Female</x:v>
      </x:c>
      <x:c r="D2195" t="str">
        <x:v>Womens Clothing</x:v>
      </x:c>
      <x:c r="E2195" t="str">
        <x:v>Jeans</x:v>
      </x:c>
      <x:c r="F2195" s="24" t="n">
        <x:v>70.96</x:v>
      </x:c>
      <x:c r="G2195" t="str">
        <x:v>Winter</x:v>
      </x:c>
      <x:c r="H2195" t="str">
        <x:v>Cash on Delivery</x:v>
      </x:c>
      <x:c r="I2195" t="n">
        <x:v>2.5</x:v>
      </x:c>
      <x:c r="J2195" t="n">
        <x:v>6</x:v>
      </x:c>
      <x:c r="K2195" t="n">
        <x:v>3</x:v>
      </x:c>
      <x:c r="L2195" t="str">
        <x:v>STORE-001</x:v>
      </x:c>
      <x:c r="M2195" s="22" t="n">
        <x:v>46246</x:v>
      </x:c>
      <x:c r="N2195" t="str">
        <x:v>SKU-011</x:v>
      </x:c>
      <x:c r="O2195" t="n">
        <x:v>1</x:v>
      </x:c>
      <x:c r="P2195" s="26" t="n">
        <x:f>F2195/O2195</x:f>
        <x:v>70.96</x:v>
      </x:c>
    </x:row>
    <x:row r="2196">
      <x:c r="A2196" t="n">
        <x:v>2195</x:v>
      </x:c>
      <x:c r="B2196" t="n">
        <x:v>24</x:v>
      </x:c>
      <x:c r="C2196" t="str">
        <x:v>Female</x:v>
      </x:c>
      <x:c r="D2196" t="str">
        <x:v>Beauty</x:v>
      </x:c>
      <x:c r="E2196" t="str">
        <x:v>Skincare Kit</x:v>
      </x:c>
      <x:c r="F2196" s="24" t="n">
        <x:v>33.03</x:v>
      </x:c>
      <x:c r="G2196" t="str">
        <x:v>Spring</x:v>
      </x:c>
      <x:c r="H2196" t="str">
        <x:v>Cash on Delivery</x:v>
      </x:c>
      <x:c r="I2196" t="n">
        <x:v>4.7</x:v>
      </x:c>
      <x:c r="J2196" t="n">
        <x:v>12</x:v>
      </x:c>
      <x:c r="K2196" t="n">
        <x:v>6</x:v>
      </x:c>
      <x:c r="L2196" t="str">
        <x:v>STORE-001</x:v>
      </x:c>
      <x:c r="M2196" s="22" t="n">
        <x:v>45989</x:v>
      </x:c>
      <x:c r="N2196" t="str">
        <x:v>SKU-021</x:v>
      </x:c>
      <x:c r="O2196" t="n">
        <x:v>3</x:v>
      </x:c>
      <x:c r="P2196" s="26" t="n">
        <x:f>F2196/O2196</x:f>
        <x:v>11.01</x:v>
      </x:c>
    </x:row>
    <x:row r="2197">
      <x:c r="A2197" t="n">
        <x:v>2196</x:v>
      </x:c>
      <x:c r="B2197" t="n">
        <x:v>27</x:v>
      </x:c>
      <x:c r="C2197" t="str">
        <x:v>Female</x:v>
      </x:c>
      <x:c r="D2197" t="str">
        <x:v>Footwear</x:v>
      </x:c>
      <x:c r="E2197" t="str">
        <x:v>Formal Shoes</x:v>
      </x:c>
      <x:c r="F2197" s="24" t="n">
        <x:v>167.37</x:v>
      </x:c>
      <x:c r="G2197" t="str">
        <x:v>Winter</x:v>
      </x:c>
      <x:c r="H2197" t="str">
        <x:v>Card</x:v>
      </x:c>
      <x:c r="I2197" t="n">
        <x:v>3.4</x:v>
      </x:c>
      <x:c r="J2197" t="n">
        <x:v>19</x:v>
      </x:c>
      <x:c r="K2197" t="n">
        <x:v>7</x:v>
      </x:c>
      <x:c r="L2197" t="str">
        <x:v>STORE-001</x:v>
      </x:c>
      <x:c r="M2197" s="22" t="n">
        <x:v>46176</x:v>
      </x:c>
      <x:c r="N2197" t="str">
        <x:v>SKU-007</x:v>
      </x:c>
      <x:c r="O2197" t="n">
        <x:v>1</x:v>
      </x:c>
      <x:c r="P2197" s="26" t="n">
        <x:f>F2197/O2197</x:f>
        <x:v>167.37</x:v>
      </x:c>
    </x:row>
    <x:row r="2198">
      <x:c r="A2198" t="n">
        <x:v>2197</x:v>
      </x:c>
      <x:c r="B2198" t="n">
        <x:v>46</x:v>
      </x:c>
      <x:c r="C2198" t="str">
        <x:v>Male</x:v>
      </x:c>
      <x:c r="D2198" t="str">
        <x:v>Electronics</x:v>
      </x:c>
      <x:c r="E2198" t="str">
        <x:v>Mobile Phone</x:v>
      </x:c>
      <x:c r="F2198" s="24" t="n">
        <x:v>1442.61</x:v>
      </x:c>
      <x:c r="G2198" t="str">
        <x:v>Autumn</x:v>
      </x:c>
      <x:c r="H2198" t="str">
        <x:v>Card</x:v>
      </x:c>
      <x:c r="I2198" t="n">
        <x:v>2.9</x:v>
      </x:c>
      <x:c r="J2198" t="n">
        <x:v>17</x:v>
      </x:c>
      <x:c r="K2198" t="n">
        <x:v>6</x:v>
      </x:c>
      <x:c r="L2198" t="str">
        <x:v>STORE-001</x:v>
      </x:c>
      <x:c r="M2198" s="22" t="n">
        <x:v>46105</x:v>
      </x:c>
      <x:c r="N2198" t="str">
        <x:v>SKU-016</x:v>
      </x:c>
      <x:c r="O2198" t="n">
        <x:v>1</x:v>
      </x:c>
      <x:c r="P2198" s="26" t="n">
        <x:f>F2198/O2198</x:f>
        <x:v>1442.61</x:v>
      </x:c>
    </x:row>
    <x:row r="2199">
      <x:c r="A2199" t="n">
        <x:v>2198</x:v>
      </x:c>
      <x:c r="B2199" t="n">
        <x:v>67</x:v>
      </x:c>
      <x:c r="C2199" t="str">
        <x:v>Male</x:v>
      </x:c>
      <x:c r="D2199" t="str">
        <x:v>Sports</x:v>
      </x:c>
      <x:c r="E2199" t="str">
        <x:v>Football</x:v>
      </x:c>
      <x:c r="F2199" s="24" t="n">
        <x:v>246</x:v>
      </x:c>
      <x:c r="G2199" t="str">
        <x:v>Autumn</x:v>
      </x:c>
      <x:c r="H2199" t="str">
        <x:v>Card</x:v>
      </x:c>
      <x:c r="I2199" t="n">
        <x:v>5</x:v>
      </x:c>
      <x:c r="J2199" t="n">
        <x:v>18</x:v>
      </x:c>
      <x:c r="K2199" t="n">
        <x:v>4</x:v>
      </x:c>
      <x:c r="L2199" t="str">
        <x:v>STORE-001</x:v>
      </x:c>
      <x:c r="M2199" s="22" t="n">
        <x:v>46160</x:v>
      </x:c>
      <x:c r="N2199" t="str">
        <x:v>SKU-006</x:v>
      </x:c>
      <x:c r="O2199" t="n">
        <x:v>3</x:v>
      </x:c>
      <x:c r="P2199" s="26" t="n">
        <x:f>F2199/O2199</x:f>
        <x:v>82</x:v>
      </x:c>
    </x:row>
    <x:row r="2200">
      <x:c r="A2200" t="n">
        <x:v>2199</x:v>
      </x:c>
      <x:c r="B2200" t="n">
        <x:v>46</x:v>
      </x:c>
      <x:c r="C2200" t="str">
        <x:v>Male</x:v>
      </x:c>
      <x:c r="D2200" t="str">
        <x:v>Sports</x:v>
      </x:c>
      <x:c r="E2200" t="str">
        <x:v>Dumbbells</x:v>
      </x:c>
      <x:c r="F2200" s="24" t="n">
        <x:v>68.17</x:v>
      </x:c>
      <x:c r="G2200" t="str">
        <x:v>Winter</x:v>
      </x:c>
      <x:c r="H2200" t="str">
        <x:v>Cash on Delivery</x:v>
      </x:c>
      <x:c r="I2200" t="n">
        <x:v>3.4</x:v>
      </x:c>
      <x:c r="J2200" t="n">
        <x:v>17</x:v>
      </x:c>
      <x:c r="K2200" t="n">
        <x:v>6</x:v>
      </x:c>
      <x:c r="L2200" t="str">
        <x:v>STORE-001</x:v>
      </x:c>
      <x:c r="M2200" s="22" t="n">
        <x:v>46223</x:v>
      </x:c>
      <x:c r="N2200" t="str">
        <x:v>SKU-005</x:v>
      </x:c>
      <x:c r="O2200" t="n">
        <x:v>1</x:v>
      </x:c>
      <x:c r="P2200" s="26" t="n">
        <x:f>F2200/O2200</x:f>
        <x:v>68.17</x:v>
      </x:c>
    </x:row>
    <x:row r="2201">
      <x:c r="A2201" t="n">
        <x:v>2200</x:v>
      </x:c>
      <x:c r="B2201" t="n">
        <x:v>41</x:v>
      </x:c>
      <x:c r="C2201" t="str">
        <x:v>Male</x:v>
      </x:c>
      <x:c r="D2201" t="str">
        <x:v>Footwear</x:v>
      </x:c>
      <x:c r="E2201" t="str">
        <x:v>Sneakers</x:v>
      </x:c>
      <x:c r="F2201" s="24" t="n">
        <x:v>74.88</x:v>
      </x:c>
      <x:c r="G2201" t="str">
        <x:v>Summer</x:v>
      </x:c>
      <x:c r="H2201" t="str">
        <x:v>Card</x:v>
      </x:c>
      <x:c r="I2201" t="n">
        <x:v>4.7</x:v>
      </x:c>
      <x:c r="J2201" t="n">
        <x:v>16</x:v>
      </x:c>
      <x:c r="K2201" t="n">
        <x:v>3</x:v>
      </x:c>
      <x:c r="L2201" t="str">
        <x:v>STORE-001</x:v>
      </x:c>
      <x:c r="M2201" s="22" t="n">
        <x:v>46030</x:v>
      </x:c>
      <x:c r="N2201" t="str">
        <x:v>SKU-025</x:v>
      </x:c>
      <x:c r="O2201" t="n">
        <x:v>1</x:v>
      </x:c>
      <x:c r="P2201" s="26" t="n">
        <x:f>F2201/O2201</x:f>
        <x:v>74.88</x:v>
      </x:c>
    </x:row>
    <x:row r="2202">
      <x:c r="A2202" t="n">
        <x:v>2201</x:v>
      </x:c>
      <x:c r="B2202" t="n">
        <x:v>36</x:v>
      </x:c>
      <x:c r="C2202" t="str">
        <x:v>Male</x:v>
      </x:c>
      <x:c r="D2202" t="str">
        <x:v>Sports</x:v>
      </x:c>
      <x:c r="E2202" t="str">
        <x:v>Yoga Mat</x:v>
      </x:c>
      <x:c r="F2202" s="24" t="n">
        <x:v>105.09</x:v>
      </x:c>
      <x:c r="G2202" t="str">
        <x:v>Spring</x:v>
      </x:c>
      <x:c r="H2202" t="str">
        <x:v>Card</x:v>
      </x:c>
      <x:c r="I2202" t="n">
        <x:v>3.6</x:v>
      </x:c>
      <x:c r="J2202" t="n">
        <x:v>22</x:v>
      </x:c>
      <x:c r="K2202" t="n">
        <x:v>6</x:v>
      </x:c>
      <x:c r="L2202" t="str">
        <x:v>STORE-001</x:v>
      </x:c>
      <x:c r="M2202" s="22" t="n">
        <x:v>45931</x:v>
      </x:c>
      <x:c r="N2202" t="str">
        <x:v>SKU-030</x:v>
      </x:c>
      <x:c r="O2202" t="n">
        <x:v>3</x:v>
      </x:c>
      <x:c r="P2202" s="26" t="n">
        <x:f>F2202/O2202</x:f>
        <x:v>35.03</x:v>
      </x:c>
    </x:row>
    <x:row r="2203">
      <x:c r="A2203" t="n">
        <x:v>2202</x:v>
      </x:c>
      <x:c r="B2203" t="n">
        <x:v>23</x:v>
      </x:c>
      <x:c r="C2203" t="str">
        <x:v>Male</x:v>
      </x:c>
      <x:c r="D2203" t="str">
        <x:v>Sports</x:v>
      </x:c>
      <x:c r="E2203" t="str">
        <x:v>Football</x:v>
      </x:c>
      <x:c r="F2203" s="24" t="n">
        <x:v>109.86</x:v>
      </x:c>
      <x:c r="G2203" t="str">
        <x:v>Autumn</x:v>
      </x:c>
      <x:c r="H2203" t="str">
        <x:v>Card</x:v>
      </x:c>
      <x:c r="I2203" t="n">
        <x:v>5</x:v>
      </x:c>
      <x:c r="J2203" t="n">
        <x:v>7</x:v>
      </x:c>
      <x:c r="K2203" t="n">
        <x:v>1</x:v>
      </x:c>
      <x:c r="L2203" t="str">
        <x:v>STORE-001</x:v>
      </x:c>
      <x:c r="M2203" s="22" t="n">
        <x:v>46145</x:v>
      </x:c>
      <x:c r="N2203" t="str">
        <x:v>SKU-006</x:v>
      </x:c>
      <x:c r="O2203" t="n">
        <x:v>1</x:v>
      </x:c>
      <x:c r="P2203" s="26" t="n">
        <x:f>F2203/O2203</x:f>
        <x:v>109.86</x:v>
      </x:c>
    </x:row>
    <x:row r="2204">
      <x:c r="A2204" t="n">
        <x:v>2203</x:v>
      </x:c>
      <x:c r="B2204" t="n">
        <x:v>32</x:v>
      </x:c>
      <x:c r="C2204" t="str">
        <x:v>Female</x:v>
      </x:c>
      <x:c r="D2204" t="str">
        <x:v>Footwear</x:v>
      </x:c>
      <x:c r="E2204" t="str">
        <x:v>Formal Shoes</x:v>
      </x:c>
      <x:c r="F2204" s="24" t="n">
        <x:v>232.22</x:v>
      </x:c>
      <x:c r="G2204" t="str">
        <x:v>Spring</x:v>
      </x:c>
      <x:c r="H2204" t="str">
        <x:v>Card</x:v>
      </x:c>
      <x:c r="I2204" t="n">
        <x:v>3.5</x:v>
      </x:c>
      <x:c r="J2204" t="n">
        <x:v>11</x:v>
      </x:c>
      <x:c r="K2204" t="n">
        <x:v>3</x:v>
      </x:c>
      <x:c r="L2204" t="str">
        <x:v>STORE-001</x:v>
      </x:c>
      <x:c r="M2204" s="22" t="n">
        <x:v>46276</x:v>
      </x:c>
      <x:c r="N2204" t="str">
        <x:v>SKU-007</x:v>
      </x:c>
      <x:c r="O2204" t="n">
        <x:v>2</x:v>
      </x:c>
      <x:c r="P2204" s="26" t="n">
        <x:f>F2204/O2204</x:f>
        <x:v>116.11</x:v>
      </x:c>
    </x:row>
    <x:row r="2205">
      <x:c r="A2205" t="n">
        <x:v>2204</x:v>
      </x:c>
      <x:c r="B2205" t="n">
        <x:v>60</x:v>
      </x:c>
      <x:c r="C2205" t="str">
        <x:v>Male</x:v>
      </x:c>
      <x:c r="D2205" t="str">
        <x:v>Mens Clothing</x:v>
      </x:c>
      <x:c r="E2205" t="str">
        <x:v>T-Shirt</x:v>
      </x:c>
      <x:c r="F2205" s="24" t="n">
        <x:v>170.41</x:v>
      </x:c>
      <x:c r="G2205" t="str">
        <x:v>Summer</x:v>
      </x:c>
      <x:c r="H2205" t="str">
        <x:v>Card</x:v>
      </x:c>
      <x:c r="I2205" t="n">
        <x:v>2.6</x:v>
      </x:c>
      <x:c r="J2205" t="n">
        <x:v>17</x:v>
      </x:c>
      <x:c r="K2205" t="n">
        <x:v>6</x:v>
      </x:c>
      <x:c r="L2205" t="str">
        <x:v>STORE-001</x:v>
      </x:c>
      <x:c r="M2205" s="22" t="n">
        <x:v>46079</x:v>
      </x:c>
      <x:c r="N2205" t="str">
        <x:v>SKU-027</x:v>
      </x:c>
      <x:c r="O2205" t="n">
        <x:v>1</x:v>
      </x:c>
      <x:c r="P2205" s="26" t="n">
        <x:f>F2205/O2205</x:f>
        <x:v>170.41</x:v>
      </x:c>
    </x:row>
    <x:row r="2206">
      <x:c r="A2206" t="n">
        <x:v>2205</x:v>
      </x:c>
      <x:c r="B2206" t="n">
        <x:v>43</x:v>
      </x:c>
      <x:c r="C2206" t="str">
        <x:v>Male</x:v>
      </x:c>
      <x:c r="D2206" t="str">
        <x:v>Mens Clothing</x:v>
      </x:c>
      <x:c r="E2206" t="str">
        <x:v>Jeans</x:v>
      </x:c>
      <x:c r="F2206" s="24" t="n">
        <x:v>122.14</x:v>
      </x:c>
      <x:c r="G2206" t="str">
        <x:v>Spring</x:v>
      </x:c>
      <x:c r="H2206" t="str">
        <x:v>Card</x:v>
      </x:c>
      <x:c r="I2206" t="n">
        <x:v>4</x:v>
      </x:c>
      <x:c r="J2206" t="n">
        <x:v>10</x:v>
      </x:c>
      <x:c r="K2206" t="n">
        <x:v>5</x:v>
      </x:c>
      <x:c r="L2206" t="str">
        <x:v>STORE-001</x:v>
      </x:c>
      <x:c r="M2206" s="22" t="n">
        <x:v>46266</x:v>
      </x:c>
      <x:c r="N2206" t="str">
        <x:v>SKU-011</x:v>
      </x:c>
      <x:c r="O2206" t="n">
        <x:v>1</x:v>
      </x:c>
      <x:c r="P2206" s="26" t="n">
        <x:f>F2206/O2206</x:f>
        <x:v>122.14</x:v>
      </x:c>
    </x:row>
    <x:row r="2207">
      <x:c r="A2207" t="n">
        <x:v>2206</x:v>
      </x:c>
      <x:c r="B2207" t="n">
        <x:v>58</x:v>
      </x:c>
      <x:c r="C2207" t="str">
        <x:v>Female</x:v>
      </x:c>
      <x:c r="D2207" t="str">
        <x:v>Accessories</x:v>
      </x:c>
      <x:c r="E2207" t="str">
        <x:v>Handbag</x:v>
      </x:c>
      <x:c r="F2207" s="24" t="n">
        <x:v>98.65</x:v>
      </x:c>
      <x:c r="G2207" t="str">
        <x:v>Spring</x:v>
      </x:c>
      <x:c r="H2207" t="str">
        <x:v>Cash on Delivery</x:v>
      </x:c>
      <x:c r="I2207" t="n">
        <x:v>3.9</x:v>
      </x:c>
      <x:c r="J2207" t="n">
        <x:v>8</x:v>
      </x:c>
      <x:c r="K2207" t="n">
        <x:v>4</x:v>
      </x:c>
      <x:c r="L2207" t="str">
        <x:v>STORE-001</x:v>
      </x:c>
      <x:c r="M2207" s="22" t="n">
        <x:v>45960</x:v>
      </x:c>
      <x:c r="N2207" t="str">
        <x:v>SKU-008</x:v>
      </x:c>
      <x:c r="O2207" t="n">
        <x:v>1</x:v>
      </x:c>
      <x:c r="P2207" s="26" t="n">
        <x:f>F2207/O2207</x:f>
        <x:v>98.65</x:v>
      </x:c>
    </x:row>
    <x:row r="2208">
      <x:c r="A2208" t="n">
        <x:v>2207</x:v>
      </x:c>
      <x:c r="B2208" t="n">
        <x:v>70</x:v>
      </x:c>
      <x:c r="C2208" t="str">
        <x:v>Male</x:v>
      </x:c>
      <x:c r="D2208" t="str">
        <x:v>Sports</x:v>
      </x:c>
      <x:c r="E2208" t="str">
        <x:v>Football</x:v>
      </x:c>
      <x:c r="F2208" s="24" t="n">
        <x:v>43.95</x:v>
      </x:c>
      <x:c r="G2208" t="str">
        <x:v>Autumn</x:v>
      </x:c>
      <x:c r="H2208" t="str">
        <x:v>Cash on Delivery</x:v>
      </x:c>
      <x:c r="I2208" t="n">
        <x:v>3.4</x:v>
      </x:c>
      <x:c r="J2208" t="n">
        <x:v>15</x:v>
      </x:c>
      <x:c r="K2208" t="n">
        <x:v>5</x:v>
      </x:c>
      <x:c r="L2208" t="str">
        <x:v>STORE-001</x:v>
      </x:c>
      <x:c r="M2208" s="22" t="n">
        <x:v>46166</x:v>
      </x:c>
      <x:c r="N2208" t="str">
        <x:v>SKU-006</x:v>
      </x:c>
      <x:c r="O2208" t="n">
        <x:v>1</x:v>
      </x:c>
      <x:c r="P2208" s="26" t="n">
        <x:f>F2208/O2208</x:f>
        <x:v>43.95</x:v>
      </x:c>
    </x:row>
    <x:row r="2209">
      <x:c r="A2209" t="n">
        <x:v>2208</x:v>
      </x:c>
      <x:c r="B2209" t="n">
        <x:v>43</x:v>
      </x:c>
      <x:c r="C2209" t="str">
        <x:v>Male</x:v>
      </x:c>
      <x:c r="D2209" t="str">
        <x:v>Sports</x:v>
      </x:c>
      <x:c r="E2209" t="str">
        <x:v>Football</x:v>
      </x:c>
      <x:c r="F2209" s="24" t="n">
        <x:v>127.93</x:v>
      </x:c>
      <x:c r="G2209" t="str">
        <x:v>Winter</x:v>
      </x:c>
      <x:c r="H2209" t="str">
        <x:v>Card</x:v>
      </x:c>
      <x:c r="I2209" t="n">
        <x:v>2.9</x:v>
      </x:c>
      <x:c r="J2209" t="n">
        <x:v>13</x:v>
      </x:c>
      <x:c r="K2209" t="n">
        <x:v>4</x:v>
      </x:c>
      <x:c r="L2209" t="str">
        <x:v>STORE-001</x:v>
      </x:c>
      <x:c r="M2209" s="22" t="n">
        <x:v>46258</x:v>
      </x:c>
      <x:c r="N2209" t="str">
        <x:v>SKU-006</x:v>
      </x:c>
      <x:c r="O2209" t="n">
        <x:v>1</x:v>
      </x:c>
      <x:c r="P2209" s="26" t="n">
        <x:f>F2209/O2209</x:f>
        <x:v>127.93</x:v>
      </x:c>
    </x:row>
    <x:row r="2210">
      <x:c r="A2210" t="n">
        <x:v>2209</x:v>
      </x:c>
      <x:c r="B2210" t="n">
        <x:v>55</x:v>
      </x:c>
      <x:c r="C2210" t="str">
        <x:v>Male</x:v>
      </x:c>
      <x:c r="D2210" t="str">
        <x:v>Groceries</x:v>
      </x:c>
      <x:c r="E2210" t="str">
        <x:v>Snacks</x:v>
      </x:c>
      <x:c r="F2210" s="24" t="n">
        <x:v>62.57</x:v>
      </x:c>
      <x:c r="G2210" t="str">
        <x:v>Autumn</x:v>
      </x:c>
      <x:c r="H2210" t="str">
        <x:v>Cash on Delivery</x:v>
      </x:c>
      <x:c r="I2210" t="n">
        <x:v>3.6</x:v>
      </x:c>
      <x:c r="J2210" t="n">
        <x:v>12</x:v>
      </x:c>
      <x:c r="K2210" t="n">
        <x:v>6</x:v>
      </x:c>
      <x:c r="L2210" t="str">
        <x:v>STORE-001</x:v>
      </x:c>
      <x:c r="M2210" s="22" t="n">
        <x:v>46119</x:v>
      </x:c>
      <x:c r="N2210" t="str">
        <x:v>SKU-024</x:v>
      </x:c>
      <x:c r="O2210" t="n">
        <x:v>2</x:v>
      </x:c>
      <x:c r="P2210" s="26" t="n">
        <x:f>F2210/O2210</x:f>
        <x:v>31.285</x:v>
      </x:c>
    </x:row>
    <x:row r="2211">
      <x:c r="A2211" t="n">
        <x:v>2210</x:v>
      </x:c>
      <x:c r="B2211" t="n">
        <x:v>24</x:v>
      </x:c>
      <x:c r="C2211" t="str">
        <x:v>Female</x:v>
      </x:c>
      <x:c r="D2211" t="str">
        <x:v>Womens Clothing</x:v>
      </x:c>
      <x:c r="E2211" t="str">
        <x:v>Jeans</x:v>
      </x:c>
      <x:c r="F2211" s="24" t="n">
        <x:v>106.76</x:v>
      </x:c>
      <x:c r="G2211" t="str">
        <x:v>Autumn</x:v>
      </x:c>
      <x:c r="H2211" t="str">
        <x:v>Card</x:v>
      </x:c>
      <x:c r="I2211" t="n">
        <x:v>3.2</x:v>
      </x:c>
      <x:c r="J2211" t="n">
        <x:v>8</x:v>
      </x:c>
      <x:c r="K2211" t="n">
        <x:v>4</x:v>
      </x:c>
      <x:c r="L2211" t="str">
        <x:v>STORE-001</x:v>
      </x:c>
      <x:c r="M2211" s="22" t="n">
        <x:v>46091</x:v>
      </x:c>
      <x:c r="N2211" t="str">
        <x:v>SKU-011</x:v>
      </x:c>
      <x:c r="O2211" t="n">
        <x:v>1</x:v>
      </x:c>
      <x:c r="P2211" s="26" t="n">
        <x:f>F2211/O2211</x:f>
        <x:v>106.76</x:v>
      </x:c>
    </x:row>
    <x:row r="2212">
      <x:c r="A2212" t="n">
        <x:v>2211</x:v>
      </x:c>
      <x:c r="B2212" t="n">
        <x:v>41</x:v>
      </x:c>
      <x:c r="C2212" t="str">
        <x:v>Female</x:v>
      </x:c>
      <x:c r="D2212" t="str">
        <x:v>Home</x:v>
      </x:c>
      <x:c r="E2212" t="str">
        <x:v>Kitchen Set</x:v>
      </x:c>
      <x:c r="F2212" s="24" t="n">
        <x:v>245.42</x:v>
      </x:c>
      <x:c r="G2212" t="str">
        <x:v>Summer</x:v>
      </x:c>
      <x:c r="H2212" t="str">
        <x:v>Card</x:v>
      </x:c>
      <x:c r="I2212" t="n">
        <x:v>3.6</x:v>
      </x:c>
      <x:c r="J2212" t="n">
        <x:v>20</x:v>
      </x:c>
      <x:c r="K2212" t="n">
        <x:v>5</x:v>
      </x:c>
      <x:c r="L2212" t="str">
        <x:v>STORE-001</x:v>
      </x:c>
      <x:c r="M2212" s="22" t="n">
        <x:v>46070</x:v>
      </x:c>
      <x:c r="N2212" t="str">
        <x:v>SKU-012</x:v>
      </x:c>
      <x:c r="O2212" t="n">
        <x:v>1</x:v>
      </x:c>
      <x:c r="P2212" s="26" t="n">
        <x:f>F2212/O2212</x:f>
        <x:v>245.42</x:v>
      </x:c>
    </x:row>
    <x:row r="2213">
      <x:c r="A2213" t="n">
        <x:v>2212</x:v>
      </x:c>
      <x:c r="B2213" t="n">
        <x:v>33</x:v>
      </x:c>
      <x:c r="C2213" t="str">
        <x:v>Male</x:v>
      </x:c>
      <x:c r="D2213" t="str">
        <x:v>Sports</x:v>
      </x:c>
      <x:c r="E2213" t="str">
        <x:v>Yoga Mat</x:v>
      </x:c>
      <x:c r="F2213" s="24" t="n">
        <x:v>184.79</x:v>
      </x:c>
      <x:c r="G2213" t="str">
        <x:v>Winter</x:v>
      </x:c>
      <x:c r="H2213" t="str">
        <x:v>Card</x:v>
      </x:c>
      <x:c r="I2213" t="n">
        <x:v>2.8</x:v>
      </x:c>
      <x:c r="J2213" t="n">
        <x:v>11</x:v>
      </x:c>
      <x:c r="K2213" t="n">
        <x:v>3</x:v>
      </x:c>
      <x:c r="L2213" t="str">
        <x:v>STORE-001</x:v>
      </x:c>
      <x:c r="M2213" s="22" t="n">
        <x:v>46245</x:v>
      </x:c>
      <x:c r="N2213" t="str">
        <x:v>SKU-030</x:v>
      </x:c>
      <x:c r="O2213" t="n">
        <x:v>3</x:v>
      </x:c>
      <x:c r="P2213" s="26" t="n">
        <x:f>F2213/O2213</x:f>
        <x:v>61.596666666666664</x:v>
      </x:c>
    </x:row>
    <x:row r="2214">
      <x:c r="A2214" t="n">
        <x:v>2213</x:v>
      </x:c>
      <x:c r="B2214" t="n">
        <x:v>64</x:v>
      </x:c>
      <x:c r="C2214" t="str">
        <x:v>Female</x:v>
      </x:c>
      <x:c r="D2214" t="str">
        <x:v>Accessories</x:v>
      </x:c>
      <x:c r="E2214" t="str">
        <x:v>Wallet</x:v>
      </x:c>
      <x:c r="F2214" s="24" t="n">
        <x:v>176.59</x:v>
      </x:c>
      <x:c r="G2214" t="str">
        <x:v>Autumn</x:v>
      </x:c>
      <x:c r="H2214" t="str">
        <x:v>Card</x:v>
      </x:c>
      <x:c r="I2214" t="n">
        <x:v>3.9</x:v>
      </x:c>
      <x:c r="J2214" t="n">
        <x:v>20</x:v>
      </x:c>
      <x:c r="K2214" t="n">
        <x:v>5</x:v>
      </x:c>
      <x:c r="L2214" t="str">
        <x:v>STORE-001</x:v>
      </x:c>
      <x:c r="M2214" s="22" t="n">
        <x:v>46144</x:v>
      </x:c>
      <x:c r="N2214" t="str">
        <x:v>SKU-029</x:v>
      </x:c>
      <x:c r="O2214" t="n">
        <x:v>1</x:v>
      </x:c>
      <x:c r="P2214" s="26" t="n">
        <x:f>F2214/O2214</x:f>
        <x:v>176.59</x:v>
      </x:c>
    </x:row>
    <x:row r="2215">
      <x:c r="A2215" t="n">
        <x:v>2214</x:v>
      </x:c>
      <x:c r="B2215" t="n">
        <x:v>26</x:v>
      </x:c>
      <x:c r="C2215" t="str">
        <x:v>Female</x:v>
      </x:c>
      <x:c r="D2215" t="str">
        <x:v>Womens Clothing</x:v>
      </x:c>
      <x:c r="E2215" t="str">
        <x:v>Top</x:v>
      </x:c>
      <x:c r="F2215" s="24" t="n">
        <x:v>58.44</x:v>
      </x:c>
      <x:c r="G2215" t="str">
        <x:v>Winter</x:v>
      </x:c>
      <x:c r="H2215" t="str">
        <x:v>Cash on Delivery</x:v>
      </x:c>
      <x:c r="I2215" t="n">
        <x:v>2.1</x:v>
      </x:c>
      <x:c r="J2215" t="n">
        <x:v>19</x:v>
      </x:c>
      <x:c r="K2215" t="n">
        <x:v>7</x:v>
      </x:c>
      <x:c r="L2215" t="str">
        <x:v>STORE-001</x:v>
      </x:c>
      <x:c r="M2215" s="22" t="n">
        <x:v>46249</x:v>
      </x:c>
      <x:c r="N2215" t="str">
        <x:v>SKU-028</x:v>
      </x:c>
      <x:c r="O2215" t="n">
        <x:v>1</x:v>
      </x:c>
      <x:c r="P2215" s="26" t="n">
        <x:f>F2215/O2215</x:f>
        <x:v>58.44</x:v>
      </x:c>
    </x:row>
    <x:row r="2216">
      <x:c r="A2216" t="n">
        <x:v>2215</x:v>
      </x:c>
      <x:c r="B2216" t="n">
        <x:v>53</x:v>
      </x:c>
      <x:c r="C2216" t="str">
        <x:v>Female</x:v>
      </x:c>
      <x:c r="D2216" t="str">
        <x:v>Groceries</x:v>
      </x:c>
      <x:c r="E2216" t="str">
        <x:v>Beverages</x:v>
      </x:c>
      <x:c r="F2216" s="24" t="n">
        <x:v>9.72</x:v>
      </x:c>
      <x:c r="G2216" t="str">
        <x:v>Winter</x:v>
      </x:c>
      <x:c r="H2216" t="str">
        <x:v>Card</x:v>
      </x:c>
      <x:c r="I2216" t="n">
        <x:v>3.9</x:v>
      </x:c>
      <x:c r="J2216" t="n">
        <x:v>24</x:v>
      </x:c>
      <x:c r="K2216" t="n">
        <x:v>7</x:v>
      </x:c>
      <x:c r="L2216" t="str">
        <x:v>STORE-001</x:v>
      </x:c>
      <x:c r="M2216" s="22" t="n">
        <x:v>46215</x:v>
      </x:c>
      <x:c r="N2216" t="str">
        <x:v>SKU-001</x:v>
      </x:c>
      <x:c r="O2216" t="n">
        <x:v>1</x:v>
      </x:c>
      <x:c r="P2216" s="26" t="n">
        <x:f>F2216/O2216</x:f>
        <x:v>9.72</x:v>
      </x:c>
    </x:row>
    <x:row r="2217">
      <x:c r="A2217" t="n">
        <x:v>2216</x:v>
      </x:c>
      <x:c r="B2217" t="n">
        <x:v>34</x:v>
      </x:c>
      <x:c r="C2217" t="str">
        <x:v>Female</x:v>
      </x:c>
      <x:c r="D2217" t="str">
        <x:v>Footwear</x:v>
      </x:c>
      <x:c r="E2217" t="str">
        <x:v>Sneakers</x:v>
      </x:c>
      <x:c r="F2217" s="24" t="n">
        <x:v>97.08</x:v>
      </x:c>
      <x:c r="G2217" t="str">
        <x:v>Summer</x:v>
      </x:c>
      <x:c r="H2217" t="str">
        <x:v>Card</x:v>
      </x:c>
      <x:c r="I2217" t="n">
        <x:v>2.7</x:v>
      </x:c>
      <x:c r="J2217" t="n">
        <x:v>12</x:v>
      </x:c>
      <x:c r="K2217" t="n">
        <x:v>1</x:v>
      </x:c>
      <x:c r="L2217" t="str">
        <x:v>STORE-001</x:v>
      </x:c>
      <x:c r="M2217" s="22" t="n">
        <x:v>46002</x:v>
      </x:c>
      <x:c r="N2217" t="str">
        <x:v>SKU-025</x:v>
      </x:c>
      <x:c r="O2217" t="n">
        <x:v>1</x:v>
      </x:c>
      <x:c r="P2217" s="26" t="n">
        <x:f>F2217/O2217</x:f>
        <x:v>97.08</x:v>
      </x:c>
    </x:row>
    <x:row r="2218">
      <x:c r="A2218" t="n">
        <x:v>2217</x:v>
      </x:c>
      <x:c r="B2218" t="n">
        <x:v>35</x:v>
      </x:c>
      <x:c r="C2218" t="str">
        <x:v>Female</x:v>
      </x:c>
      <x:c r="D2218" t="str">
        <x:v>Accessories</x:v>
      </x:c>
      <x:c r="E2218" t="str">
        <x:v>Handbag</x:v>
      </x:c>
      <x:c r="F2218" s="24" t="n">
        <x:v>150.88</x:v>
      </x:c>
      <x:c r="G2218" t="str">
        <x:v>Winter</x:v>
      </x:c>
      <x:c r="H2218" t="str">
        <x:v>Card</x:v>
      </x:c>
      <x:c r="I2218" t="n">
        <x:v>4.3</x:v>
      </x:c>
      <x:c r="J2218" t="n">
        <x:v>16</x:v>
      </x:c>
      <x:c r="K2218" t="n">
        <x:v>8</x:v>
      </x:c>
      <x:c r="L2218" t="str">
        <x:v>STORE-001</x:v>
      </x:c>
      <x:c r="M2218" s="22" t="n">
        <x:v>46194</x:v>
      </x:c>
      <x:c r="N2218" t="str">
        <x:v>SKU-008</x:v>
      </x:c>
      <x:c r="O2218" t="n">
        <x:v>1</x:v>
      </x:c>
      <x:c r="P2218" s="26" t="n">
        <x:f>F2218/O2218</x:f>
        <x:v>150.88</x:v>
      </x:c>
    </x:row>
    <x:row r="2219">
      <x:c r="A2219" t="n">
        <x:v>2218</x:v>
      </x:c>
      <x:c r="B2219" t="n">
        <x:v>24</x:v>
      </x:c>
      <x:c r="C2219" t="str">
        <x:v>Female</x:v>
      </x:c>
      <x:c r="D2219" t="str">
        <x:v>Footwear</x:v>
      </x:c>
      <x:c r="E2219" t="str">
        <x:v>Sandals</x:v>
      </x:c>
      <x:c r="F2219" s="24" t="n">
        <x:v>173.83</x:v>
      </x:c>
      <x:c r="G2219" t="str">
        <x:v>Autumn</x:v>
      </x:c>
      <x:c r="H2219" t="str">
        <x:v>Card</x:v>
      </x:c>
      <x:c r="I2219" t="n">
        <x:v>2.7</x:v>
      </x:c>
      <x:c r="J2219" t="n">
        <x:v>6</x:v>
      </x:c>
      <x:c r="K2219" t="n">
        <x:v>3</x:v>
      </x:c>
      <x:c r="L2219" t="str">
        <x:v>STORE-001</x:v>
      </x:c>
      <x:c r="M2219" s="22" t="n">
        <x:v>46128</x:v>
      </x:c>
      <x:c r="N2219" t="str">
        <x:v>SKU-019</x:v>
      </x:c>
      <x:c r="O2219" t="n">
        <x:v>2</x:v>
      </x:c>
      <x:c r="P2219" s="26" t="n">
        <x:f>F2219/O2219</x:f>
        <x:v>86.915</x:v>
      </x:c>
    </x:row>
    <x:row r="2220">
      <x:c r="A2220" t="n">
        <x:v>2219</x:v>
      </x:c>
      <x:c r="B2220" t="n">
        <x:v>57</x:v>
      </x:c>
      <x:c r="C2220" t="str">
        <x:v>Male</x:v>
      </x:c>
      <x:c r="D2220" t="str">
        <x:v>Electronics</x:v>
      </x:c>
      <x:c r="E2220" t="str">
        <x:v>Mobile Phone</x:v>
      </x:c>
      <x:c r="F2220" s="24" t="n">
        <x:v>1857.16</x:v>
      </x:c>
      <x:c r="G2220" t="str">
        <x:v>Autumn</x:v>
      </x:c>
      <x:c r="H2220" t="str">
        <x:v>Card</x:v>
      </x:c>
      <x:c r="I2220" t="n">
        <x:v>4</x:v>
      </x:c>
      <x:c r="J2220" t="n">
        <x:v>13</x:v>
      </x:c>
      <x:c r="K2220" t="n">
        <x:v>4</x:v>
      </x:c>
      <x:c r="L2220" t="str">
        <x:v>STORE-001</x:v>
      </x:c>
      <x:c r="M2220" s="22" t="n">
        <x:v>46111</x:v>
      </x:c>
      <x:c r="N2220" t="str">
        <x:v>SKU-016</x:v>
      </x:c>
      <x:c r="O2220" t="n">
        <x:v>1</x:v>
      </x:c>
      <x:c r="P2220" s="26" t="n">
        <x:f>F2220/O2220</x:f>
        <x:v>1857.16</x:v>
      </x:c>
    </x:row>
    <x:row r="2221">
      <x:c r="A2221" t="n">
        <x:v>2220</x:v>
      </x:c>
      <x:c r="B2221" t="n">
        <x:v>31</x:v>
      </x:c>
      <x:c r="C2221" t="str">
        <x:v>Male</x:v>
      </x:c>
      <x:c r="D2221" t="str">
        <x:v>Sports</x:v>
      </x:c>
      <x:c r="E2221" t="str">
        <x:v>Yoga Mat</x:v>
      </x:c>
      <x:c r="F2221" s="24" t="n">
        <x:v>227.4</x:v>
      </x:c>
      <x:c r="G2221" t="str">
        <x:v>Winter</x:v>
      </x:c>
      <x:c r="H2221" t="str">
        <x:v>Card</x:v>
      </x:c>
      <x:c r="I2221" t="n">
        <x:v>3.5</x:v>
      </x:c>
      <x:c r="J2221" t="n">
        <x:v>11</x:v>
      </x:c>
      <x:c r="K2221" t="n">
        <x:v>3</x:v>
      </x:c>
      <x:c r="L2221" t="str">
        <x:v>STORE-001</x:v>
      </x:c>
      <x:c r="M2221" s="22" t="n">
        <x:v>46219</x:v>
      </x:c>
      <x:c r="N2221" t="str">
        <x:v>SKU-030</x:v>
      </x:c>
      <x:c r="O2221" t="n">
        <x:v>1</x:v>
      </x:c>
      <x:c r="P2221" s="26" t="n">
        <x:f>F2221/O2221</x:f>
        <x:v>227.4</x:v>
      </x:c>
    </x:row>
    <x:row r="2222">
      <x:c r="A2222" t="n">
        <x:v>2221</x:v>
      </x:c>
      <x:c r="B2222" t="n">
        <x:v>52</x:v>
      </x:c>
      <x:c r="C2222" t="str">
        <x:v>Female</x:v>
      </x:c>
      <x:c r="D2222" t="str">
        <x:v>Accessories</x:v>
      </x:c>
      <x:c r="E2222" t="str">
        <x:v>Handbag</x:v>
      </x:c>
      <x:c r="F2222" s="24" t="n">
        <x:v>119.11</x:v>
      </x:c>
      <x:c r="G2222" t="str">
        <x:v>Summer</x:v>
      </x:c>
      <x:c r="H2222" t="str">
        <x:v>Card</x:v>
      </x:c>
      <x:c r="I2222" t="n">
        <x:v>4.8</x:v>
      </x:c>
      <x:c r="J2222" t="n">
        <x:v>25</x:v>
      </x:c>
      <x:c r="K2222" t="n">
        <x:v>10</x:v>
      </x:c>
      <x:c r="L2222" t="str">
        <x:v>STORE-001</x:v>
      </x:c>
      <x:c r="M2222" s="22" t="n">
        <x:v>46066</x:v>
      </x:c>
      <x:c r="N2222" t="str">
        <x:v>SKU-008</x:v>
      </x:c>
      <x:c r="O2222" t="n">
        <x:v>2</x:v>
      </x:c>
      <x:c r="P2222" s="26" t="n">
        <x:f>F2222/O2222</x:f>
        <x:v>59.555</x:v>
      </x:c>
    </x:row>
    <x:row r="2223">
      <x:c r="A2223" t="n">
        <x:v>2222</x:v>
      </x:c>
      <x:c r="B2223" t="n">
        <x:v>30</x:v>
      </x:c>
      <x:c r="C2223" t="str">
        <x:v>Male</x:v>
      </x:c>
      <x:c r="D2223" t="str">
        <x:v>Electronics</x:v>
      </x:c>
      <x:c r="E2223" t="str">
        <x:v>Headphones</x:v>
      </x:c>
      <x:c r="F2223" s="24" t="n">
        <x:v>1425.84</x:v>
      </x:c>
      <x:c r="G2223" t="str">
        <x:v>Spring</x:v>
      </x:c>
      <x:c r="H2223" t="str">
        <x:v>Card</x:v>
      </x:c>
      <x:c r="I2223" t="n">
        <x:v>3.6</x:v>
      </x:c>
      <x:c r="J2223" t="n">
        <x:v>14</x:v>
      </x:c>
      <x:c r="K2223" t="n">
        <x:v>2</x:v>
      </x:c>
      <x:c r="L2223" t="str">
        <x:v>STORE-001</x:v>
      </x:c>
      <x:c r="M2223" s="22" t="n">
        <x:v>46284</x:v>
      </x:c>
      <x:c r="N2223" t="str">
        <x:v>SKU-009</x:v>
      </x:c>
      <x:c r="O2223" t="n">
        <x:v>1</x:v>
      </x:c>
      <x:c r="P2223" s="26" t="n">
        <x:f>F2223/O2223</x:f>
        <x:v>1425.84</x:v>
      </x:c>
    </x:row>
    <x:row r="2224">
      <x:c r="A2224" t="n">
        <x:v>2223</x:v>
      </x:c>
      <x:c r="B2224" t="n">
        <x:v>32</x:v>
      </x:c>
      <x:c r="C2224" t="str">
        <x:v>Male</x:v>
      </x:c>
      <x:c r="D2224" t="str">
        <x:v>Footwear</x:v>
      </x:c>
      <x:c r="E2224" t="str">
        <x:v>Formal Shoes</x:v>
      </x:c>
      <x:c r="F2224" s="24" t="n">
        <x:v>170.66</x:v>
      </x:c>
      <x:c r="G2224" t="str">
        <x:v>Spring</x:v>
      </x:c>
      <x:c r="H2224" t="str">
        <x:v>Card</x:v>
      </x:c>
      <x:c r="I2224" t="n">
        <x:v>4.2</x:v>
      </x:c>
      <x:c r="J2224" t="n">
        <x:v>17</x:v>
      </x:c>
      <x:c r="K2224" t="n">
        <x:v>6</x:v>
      </x:c>
      <x:c r="L2224" t="str">
        <x:v>STORE-001</x:v>
      </x:c>
      <x:c r="M2224" s="22" t="n">
        <x:v>46282</x:v>
      </x:c>
      <x:c r="N2224" t="str">
        <x:v>SKU-007</x:v>
      </x:c>
      <x:c r="O2224" t="n">
        <x:v>1</x:v>
      </x:c>
      <x:c r="P2224" s="26" t="n">
        <x:f>F2224/O2224</x:f>
        <x:v>170.66</x:v>
      </x:c>
    </x:row>
    <x:row r="2225">
      <x:c r="A2225" t="n">
        <x:v>2224</x:v>
      </x:c>
      <x:c r="B2225" t="n">
        <x:v>21</x:v>
      </x:c>
      <x:c r="C2225" t="str">
        <x:v>Male</x:v>
      </x:c>
      <x:c r="D2225" t="str">
        <x:v>Sports</x:v>
      </x:c>
      <x:c r="E2225" t="str">
        <x:v>Dumbbells</x:v>
      </x:c>
      <x:c r="F2225" s="24" t="n">
        <x:v>246.8</x:v>
      </x:c>
      <x:c r="G2225" t="str">
        <x:v>Autumn</x:v>
      </x:c>
      <x:c r="H2225" t="str">
        <x:v>Card</x:v>
      </x:c>
      <x:c r="I2225" t="n">
        <x:v>3.2</x:v>
      </x:c>
      <x:c r="J2225" t="n">
        <x:v>13</x:v>
      </x:c>
      <x:c r="K2225" t="n">
        <x:v>4</x:v>
      </x:c>
      <x:c r="L2225" t="str">
        <x:v>STORE-001</x:v>
      </x:c>
      <x:c r="M2225" s="22" t="n">
        <x:v>46103</x:v>
      </x:c>
      <x:c r="N2225" t="str">
        <x:v>SKU-005</x:v>
      </x:c>
      <x:c r="O2225" t="n">
        <x:v>1</x:v>
      </x:c>
      <x:c r="P2225" s="26" t="n">
        <x:f>F2225/O2225</x:f>
        <x:v>246.8</x:v>
      </x:c>
    </x:row>
    <x:row r="2226">
      <x:c r="A2226" t="n">
        <x:v>2225</x:v>
      </x:c>
      <x:c r="B2226" t="n">
        <x:v>63</x:v>
      </x:c>
      <x:c r="C2226" t="str">
        <x:v>Female</x:v>
      </x:c>
      <x:c r="D2226" t="str">
        <x:v>Beauty</x:v>
      </x:c>
      <x:c r="E2226" t="str">
        <x:v>Skincare Kit</x:v>
      </x:c>
      <x:c r="F2226" s="24" t="n">
        <x:v>40.06</x:v>
      </x:c>
      <x:c r="G2226" t="str">
        <x:v>Summer</x:v>
      </x:c>
      <x:c r="H2226" t="str">
        <x:v>Cash on Delivery</x:v>
      </x:c>
      <x:c r="I2226" t="n">
        <x:v>4</x:v>
      </x:c>
      <x:c r="J2226" t="n">
        <x:v>20</x:v>
      </x:c>
      <x:c r="K2226" t="n">
        <x:v>5</x:v>
      </x:c>
      <x:c r="L2226" t="str">
        <x:v>STORE-001</x:v>
      </x:c>
      <x:c r="M2226" s="22" t="n">
        <x:v>46051</x:v>
      </x:c>
      <x:c r="N2226" t="str">
        <x:v>SKU-021</x:v>
      </x:c>
      <x:c r="O2226" t="n">
        <x:v>1</x:v>
      </x:c>
      <x:c r="P2226" s="26" t="n">
        <x:f>F2226/O2226</x:f>
        <x:v>40.06</x:v>
      </x:c>
    </x:row>
    <x:row r="2227">
      <x:c r="A2227" t="n">
        <x:v>2226</x:v>
      </x:c>
      <x:c r="B2227" t="n">
        <x:v>38</x:v>
      </x:c>
      <x:c r="C2227" t="str">
        <x:v>Female</x:v>
      </x:c>
      <x:c r="D2227" t="str">
        <x:v>Footwear</x:v>
      </x:c>
      <x:c r="E2227" t="str">
        <x:v>Formal Shoes</x:v>
      </x:c>
      <x:c r="F2227" s="24" t="n">
        <x:v>47</x:v>
      </x:c>
      <x:c r="G2227" t="str">
        <x:v>Summer</x:v>
      </x:c>
      <x:c r="H2227" t="str">
        <x:v>Card</x:v>
      </x:c>
      <x:c r="I2227" t="n">
        <x:v>3.4</x:v>
      </x:c>
      <x:c r="J2227" t="n">
        <x:v>18</x:v>
      </x:c>
      <x:c r="K2227" t="n">
        <x:v>9</x:v>
      </x:c>
      <x:c r="L2227" t="str">
        <x:v>STORE-001</x:v>
      </x:c>
      <x:c r="M2227" s="22" t="n">
        <x:v>46067</x:v>
      </x:c>
      <x:c r="N2227" t="str">
        <x:v>SKU-007</x:v>
      </x:c>
      <x:c r="O2227" t="n">
        <x:v>1</x:v>
      </x:c>
      <x:c r="P2227" s="26" t="n">
        <x:f>F2227/O2227</x:f>
        <x:v>47</x:v>
      </x:c>
    </x:row>
    <x:row r="2228">
      <x:c r="A2228" t="n">
        <x:v>2227</x:v>
      </x:c>
      <x:c r="B2228" t="n">
        <x:v>46</x:v>
      </x:c>
      <x:c r="C2228" t="str">
        <x:v>Female</x:v>
      </x:c>
      <x:c r="D2228" t="str">
        <x:v>Womens Clothing</x:v>
      </x:c>
      <x:c r="E2228" t="str">
        <x:v>Top</x:v>
      </x:c>
      <x:c r="F2228" s="24" t="n">
        <x:v>149.95</x:v>
      </x:c>
      <x:c r="G2228" t="str">
        <x:v>Summer</x:v>
      </x:c>
      <x:c r="H2228" t="str">
        <x:v>Card</x:v>
      </x:c>
      <x:c r="I2228" t="n">
        <x:v>4.2</x:v>
      </x:c>
      <x:c r="J2228" t="n">
        <x:v>9</x:v>
      </x:c>
      <x:c r="K2228" t="n">
        <x:v>2</x:v>
      </x:c>
      <x:c r="L2228" t="str">
        <x:v>STORE-001</x:v>
      </x:c>
      <x:c r="M2228" s="22" t="n">
        <x:v>46062</x:v>
      </x:c>
      <x:c r="N2228" t="str">
        <x:v>SKU-028</x:v>
      </x:c>
      <x:c r="O2228" t="n">
        <x:v>1</x:v>
      </x:c>
      <x:c r="P2228" s="26" t="n">
        <x:f>F2228/O2228</x:f>
        <x:v>149.95</x:v>
      </x:c>
    </x:row>
    <x:row r="2229">
      <x:c r="A2229" t="n">
        <x:v>2228</x:v>
      </x:c>
      <x:c r="B2229" t="n">
        <x:v>68</x:v>
      </x:c>
      <x:c r="C2229" t="str">
        <x:v>Male</x:v>
      </x:c>
      <x:c r="D2229" t="str">
        <x:v>Electronics</x:v>
      </x:c>
      <x:c r="E2229" t="str">
        <x:v>Smart Watch</x:v>
      </x:c>
      <x:c r="F2229" s="24" t="n">
        <x:v>1383.02</x:v>
      </x:c>
      <x:c r="G2229" t="str">
        <x:v>Spring</x:v>
      </x:c>
      <x:c r="H2229" t="str">
        <x:v>Card</x:v>
      </x:c>
      <x:c r="I2229" t="n">
        <x:v>4.6</x:v>
      </x:c>
      <x:c r="J2229" t="n">
        <x:v>16</x:v>
      </x:c>
      <x:c r="K2229" t="n">
        <x:v>3</x:v>
      </x:c>
      <x:c r="L2229" t="str">
        <x:v>STORE-001</x:v>
      </x:c>
      <x:c r="M2229" s="22" t="n">
        <x:v>45965</x:v>
      </x:c>
      <x:c r="N2229" t="str">
        <x:v>SKU-023</x:v>
      </x:c>
      <x:c r="O2229" t="n">
        <x:v>1</x:v>
      </x:c>
      <x:c r="P2229" s="26" t="n">
        <x:f>F2229/O2229</x:f>
        <x:v>1383.02</x:v>
      </x:c>
    </x:row>
    <x:row r="2230">
      <x:c r="A2230" t="n">
        <x:v>2229</x:v>
      </x:c>
      <x:c r="B2230" t="n">
        <x:v>30</x:v>
      </x:c>
      <x:c r="C2230" t="str">
        <x:v>Female</x:v>
      </x:c>
      <x:c r="D2230" t="str">
        <x:v>Womens Clothing</x:v>
      </x:c>
      <x:c r="E2230" t="str">
        <x:v>Top</x:v>
      </x:c>
      <x:c r="F2230" s="24" t="n">
        <x:v>170.78</x:v>
      </x:c>
      <x:c r="G2230" t="str">
        <x:v>Winter</x:v>
      </x:c>
      <x:c r="H2230" t="str">
        <x:v>Card</x:v>
      </x:c>
      <x:c r="I2230" t="n">
        <x:v>5</x:v>
      </x:c>
      <x:c r="J2230" t="n">
        <x:v>22</x:v>
      </x:c>
      <x:c r="K2230" t="n">
        <x:v>6</x:v>
      </x:c>
      <x:c r="L2230" t="str">
        <x:v>STORE-001</x:v>
      </x:c>
      <x:c r="M2230" s="22" t="n">
        <x:v>46260</x:v>
      </x:c>
      <x:c r="N2230" t="str">
        <x:v>SKU-028</x:v>
      </x:c>
      <x:c r="O2230" t="n">
        <x:v>1</x:v>
      </x:c>
      <x:c r="P2230" s="26" t="n">
        <x:f>F2230/O2230</x:f>
        <x:v>170.78</x:v>
      </x:c>
    </x:row>
    <x:row r="2231">
      <x:c r="A2231" t="n">
        <x:v>2230</x:v>
      </x:c>
      <x:c r="B2231" t="n">
        <x:v>26</x:v>
      </x:c>
      <x:c r="C2231" t="str">
        <x:v>Male</x:v>
      </x:c>
      <x:c r="D2231" t="str">
        <x:v>Mens Clothing</x:v>
      </x:c>
      <x:c r="E2231" t="str">
        <x:v>T-Shirt</x:v>
      </x:c>
      <x:c r="F2231" s="24" t="n">
        <x:v>119.83</x:v>
      </x:c>
      <x:c r="G2231" t="str">
        <x:v>Autumn</x:v>
      </x:c>
      <x:c r="H2231" t="str">
        <x:v>Card</x:v>
      </x:c>
      <x:c r="I2231" t="n">
        <x:v>3.4</x:v>
      </x:c>
      <x:c r="J2231" t="n">
        <x:v>8</x:v>
      </x:c>
      <x:c r="K2231" t="n">
        <x:v>4</x:v>
      </x:c>
      <x:c r="L2231" t="str">
        <x:v>STORE-001</x:v>
      </x:c>
      <x:c r="M2231" s="22" t="n">
        <x:v>46153</x:v>
      </x:c>
      <x:c r="N2231" t="str">
        <x:v>SKU-027</x:v>
      </x:c>
      <x:c r="O2231" t="n">
        <x:v>1</x:v>
      </x:c>
      <x:c r="P2231" s="26" t="n">
        <x:f>F2231/O2231</x:f>
        <x:v>119.83</x:v>
      </x:c>
    </x:row>
    <x:row r="2232">
      <x:c r="A2232" t="n">
        <x:v>2231</x:v>
      </x:c>
      <x:c r="B2232" t="n">
        <x:v>49</x:v>
      </x:c>
      <x:c r="C2232" t="str">
        <x:v>Male</x:v>
      </x:c>
      <x:c r="D2232" t="str">
        <x:v>Electronics</x:v>
      </x:c>
      <x:c r="E2232" t="str">
        <x:v>Mobile Phone</x:v>
      </x:c>
      <x:c r="F2232" s="24" t="n">
        <x:v>2780.13</x:v>
      </x:c>
      <x:c r="G2232" t="str">
        <x:v>Winter</x:v>
      </x:c>
      <x:c r="H2232" t="str">
        <x:v>Card</x:v>
      </x:c>
      <x:c r="I2232" t="n">
        <x:v>3.6</x:v>
      </x:c>
      <x:c r="J2232" t="n">
        <x:v>15</x:v>
      </x:c>
      <x:c r="K2232" t="n">
        <x:v>5</x:v>
      </x:c>
      <x:c r="L2232" t="str">
        <x:v>STORE-001</x:v>
      </x:c>
      <x:c r="M2232" s="22" t="n">
        <x:v>46185</x:v>
      </x:c>
      <x:c r="N2232" t="str">
        <x:v>SKU-016</x:v>
      </x:c>
      <x:c r="O2232" t="n">
        <x:v>2</x:v>
      </x:c>
      <x:c r="P2232" s="26" t="n">
        <x:f>F2232/O2232</x:f>
        <x:v>1390.065</x:v>
      </x:c>
    </x:row>
    <x:row r="2233">
      <x:c r="A2233" t="n">
        <x:v>2232</x:v>
      </x:c>
      <x:c r="B2233" t="n">
        <x:v>68</x:v>
      </x:c>
      <x:c r="C2233" t="str">
        <x:v>Male</x:v>
      </x:c>
      <x:c r="D2233" t="str">
        <x:v>Footwear</x:v>
      </x:c>
      <x:c r="E2233" t="str">
        <x:v>Sandals</x:v>
      </x:c>
      <x:c r="F2233" s="24" t="n">
        <x:v>206.56</x:v>
      </x:c>
      <x:c r="G2233" t="str">
        <x:v>Spring</x:v>
      </x:c>
      <x:c r="H2233" t="str">
        <x:v>Card</x:v>
      </x:c>
      <x:c r="I2233" t="n">
        <x:v>3.3</x:v>
      </x:c>
      <x:c r="J2233" t="n">
        <x:v>10</x:v>
      </x:c>
      <x:c r="K2233" t="n">
        <x:v>5</x:v>
      </x:c>
      <x:c r="L2233" t="str">
        <x:v>STORE-001</x:v>
      </x:c>
      <x:c r="M2233" s="22" t="n">
        <x:v>45940</x:v>
      </x:c>
      <x:c r="N2233" t="str">
        <x:v>SKU-019</x:v>
      </x:c>
      <x:c r="O2233" t="n">
        <x:v>2</x:v>
      </x:c>
      <x:c r="P2233" s="26" t="n">
        <x:f>F2233/O2233</x:f>
        <x:v>103.28</x:v>
      </x:c>
    </x:row>
    <x:row r="2234">
      <x:c r="A2234" t="n">
        <x:v>2233</x:v>
      </x:c>
      <x:c r="B2234" t="n">
        <x:v>30</x:v>
      </x:c>
      <x:c r="C2234" t="str">
        <x:v>Female</x:v>
      </x:c>
      <x:c r="D2234" t="str">
        <x:v>Womens Clothing</x:v>
      </x:c>
      <x:c r="E2234" t="str">
        <x:v>Jeans</x:v>
      </x:c>
      <x:c r="F2234" s="24" t="n">
        <x:v>186.33</x:v>
      </x:c>
      <x:c r="G2234" t="str">
        <x:v>Spring</x:v>
      </x:c>
      <x:c r="H2234" t="str">
        <x:v>Card</x:v>
      </x:c>
      <x:c r="I2234" t="n">
        <x:v>3.5</x:v>
      </x:c>
      <x:c r="J2234" t="n">
        <x:v>12</x:v>
      </x:c>
      <x:c r="K2234" t="n">
        <x:v>6</x:v>
      </x:c>
      <x:c r="L2234" t="str">
        <x:v>STORE-001</x:v>
      </x:c>
      <x:c r="M2234" s="22" t="n">
        <x:v>45968</x:v>
      </x:c>
      <x:c r="N2234" t="str">
        <x:v>SKU-011</x:v>
      </x:c>
      <x:c r="O2234" t="n">
        <x:v>3</x:v>
      </x:c>
      <x:c r="P2234" s="26" t="n">
        <x:f>F2234/O2234</x:f>
        <x:v>62.11000000000001</x:v>
      </x:c>
    </x:row>
    <x:row r="2235">
      <x:c r="A2235" t="n">
        <x:v>2234</x:v>
      </x:c>
      <x:c r="B2235" t="n">
        <x:v>38</x:v>
      </x:c>
      <x:c r="C2235" t="str">
        <x:v>Male</x:v>
      </x:c>
      <x:c r="D2235" t="str">
        <x:v>Mens Clothing</x:v>
      </x:c>
      <x:c r="E2235" t="str">
        <x:v>Shirt</x:v>
      </x:c>
      <x:c r="F2235" s="24" t="n">
        <x:v>156.71</x:v>
      </x:c>
      <x:c r="G2235" t="str">
        <x:v>Winter</x:v>
      </x:c>
      <x:c r="H2235" t="str">
        <x:v>Card</x:v>
      </x:c>
      <x:c r="I2235" t="n">
        <x:v>3.4</x:v>
      </x:c>
      <x:c r="J2235" t="n">
        <x:v>16</x:v>
      </x:c>
      <x:c r="K2235" t="n">
        <x:v>8</x:v>
      </x:c>
      <x:c r="L2235" t="str">
        <x:v>STORE-001</x:v>
      </x:c>
      <x:c r="M2235" s="22" t="n">
        <x:v>46258</x:v>
      </x:c>
      <x:c r="N2235" t="str">
        <x:v>SKU-020</x:v>
      </x:c>
      <x:c r="O2235" t="n">
        <x:v>2</x:v>
      </x:c>
      <x:c r="P2235" s="26" t="n">
        <x:f>F2235/O2235</x:f>
        <x:v>78.355</x:v>
      </x:c>
    </x:row>
    <x:row r="2236">
      <x:c r="A2236" t="n">
        <x:v>2235</x:v>
      </x:c>
      <x:c r="B2236" t="n">
        <x:v>42</x:v>
      </x:c>
      <x:c r="C2236" t="str">
        <x:v>Female</x:v>
      </x:c>
      <x:c r="D2236" t="str">
        <x:v>Beauty</x:v>
      </x:c>
      <x:c r="E2236" t="str">
        <x:v>Makeup Set</x:v>
      </x:c>
      <x:c r="F2236" s="24" t="n">
        <x:v>78.39</x:v>
      </x:c>
      <x:c r="G2236" t="str">
        <x:v>Summer</x:v>
      </x:c>
      <x:c r="H2236" t="str">
        <x:v>Card</x:v>
      </x:c>
      <x:c r="I2236" t="n">
        <x:v>3.7</x:v>
      </x:c>
      <x:c r="J2236" t="n">
        <x:v>22</x:v>
      </x:c>
      <x:c r="K2236" t="n">
        <x:v>6</x:v>
      </x:c>
      <x:c r="L2236" t="str">
        <x:v>STORE-001</x:v>
      </x:c>
      <x:c r="M2236" s="22" t="n">
        <x:v>46056</x:v>
      </x:c>
      <x:c r="N2236" t="str">
        <x:v>SKU-015</x:v>
      </x:c>
      <x:c r="O2236" t="n">
        <x:v>1</x:v>
      </x:c>
      <x:c r="P2236" s="26" t="n">
        <x:f>F2236/O2236</x:f>
        <x:v>78.39</x:v>
      </x:c>
    </x:row>
    <x:row r="2237">
      <x:c r="A2237" t="n">
        <x:v>2236</x:v>
      </x:c>
      <x:c r="B2237" t="n">
        <x:v>63</x:v>
      </x:c>
      <x:c r="C2237" t="str">
        <x:v>Male</x:v>
      </x:c>
      <x:c r="D2237" t="str">
        <x:v>Sports</x:v>
      </x:c>
      <x:c r="E2237" t="str">
        <x:v>Dumbbells</x:v>
      </x:c>
      <x:c r="F2237" s="24" t="n">
        <x:v>214.61</x:v>
      </x:c>
      <x:c r="G2237" t="str">
        <x:v>Winter</x:v>
      </x:c>
      <x:c r="H2237" t="str">
        <x:v>Card</x:v>
      </x:c>
      <x:c r="I2237" t="n">
        <x:v>3.4</x:v>
      </x:c>
      <x:c r="J2237" t="n">
        <x:v>9</x:v>
      </x:c>
      <x:c r="K2237" t="n">
        <x:v>2</x:v>
      </x:c>
      <x:c r="L2237" t="str">
        <x:v>STORE-001</x:v>
      </x:c>
      <x:c r="M2237" s="22" t="n">
        <x:v>46265</x:v>
      </x:c>
      <x:c r="N2237" t="str">
        <x:v>SKU-005</x:v>
      </x:c>
      <x:c r="O2237" t="n">
        <x:v>1</x:v>
      </x:c>
      <x:c r="P2237" s="26" t="n">
        <x:f>F2237/O2237</x:f>
        <x:v>214.61</x:v>
      </x:c>
    </x:row>
    <x:row r="2238">
      <x:c r="A2238" t="n">
        <x:v>2237</x:v>
      </x:c>
      <x:c r="B2238" t="n">
        <x:v>34</x:v>
      </x:c>
      <x:c r="C2238" t="str">
        <x:v>Male</x:v>
      </x:c>
      <x:c r="D2238" t="str">
        <x:v>Groceries</x:v>
      </x:c>
      <x:c r="E2238" t="str">
        <x:v>Beverages</x:v>
      </x:c>
      <x:c r="F2238" s="24" t="n">
        <x:v>10.12</x:v>
      </x:c>
      <x:c r="G2238" t="str">
        <x:v>Spring</x:v>
      </x:c>
      <x:c r="H2238" t="str">
        <x:v>Cash on Delivery</x:v>
      </x:c>
      <x:c r="I2238" t="n">
        <x:v>4.3</x:v>
      </x:c>
      <x:c r="J2238" t="n">
        <x:v>10</x:v>
      </x:c>
      <x:c r="K2238" t="n">
        <x:v>5</x:v>
      </x:c>
      <x:c r="L2238" t="str">
        <x:v>STORE-001</x:v>
      </x:c>
      <x:c r="M2238" s="22" t="n">
        <x:v>45981</x:v>
      </x:c>
      <x:c r="N2238" t="str">
        <x:v>SKU-001</x:v>
      </x:c>
      <x:c r="O2238" t="n">
        <x:v>5</x:v>
      </x:c>
      <x:c r="P2238" s="26" t="n">
        <x:f>F2238/O2238</x:f>
        <x:v>2.024</x:v>
      </x:c>
    </x:row>
    <x:row r="2239">
      <x:c r="A2239" t="n">
        <x:v>2238</x:v>
      </x:c>
      <x:c r="B2239" t="n">
        <x:v>28</x:v>
      </x:c>
      <x:c r="C2239" t="str">
        <x:v>Female</x:v>
      </x:c>
      <x:c r="D2239" t="str">
        <x:v>Accessories</x:v>
      </x:c>
      <x:c r="E2239" t="str">
        <x:v>Wallet</x:v>
      </x:c>
      <x:c r="F2239" s="24" t="n">
        <x:v>125.16</x:v>
      </x:c>
      <x:c r="G2239" t="str">
        <x:v>Winter</x:v>
      </x:c>
      <x:c r="H2239" t="str">
        <x:v>Card</x:v>
      </x:c>
      <x:c r="I2239" t="n">
        <x:v>3.8</x:v>
      </x:c>
      <x:c r="J2239" t="n">
        <x:v>8</x:v>
      </x:c>
      <x:c r="K2239" t="n">
        <x:v>4</x:v>
      </x:c>
      <x:c r="L2239" t="str">
        <x:v>STORE-001</x:v>
      </x:c>
      <x:c r="M2239" s="22" t="n">
        <x:v>46238</x:v>
      </x:c>
      <x:c r="N2239" t="str">
        <x:v>SKU-029</x:v>
      </x:c>
      <x:c r="O2239" t="n">
        <x:v>1</x:v>
      </x:c>
      <x:c r="P2239" s="26" t="n">
        <x:f>F2239/O2239</x:f>
        <x:v>125.16</x:v>
      </x:c>
    </x:row>
    <x:row r="2240">
      <x:c r="A2240" t="n">
        <x:v>2239</x:v>
      </x:c>
      <x:c r="B2240" t="n">
        <x:v>34</x:v>
      </x:c>
      <x:c r="C2240" t="str">
        <x:v>Female</x:v>
      </x:c>
      <x:c r="D2240" t="str">
        <x:v>Womens Clothing</x:v>
      </x:c>
      <x:c r="E2240" t="str">
        <x:v>Top</x:v>
      </x:c>
      <x:c r="F2240" s="24" t="n">
        <x:v>90.17</x:v>
      </x:c>
      <x:c r="G2240" t="str">
        <x:v>Spring</x:v>
      </x:c>
      <x:c r="H2240" t="str">
        <x:v>Cash on Delivery</x:v>
      </x:c>
      <x:c r="I2240" t="n">
        <x:v>3.1</x:v>
      </x:c>
      <x:c r="J2240" t="n">
        <x:v>19</x:v>
      </x:c>
      <x:c r="K2240" t="n">
        <x:v>7</x:v>
      </x:c>
      <x:c r="L2240" t="str">
        <x:v>STORE-001</x:v>
      </x:c>
      <x:c r="M2240" s="22" t="n">
        <x:v>45990</x:v>
      </x:c>
      <x:c r="N2240" t="str">
        <x:v>SKU-028</x:v>
      </x:c>
      <x:c r="O2240" t="n">
        <x:v>1</x:v>
      </x:c>
      <x:c r="P2240" s="26" t="n">
        <x:f>F2240/O2240</x:f>
        <x:v>90.17</x:v>
      </x:c>
    </x:row>
    <x:row r="2241">
      <x:c r="A2241" t="n">
        <x:v>2240</x:v>
      </x:c>
      <x:c r="B2241" t="n">
        <x:v>60</x:v>
      </x:c>
      <x:c r="C2241" t="str">
        <x:v>Male</x:v>
      </x:c>
      <x:c r="D2241" t="str">
        <x:v>Electronics</x:v>
      </x:c>
      <x:c r="E2241" t="str">
        <x:v>Smart Watch</x:v>
      </x:c>
      <x:c r="F2241" s="24" t="n">
        <x:v>1445.76</x:v>
      </x:c>
      <x:c r="G2241" t="str">
        <x:v>Spring</x:v>
      </x:c>
      <x:c r="H2241" t="str">
        <x:v>Card</x:v>
      </x:c>
      <x:c r="I2241" t="n">
        <x:v>4.5</x:v>
      </x:c>
      <x:c r="J2241" t="n">
        <x:v>16</x:v>
      </x:c>
      <x:c r="K2241" t="n">
        <x:v>3</x:v>
      </x:c>
      <x:c r="L2241" t="str">
        <x:v>STORE-001</x:v>
      </x:c>
      <x:c r="M2241" s="22" t="n">
        <x:v>46279</x:v>
      </x:c>
      <x:c r="N2241" t="str">
        <x:v>SKU-023</x:v>
      </x:c>
      <x:c r="O2241" t="n">
        <x:v>3</x:v>
      </x:c>
      <x:c r="P2241" s="26" t="n">
        <x:f>F2241/O2241</x:f>
        <x:v>481.92</x:v>
      </x:c>
    </x:row>
    <x:row r="2242">
      <x:c r="A2242" t="n">
        <x:v>2241</x:v>
      </x:c>
      <x:c r="B2242" t="n">
        <x:v>64</x:v>
      </x:c>
      <x:c r="C2242" t="str">
        <x:v>Male</x:v>
      </x:c>
      <x:c r="D2242" t="str">
        <x:v>Footwear</x:v>
      </x:c>
      <x:c r="E2242" t="str">
        <x:v>Formal Shoes</x:v>
      </x:c>
      <x:c r="F2242" s="24" t="n">
        <x:v>45.29</x:v>
      </x:c>
      <x:c r="G2242" t="str">
        <x:v>Summer</x:v>
      </x:c>
      <x:c r="H2242" t="str">
        <x:v>Cash on Delivery</x:v>
      </x:c>
      <x:c r="I2242" t="n">
        <x:v>4</x:v>
      </x:c>
      <x:c r="J2242" t="n">
        <x:v>30</x:v>
      </x:c>
      <x:c r="K2242" t="n">
        <x:v>10</x:v>
      </x:c>
      <x:c r="L2242" t="str">
        <x:v>STORE-001</x:v>
      </x:c>
      <x:c r="M2242" s="22" t="n">
        <x:v>46043</x:v>
      </x:c>
      <x:c r="N2242" t="str">
        <x:v>SKU-007</x:v>
      </x:c>
      <x:c r="O2242" t="n">
        <x:v>2</x:v>
      </x:c>
      <x:c r="P2242" s="26" t="n">
        <x:f>F2242/O2242</x:f>
        <x:v>22.645</x:v>
      </x:c>
    </x:row>
    <x:row r="2243">
      <x:c r="A2243" t="n">
        <x:v>2242</x:v>
      </x:c>
      <x:c r="B2243" t="n">
        <x:v>36</x:v>
      </x:c>
      <x:c r="C2243" t="str">
        <x:v>Female</x:v>
      </x:c>
      <x:c r="D2243" t="str">
        <x:v>Footwear</x:v>
      </x:c>
      <x:c r="E2243" t="str">
        <x:v>Sandals</x:v>
      </x:c>
      <x:c r="F2243" s="24" t="n">
        <x:v>120.65</x:v>
      </x:c>
      <x:c r="G2243" t="str">
        <x:v>Spring</x:v>
      </x:c>
      <x:c r="H2243" t="str">
        <x:v>Card</x:v>
      </x:c>
      <x:c r="I2243" t="n">
        <x:v>4.9</x:v>
      </x:c>
      <x:c r="J2243" t="n">
        <x:v>6</x:v>
      </x:c>
      <x:c r="K2243" t="n">
        <x:v>3</x:v>
      </x:c>
      <x:c r="L2243" t="str">
        <x:v>STORE-001</x:v>
      </x:c>
      <x:c r="M2243" s="22" t="n">
        <x:v>45962</x:v>
      </x:c>
      <x:c r="N2243" t="str">
        <x:v>SKU-019</x:v>
      </x:c>
      <x:c r="O2243" t="n">
        <x:v>1</x:v>
      </x:c>
      <x:c r="P2243" s="26" t="n">
        <x:f>F2243/O2243</x:f>
        <x:v>120.65</x:v>
      </x:c>
    </x:row>
    <x:row r="2244">
      <x:c r="A2244" t="n">
        <x:v>2243</x:v>
      </x:c>
      <x:c r="B2244" t="n">
        <x:v>69</x:v>
      </x:c>
      <x:c r="C2244" t="str">
        <x:v>Male</x:v>
      </x:c>
      <x:c r="D2244" t="str">
        <x:v>Sports</x:v>
      </x:c>
      <x:c r="E2244" t="str">
        <x:v>Yoga Mat</x:v>
      </x:c>
      <x:c r="F2244" s="24" t="n">
        <x:v>204.74</x:v>
      </x:c>
      <x:c r="G2244" t="str">
        <x:v>Summer</x:v>
      </x:c>
      <x:c r="H2244" t="str">
        <x:v>Card</x:v>
      </x:c>
      <x:c r="I2244" t="n">
        <x:v>4.1</x:v>
      </x:c>
      <x:c r="J2244" t="n">
        <x:v>15</x:v>
      </x:c>
      <x:c r="K2244" t="n">
        <x:v>5</x:v>
      </x:c>
      <x:c r="L2244" t="str">
        <x:v>STORE-001</x:v>
      </x:c>
      <x:c r="M2244" s="22" t="n">
        <x:v>46031</x:v>
      </x:c>
      <x:c r="N2244" t="str">
        <x:v>SKU-030</x:v>
      </x:c>
      <x:c r="O2244" t="n">
        <x:v>1</x:v>
      </x:c>
      <x:c r="P2244" s="26" t="n">
        <x:f>F2244/O2244</x:f>
        <x:v>204.74</x:v>
      </x:c>
    </x:row>
    <x:row r="2245">
      <x:c r="A2245" t="n">
        <x:v>2244</x:v>
      </x:c>
      <x:c r="B2245" t="n">
        <x:v>37</x:v>
      </x:c>
      <x:c r="C2245" t="str">
        <x:v>Female</x:v>
      </x:c>
      <x:c r="D2245" t="str">
        <x:v>Beauty</x:v>
      </x:c>
      <x:c r="E2245" t="str">
        <x:v>Makeup Set</x:v>
      </x:c>
      <x:c r="F2245" s="24" t="n">
        <x:v>23.24</x:v>
      </x:c>
      <x:c r="G2245" t="str">
        <x:v>Summer</x:v>
      </x:c>
      <x:c r="H2245" t="str">
        <x:v>Card</x:v>
      </x:c>
      <x:c r="I2245" t="n">
        <x:v>3.6</x:v>
      </x:c>
      <x:c r="J2245" t="n">
        <x:v>20</x:v>
      </x:c>
      <x:c r="K2245" t="n">
        <x:v>5</x:v>
      </x:c>
      <x:c r="L2245" t="str">
        <x:v>STORE-001</x:v>
      </x:c>
      <x:c r="M2245" s="22" t="n">
        <x:v>46080</x:v>
      </x:c>
      <x:c r="N2245" t="str">
        <x:v>SKU-015</x:v>
      </x:c>
      <x:c r="O2245" t="n">
        <x:v>1</x:v>
      </x:c>
      <x:c r="P2245" s="26" t="n">
        <x:f>F2245/O2245</x:f>
        <x:v>23.24</x:v>
      </x:c>
    </x:row>
    <x:row r="2246">
      <x:c r="A2246" t="n">
        <x:v>2245</x:v>
      </x:c>
      <x:c r="B2246" t="n">
        <x:v>52</x:v>
      </x:c>
      <x:c r="C2246" t="str">
        <x:v>Female</x:v>
      </x:c>
      <x:c r="D2246" t="str">
        <x:v>Beauty</x:v>
      </x:c>
      <x:c r="E2246" t="str">
        <x:v>Perfume</x:v>
      </x:c>
      <x:c r="F2246" s="24" t="n">
        <x:v>32.67</x:v>
      </x:c>
      <x:c r="G2246" t="str">
        <x:v>Winter</x:v>
      </x:c>
      <x:c r="H2246" t="str">
        <x:v>Cash on Delivery</x:v>
      </x:c>
      <x:c r="I2246" t="n">
        <x:v>3.6</x:v>
      </x:c>
      <x:c r="J2246" t="n">
        <x:v>17</x:v>
      </x:c>
      <x:c r="K2246" t="n">
        <x:v>6</x:v>
      </x:c>
      <x:c r="L2246" t="str">
        <x:v>STORE-001</x:v>
      </x:c>
      <x:c r="M2246" s="22" t="n">
        <x:v>46204</x:v>
      </x:c>
      <x:c r="N2246" t="str">
        <x:v>SKU-017</x:v>
      </x:c>
      <x:c r="O2246" t="n">
        <x:v>2</x:v>
      </x:c>
      <x:c r="P2246" s="26" t="n">
        <x:f>F2246/O2246</x:f>
        <x:v>16.335</x:v>
      </x:c>
    </x:row>
    <x:row r="2247">
      <x:c r="A2247" t="n">
        <x:v>2246</x:v>
      </x:c>
      <x:c r="B2247" t="n">
        <x:v>31</x:v>
      </x:c>
      <x:c r="C2247" t="str">
        <x:v>Male</x:v>
      </x:c>
      <x:c r="D2247" t="str">
        <x:v>Electronics</x:v>
      </x:c>
      <x:c r="E2247" t="str">
        <x:v>Mobile Phone</x:v>
      </x:c>
      <x:c r="F2247" s="24" t="n">
        <x:v>2789.38</x:v>
      </x:c>
      <x:c r="G2247" t="str">
        <x:v>Spring</x:v>
      </x:c>
      <x:c r="H2247" t="str">
        <x:v>Card</x:v>
      </x:c>
      <x:c r="I2247" t="n">
        <x:v>4.7</x:v>
      </x:c>
      <x:c r="J2247" t="n">
        <x:v>12</x:v>
      </x:c>
      <x:c r="K2247" t="n">
        <x:v>6</x:v>
      </x:c>
      <x:c r="L2247" t="str">
        <x:v>STORE-001</x:v>
      </x:c>
      <x:c r="M2247" s="22" t="n">
        <x:v>45968</x:v>
      </x:c>
      <x:c r="N2247" t="str">
        <x:v>SKU-016</x:v>
      </x:c>
      <x:c r="O2247" t="n">
        <x:v>1</x:v>
      </x:c>
      <x:c r="P2247" s="26" t="n">
        <x:f>F2247/O2247</x:f>
        <x:v>2789.38</x:v>
      </x:c>
    </x:row>
    <x:row r="2248">
      <x:c r="A2248" t="n">
        <x:v>2247</x:v>
      </x:c>
      <x:c r="B2248" t="n">
        <x:v>67</x:v>
      </x:c>
      <x:c r="C2248" t="str">
        <x:v>Male</x:v>
      </x:c>
      <x:c r="D2248" t="str">
        <x:v>Footwear</x:v>
      </x:c>
      <x:c r="E2248" t="str">
        <x:v>Formal Shoes</x:v>
      </x:c>
      <x:c r="F2248" s="24" t="n">
        <x:v>54.61</x:v>
      </x:c>
      <x:c r="G2248" t="str">
        <x:v>Autumn</x:v>
      </x:c>
      <x:c r="H2248" t="str">
        <x:v>Card</x:v>
      </x:c>
      <x:c r="I2248" t="n">
        <x:v>4.1</x:v>
      </x:c>
      <x:c r="J2248" t="n">
        <x:v>8</x:v>
      </x:c>
      <x:c r="K2248" t="n">
        <x:v>4</x:v>
      </x:c>
      <x:c r="L2248" t="str">
        <x:v>STORE-001</x:v>
      </x:c>
      <x:c r="M2248" s="22" t="n">
        <x:v>46098</x:v>
      </x:c>
      <x:c r="N2248" t="str">
        <x:v>SKU-007</x:v>
      </x:c>
      <x:c r="O2248" t="n">
        <x:v>1</x:v>
      </x:c>
      <x:c r="P2248" s="26" t="n">
        <x:f>F2248/O2248</x:f>
        <x:v>54.61</x:v>
      </x:c>
    </x:row>
    <x:row r="2249">
      <x:c r="A2249" t="n">
        <x:v>2248</x:v>
      </x:c>
      <x:c r="B2249" t="n">
        <x:v>28</x:v>
      </x:c>
      <x:c r="C2249" t="str">
        <x:v>Male</x:v>
      </x:c>
      <x:c r="D2249" t="str">
        <x:v>Sports</x:v>
      </x:c>
      <x:c r="E2249" t="str">
        <x:v>Yoga Mat</x:v>
      </x:c>
      <x:c r="F2249" s="24" t="n">
        <x:v>157.25</x:v>
      </x:c>
      <x:c r="G2249" t="str">
        <x:v>Spring</x:v>
      </x:c>
      <x:c r="H2249" t="str">
        <x:v>Card</x:v>
      </x:c>
      <x:c r="I2249" t="n">
        <x:v>4.2</x:v>
      </x:c>
      <x:c r="J2249" t="n">
        <x:v>18</x:v>
      </x:c>
      <x:c r="K2249" t="n">
        <x:v>4</x:v>
      </x:c>
      <x:c r="L2249" t="str">
        <x:v>STORE-001</x:v>
      </x:c>
      <x:c r="M2249" s="22" t="n">
        <x:v>45943</x:v>
      </x:c>
      <x:c r="N2249" t="str">
        <x:v>SKU-030</x:v>
      </x:c>
      <x:c r="O2249" t="n">
        <x:v>1</x:v>
      </x:c>
      <x:c r="P2249" s="26" t="n">
        <x:f>F2249/O2249</x:f>
        <x:v>157.25</x:v>
      </x:c>
    </x:row>
    <x:row r="2250">
      <x:c r="A2250" t="n">
        <x:v>2249</x:v>
      </x:c>
      <x:c r="B2250" t="n">
        <x:v>43</x:v>
      </x:c>
      <x:c r="C2250" t="str">
        <x:v>Male</x:v>
      </x:c>
      <x:c r="D2250" t="str">
        <x:v>Groceries</x:v>
      </x:c>
      <x:c r="E2250" t="str">
        <x:v>Snacks</x:v>
      </x:c>
      <x:c r="F2250" s="24" t="n">
        <x:v>20.08</x:v>
      </x:c>
      <x:c r="G2250" t="str">
        <x:v>Summer</x:v>
      </x:c>
      <x:c r="H2250" t="str">
        <x:v>Card</x:v>
      </x:c>
      <x:c r="I2250" t="n">
        <x:v>4.2</x:v>
      </x:c>
      <x:c r="J2250" t="n">
        <x:v>9</x:v>
      </x:c>
      <x:c r="K2250" t="n">
        <x:v>2</x:v>
      </x:c>
      <x:c r="L2250" t="str">
        <x:v>STORE-001</x:v>
      </x:c>
      <x:c r="M2250" s="22" t="n">
        <x:v>46035</x:v>
      </x:c>
      <x:c r="N2250" t="str">
        <x:v>SKU-024</x:v>
      </x:c>
      <x:c r="O2250" t="n">
        <x:v>4</x:v>
      </x:c>
      <x:c r="P2250" s="26" t="n">
        <x:f>F2250/O2250</x:f>
        <x:v>5.02</x:v>
      </x:c>
    </x:row>
    <x:row r="2251">
      <x:c r="A2251" t="n">
        <x:v>2250</x:v>
      </x:c>
      <x:c r="B2251" t="n">
        <x:v>45</x:v>
      </x:c>
      <x:c r="C2251" t="str">
        <x:v>Female</x:v>
      </x:c>
      <x:c r="D2251" t="str">
        <x:v>Accessories</x:v>
      </x:c>
      <x:c r="E2251" t="str">
        <x:v>Sunglasses</x:v>
      </x:c>
      <x:c r="F2251" s="24" t="n">
        <x:v>50.5</x:v>
      </x:c>
      <x:c r="G2251" t="str">
        <x:v>Autumn</x:v>
      </x:c>
      <x:c r="H2251" t="str">
        <x:v>Cash on Delivery</x:v>
      </x:c>
      <x:c r="I2251" t="n">
        <x:v>2.5</x:v>
      </x:c>
      <x:c r="J2251" t="n">
        <x:v>20</x:v>
      </x:c>
      <x:c r="K2251" t="n">
        <x:v>5</x:v>
      </x:c>
      <x:c r="L2251" t="str">
        <x:v>STORE-001</x:v>
      </x:c>
      <x:c r="M2251" s="22" t="n">
        <x:v>46164</x:v>
      </x:c>
      <x:c r="N2251" t="str">
        <x:v>SKU-026</x:v>
      </x:c>
      <x:c r="O2251" t="n">
        <x:v>1</x:v>
      </x:c>
      <x:c r="P2251" s="26" t="n">
        <x:f>F2251/O2251</x:f>
        <x:v>50.5</x:v>
      </x:c>
    </x:row>
    <x:row r="2252">
      <x:c r="A2252" t="n">
        <x:v>2251</x:v>
      </x:c>
      <x:c r="B2252" t="n">
        <x:v>57</x:v>
      </x:c>
      <x:c r="C2252" t="str">
        <x:v>Female</x:v>
      </x:c>
      <x:c r="D2252" t="str">
        <x:v>Womens Clothing</x:v>
      </x:c>
      <x:c r="E2252" t="str">
        <x:v>Jeans</x:v>
      </x:c>
      <x:c r="F2252" s="24" t="n">
        <x:v>106.78</x:v>
      </x:c>
      <x:c r="G2252" t="str">
        <x:v>Spring</x:v>
      </x:c>
      <x:c r="H2252" t="str">
        <x:v>Card</x:v>
      </x:c>
      <x:c r="I2252" t="n">
        <x:v>5</x:v>
      </x:c>
      <x:c r="J2252" t="n">
        <x:v>28</x:v>
      </x:c>
      <x:c r="K2252" t="n">
        <x:v>9</x:v>
      </x:c>
      <x:c r="L2252" t="str">
        <x:v>STORE-001</x:v>
      </x:c>
      <x:c r="M2252" s="22" t="n">
        <x:v>46283</x:v>
      </x:c>
      <x:c r="N2252" t="str">
        <x:v>SKU-011</x:v>
      </x:c>
      <x:c r="O2252" t="n">
        <x:v>1</x:v>
      </x:c>
      <x:c r="P2252" s="26" t="n">
        <x:f>F2252/O2252</x:f>
        <x:v>106.78</x:v>
      </x:c>
    </x:row>
    <x:row r="2253">
      <x:c r="A2253" t="n">
        <x:v>2252</x:v>
      </x:c>
      <x:c r="B2253" t="n">
        <x:v>33</x:v>
      </x:c>
      <x:c r="C2253" t="str">
        <x:v>Female</x:v>
      </x:c>
      <x:c r="D2253" t="str">
        <x:v>Accessories</x:v>
      </x:c>
      <x:c r="E2253" t="str">
        <x:v>Wallet</x:v>
      </x:c>
      <x:c r="F2253" s="24" t="n">
        <x:v>21.35</x:v>
      </x:c>
      <x:c r="G2253" t="str">
        <x:v>Winter</x:v>
      </x:c>
      <x:c r="H2253" t="str">
        <x:v>Cash on Delivery</x:v>
      </x:c>
      <x:c r="I2253" t="n">
        <x:v>3.9</x:v>
      </x:c>
      <x:c r="J2253" t="n">
        <x:v>13</x:v>
      </x:c>
      <x:c r="K2253" t="n">
        <x:v>4</x:v>
      </x:c>
      <x:c r="L2253" t="str">
        <x:v>STORE-001</x:v>
      </x:c>
      <x:c r="M2253" s="22" t="n">
        <x:v>46207</x:v>
      </x:c>
      <x:c r="N2253" t="str">
        <x:v>SKU-029</x:v>
      </x:c>
      <x:c r="O2253" t="n">
        <x:v>2</x:v>
      </x:c>
      <x:c r="P2253" s="26" t="n">
        <x:f>F2253/O2253</x:f>
        <x:v>10.675</x:v>
      </x:c>
    </x:row>
    <x:row r="2254">
      <x:c r="A2254" t="n">
        <x:v>2253</x:v>
      </x:c>
      <x:c r="B2254" t="n">
        <x:v>69</x:v>
      </x:c>
      <x:c r="C2254" t="str">
        <x:v>Female</x:v>
      </x:c>
      <x:c r="D2254" t="str">
        <x:v>Womens Clothing</x:v>
      </x:c>
      <x:c r="E2254" t="str">
        <x:v>Top</x:v>
      </x:c>
      <x:c r="F2254" s="24" t="n">
        <x:v>59.4</x:v>
      </x:c>
      <x:c r="G2254" t="str">
        <x:v>Spring</x:v>
      </x:c>
      <x:c r="H2254" t="str">
        <x:v>Card</x:v>
      </x:c>
      <x:c r="I2254" t="n">
        <x:v>3.6</x:v>
      </x:c>
      <x:c r="J2254" t="n">
        <x:v>17</x:v>
      </x:c>
      <x:c r="K2254" t="n">
        <x:v>6</x:v>
      </x:c>
      <x:c r="L2254" t="str">
        <x:v>STORE-001</x:v>
      </x:c>
      <x:c r="M2254" s="22" t="n">
        <x:v>46279</x:v>
      </x:c>
      <x:c r="N2254" t="str">
        <x:v>SKU-028</x:v>
      </x:c>
      <x:c r="O2254" t="n">
        <x:v>1</x:v>
      </x:c>
      <x:c r="P2254" s="26" t="n">
        <x:f>F2254/O2254</x:f>
        <x:v>59.4</x:v>
      </x:c>
    </x:row>
    <x:row r="2255">
      <x:c r="A2255" t="n">
        <x:v>2254</x:v>
      </x:c>
      <x:c r="B2255" t="n">
        <x:v>60</x:v>
      </x:c>
      <x:c r="C2255" t="str">
        <x:v>Male</x:v>
      </x:c>
      <x:c r="D2255" t="str">
        <x:v>Sports</x:v>
      </x:c>
      <x:c r="E2255" t="str">
        <x:v>Dumbbells</x:v>
      </x:c>
      <x:c r="F2255" s="24" t="n">
        <x:v>196.16</x:v>
      </x:c>
      <x:c r="G2255" t="str">
        <x:v>Autumn</x:v>
      </x:c>
      <x:c r="H2255" t="str">
        <x:v>Card</x:v>
      </x:c>
      <x:c r="I2255" t="n">
        <x:v>1.9</x:v>
      </x:c>
      <x:c r="J2255" t="n">
        <x:v>4</x:v>
      </x:c>
      <x:c r="K2255" t="n">
        <x:v>2</x:v>
      </x:c>
      <x:c r="L2255" t="str">
        <x:v>STORE-001</x:v>
      </x:c>
      <x:c r="M2255" s="22" t="n">
        <x:v>46130</x:v>
      </x:c>
      <x:c r="N2255" t="str">
        <x:v>SKU-005</x:v>
      </x:c>
      <x:c r="O2255" t="n">
        <x:v>4</x:v>
      </x:c>
      <x:c r="P2255" s="26" t="n">
        <x:f>F2255/O2255</x:f>
        <x:v>49.04</x:v>
      </x:c>
    </x:row>
    <x:row r="2256">
      <x:c r="A2256" t="n">
        <x:v>2255</x:v>
      </x:c>
      <x:c r="B2256" t="n">
        <x:v>34</x:v>
      </x:c>
      <x:c r="C2256" t="str">
        <x:v>Female</x:v>
      </x:c>
      <x:c r="D2256" t="str">
        <x:v>Home</x:v>
      </x:c>
      <x:c r="E2256" t="str">
        <x:v>Kitchen Set</x:v>
      </x:c>
      <x:c r="F2256" s="24" t="n">
        <x:v>228.6</x:v>
      </x:c>
      <x:c r="G2256" t="str">
        <x:v>Summer</x:v>
      </x:c>
      <x:c r="H2256" t="str">
        <x:v>Card</x:v>
      </x:c>
      <x:c r="I2256" t="n">
        <x:v>3.6</x:v>
      </x:c>
      <x:c r="J2256" t="n">
        <x:v>22</x:v>
      </x:c>
      <x:c r="K2256" t="n">
        <x:v>6</x:v>
      </x:c>
      <x:c r="L2256" t="str">
        <x:v>STORE-001</x:v>
      </x:c>
      <x:c r="M2256" s="22" t="n">
        <x:v>46065</x:v>
      </x:c>
      <x:c r="N2256" t="str">
        <x:v>SKU-012</x:v>
      </x:c>
      <x:c r="O2256" t="n">
        <x:v>1</x:v>
      </x:c>
      <x:c r="P2256" s="26" t="n">
        <x:f>F2256/O2256</x:f>
        <x:v>228.6</x:v>
      </x:c>
    </x:row>
    <x:row r="2257">
      <x:c r="A2257" t="n">
        <x:v>2256</x:v>
      </x:c>
      <x:c r="B2257" t="n">
        <x:v>62</x:v>
      </x:c>
      <x:c r="C2257" t="str">
        <x:v>Female</x:v>
      </x:c>
      <x:c r="D2257" t="str">
        <x:v>Beauty</x:v>
      </x:c>
      <x:c r="E2257" t="str">
        <x:v>Makeup Set</x:v>
      </x:c>
      <x:c r="F2257" s="24" t="n">
        <x:v>146.15</x:v>
      </x:c>
      <x:c r="G2257" t="str">
        <x:v>Autumn</x:v>
      </x:c>
      <x:c r="H2257" t="str">
        <x:v>Card</x:v>
      </x:c>
      <x:c r="I2257" t="n">
        <x:v>2.4</x:v>
      </x:c>
      <x:c r="J2257" t="n">
        <x:v>14</x:v>
      </x:c>
      <x:c r="K2257" t="n">
        <x:v>7</x:v>
      </x:c>
      <x:c r="L2257" t="str">
        <x:v>STORE-001</x:v>
      </x:c>
      <x:c r="M2257" s="22" t="n">
        <x:v>46125</x:v>
      </x:c>
      <x:c r="N2257" t="str">
        <x:v>SKU-015</x:v>
      </x:c>
      <x:c r="O2257" t="n">
        <x:v>3</x:v>
      </x:c>
      <x:c r="P2257" s="26" t="n">
        <x:f>F2257/O2257</x:f>
        <x:v>48.71666666666667</x:v>
      </x:c>
    </x:row>
    <x:row r="2258">
      <x:c r="A2258" t="n">
        <x:v>2257</x:v>
      </x:c>
      <x:c r="B2258" t="n">
        <x:v>44</x:v>
      </x:c>
      <x:c r="C2258" t="str">
        <x:v>Female</x:v>
      </x:c>
      <x:c r="D2258" t="str">
        <x:v>Beauty</x:v>
      </x:c>
      <x:c r="E2258" t="str">
        <x:v>Perfume</x:v>
      </x:c>
      <x:c r="F2258" s="24" t="n">
        <x:v>118.63</x:v>
      </x:c>
      <x:c r="G2258" t="str">
        <x:v>Spring</x:v>
      </x:c>
      <x:c r="H2258" t="str">
        <x:v>Card</x:v>
      </x:c>
      <x:c r="I2258" t="n">
        <x:v>3.1</x:v>
      </x:c>
      <x:c r="J2258" t="n">
        <x:v>8</x:v>
      </x:c>
      <x:c r="K2258" t="n">
        <x:v>4</x:v>
      </x:c>
      <x:c r="L2258" t="str">
        <x:v>STORE-001</x:v>
      </x:c>
      <x:c r="M2258" s="22" t="n">
        <x:v>45937</x:v>
      </x:c>
      <x:c r="N2258" t="str">
        <x:v>SKU-017</x:v>
      </x:c>
      <x:c r="O2258" t="n">
        <x:v>1</x:v>
      </x:c>
      <x:c r="P2258" s="26" t="n">
        <x:f>F2258/O2258</x:f>
        <x:v>118.63</x:v>
      </x:c>
    </x:row>
    <x:row r="2259">
      <x:c r="A2259" t="n">
        <x:v>2258</x:v>
      </x:c>
      <x:c r="B2259" t="n">
        <x:v>21</x:v>
      </x:c>
      <x:c r="C2259" t="str">
        <x:v>Male</x:v>
      </x:c>
      <x:c r="D2259" t="str">
        <x:v>Electronics</x:v>
      </x:c>
      <x:c r="E2259" t="str">
        <x:v>Mobile Phone</x:v>
      </x:c>
      <x:c r="F2259" s="24" t="n">
        <x:v>1725.52</x:v>
      </x:c>
      <x:c r="G2259" t="str">
        <x:v>Spring</x:v>
      </x:c>
      <x:c r="H2259" t="str">
        <x:v>Card</x:v>
      </x:c>
      <x:c r="I2259" t="n">
        <x:v>4.3</x:v>
      </x:c>
      <x:c r="J2259" t="n">
        <x:v>10</x:v>
      </x:c>
      <x:c r="K2259" t="n">
        <x:v>5</x:v>
      </x:c>
      <x:c r="L2259" t="str">
        <x:v>STORE-001</x:v>
      </x:c>
      <x:c r="M2259" s="22" t="n">
        <x:v>46288</x:v>
      </x:c>
      <x:c r="N2259" t="str">
        <x:v>SKU-016</x:v>
      </x:c>
      <x:c r="O2259" t="n">
        <x:v>1</x:v>
      </x:c>
      <x:c r="P2259" s="26" t="n">
        <x:f>F2259/O2259</x:f>
        <x:v>1725.52</x:v>
      </x:c>
    </x:row>
    <x:row r="2260">
      <x:c r="A2260" t="n">
        <x:v>2259</x:v>
      </x:c>
      <x:c r="B2260" t="n">
        <x:v>42</x:v>
      </x:c>
      <x:c r="C2260" t="str">
        <x:v>Male</x:v>
      </x:c>
      <x:c r="D2260" t="str">
        <x:v>Footwear</x:v>
      </x:c>
      <x:c r="E2260" t="str">
        <x:v>Sandals</x:v>
      </x:c>
      <x:c r="F2260" s="24" t="n">
        <x:v>217.85</x:v>
      </x:c>
      <x:c r="G2260" t="str">
        <x:v>Autumn</x:v>
      </x:c>
      <x:c r="H2260" t="str">
        <x:v>Card</x:v>
      </x:c>
      <x:c r="I2260" t="n">
        <x:v>4</x:v>
      </x:c>
      <x:c r="J2260" t="n">
        <x:v>26</x:v>
      </x:c>
      <x:c r="K2260" t="n">
        <x:v>8</x:v>
      </x:c>
      <x:c r="L2260" t="str">
        <x:v>STORE-001</x:v>
      </x:c>
      <x:c r="M2260" s="22" t="n">
        <x:v>46134</x:v>
      </x:c>
      <x:c r="N2260" t="str">
        <x:v>SKU-019</x:v>
      </x:c>
      <x:c r="O2260" t="n">
        <x:v>2</x:v>
      </x:c>
      <x:c r="P2260" s="26" t="n">
        <x:f>F2260/O2260</x:f>
        <x:v>108.925</x:v>
      </x:c>
    </x:row>
    <x:row r="2261">
      <x:c r="A2261" t="n">
        <x:v>2260</x:v>
      </x:c>
      <x:c r="B2261" t="n">
        <x:v>39</x:v>
      </x:c>
      <x:c r="C2261" t="str">
        <x:v>Male</x:v>
      </x:c>
      <x:c r="D2261" t="str">
        <x:v>Footwear</x:v>
      </x:c>
      <x:c r="E2261" t="str">
        <x:v>Formal Shoes</x:v>
      </x:c>
      <x:c r="F2261" s="24" t="n">
        <x:v>106.65</x:v>
      </x:c>
      <x:c r="G2261" t="str">
        <x:v>Winter</x:v>
      </x:c>
      <x:c r="H2261" t="str">
        <x:v>Card</x:v>
      </x:c>
      <x:c r="I2261" t="n">
        <x:v>4.4</x:v>
      </x:c>
      <x:c r="J2261" t="n">
        <x:v>16</x:v>
      </x:c>
      <x:c r="K2261" t="n">
        <x:v>3</x:v>
      </x:c>
      <x:c r="L2261" t="str">
        <x:v>STORE-001</x:v>
      </x:c>
      <x:c r="M2261" s="22" t="n">
        <x:v>46197</x:v>
      </x:c>
      <x:c r="N2261" t="str">
        <x:v>SKU-007</x:v>
      </x:c>
      <x:c r="O2261" t="n">
        <x:v>1</x:v>
      </x:c>
      <x:c r="P2261" s="26" t="n">
        <x:f>F2261/O2261</x:f>
        <x:v>106.65</x:v>
      </x:c>
    </x:row>
    <x:row r="2262">
      <x:c r="A2262" t="n">
        <x:v>2261</x:v>
      </x:c>
      <x:c r="B2262" t="n">
        <x:v>44</x:v>
      </x:c>
      <x:c r="C2262" t="str">
        <x:v>Female</x:v>
      </x:c>
      <x:c r="D2262" t="str">
        <x:v>Sports</x:v>
      </x:c>
      <x:c r="E2262" t="str">
        <x:v>Dumbbells</x:v>
      </x:c>
      <x:c r="F2262" s="24" t="n">
        <x:v>108.39</x:v>
      </x:c>
      <x:c r="G2262" t="str">
        <x:v>Winter</x:v>
      </x:c>
      <x:c r="H2262" t="str">
        <x:v>Card</x:v>
      </x:c>
      <x:c r="I2262" t="n">
        <x:v>3.3</x:v>
      </x:c>
      <x:c r="J2262" t="n">
        <x:v>23</x:v>
      </x:c>
      <x:c r="K2262" t="n">
        <x:v>9</x:v>
      </x:c>
      <x:c r="L2262" t="str">
        <x:v>STORE-001</x:v>
      </x:c>
      <x:c r="M2262" s="22" t="n">
        <x:v>46244</x:v>
      </x:c>
      <x:c r="N2262" t="str">
        <x:v>SKU-005</x:v>
      </x:c>
      <x:c r="O2262" t="n">
        <x:v>1</x:v>
      </x:c>
      <x:c r="P2262" s="26" t="n">
        <x:f>F2262/O2262</x:f>
        <x:v>108.39</x:v>
      </x:c>
    </x:row>
    <x:row r="2263">
      <x:c r="A2263" t="n">
        <x:v>2262</x:v>
      </x:c>
      <x:c r="B2263" t="n">
        <x:v>20</x:v>
      </x:c>
      <x:c r="C2263" t="str">
        <x:v>Male</x:v>
      </x:c>
      <x:c r="D2263" t="str">
        <x:v>Mens Clothing</x:v>
      </x:c>
      <x:c r="E2263" t="str">
        <x:v>T-Shirt</x:v>
      </x:c>
      <x:c r="F2263" s="24" t="n">
        <x:v>167.57</x:v>
      </x:c>
      <x:c r="G2263" t="str">
        <x:v>Winter</x:v>
      </x:c>
      <x:c r="H2263" t="str">
        <x:v>Card</x:v>
      </x:c>
      <x:c r="I2263" t="n">
        <x:v>3.5</x:v>
      </x:c>
      <x:c r="J2263" t="n">
        <x:v>11</x:v>
      </x:c>
      <x:c r="K2263" t="n">
        <x:v>3</x:v>
      </x:c>
      <x:c r="L2263" t="str">
        <x:v>STORE-001</x:v>
      </x:c>
      <x:c r="M2263" s="22" t="n">
        <x:v>46256</x:v>
      </x:c>
      <x:c r="N2263" t="str">
        <x:v>SKU-027</x:v>
      </x:c>
      <x:c r="O2263" t="n">
        <x:v>1</x:v>
      </x:c>
      <x:c r="P2263" s="26" t="n">
        <x:f>F2263/O2263</x:f>
        <x:v>167.57</x:v>
      </x:c>
    </x:row>
    <x:row r="2264">
      <x:c r="A2264" t="n">
        <x:v>2263</x:v>
      </x:c>
      <x:c r="B2264" t="n">
        <x:v>57</x:v>
      </x:c>
      <x:c r="C2264" t="str">
        <x:v>Female</x:v>
      </x:c>
      <x:c r="D2264" t="str">
        <x:v>Beauty</x:v>
      </x:c>
      <x:c r="E2264" t="str">
        <x:v>Skincare Kit</x:v>
      </x:c>
      <x:c r="F2264" s="24" t="n">
        <x:v>102.35</x:v>
      </x:c>
      <x:c r="G2264" t="str">
        <x:v>Autumn</x:v>
      </x:c>
      <x:c r="H2264" t="str">
        <x:v>Card</x:v>
      </x:c>
      <x:c r="I2264" t="n">
        <x:v>4</x:v>
      </x:c>
      <x:c r="J2264" t="n">
        <x:v>10</x:v>
      </x:c>
      <x:c r="K2264" t="n">
        <x:v>5</x:v>
      </x:c>
      <x:c r="L2264" t="str">
        <x:v>STORE-001</x:v>
      </x:c>
      <x:c r="M2264" s="22" t="n">
        <x:v>46100</x:v>
      </x:c>
      <x:c r="N2264" t="str">
        <x:v>SKU-021</x:v>
      </x:c>
      <x:c r="O2264" t="n">
        <x:v>1</x:v>
      </x:c>
      <x:c r="P2264" s="26" t="n">
        <x:f>F2264/O2264</x:f>
        <x:v>102.35</x:v>
      </x:c>
    </x:row>
    <x:row r="2265">
      <x:c r="A2265" t="n">
        <x:v>2264</x:v>
      </x:c>
      <x:c r="B2265" t="n">
        <x:v>44</x:v>
      </x:c>
      <x:c r="C2265" t="str">
        <x:v>Male</x:v>
      </x:c>
      <x:c r="D2265" t="str">
        <x:v>Mens Clothing</x:v>
      </x:c>
      <x:c r="E2265" t="str">
        <x:v>Jacket</x:v>
      </x:c>
      <x:c r="F2265" s="24" t="n">
        <x:v>121.98</x:v>
      </x:c>
      <x:c r="G2265" t="str">
        <x:v>Winter</x:v>
      </x:c>
      <x:c r="H2265" t="str">
        <x:v>Card</x:v>
      </x:c>
      <x:c r="I2265" t="n">
        <x:v>2.2</x:v>
      </x:c>
      <x:c r="J2265" t="n">
        <x:v>9</x:v>
      </x:c>
      <x:c r="K2265" t="n">
        <x:v>2</x:v>
      </x:c>
      <x:c r="L2265" t="str">
        <x:v>STORE-001</x:v>
      </x:c>
      <x:c r="M2265" s="22" t="n">
        <x:v>46202</x:v>
      </x:c>
      <x:c r="N2265" t="str">
        <x:v>SKU-010</x:v>
      </x:c>
      <x:c r="O2265" t="n">
        <x:v>1</x:v>
      </x:c>
      <x:c r="P2265" s="26" t="n">
        <x:f>F2265/O2265</x:f>
        <x:v>121.98</x:v>
      </x:c>
    </x:row>
    <x:row r="2266">
      <x:c r="A2266" t="n">
        <x:v>2265</x:v>
      </x:c>
      <x:c r="B2266" t="n">
        <x:v>35</x:v>
      </x:c>
      <x:c r="C2266" t="str">
        <x:v>Male</x:v>
      </x:c>
      <x:c r="D2266" t="str">
        <x:v>Footwear</x:v>
      </x:c>
      <x:c r="E2266" t="str">
        <x:v>Formal Shoes</x:v>
      </x:c>
      <x:c r="F2266" s="24" t="n">
        <x:v>248.74</x:v>
      </x:c>
      <x:c r="G2266" t="str">
        <x:v>Spring</x:v>
      </x:c>
      <x:c r="H2266" t="str">
        <x:v>Card</x:v>
      </x:c>
      <x:c r="I2266" t="n">
        <x:v>2.5</x:v>
      </x:c>
      <x:c r="J2266" t="n">
        <x:v>14</x:v>
      </x:c>
      <x:c r="K2266" t="n">
        <x:v>2</x:v>
      </x:c>
      <x:c r="L2266" t="str">
        <x:v>STORE-001</x:v>
      </x:c>
      <x:c r="M2266" s="22" t="n">
        <x:v>46271</x:v>
      </x:c>
      <x:c r="N2266" t="str">
        <x:v>SKU-007</x:v>
      </x:c>
      <x:c r="O2266" t="n">
        <x:v>1</x:v>
      </x:c>
      <x:c r="P2266" s="26" t="n">
        <x:f>F2266/O2266</x:f>
        <x:v>248.74</x:v>
      </x:c>
    </x:row>
    <x:row r="2267">
      <x:c r="A2267" t="n">
        <x:v>2266</x:v>
      </x:c>
      <x:c r="B2267" t="n">
        <x:v>43</x:v>
      </x:c>
      <x:c r="C2267" t="str">
        <x:v>Female</x:v>
      </x:c>
      <x:c r="D2267" t="str">
        <x:v>Beauty</x:v>
      </x:c>
      <x:c r="E2267" t="str">
        <x:v>Perfume</x:v>
      </x:c>
      <x:c r="F2267" s="24" t="n">
        <x:v>73.46</x:v>
      </x:c>
      <x:c r="G2267" t="str">
        <x:v>Winter</x:v>
      </x:c>
      <x:c r="H2267" t="str">
        <x:v>Cash on Delivery</x:v>
      </x:c>
      <x:c r="I2267" t="n">
        <x:v>3.6</x:v>
      </x:c>
      <x:c r="J2267" t="n">
        <x:v>20</x:v>
      </x:c>
      <x:c r="K2267" t="n">
        <x:v>5</x:v>
      </x:c>
      <x:c r="L2267" t="str">
        <x:v>STORE-001</x:v>
      </x:c>
      <x:c r="M2267" s="22" t="n">
        <x:v>46213</x:v>
      </x:c>
      <x:c r="N2267" t="str">
        <x:v>SKU-017</x:v>
      </x:c>
      <x:c r="O2267" t="n">
        <x:v>1</x:v>
      </x:c>
      <x:c r="P2267" s="26" t="n">
        <x:f>F2267/O2267</x:f>
        <x:v>73.46</x:v>
      </x:c>
    </x:row>
    <x:row r="2268">
      <x:c r="A2268" t="n">
        <x:v>2267</x:v>
      </x:c>
      <x:c r="B2268" t="n">
        <x:v>29</x:v>
      </x:c>
      <x:c r="C2268" t="str">
        <x:v>Male</x:v>
      </x:c>
      <x:c r="D2268" t="str">
        <x:v>Electronics</x:v>
      </x:c>
      <x:c r="E2268" t="str">
        <x:v>Laptop</x:v>
      </x:c>
      <x:c r="F2268" s="24" t="n">
        <x:v>1145.69</x:v>
      </x:c>
      <x:c r="G2268" t="str">
        <x:v>Winter</x:v>
      </x:c>
      <x:c r="H2268" t="str">
        <x:v>Card</x:v>
      </x:c>
      <x:c r="I2268" t="n">
        <x:v>3.3</x:v>
      </x:c>
      <x:c r="J2268" t="n">
        <x:v>18</x:v>
      </x:c>
      <x:c r="K2268" t="n">
        <x:v>4</x:v>
      </x:c>
      <x:c r="L2268" t="str">
        <x:v>STORE-001</x:v>
      </x:c>
      <x:c r="M2268" s="22" t="n">
        <x:v>46246</x:v>
      </x:c>
      <x:c r="N2268" t="str">
        <x:v>SKU-014</x:v>
      </x:c>
      <x:c r="O2268" t="n">
        <x:v>1</x:v>
      </x:c>
      <x:c r="P2268" s="26" t="n">
        <x:f>F2268/O2268</x:f>
        <x:v>1145.69</x:v>
      </x:c>
    </x:row>
    <x:row r="2269">
      <x:c r="A2269" t="n">
        <x:v>2268</x:v>
      </x:c>
      <x:c r="B2269" t="n">
        <x:v>21</x:v>
      </x:c>
      <x:c r="C2269" t="str">
        <x:v>Female</x:v>
      </x:c>
      <x:c r="D2269" t="str">
        <x:v>Groceries</x:v>
      </x:c>
      <x:c r="E2269" t="str">
        <x:v>Cooking Oil</x:v>
      </x:c>
      <x:c r="F2269" s="24" t="n">
        <x:v>52.42</x:v>
      </x:c>
      <x:c r="G2269" t="str">
        <x:v>Summer</x:v>
      </x:c>
      <x:c r="H2269" t="str">
        <x:v>Card</x:v>
      </x:c>
      <x:c r="I2269" t="n">
        <x:v>3.7</x:v>
      </x:c>
      <x:c r="J2269" t="n">
        <x:v>6</x:v>
      </x:c>
      <x:c r="K2269" t="n">
        <x:v>3</x:v>
      </x:c>
      <x:c r="L2269" t="str">
        <x:v>STORE-001</x:v>
      </x:c>
      <x:c r="M2269" s="22" t="n">
        <x:v>46010</x:v>
      </x:c>
      <x:c r="N2269" t="str">
        <x:v>SKU-002</x:v>
      </x:c>
      <x:c r="O2269" t="n">
        <x:v>1</x:v>
      </x:c>
      <x:c r="P2269" s="26" t="n">
        <x:f>F2269/O2269</x:f>
        <x:v>52.42</x:v>
      </x:c>
    </x:row>
    <x:row r="2270">
      <x:c r="A2270" t="n">
        <x:v>2269</x:v>
      </x:c>
      <x:c r="B2270" t="n">
        <x:v>50</x:v>
      </x:c>
      <x:c r="C2270" t="str">
        <x:v>Male</x:v>
      </x:c>
      <x:c r="D2270" t="str">
        <x:v>Mens Clothing</x:v>
      </x:c>
      <x:c r="E2270" t="str">
        <x:v>Shirt</x:v>
      </x:c>
      <x:c r="F2270" s="24" t="n">
        <x:v>173.36</x:v>
      </x:c>
      <x:c r="G2270" t="str">
        <x:v>Winter</x:v>
      </x:c>
      <x:c r="H2270" t="str">
        <x:v>Card</x:v>
      </x:c>
      <x:c r="I2270" t="n">
        <x:v>3.5</x:v>
      </x:c>
      <x:c r="J2270" t="n">
        <x:v>4</x:v>
      </x:c>
      <x:c r="K2270" t="n">
        <x:v>2</x:v>
      </x:c>
      <x:c r="L2270" t="str">
        <x:v>STORE-001</x:v>
      </x:c>
      <x:c r="M2270" s="22" t="n">
        <x:v>46178</x:v>
      </x:c>
      <x:c r="N2270" t="str">
        <x:v>SKU-020</x:v>
      </x:c>
      <x:c r="O2270" t="n">
        <x:v>1</x:v>
      </x:c>
      <x:c r="P2270" s="26" t="n">
        <x:f>F2270/O2270</x:f>
        <x:v>173.36</x:v>
      </x:c>
    </x:row>
    <x:row r="2271">
      <x:c r="A2271" t="n">
        <x:v>2270</x:v>
      </x:c>
      <x:c r="B2271" t="n">
        <x:v>51</x:v>
      </x:c>
      <x:c r="C2271" t="str">
        <x:v>Male</x:v>
      </x:c>
      <x:c r="D2271" t="str">
        <x:v>Electronics</x:v>
      </x:c>
      <x:c r="E2271" t="str">
        <x:v>Smart Watch</x:v>
      </x:c>
      <x:c r="F2271" s="24" t="n">
        <x:v>1611.83</x:v>
      </x:c>
      <x:c r="G2271" t="str">
        <x:v>Spring</x:v>
      </x:c>
      <x:c r="H2271" t="str">
        <x:v>Card</x:v>
      </x:c>
      <x:c r="I2271" t="n">
        <x:v>2.6</x:v>
      </x:c>
      <x:c r="J2271" t="n">
        <x:v>24</x:v>
      </x:c>
      <x:c r="K2271" t="n">
        <x:v>7</x:v>
      </x:c>
      <x:c r="L2271" t="str">
        <x:v>STORE-001</x:v>
      </x:c>
      <x:c r="M2271" s="22" t="n">
        <x:v>46276</x:v>
      </x:c>
      <x:c r="N2271" t="str">
        <x:v>SKU-023</x:v>
      </x:c>
      <x:c r="O2271" t="n">
        <x:v>2</x:v>
      </x:c>
      <x:c r="P2271" s="26" t="n">
        <x:f>F2271/O2271</x:f>
        <x:v>805.915</x:v>
      </x:c>
    </x:row>
    <x:row r="2272">
      <x:c r="A2272" t="n">
        <x:v>2271</x:v>
      </x:c>
      <x:c r="B2272" t="n">
        <x:v>49</x:v>
      </x:c>
      <x:c r="C2272" t="str">
        <x:v>Female</x:v>
      </x:c>
      <x:c r="D2272" t="str">
        <x:v>Womens Clothing</x:v>
      </x:c>
      <x:c r="E2272" t="str">
        <x:v>Dress</x:v>
      </x:c>
      <x:c r="F2272" s="24" t="n">
        <x:v>189.27</x:v>
      </x:c>
      <x:c r="G2272" t="str">
        <x:v>Summer</x:v>
      </x:c>
      <x:c r="H2272" t="str">
        <x:v>Card</x:v>
      </x:c>
      <x:c r="I2272" t="n">
        <x:v>4.1</x:v>
      </x:c>
      <x:c r="J2272" t="n">
        <x:v>12</x:v>
      </x:c>
      <x:c r="K2272" t="n">
        <x:v>1</x:v>
      </x:c>
      <x:c r="L2272" t="str">
        <x:v>STORE-001</x:v>
      </x:c>
      <x:c r="M2272" s="22" t="n">
        <x:v>46004</x:v>
      </x:c>
      <x:c r="N2272" t="str">
        <x:v>SKU-004</x:v>
      </x:c>
      <x:c r="O2272" t="n">
        <x:v>2</x:v>
      </x:c>
      <x:c r="P2272" s="26" t="n">
        <x:f>F2272/O2272</x:f>
        <x:v>94.635</x:v>
      </x:c>
    </x:row>
    <x:row r="2273">
      <x:c r="A2273" t="n">
        <x:v>2272</x:v>
      </x:c>
      <x:c r="B2273" t="n">
        <x:v>38</x:v>
      </x:c>
      <x:c r="C2273" t="str">
        <x:v>Female</x:v>
      </x:c>
      <x:c r="D2273" t="str">
        <x:v>Groceries</x:v>
      </x:c>
      <x:c r="E2273" t="str">
        <x:v>Cooking Oil</x:v>
      </x:c>
      <x:c r="F2273" s="24" t="n">
        <x:v>36.09</x:v>
      </x:c>
      <x:c r="G2273" t="str">
        <x:v>Spring</x:v>
      </x:c>
      <x:c r="H2273" t="str">
        <x:v>Cash on Delivery</x:v>
      </x:c>
      <x:c r="I2273" t="n">
        <x:v>3.3</x:v>
      </x:c>
      <x:c r="J2273" t="n">
        <x:v>7</x:v>
      </x:c>
      <x:c r="K2273" t="n">
        <x:v>1</x:v>
      </x:c>
      <x:c r="L2273" t="str">
        <x:v>STORE-001</x:v>
      </x:c>
      <x:c r="M2273" s="22" t="n">
        <x:v>45938</x:v>
      </x:c>
      <x:c r="N2273" t="str">
        <x:v>SKU-002</x:v>
      </x:c>
      <x:c r="O2273" t="n">
        <x:v>1</x:v>
      </x:c>
      <x:c r="P2273" s="26" t="n">
        <x:f>F2273/O2273</x:f>
        <x:v>36.09</x:v>
      </x:c>
    </x:row>
    <x:row r="2274">
      <x:c r="A2274" t="n">
        <x:v>2273</x:v>
      </x:c>
      <x:c r="B2274" t="n">
        <x:v>33</x:v>
      </x:c>
      <x:c r="C2274" t="str">
        <x:v>Female</x:v>
      </x:c>
      <x:c r="D2274" t="str">
        <x:v>Accessories</x:v>
      </x:c>
      <x:c r="E2274" t="str">
        <x:v>Wallet</x:v>
      </x:c>
      <x:c r="F2274" s="24" t="n">
        <x:v>107.15</x:v>
      </x:c>
      <x:c r="G2274" t="str">
        <x:v>Spring</x:v>
      </x:c>
      <x:c r="H2274" t="str">
        <x:v>Card</x:v>
      </x:c>
      <x:c r="I2274" t="n">
        <x:v>4.5</x:v>
      </x:c>
      <x:c r="J2274" t="n">
        <x:v>17</x:v>
      </x:c>
      <x:c r="K2274" t="n">
        <x:v>6</x:v>
      </x:c>
      <x:c r="L2274" t="str">
        <x:v>STORE-001</x:v>
      </x:c>
      <x:c r="M2274" s="22" t="n">
        <x:v>46295</x:v>
      </x:c>
      <x:c r="N2274" t="str">
        <x:v>SKU-029</x:v>
      </x:c>
      <x:c r="O2274" t="n">
        <x:v>3</x:v>
      </x:c>
      <x:c r="P2274" s="26" t="n">
        <x:f>F2274/O2274</x:f>
        <x:v>35.71666666666667</x:v>
      </x:c>
    </x:row>
    <x:row r="2275">
      <x:c r="A2275" t="n">
        <x:v>2274</x:v>
      </x:c>
      <x:c r="B2275" t="n">
        <x:v>59</x:v>
      </x:c>
      <x:c r="C2275" t="str">
        <x:v>Female</x:v>
      </x:c>
      <x:c r="D2275" t="str">
        <x:v>Accessories</x:v>
      </x:c>
      <x:c r="E2275" t="str">
        <x:v>Sunglasses</x:v>
      </x:c>
      <x:c r="F2275" s="24" t="n">
        <x:v>23.3</x:v>
      </x:c>
      <x:c r="G2275" t="str">
        <x:v>Spring</x:v>
      </x:c>
      <x:c r="H2275" t="str">
        <x:v>Card</x:v>
      </x:c>
      <x:c r="I2275" t="n">
        <x:v>3.7</x:v>
      </x:c>
      <x:c r="J2275" t="n">
        <x:v>12</x:v>
      </x:c>
      <x:c r="K2275" t="n">
        <x:v>6</x:v>
      </x:c>
      <x:c r="L2275" t="str">
        <x:v>STORE-001</x:v>
      </x:c>
      <x:c r="M2275" s="22" t="n">
        <x:v>45949</x:v>
      </x:c>
      <x:c r="N2275" t="str">
        <x:v>SKU-026</x:v>
      </x:c>
      <x:c r="O2275" t="n">
        <x:v>1</x:v>
      </x:c>
      <x:c r="P2275" s="26" t="n">
        <x:f>F2275/O2275</x:f>
        <x:v>23.3</x:v>
      </x:c>
    </x:row>
    <x:row r="2276">
      <x:c r="A2276" t="n">
        <x:v>2275</x:v>
      </x:c>
      <x:c r="B2276" t="n">
        <x:v>51</x:v>
      </x:c>
      <x:c r="C2276" t="str">
        <x:v>Female</x:v>
      </x:c>
      <x:c r="D2276" t="str">
        <x:v>Groceries</x:v>
      </x:c>
      <x:c r="E2276" t="str">
        <x:v>Beverages</x:v>
      </x:c>
      <x:c r="F2276" s="24" t="n">
        <x:v>37.91</x:v>
      </x:c>
      <x:c r="G2276" t="str">
        <x:v>Autumn</x:v>
      </x:c>
      <x:c r="H2276" t="str">
        <x:v>Cash on Delivery</x:v>
      </x:c>
      <x:c r="I2276" t="n">
        <x:v>4.2</x:v>
      </x:c>
      <x:c r="J2276" t="n">
        <x:v>20</x:v>
      </x:c>
      <x:c r="K2276" t="n">
        <x:v>5</x:v>
      </x:c>
      <x:c r="L2276" t="str">
        <x:v>STORE-001</x:v>
      </x:c>
      <x:c r="M2276" s="22" t="n">
        <x:v>46107</x:v>
      </x:c>
      <x:c r="N2276" t="str">
        <x:v>SKU-001</x:v>
      </x:c>
      <x:c r="O2276" t="n">
        <x:v>1</x:v>
      </x:c>
      <x:c r="P2276" s="26" t="n">
        <x:f>F2276/O2276</x:f>
        <x:v>37.91</x:v>
      </x:c>
    </x:row>
    <x:row r="2277">
      <x:c r="A2277" t="n">
        <x:v>2276</x:v>
      </x:c>
      <x:c r="B2277" t="n">
        <x:v>21</x:v>
      </x:c>
      <x:c r="C2277" t="str">
        <x:v>Female</x:v>
      </x:c>
      <x:c r="D2277" t="str">
        <x:v>Groceries</x:v>
      </x:c>
      <x:c r="E2277" t="str">
        <x:v>Beverages</x:v>
      </x:c>
      <x:c r="F2277" s="24" t="n">
        <x:v>14.56</x:v>
      </x:c>
      <x:c r="G2277" t="str">
        <x:v>Autumn</x:v>
      </x:c>
      <x:c r="H2277" t="str">
        <x:v>Cash on Delivery</x:v>
      </x:c>
      <x:c r="I2277" t="n">
        <x:v>4.2</x:v>
      </x:c>
      <x:c r="J2277" t="n">
        <x:v>11</x:v>
      </x:c>
      <x:c r="K2277" t="n">
        <x:v>3</x:v>
      </x:c>
      <x:c r="L2277" t="str">
        <x:v>STORE-001</x:v>
      </x:c>
      <x:c r="M2277" s="22" t="n">
        <x:v>46121</x:v>
      </x:c>
      <x:c r="N2277" t="str">
        <x:v>SKU-001</x:v>
      </x:c>
      <x:c r="O2277" t="n">
        <x:v>2</x:v>
      </x:c>
      <x:c r="P2277" s="26" t="n">
        <x:f>F2277/O2277</x:f>
        <x:v>7.28</x:v>
      </x:c>
    </x:row>
    <x:row r="2278">
      <x:c r="A2278" t="n">
        <x:v>2277</x:v>
      </x:c>
      <x:c r="B2278" t="n">
        <x:v>25</x:v>
      </x:c>
      <x:c r="C2278" t="str">
        <x:v>Female</x:v>
      </x:c>
      <x:c r="D2278" t="str">
        <x:v>Beauty</x:v>
      </x:c>
      <x:c r="E2278" t="str">
        <x:v>Makeup Set</x:v>
      </x:c>
      <x:c r="F2278" s="24" t="n">
        <x:v>95.41</x:v>
      </x:c>
      <x:c r="G2278" t="str">
        <x:v>Autumn</x:v>
      </x:c>
      <x:c r="H2278" t="str">
        <x:v>Cash on Delivery</x:v>
      </x:c>
      <x:c r="I2278" t="n">
        <x:v>2.7</x:v>
      </x:c>
      <x:c r="J2278" t="n">
        <x:v>18</x:v>
      </x:c>
      <x:c r="K2278" t="n">
        <x:v>4</x:v>
      </x:c>
      <x:c r="L2278" t="str">
        <x:v>STORE-001</x:v>
      </x:c>
      <x:c r="M2278" s="22" t="n">
        <x:v>46097</x:v>
      </x:c>
      <x:c r="N2278" t="str">
        <x:v>SKU-015</x:v>
      </x:c>
      <x:c r="O2278" t="n">
        <x:v>1</x:v>
      </x:c>
      <x:c r="P2278" s="26" t="n">
        <x:f>F2278/O2278</x:f>
        <x:v>95.41</x:v>
      </x:c>
    </x:row>
    <x:row r="2279">
      <x:c r="A2279" t="n">
        <x:v>2278</x:v>
      </x:c>
      <x:c r="B2279" t="n">
        <x:v>35</x:v>
      </x:c>
      <x:c r="C2279" t="str">
        <x:v>Male</x:v>
      </x:c>
      <x:c r="D2279" t="str">
        <x:v>Electronics</x:v>
      </x:c>
      <x:c r="E2279" t="str">
        <x:v>Smart Watch</x:v>
      </x:c>
      <x:c r="F2279" s="24" t="n">
        <x:v>549.72</x:v>
      </x:c>
      <x:c r="G2279" t="str">
        <x:v>Autumn</x:v>
      </x:c>
      <x:c r="H2279" t="str">
        <x:v>Card</x:v>
      </x:c>
      <x:c r="I2279" t="n">
        <x:v>2.4</x:v>
      </x:c>
      <x:c r="J2279" t="n">
        <x:v>18</x:v>
      </x:c>
      <x:c r="K2279" t="n">
        <x:v>4</x:v>
      </x:c>
      <x:c r="L2279" t="str">
        <x:v>STORE-001</x:v>
      </x:c>
      <x:c r="M2279" s="22" t="n">
        <x:v>46114</x:v>
      </x:c>
      <x:c r="N2279" t="str">
        <x:v>SKU-023</x:v>
      </x:c>
      <x:c r="O2279" t="n">
        <x:v>1</x:v>
      </x:c>
      <x:c r="P2279" s="26" t="n">
        <x:f>F2279/O2279</x:f>
        <x:v>549.72</x:v>
      </x:c>
    </x:row>
    <x:row r="2280">
      <x:c r="A2280" t="n">
        <x:v>2279</x:v>
      </x:c>
      <x:c r="B2280" t="n">
        <x:v>21</x:v>
      </x:c>
      <x:c r="C2280" t="str">
        <x:v>Male</x:v>
      </x:c>
      <x:c r="D2280" t="str">
        <x:v>Electronics</x:v>
      </x:c>
      <x:c r="E2280" t="str">
        <x:v>Mobile Phone</x:v>
      </x:c>
      <x:c r="F2280" s="24" t="n">
        <x:v>2756.53</x:v>
      </x:c>
      <x:c r="G2280" t="str">
        <x:v>Winter</x:v>
      </x:c>
      <x:c r="H2280" t="str">
        <x:v>Card</x:v>
      </x:c>
      <x:c r="I2280" t="n">
        <x:v>3.4</x:v>
      </x:c>
      <x:c r="J2280" t="n">
        <x:v>4</x:v>
      </x:c>
      <x:c r="K2280" t="n">
        <x:v>2</x:v>
      </x:c>
      <x:c r="L2280" t="str">
        <x:v>STORE-001</x:v>
      </x:c>
      <x:c r="M2280" s="22" t="n">
        <x:v>46179</x:v>
      </x:c>
      <x:c r="N2280" t="str">
        <x:v>SKU-016</x:v>
      </x:c>
      <x:c r="O2280" t="n">
        <x:v>1</x:v>
      </x:c>
      <x:c r="P2280" s="26" t="n">
        <x:f>F2280/O2280</x:f>
        <x:v>2756.53</x:v>
      </x:c>
    </x:row>
    <x:row r="2281">
      <x:c r="A2281" t="n">
        <x:v>2280</x:v>
      </x:c>
      <x:c r="B2281" t="n">
        <x:v>44</x:v>
      </x:c>
      <x:c r="C2281" t="str">
        <x:v>Female</x:v>
      </x:c>
      <x:c r="D2281" t="str">
        <x:v>Footwear</x:v>
      </x:c>
      <x:c r="E2281" t="str">
        <x:v>Sandals</x:v>
      </x:c>
      <x:c r="F2281" s="24" t="n">
        <x:v>189.21</x:v>
      </x:c>
      <x:c r="G2281" t="str">
        <x:v>Summer</x:v>
      </x:c>
      <x:c r="H2281" t="str">
        <x:v>Card</x:v>
      </x:c>
      <x:c r="I2281" t="n">
        <x:v>5</x:v>
      </x:c>
      <x:c r="J2281" t="n">
        <x:v>12</x:v>
      </x:c>
      <x:c r="K2281" t="n">
        <x:v>6</x:v>
      </x:c>
      <x:c r="L2281" t="str">
        <x:v>STORE-001</x:v>
      </x:c>
      <x:c r="M2281" s="22" t="n">
        <x:v>46010</x:v>
      </x:c>
      <x:c r="N2281" t="str">
        <x:v>SKU-019</x:v>
      </x:c>
      <x:c r="O2281" t="n">
        <x:v>2</x:v>
      </x:c>
      <x:c r="P2281" s="26" t="n">
        <x:f>F2281/O2281</x:f>
        <x:v>94.605</x:v>
      </x:c>
    </x:row>
    <x:row r="2282">
      <x:c r="A2282" t="n">
        <x:v>2281</x:v>
      </x:c>
      <x:c r="B2282" t="n">
        <x:v>47</x:v>
      </x:c>
      <x:c r="C2282" t="str">
        <x:v>Female</x:v>
      </x:c>
      <x:c r="D2282" t="str">
        <x:v>Womens Clothing</x:v>
      </x:c>
      <x:c r="E2282" t="str">
        <x:v>Top</x:v>
      </x:c>
      <x:c r="F2282" s="24" t="n">
        <x:v>110.42</x:v>
      </x:c>
      <x:c r="G2282" t="str">
        <x:v>Autumn</x:v>
      </x:c>
      <x:c r="H2282" t="str">
        <x:v>Card</x:v>
      </x:c>
      <x:c r="I2282" t="n">
        <x:v>3.7</x:v>
      </x:c>
      <x:c r="J2282" t="n">
        <x:v>15</x:v>
      </x:c>
      <x:c r="K2282" t="n">
        <x:v>5</x:v>
      </x:c>
      <x:c r="L2282" t="str">
        <x:v>STORE-001</x:v>
      </x:c>
      <x:c r="M2282" s="22" t="n">
        <x:v>46148</x:v>
      </x:c>
      <x:c r="N2282" t="str">
        <x:v>SKU-028</x:v>
      </x:c>
      <x:c r="O2282" t="n">
        <x:v>2</x:v>
      </x:c>
      <x:c r="P2282" s="26" t="n">
        <x:f>F2282/O2282</x:f>
        <x:v>55.21</x:v>
      </x:c>
    </x:row>
    <x:row r="2283">
      <x:c r="A2283" t="n">
        <x:v>2282</x:v>
      </x:c>
      <x:c r="B2283" t="n">
        <x:v>24</x:v>
      </x:c>
      <x:c r="C2283" t="str">
        <x:v>Male</x:v>
      </x:c>
      <x:c r="D2283" t="str">
        <x:v>Electronics</x:v>
      </x:c>
      <x:c r="E2283" t="str">
        <x:v>Mobile Phone</x:v>
      </x:c>
      <x:c r="F2283" s="24" t="n">
        <x:v>1152.1</x:v>
      </x:c>
      <x:c r="G2283" t="str">
        <x:v>Summer</x:v>
      </x:c>
      <x:c r="H2283" t="str">
        <x:v>Card</x:v>
      </x:c>
      <x:c r="I2283" t="n">
        <x:v>3.8</x:v>
      </x:c>
      <x:c r="J2283" t="n">
        <x:v>17</x:v>
      </x:c>
      <x:c r="K2283" t="n">
        <x:v>6</x:v>
      </x:c>
      <x:c r="L2283" t="str">
        <x:v>STORE-001</x:v>
      </x:c>
      <x:c r="M2283" s="22" t="n">
        <x:v>46026</x:v>
      </x:c>
      <x:c r="N2283" t="str">
        <x:v>SKU-016</x:v>
      </x:c>
      <x:c r="O2283" t="n">
        <x:v>1</x:v>
      </x:c>
      <x:c r="P2283" s="26" t="n">
        <x:f>F2283/O2283</x:f>
        <x:v>1152.1</x:v>
      </x:c>
    </x:row>
    <x:row r="2284">
      <x:c r="A2284" t="n">
        <x:v>2283</x:v>
      </x:c>
      <x:c r="B2284" t="n">
        <x:v>56</x:v>
      </x:c>
      <x:c r="C2284" t="str">
        <x:v>Male</x:v>
      </x:c>
      <x:c r="D2284" t="str">
        <x:v>Sports</x:v>
      </x:c>
      <x:c r="E2284" t="str">
        <x:v>Dumbbells</x:v>
      </x:c>
      <x:c r="F2284" s="24" t="n">
        <x:v>114.65</x:v>
      </x:c>
      <x:c r="G2284" t="str">
        <x:v>Spring</x:v>
      </x:c>
      <x:c r="H2284" t="str">
        <x:v>Card</x:v>
      </x:c>
      <x:c r="I2284" t="n">
        <x:v>4</x:v>
      </x:c>
      <x:c r="J2284" t="n">
        <x:v>20</x:v>
      </x:c>
      <x:c r="K2284" t="n">
        <x:v>5</x:v>
      </x:c>
      <x:c r="L2284" t="str">
        <x:v>STORE-001</x:v>
      </x:c>
      <x:c r="M2284" s="22" t="n">
        <x:v>45960</x:v>
      </x:c>
      <x:c r="N2284" t="str">
        <x:v>SKU-005</x:v>
      </x:c>
      <x:c r="O2284" t="n">
        <x:v>1</x:v>
      </x:c>
      <x:c r="P2284" s="26" t="n">
        <x:f>F2284/O2284</x:f>
        <x:v>114.65</x:v>
      </x:c>
    </x:row>
    <x:row r="2285">
      <x:c r="A2285" t="n">
        <x:v>2284</x:v>
      </x:c>
      <x:c r="B2285" t="n">
        <x:v>42</x:v>
      </x:c>
      <x:c r="C2285" t="str">
        <x:v>Female</x:v>
      </x:c>
      <x:c r="D2285" t="str">
        <x:v>Sports</x:v>
      </x:c>
      <x:c r="E2285" t="str">
        <x:v>Yoga Mat</x:v>
      </x:c>
      <x:c r="F2285" s="24" t="n">
        <x:v>41.07</x:v>
      </x:c>
      <x:c r="G2285" t="str">
        <x:v>Spring</x:v>
      </x:c>
      <x:c r="H2285" t="str">
        <x:v>Cash on Delivery</x:v>
      </x:c>
      <x:c r="I2285" t="n">
        <x:v>4.1</x:v>
      </x:c>
      <x:c r="J2285" t="n">
        <x:v>12</x:v>
      </x:c>
      <x:c r="K2285" t="n">
        <x:v>6</x:v>
      </x:c>
      <x:c r="L2285" t="str">
        <x:v>STORE-001</x:v>
      </x:c>
      <x:c r="M2285" s="22" t="n">
        <x:v>45975</x:v>
      </x:c>
      <x:c r="N2285" t="str">
        <x:v>SKU-030</x:v>
      </x:c>
      <x:c r="O2285" t="n">
        <x:v>1</x:v>
      </x:c>
      <x:c r="P2285" s="26" t="n">
        <x:f>F2285/O2285</x:f>
        <x:v>41.07</x:v>
      </x:c>
    </x:row>
    <x:row r="2286">
      <x:c r="A2286" t="n">
        <x:v>2285</x:v>
      </x:c>
      <x:c r="B2286" t="n">
        <x:v>61</x:v>
      </x:c>
      <x:c r="C2286" t="str">
        <x:v>Male</x:v>
      </x:c>
      <x:c r="D2286" t="str">
        <x:v>Mens Clothing</x:v>
      </x:c>
      <x:c r="E2286" t="str">
        <x:v>Shirt</x:v>
      </x:c>
      <x:c r="F2286" s="24" t="n">
        <x:v>74.1</x:v>
      </x:c>
      <x:c r="G2286" t="str">
        <x:v>Autumn</x:v>
      </x:c>
      <x:c r="H2286" t="str">
        <x:v>Card</x:v>
      </x:c>
      <x:c r="I2286" t="n">
        <x:v>3.9</x:v>
      </x:c>
      <x:c r="J2286" t="n">
        <x:v>19</x:v>
      </x:c>
      <x:c r="K2286" t="n">
        <x:v>7</x:v>
      </x:c>
      <x:c r="L2286" t="str">
        <x:v>STORE-001</x:v>
      </x:c>
      <x:c r="M2286" s="22" t="n">
        <x:v>46114</x:v>
      </x:c>
      <x:c r="N2286" t="str">
        <x:v>SKU-020</x:v>
      </x:c>
      <x:c r="O2286" t="n">
        <x:v>1</x:v>
      </x:c>
      <x:c r="P2286" s="26" t="n">
        <x:f>F2286/O2286</x:f>
        <x:v>74.1</x:v>
      </x:c>
    </x:row>
    <x:row r="2287">
      <x:c r="A2287" t="n">
        <x:v>2286</x:v>
      </x:c>
      <x:c r="B2287" t="n">
        <x:v>53</x:v>
      </x:c>
      <x:c r="C2287" t="str">
        <x:v>Female</x:v>
      </x:c>
      <x:c r="D2287" t="str">
        <x:v>Home</x:v>
      </x:c>
      <x:c r="E2287" t="str">
        <x:v>Kitchen Set</x:v>
      </x:c>
      <x:c r="F2287" s="24" t="n">
        <x:v>168.46</x:v>
      </x:c>
      <x:c r="G2287" t="str">
        <x:v>Autumn</x:v>
      </x:c>
      <x:c r="H2287" t="str">
        <x:v>Card</x:v>
      </x:c>
      <x:c r="I2287" t="n">
        <x:v>3</x:v>
      </x:c>
      <x:c r="J2287" t="n">
        <x:v>21</x:v>
      </x:c>
      <x:c r="K2287" t="n">
        <x:v>8</x:v>
      </x:c>
      <x:c r="L2287" t="str">
        <x:v>STORE-001</x:v>
      </x:c>
      <x:c r="M2287" s="22" t="n">
        <x:v>46092</x:v>
      </x:c>
      <x:c r="N2287" t="str">
        <x:v>SKU-012</x:v>
      </x:c>
      <x:c r="O2287" t="n">
        <x:v>1</x:v>
      </x:c>
      <x:c r="P2287" s="26" t="n">
        <x:f>F2287/O2287</x:f>
        <x:v>168.46</x:v>
      </x:c>
    </x:row>
    <x:row r="2288">
      <x:c r="A2288" t="n">
        <x:v>2287</x:v>
      </x:c>
      <x:c r="B2288" t="n">
        <x:v>39</x:v>
      </x:c>
      <x:c r="C2288" t="str">
        <x:v>Male</x:v>
      </x:c>
      <x:c r="D2288" t="str">
        <x:v>Electronics</x:v>
      </x:c>
      <x:c r="E2288" t="str">
        <x:v>Headphones</x:v>
      </x:c>
      <x:c r="F2288" s="24" t="n">
        <x:v>1717.63</x:v>
      </x:c>
      <x:c r="G2288" t="str">
        <x:v>Autumn</x:v>
      </x:c>
      <x:c r="H2288" t="str">
        <x:v>Card</x:v>
      </x:c>
      <x:c r="I2288" t="n">
        <x:v>4.3</x:v>
      </x:c>
      <x:c r="J2288" t="n">
        <x:v>18</x:v>
      </x:c>
      <x:c r="K2288" t="n">
        <x:v>4</x:v>
      </x:c>
      <x:c r="L2288" t="str">
        <x:v>STORE-001</x:v>
      </x:c>
      <x:c r="M2288" s="22" t="n">
        <x:v>46144</x:v>
      </x:c>
      <x:c r="N2288" t="str">
        <x:v>SKU-009</x:v>
      </x:c>
      <x:c r="O2288" t="n">
        <x:v>1</x:v>
      </x:c>
      <x:c r="P2288" s="26" t="n">
        <x:f>F2288/O2288</x:f>
        <x:v>1717.63</x:v>
      </x:c>
    </x:row>
    <x:row r="2289">
      <x:c r="A2289" t="n">
        <x:v>2288</x:v>
      </x:c>
      <x:c r="B2289" t="n">
        <x:v>58</x:v>
      </x:c>
      <x:c r="C2289" t="str">
        <x:v>Female</x:v>
      </x:c>
      <x:c r="D2289" t="str">
        <x:v>Accessories</x:v>
      </x:c>
      <x:c r="E2289" t="str">
        <x:v>Wallet</x:v>
      </x:c>
      <x:c r="F2289" s="24" t="n">
        <x:v>74.28</x:v>
      </x:c>
      <x:c r="G2289" t="str">
        <x:v>Winter</x:v>
      </x:c>
      <x:c r="H2289" t="str">
        <x:v>Cash on Delivery</x:v>
      </x:c>
      <x:c r="I2289" t="n">
        <x:v>5</x:v>
      </x:c>
      <x:c r="J2289" t="n">
        <x:v>18</x:v>
      </x:c>
      <x:c r="K2289" t="n">
        <x:v>4</x:v>
      </x:c>
      <x:c r="L2289" t="str">
        <x:v>STORE-001</x:v>
      </x:c>
      <x:c r="M2289" s="22" t="n">
        <x:v>46226</x:v>
      </x:c>
      <x:c r="N2289" t="str">
        <x:v>SKU-029</x:v>
      </x:c>
      <x:c r="O2289" t="n">
        <x:v>2</x:v>
      </x:c>
      <x:c r="P2289" s="26" t="n">
        <x:f>F2289/O2289</x:f>
        <x:v>37.14</x:v>
      </x:c>
    </x:row>
    <x:row r="2290">
      <x:c r="A2290" t="n">
        <x:v>2289</x:v>
      </x:c>
      <x:c r="B2290" t="n">
        <x:v>70</x:v>
      </x:c>
      <x:c r="C2290" t="str">
        <x:v>Female</x:v>
      </x:c>
      <x:c r="D2290" t="str">
        <x:v>Groceries</x:v>
      </x:c>
      <x:c r="E2290" t="str">
        <x:v>Beverages</x:v>
      </x:c>
      <x:c r="F2290" s="24" t="n">
        <x:v>52.34</x:v>
      </x:c>
      <x:c r="G2290" t="str">
        <x:v>Winter</x:v>
      </x:c>
      <x:c r="H2290" t="str">
        <x:v>Card</x:v>
      </x:c>
      <x:c r="I2290" t="n">
        <x:v>3.8</x:v>
      </x:c>
      <x:c r="J2290" t="n">
        <x:v>18</x:v>
      </x:c>
      <x:c r="K2290" t="n">
        <x:v>4</x:v>
      </x:c>
      <x:c r="L2290" t="str">
        <x:v>STORE-001</x:v>
      </x:c>
      <x:c r="M2290" s="22" t="n">
        <x:v>46186</x:v>
      </x:c>
      <x:c r="N2290" t="str">
        <x:v>SKU-001</x:v>
      </x:c>
      <x:c r="O2290" t="n">
        <x:v>3</x:v>
      </x:c>
      <x:c r="P2290" s="26" t="n">
        <x:f>F2290/O2290</x:f>
        <x:v>17.44666666666667</x:v>
      </x:c>
    </x:row>
    <x:row r="2291">
      <x:c r="A2291" t="n">
        <x:v>2290</x:v>
      </x:c>
      <x:c r="B2291" t="n">
        <x:v>62</x:v>
      </x:c>
      <x:c r="C2291" t="str">
        <x:v>Male</x:v>
      </x:c>
      <x:c r="D2291" t="str">
        <x:v>Mens Clothing</x:v>
      </x:c>
      <x:c r="E2291" t="str">
        <x:v>Shirt</x:v>
      </x:c>
      <x:c r="F2291" s="24" t="n">
        <x:v>174.7</x:v>
      </x:c>
      <x:c r="G2291" t="str">
        <x:v>Winter</x:v>
      </x:c>
      <x:c r="H2291" t="str">
        <x:v>Card</x:v>
      </x:c>
      <x:c r="I2291" t="n">
        <x:v>4.2</x:v>
      </x:c>
      <x:c r="J2291" t="n">
        <x:v>10</x:v>
      </x:c>
      <x:c r="K2291" t="n">
        <x:v>5</x:v>
      </x:c>
      <x:c r="L2291" t="str">
        <x:v>STORE-001</x:v>
      </x:c>
      <x:c r="M2291" s="22" t="n">
        <x:v>46229</x:v>
      </x:c>
      <x:c r="N2291" t="str">
        <x:v>SKU-020</x:v>
      </x:c>
      <x:c r="O2291" t="n">
        <x:v>1</x:v>
      </x:c>
      <x:c r="P2291" s="26" t="n">
        <x:f>F2291/O2291</x:f>
        <x:v>174.7</x:v>
      </x:c>
    </x:row>
    <x:row r="2292">
      <x:c r="A2292" t="n">
        <x:v>2291</x:v>
      </x:c>
      <x:c r="B2292" t="n">
        <x:v>45</x:v>
      </x:c>
      <x:c r="C2292" t="str">
        <x:v>Male</x:v>
      </x:c>
      <x:c r="D2292" t="str">
        <x:v>Sports</x:v>
      </x:c>
      <x:c r="E2292" t="str">
        <x:v>Football</x:v>
      </x:c>
      <x:c r="F2292" s="24" t="n">
        <x:v>169.77</x:v>
      </x:c>
      <x:c r="G2292" t="str">
        <x:v>Autumn</x:v>
      </x:c>
      <x:c r="H2292" t="str">
        <x:v>Card</x:v>
      </x:c>
      <x:c r="I2292" t="n">
        <x:v>4.6</x:v>
      </x:c>
      <x:c r="J2292" t="n">
        <x:v>14</x:v>
      </x:c>
      <x:c r="K2292" t="n">
        <x:v>7</x:v>
      </x:c>
      <x:c r="L2292" t="str">
        <x:v>STORE-001</x:v>
      </x:c>
      <x:c r="M2292" s="22" t="n">
        <x:v>46138</x:v>
      </x:c>
      <x:c r="N2292" t="str">
        <x:v>SKU-006</x:v>
      </x:c>
      <x:c r="O2292" t="n">
        <x:v>2</x:v>
      </x:c>
      <x:c r="P2292" s="26" t="n">
        <x:f>F2292/O2292</x:f>
        <x:v>84.885</x:v>
      </x:c>
    </x:row>
    <x:row r="2293">
      <x:c r="A2293" t="n">
        <x:v>2292</x:v>
      </x:c>
      <x:c r="B2293" t="n">
        <x:v>60</x:v>
      </x:c>
      <x:c r="C2293" t="str">
        <x:v>Male</x:v>
      </x:c>
      <x:c r="D2293" t="str">
        <x:v>Footwear</x:v>
      </x:c>
      <x:c r="E2293" t="str">
        <x:v>Sandals</x:v>
      </x:c>
      <x:c r="F2293" s="24" t="n">
        <x:v>70.96</x:v>
      </x:c>
      <x:c r="G2293" t="str">
        <x:v>Spring</x:v>
      </x:c>
      <x:c r="H2293" t="str">
        <x:v>Card</x:v>
      </x:c>
      <x:c r="I2293" t="n">
        <x:v>3.6</x:v>
      </x:c>
      <x:c r="J2293" t="n">
        <x:v>20</x:v>
      </x:c>
      <x:c r="K2293" t="n">
        <x:v>5</x:v>
      </x:c>
      <x:c r="L2293" t="str">
        <x:v>STORE-001</x:v>
      </x:c>
      <x:c r="M2293" s="22" t="n">
        <x:v>45933</x:v>
      </x:c>
      <x:c r="N2293" t="str">
        <x:v>SKU-019</x:v>
      </x:c>
      <x:c r="O2293" t="n">
        <x:v>1</x:v>
      </x:c>
      <x:c r="P2293" s="26" t="n">
        <x:f>F2293/O2293</x:f>
        <x:v>70.96</x:v>
      </x:c>
    </x:row>
    <x:row r="2294">
      <x:c r="A2294" t="n">
        <x:v>2293</x:v>
      </x:c>
      <x:c r="B2294" t="n">
        <x:v>68</x:v>
      </x:c>
      <x:c r="C2294" t="str">
        <x:v>Male</x:v>
      </x:c>
      <x:c r="D2294" t="str">
        <x:v>Sports</x:v>
      </x:c>
      <x:c r="E2294" t="str">
        <x:v>Football</x:v>
      </x:c>
      <x:c r="F2294" s="24" t="n">
        <x:v>177.66</x:v>
      </x:c>
      <x:c r="G2294" t="str">
        <x:v>Summer</x:v>
      </x:c>
      <x:c r="H2294" t="str">
        <x:v>Card</x:v>
      </x:c>
      <x:c r="I2294" t="n">
        <x:v>4.7</x:v>
      </x:c>
      <x:c r="J2294" t="n">
        <x:v>22</x:v>
      </x:c>
      <x:c r="K2294" t="n">
        <x:v>6</x:v>
      </x:c>
      <x:c r="L2294" t="str">
        <x:v>STORE-001</x:v>
      </x:c>
      <x:c r="M2294" s="22" t="n">
        <x:v>46045</x:v>
      </x:c>
      <x:c r="N2294" t="str">
        <x:v>SKU-006</x:v>
      </x:c>
      <x:c r="O2294" t="n">
        <x:v>1</x:v>
      </x:c>
      <x:c r="P2294" s="26" t="n">
        <x:f>F2294/O2294</x:f>
        <x:v>177.66</x:v>
      </x:c>
    </x:row>
    <x:row r="2295">
      <x:c r="A2295" t="n">
        <x:v>2294</x:v>
      </x:c>
      <x:c r="B2295" t="n">
        <x:v>58</x:v>
      </x:c>
      <x:c r="C2295" t="str">
        <x:v>Female</x:v>
      </x:c>
      <x:c r="D2295" t="str">
        <x:v>Accessories</x:v>
      </x:c>
      <x:c r="E2295" t="str">
        <x:v>Handbag</x:v>
      </x:c>
      <x:c r="F2295" s="24" t="n">
        <x:v>114.19</x:v>
      </x:c>
      <x:c r="G2295" t="str">
        <x:v>Spring</x:v>
      </x:c>
      <x:c r="H2295" t="str">
        <x:v>Card</x:v>
      </x:c>
      <x:c r="I2295" t="n">
        <x:v>1.8</x:v>
      </x:c>
      <x:c r="J2295" t="n">
        <x:v>10</x:v>
      </x:c>
      <x:c r="K2295" t="n">
        <x:v>5</x:v>
      </x:c>
      <x:c r="L2295" t="str">
        <x:v>STORE-001</x:v>
      </x:c>
      <x:c r="M2295" s="22" t="n">
        <x:v>45972</x:v>
      </x:c>
      <x:c r="N2295" t="str">
        <x:v>SKU-008</x:v>
      </x:c>
      <x:c r="O2295" t="n">
        <x:v>4</x:v>
      </x:c>
      <x:c r="P2295" s="26" t="n">
        <x:f>F2295/O2295</x:f>
        <x:v>28.5475</x:v>
      </x:c>
    </x:row>
    <x:row r="2296">
      <x:c r="A2296" t="n">
        <x:v>2295</x:v>
      </x:c>
      <x:c r="B2296" t="n">
        <x:v>66</x:v>
      </x:c>
      <x:c r="C2296" t="str">
        <x:v>Male</x:v>
      </x:c>
      <x:c r="D2296" t="str">
        <x:v>Sports</x:v>
      </x:c>
      <x:c r="E2296" t="str">
        <x:v>Yoga Mat</x:v>
      </x:c>
      <x:c r="F2296" s="24" t="n">
        <x:v>242.46</x:v>
      </x:c>
      <x:c r="G2296" t="str">
        <x:v>Spring</x:v>
      </x:c>
      <x:c r="H2296" t="str">
        <x:v>Card</x:v>
      </x:c>
      <x:c r="I2296" t="n">
        <x:v>3.9</x:v>
      </x:c>
      <x:c r="J2296" t="n">
        <x:v>12</x:v>
      </x:c>
      <x:c r="K2296" t="n">
        <x:v>6</x:v>
      </x:c>
      <x:c r="L2296" t="str">
        <x:v>STORE-001</x:v>
      </x:c>
      <x:c r="M2296" s="22" t="n">
        <x:v>45980</x:v>
      </x:c>
      <x:c r="N2296" t="str">
        <x:v>SKU-030</x:v>
      </x:c>
      <x:c r="O2296" t="n">
        <x:v>1</x:v>
      </x:c>
      <x:c r="P2296" s="26" t="n">
        <x:f>F2296/O2296</x:f>
        <x:v>242.46</x:v>
      </x:c>
    </x:row>
    <x:row r="2297">
      <x:c r="A2297" t="n">
        <x:v>2296</x:v>
      </x:c>
      <x:c r="B2297" t="n">
        <x:v>51</x:v>
      </x:c>
      <x:c r="C2297" t="str">
        <x:v>Female</x:v>
      </x:c>
      <x:c r="D2297" t="str">
        <x:v>Accessories</x:v>
      </x:c>
      <x:c r="E2297" t="str">
        <x:v>Wallet</x:v>
      </x:c>
      <x:c r="F2297" s="24" t="n">
        <x:v>140.92</x:v>
      </x:c>
      <x:c r="G2297" t="str">
        <x:v>Spring</x:v>
      </x:c>
      <x:c r="H2297" t="str">
        <x:v>Card</x:v>
      </x:c>
      <x:c r="I2297" t="n">
        <x:v>2.7</x:v>
      </x:c>
      <x:c r="J2297" t="n">
        <x:v>28</x:v>
      </x:c>
      <x:c r="K2297" t="n">
        <x:v>9</x:v>
      </x:c>
      <x:c r="L2297" t="str">
        <x:v>STORE-001</x:v>
      </x:c>
      <x:c r="M2297" s="22" t="n">
        <x:v>45969</x:v>
      </x:c>
      <x:c r="N2297" t="str">
        <x:v>SKU-029</x:v>
      </x:c>
      <x:c r="O2297" t="n">
        <x:v>3</x:v>
      </x:c>
      <x:c r="P2297" s="26" t="n">
        <x:f>F2297/O2297</x:f>
        <x:v>46.97333333333333</x:v>
      </x:c>
    </x:row>
    <x:row r="2298">
      <x:c r="A2298" t="n">
        <x:v>2297</x:v>
      </x:c>
      <x:c r="B2298" t="n">
        <x:v>55</x:v>
      </x:c>
      <x:c r="C2298" t="str">
        <x:v>Female</x:v>
      </x:c>
      <x:c r="D2298" t="str">
        <x:v>Footwear</x:v>
      </x:c>
      <x:c r="E2298" t="str">
        <x:v>Sneakers</x:v>
      </x:c>
      <x:c r="F2298" s="24" t="n">
        <x:v>81.99</x:v>
      </x:c>
      <x:c r="G2298" t="str">
        <x:v>Summer</x:v>
      </x:c>
      <x:c r="H2298" t="str">
        <x:v>Cash on Delivery</x:v>
      </x:c>
      <x:c r="I2298" t="n">
        <x:v>4.7</x:v>
      </x:c>
      <x:c r="J2298" t="n">
        <x:v>18</x:v>
      </x:c>
      <x:c r="K2298" t="n">
        <x:v>9</x:v>
      </x:c>
      <x:c r="L2298" t="str">
        <x:v>STORE-001</x:v>
      </x:c>
      <x:c r="M2298" s="22" t="n">
        <x:v>46018</x:v>
      </x:c>
      <x:c r="N2298" t="str">
        <x:v>SKU-025</x:v>
      </x:c>
      <x:c r="O2298" t="n">
        <x:v>2</x:v>
      </x:c>
      <x:c r="P2298" s="26" t="n">
        <x:f>F2298/O2298</x:f>
        <x:v>40.995</x:v>
      </x:c>
    </x:row>
    <x:row r="2299">
      <x:c r="A2299" t="n">
        <x:v>2298</x:v>
      </x:c>
      <x:c r="B2299" t="n">
        <x:v>50</x:v>
      </x:c>
      <x:c r="C2299" t="str">
        <x:v>Male</x:v>
      </x:c>
      <x:c r="D2299" t="str">
        <x:v>Footwear</x:v>
      </x:c>
      <x:c r="E2299" t="str">
        <x:v>Sandals</x:v>
      </x:c>
      <x:c r="F2299" s="24" t="n">
        <x:v>72.37</x:v>
      </x:c>
      <x:c r="G2299" t="str">
        <x:v>Autumn</x:v>
      </x:c>
      <x:c r="H2299" t="str">
        <x:v>Card</x:v>
      </x:c>
      <x:c r="I2299" t="n">
        <x:v>4.2</x:v>
      </x:c>
      <x:c r="J2299" t="n">
        <x:v>12</x:v>
      </x:c>
      <x:c r="K2299" t="n">
        <x:v>6</x:v>
      </x:c>
      <x:c r="L2299" t="str">
        <x:v>STORE-001</x:v>
      </x:c>
      <x:c r="M2299" s="22" t="n">
        <x:v>46086</x:v>
      </x:c>
      <x:c r="N2299" t="str">
        <x:v>SKU-019</x:v>
      </x:c>
      <x:c r="O2299" t="n">
        <x:v>2</x:v>
      </x:c>
      <x:c r="P2299" s="26" t="n">
        <x:f>F2299/O2299</x:f>
        <x:v>36.185</x:v>
      </x:c>
    </x:row>
    <x:row r="2300">
      <x:c r="A2300" t="n">
        <x:v>2299</x:v>
      </x:c>
      <x:c r="B2300" t="n">
        <x:v>36</x:v>
      </x:c>
      <x:c r="C2300" t="str">
        <x:v>Female</x:v>
      </x:c>
      <x:c r="D2300" t="str">
        <x:v>Footwear</x:v>
      </x:c>
      <x:c r="E2300" t="str">
        <x:v>Sandals</x:v>
      </x:c>
      <x:c r="F2300" s="24" t="n">
        <x:v>174.35</x:v>
      </x:c>
      <x:c r="G2300" t="str">
        <x:v>Autumn</x:v>
      </x:c>
      <x:c r="H2300" t="str">
        <x:v>Card</x:v>
      </x:c>
      <x:c r="I2300" t="n">
        <x:v>4.2</x:v>
      </x:c>
      <x:c r="J2300" t="n">
        <x:v>16</x:v>
      </x:c>
      <x:c r="K2300" t="n">
        <x:v>3</x:v>
      </x:c>
      <x:c r="L2300" t="str">
        <x:v>STORE-001</x:v>
      </x:c>
      <x:c r="M2300" s="22" t="n">
        <x:v>46085</x:v>
      </x:c>
      <x:c r="N2300" t="str">
        <x:v>SKU-019</x:v>
      </x:c>
      <x:c r="O2300" t="n">
        <x:v>2</x:v>
      </x:c>
      <x:c r="P2300" s="26" t="n">
        <x:f>F2300/O2300</x:f>
        <x:v>87.175</x:v>
      </x:c>
    </x:row>
    <x:row r="2301">
      <x:c r="A2301" t="n">
        <x:v>2300</x:v>
      </x:c>
      <x:c r="B2301" t="n">
        <x:v>31</x:v>
      </x:c>
      <x:c r="C2301" t="str">
        <x:v>Male</x:v>
      </x:c>
      <x:c r="D2301" t="str">
        <x:v>Mens Clothing</x:v>
      </x:c>
      <x:c r="E2301" t="str">
        <x:v>Jeans</x:v>
      </x:c>
      <x:c r="F2301" s="24" t="n">
        <x:v>78.33</x:v>
      </x:c>
      <x:c r="G2301" t="str">
        <x:v>Summer</x:v>
      </x:c>
      <x:c r="H2301" t="str">
        <x:v>Cash on Delivery</x:v>
      </x:c>
      <x:c r="I2301" t="n">
        <x:v>3.5</x:v>
      </x:c>
      <x:c r="J2301" t="n">
        <x:v>18</x:v>
      </x:c>
      <x:c r="K2301" t="n">
        <x:v>9</x:v>
      </x:c>
      <x:c r="L2301" t="str">
        <x:v>STORE-001</x:v>
      </x:c>
      <x:c r="M2301" s="22" t="n">
        <x:v>46014</x:v>
      </x:c>
      <x:c r="N2301" t="str">
        <x:v>SKU-011</x:v>
      </x:c>
      <x:c r="O2301" t="n">
        <x:v>2</x:v>
      </x:c>
      <x:c r="P2301" s="26" t="n">
        <x:f>F2301/O2301</x:f>
        <x:v>39.165</x:v>
      </x:c>
    </x:row>
    <x:row r="2302">
      <x:c r="A2302" t="n">
        <x:v>2301</x:v>
      </x:c>
      <x:c r="B2302" t="n">
        <x:v>44</x:v>
      </x:c>
      <x:c r="C2302" t="str">
        <x:v>Female</x:v>
      </x:c>
      <x:c r="D2302" t="str">
        <x:v>Beauty</x:v>
      </x:c>
      <x:c r="E2302" t="str">
        <x:v>Perfume</x:v>
      </x:c>
      <x:c r="F2302" s="24" t="n">
        <x:v>39.78</x:v>
      </x:c>
      <x:c r="G2302" t="str">
        <x:v>Summer</x:v>
      </x:c>
      <x:c r="H2302" t="str">
        <x:v>Cash on Delivery</x:v>
      </x:c>
      <x:c r="I2302" t="n">
        <x:v>3.2</x:v>
      </x:c>
      <x:c r="J2302" t="n">
        <x:v>14</x:v>
      </x:c>
      <x:c r="K2302" t="n">
        <x:v>2</x:v>
      </x:c>
      <x:c r="L2302" t="str">
        <x:v>STORE-001</x:v>
      </x:c>
      <x:c r="M2302" s="22" t="n">
        <x:v>45992</x:v>
      </x:c>
      <x:c r="N2302" t="str">
        <x:v>SKU-017</x:v>
      </x:c>
      <x:c r="O2302" t="n">
        <x:v>1</x:v>
      </x:c>
      <x:c r="P2302" s="26" t="n">
        <x:f>F2302/O2302</x:f>
        <x:v>39.78</x:v>
      </x:c>
    </x:row>
    <x:row r="2303">
      <x:c r="A2303" t="n">
        <x:v>2302</x:v>
      </x:c>
      <x:c r="B2303" t="n">
        <x:v>48</x:v>
      </x:c>
      <x:c r="C2303" t="str">
        <x:v>Male</x:v>
      </x:c>
      <x:c r="D2303" t="str">
        <x:v>Mens Clothing</x:v>
      </x:c>
      <x:c r="E2303" t="str">
        <x:v>Shirt</x:v>
      </x:c>
      <x:c r="F2303" s="24" t="n">
        <x:v>185.38</x:v>
      </x:c>
      <x:c r="G2303" t="str">
        <x:v>Winter</x:v>
      </x:c>
      <x:c r="H2303" t="str">
        <x:v>Card</x:v>
      </x:c>
      <x:c r="I2303" t="n">
        <x:v>4</x:v>
      </x:c>
      <x:c r="J2303" t="n">
        <x:v>21</x:v>
      </x:c>
      <x:c r="K2303" t="n">
        <x:v>8</x:v>
      </x:c>
      <x:c r="L2303" t="str">
        <x:v>STORE-001</x:v>
      </x:c>
      <x:c r="M2303" s="22" t="n">
        <x:v>46218</x:v>
      </x:c>
      <x:c r="N2303" t="str">
        <x:v>SKU-020</x:v>
      </x:c>
      <x:c r="O2303" t="n">
        <x:v>1</x:v>
      </x:c>
      <x:c r="P2303" s="26" t="n">
        <x:f>F2303/O2303</x:f>
        <x:v>185.38</x:v>
      </x:c>
    </x:row>
    <x:row r="2304">
      <x:c r="A2304" t="n">
        <x:v>2303</x:v>
      </x:c>
      <x:c r="B2304" t="n">
        <x:v>56</x:v>
      </x:c>
      <x:c r="C2304" t="str">
        <x:v>Male</x:v>
      </x:c>
      <x:c r="D2304" t="str">
        <x:v>Electronics</x:v>
      </x:c>
      <x:c r="E2304" t="str">
        <x:v>Laptop</x:v>
      </x:c>
      <x:c r="F2304" s="24" t="n">
        <x:v>1705.8</x:v>
      </x:c>
      <x:c r="G2304" t="str">
        <x:v>Winter</x:v>
      </x:c>
      <x:c r="H2304" t="str">
        <x:v>Card</x:v>
      </x:c>
      <x:c r="I2304" t="n">
        <x:v>4.4</x:v>
      </x:c>
      <x:c r="J2304" t="n">
        <x:v>12</x:v>
      </x:c>
      <x:c r="K2304" t="n">
        <x:v>6</x:v>
      </x:c>
      <x:c r="L2304" t="str">
        <x:v>STORE-001</x:v>
      </x:c>
      <x:c r="M2304" s="22" t="n">
        <x:v>46220</x:v>
      </x:c>
      <x:c r="N2304" t="str">
        <x:v>SKU-014</x:v>
      </x:c>
      <x:c r="O2304" t="n">
        <x:v>1</x:v>
      </x:c>
      <x:c r="P2304" s="26" t="n">
        <x:f>F2304/O2304</x:f>
        <x:v>1705.8</x:v>
      </x:c>
    </x:row>
    <x:row r="2305">
      <x:c r="A2305" t="n">
        <x:v>2304</x:v>
      </x:c>
      <x:c r="B2305" t="n">
        <x:v>64</x:v>
      </x:c>
      <x:c r="C2305" t="str">
        <x:v>Female</x:v>
      </x:c>
      <x:c r="D2305" t="str">
        <x:v>Home</x:v>
      </x:c>
      <x:c r="E2305" t="str">
        <x:v>Curtains</x:v>
      </x:c>
      <x:c r="F2305" s="24" t="n">
        <x:v>169.94</x:v>
      </x:c>
      <x:c r="G2305" t="str">
        <x:v>Winter</x:v>
      </x:c>
      <x:c r="H2305" t="str">
        <x:v>Card</x:v>
      </x:c>
      <x:c r="I2305" t="n">
        <x:v>4.5</x:v>
      </x:c>
      <x:c r="J2305" t="n">
        <x:v>11</x:v>
      </x:c>
      <x:c r="K2305" t="n">
        <x:v>3</x:v>
      </x:c>
      <x:c r="L2305" t="str">
        <x:v>STORE-001</x:v>
      </x:c>
      <x:c r="M2305" s="22" t="n">
        <x:v>46216</x:v>
      </x:c>
      <x:c r="N2305" t="str">
        <x:v>SKU-003</x:v>
      </x:c>
      <x:c r="O2305" t="n">
        <x:v>1</x:v>
      </x:c>
      <x:c r="P2305" s="26" t="n">
        <x:f>F2305/O2305</x:f>
        <x:v>169.94</x:v>
      </x:c>
    </x:row>
    <x:row r="2306">
      <x:c r="A2306" t="n">
        <x:v>2305</x:v>
      </x:c>
      <x:c r="B2306" t="n">
        <x:v>61</x:v>
      </x:c>
      <x:c r="C2306" t="str">
        <x:v>Female</x:v>
      </x:c>
      <x:c r="D2306" t="str">
        <x:v>Footwear</x:v>
      </x:c>
      <x:c r="E2306" t="str">
        <x:v>Formal Shoes</x:v>
      </x:c>
      <x:c r="F2306" s="24" t="n">
        <x:v>50</x:v>
      </x:c>
      <x:c r="G2306" t="str">
        <x:v>Summer</x:v>
      </x:c>
      <x:c r="H2306" t="str">
        <x:v>Cash on Delivery</x:v>
      </x:c>
      <x:c r="I2306" t="n">
        <x:v>3.8</x:v>
      </x:c>
      <x:c r="J2306" t="n">
        <x:v>15</x:v>
      </x:c>
      <x:c r="K2306" t="n">
        <x:v>5</x:v>
      </x:c>
      <x:c r="L2306" t="str">
        <x:v>STORE-001</x:v>
      </x:c>
      <x:c r="M2306" s="22" t="n">
        <x:v>46058</x:v>
      </x:c>
      <x:c r="N2306" t="str">
        <x:v>SKU-007</x:v>
      </x:c>
      <x:c r="O2306" t="n">
        <x:v>2</x:v>
      </x:c>
      <x:c r="P2306" s="26" t="n">
        <x:f>F2306/O2306</x:f>
        <x:v>25</x:v>
      </x:c>
    </x:row>
    <x:row r="2307">
      <x:c r="A2307" t="n">
        <x:v>2306</x:v>
      </x:c>
      <x:c r="B2307" t="n">
        <x:v>27</x:v>
      </x:c>
      <x:c r="C2307" t="str">
        <x:v>Female</x:v>
      </x:c>
      <x:c r="D2307" t="str">
        <x:v>Womens Clothing</x:v>
      </x:c>
      <x:c r="E2307" t="str">
        <x:v>Jeans</x:v>
      </x:c>
      <x:c r="F2307" s="24" t="n">
        <x:v>60.07</x:v>
      </x:c>
      <x:c r="G2307" t="str">
        <x:v>Autumn</x:v>
      </x:c>
      <x:c r="H2307" t="str">
        <x:v>Cash on Delivery</x:v>
      </x:c>
      <x:c r="I2307" t="n">
        <x:v>4.2</x:v>
      </x:c>
      <x:c r="J2307" t="n">
        <x:v>13</x:v>
      </x:c>
      <x:c r="K2307" t="n">
        <x:v>4</x:v>
      </x:c>
      <x:c r="L2307" t="str">
        <x:v>STORE-001</x:v>
      </x:c>
      <x:c r="M2307" s="22" t="n">
        <x:v>46132</x:v>
      </x:c>
      <x:c r="N2307" t="str">
        <x:v>SKU-011</x:v>
      </x:c>
      <x:c r="O2307" t="n">
        <x:v>1</x:v>
      </x:c>
      <x:c r="P2307" s="26" t="n">
        <x:f>F2307/O2307</x:f>
        <x:v>60.07</x:v>
      </x:c>
    </x:row>
    <x:row r="2308">
      <x:c r="A2308" t="n">
        <x:v>2307</x:v>
      </x:c>
      <x:c r="B2308" t="n">
        <x:v>27</x:v>
      </x:c>
      <x:c r="C2308" t="str">
        <x:v>Female</x:v>
      </x:c>
      <x:c r="D2308" t="str">
        <x:v>Accessories</x:v>
      </x:c>
      <x:c r="E2308" t="str">
        <x:v>Sunglasses</x:v>
      </x:c>
      <x:c r="F2308" s="24" t="n">
        <x:v>20.49</x:v>
      </x:c>
      <x:c r="G2308" t="str">
        <x:v>Spring</x:v>
      </x:c>
      <x:c r="H2308" t="str">
        <x:v>Card</x:v>
      </x:c>
      <x:c r="I2308" t="n">
        <x:v>4.7</x:v>
      </x:c>
      <x:c r="J2308" t="n">
        <x:v>19</x:v>
      </x:c>
      <x:c r="K2308" t="n">
        <x:v>7</x:v>
      </x:c>
      <x:c r="L2308" t="str">
        <x:v>STORE-001</x:v>
      </x:c>
      <x:c r="M2308" s="22" t="n">
        <x:v>45950</x:v>
      </x:c>
      <x:c r="N2308" t="str">
        <x:v>SKU-026</x:v>
      </x:c>
      <x:c r="O2308" t="n">
        <x:v>1</x:v>
      </x:c>
      <x:c r="P2308" s="26" t="n">
        <x:f>F2308/O2308</x:f>
        <x:v>20.49</x:v>
      </x:c>
    </x:row>
    <x:row r="2309">
      <x:c r="A2309" t="n">
        <x:v>2308</x:v>
      </x:c>
      <x:c r="B2309" t="n">
        <x:v>50</x:v>
      </x:c>
      <x:c r="C2309" t="str">
        <x:v>Female</x:v>
      </x:c>
      <x:c r="D2309" t="str">
        <x:v>Accessories</x:v>
      </x:c>
      <x:c r="E2309" t="str">
        <x:v>Wallet</x:v>
      </x:c>
      <x:c r="F2309" s="24" t="n">
        <x:v>140.16</x:v>
      </x:c>
      <x:c r="G2309" t="str">
        <x:v>Summer</x:v>
      </x:c>
      <x:c r="H2309" t="str">
        <x:v>Card</x:v>
      </x:c>
      <x:c r="I2309" t="n">
        <x:v>4.5</x:v>
      </x:c>
      <x:c r="J2309" t="n">
        <x:v>9</x:v>
      </x:c>
      <x:c r="K2309" t="n">
        <x:v>2</x:v>
      </x:c>
      <x:c r="L2309" t="str">
        <x:v>STORE-001</x:v>
      </x:c>
      <x:c r="M2309" s="22" t="n">
        <x:v>46078</x:v>
      </x:c>
      <x:c r="N2309" t="str">
        <x:v>SKU-029</x:v>
      </x:c>
      <x:c r="O2309" t="n">
        <x:v>2</x:v>
      </x:c>
      <x:c r="P2309" s="26" t="n">
        <x:f>F2309/O2309</x:f>
        <x:v>70.08</x:v>
      </x:c>
    </x:row>
    <x:row r="2310">
      <x:c r="A2310" t="n">
        <x:v>2309</x:v>
      </x:c>
      <x:c r="B2310" t="n">
        <x:v>21</x:v>
      </x:c>
      <x:c r="C2310" t="str">
        <x:v>Female</x:v>
      </x:c>
      <x:c r="D2310" t="str">
        <x:v>Beauty</x:v>
      </x:c>
      <x:c r="E2310" t="str">
        <x:v>Makeup Set</x:v>
      </x:c>
      <x:c r="F2310" s="24" t="n">
        <x:v>108.17</x:v>
      </x:c>
      <x:c r="G2310" t="str">
        <x:v>Autumn</x:v>
      </x:c>
      <x:c r="H2310" t="str">
        <x:v>Card</x:v>
      </x:c>
      <x:c r="I2310" t="n">
        <x:v>4.5</x:v>
      </x:c>
      <x:c r="J2310" t="n">
        <x:v>12</x:v>
      </x:c>
      <x:c r="K2310" t="n">
        <x:v>6</x:v>
      </x:c>
      <x:c r="L2310" t="str">
        <x:v>STORE-001</x:v>
      </x:c>
      <x:c r="M2310" s="22" t="n">
        <x:v>46097</x:v>
      </x:c>
      <x:c r="N2310" t="str">
        <x:v>SKU-015</x:v>
      </x:c>
      <x:c r="O2310" t="n">
        <x:v>2</x:v>
      </x:c>
      <x:c r="P2310" s="26" t="n">
        <x:f>F2310/O2310</x:f>
        <x:v>54.085</x:v>
      </x:c>
    </x:row>
    <x:row r="2311">
      <x:c r="A2311" t="n">
        <x:v>2310</x:v>
      </x:c>
      <x:c r="B2311" t="n">
        <x:v>65</x:v>
      </x:c>
      <x:c r="C2311" t="str">
        <x:v>Male</x:v>
      </x:c>
      <x:c r="D2311" t="str">
        <x:v>Sports</x:v>
      </x:c>
      <x:c r="E2311" t="str">
        <x:v>Football</x:v>
      </x:c>
      <x:c r="F2311" s="24" t="n">
        <x:v>153.65</x:v>
      </x:c>
      <x:c r="G2311" t="str">
        <x:v>Autumn</x:v>
      </x:c>
      <x:c r="H2311" t="str">
        <x:v>Card</x:v>
      </x:c>
      <x:c r="I2311" t="n">
        <x:v>2.9</x:v>
      </x:c>
      <x:c r="J2311" t="n">
        <x:v>23</x:v>
      </x:c>
      <x:c r="K2311" t="n">
        <x:v>9</x:v>
      </x:c>
      <x:c r="L2311" t="str">
        <x:v>STORE-001</x:v>
      </x:c>
      <x:c r="M2311" s="22" t="n">
        <x:v>46108</x:v>
      </x:c>
      <x:c r="N2311" t="str">
        <x:v>SKU-006</x:v>
      </x:c>
      <x:c r="O2311" t="n">
        <x:v>2</x:v>
      </x:c>
      <x:c r="P2311" s="26" t="n">
        <x:f>F2311/O2311</x:f>
        <x:v>76.825</x:v>
      </x:c>
    </x:row>
    <x:row r="2312">
      <x:c r="A2312" t="n">
        <x:v>2311</x:v>
      </x:c>
      <x:c r="B2312" t="n">
        <x:v>68</x:v>
      </x:c>
      <x:c r="C2312" t="str">
        <x:v>Male</x:v>
      </x:c>
      <x:c r="D2312" t="str">
        <x:v>Footwear</x:v>
      </x:c>
      <x:c r="E2312" t="str">
        <x:v>Sneakers</x:v>
      </x:c>
      <x:c r="F2312" s="24" t="n">
        <x:v>224.62</x:v>
      </x:c>
      <x:c r="G2312" t="str">
        <x:v>Summer</x:v>
      </x:c>
      <x:c r="H2312" t="str">
        <x:v>Card</x:v>
      </x:c>
      <x:c r="I2312" t="n">
        <x:v>3.9</x:v>
      </x:c>
      <x:c r="J2312" t="n">
        <x:v>4</x:v>
      </x:c>
      <x:c r="K2312" t="n">
        <x:v>2</x:v>
      </x:c>
      <x:c r="L2312" t="str">
        <x:v>STORE-001</x:v>
      </x:c>
      <x:c r="M2312" s="22" t="n">
        <x:v>46061</x:v>
      </x:c>
      <x:c r="N2312" t="str">
        <x:v>SKU-025</x:v>
      </x:c>
      <x:c r="O2312" t="n">
        <x:v>1</x:v>
      </x:c>
      <x:c r="P2312" s="26" t="n">
        <x:f>F2312/O2312</x:f>
        <x:v>224.62</x:v>
      </x:c>
    </x:row>
    <x:row r="2313">
      <x:c r="A2313" t="n">
        <x:v>2312</x:v>
      </x:c>
      <x:c r="B2313" t="n">
        <x:v>45</x:v>
      </x:c>
      <x:c r="C2313" t="str">
        <x:v>Male</x:v>
      </x:c>
      <x:c r="D2313" t="str">
        <x:v>Sports</x:v>
      </x:c>
      <x:c r="E2313" t="str">
        <x:v>Football</x:v>
      </x:c>
      <x:c r="F2313" s="24" t="n">
        <x:v>111.02</x:v>
      </x:c>
      <x:c r="G2313" t="str">
        <x:v>Winter</x:v>
      </x:c>
      <x:c r="H2313" t="str">
        <x:v>Card</x:v>
      </x:c>
      <x:c r="I2313" t="n">
        <x:v>3.4</x:v>
      </x:c>
      <x:c r="J2313" t="n">
        <x:v>10</x:v>
      </x:c>
      <x:c r="K2313" t="n">
        <x:v>5</x:v>
      </x:c>
      <x:c r="L2313" t="str">
        <x:v>STORE-001</x:v>
      </x:c>
      <x:c r="M2313" s="22" t="n">
        <x:v>46206</x:v>
      </x:c>
      <x:c r="N2313" t="str">
        <x:v>SKU-006</x:v>
      </x:c>
      <x:c r="O2313" t="n">
        <x:v>2</x:v>
      </x:c>
      <x:c r="P2313" s="26" t="n">
        <x:f>F2313/O2313</x:f>
        <x:v>55.51</x:v>
      </x:c>
    </x:row>
    <x:row r="2314">
      <x:c r="A2314" t="n">
        <x:v>2313</x:v>
      </x:c>
      <x:c r="B2314" t="n">
        <x:v>34</x:v>
      </x:c>
      <x:c r="C2314" t="str">
        <x:v>Male</x:v>
      </x:c>
      <x:c r="D2314" t="str">
        <x:v>Mens Clothing</x:v>
      </x:c>
      <x:c r="E2314" t="str">
        <x:v>T-Shirt</x:v>
      </x:c>
      <x:c r="F2314" s="24" t="n">
        <x:v>149.08</x:v>
      </x:c>
      <x:c r="G2314" t="str">
        <x:v>Summer</x:v>
      </x:c>
      <x:c r="H2314" t="str">
        <x:v>Card</x:v>
      </x:c>
      <x:c r="I2314" t="n">
        <x:v>3.8</x:v>
      </x:c>
      <x:c r="J2314" t="n">
        <x:v>20</x:v>
      </x:c>
      <x:c r="K2314" t="n">
        <x:v>5</x:v>
      </x:c>
      <x:c r="L2314" t="str">
        <x:v>STORE-001</x:v>
      </x:c>
      <x:c r="M2314" s="22" t="n">
        <x:v>46076</x:v>
      </x:c>
      <x:c r="N2314" t="str">
        <x:v>SKU-027</x:v>
      </x:c>
      <x:c r="O2314" t="n">
        <x:v>1</x:v>
      </x:c>
      <x:c r="P2314" s="26" t="n">
        <x:f>F2314/O2314</x:f>
        <x:v>149.08</x:v>
      </x:c>
    </x:row>
    <x:row r="2315">
      <x:c r="A2315" t="n">
        <x:v>2314</x:v>
      </x:c>
      <x:c r="B2315" t="n">
        <x:v>25</x:v>
      </x:c>
      <x:c r="C2315" t="str">
        <x:v>Male</x:v>
      </x:c>
      <x:c r="D2315" t="str">
        <x:v>Groceries</x:v>
      </x:c>
      <x:c r="E2315" t="str">
        <x:v>Snacks</x:v>
      </x:c>
      <x:c r="F2315" s="24" t="n">
        <x:v>13.2</x:v>
      </x:c>
      <x:c r="G2315" t="str">
        <x:v>Autumn</x:v>
      </x:c>
      <x:c r="H2315" t="str">
        <x:v>Card</x:v>
      </x:c>
      <x:c r="I2315" t="n">
        <x:v>3.9</x:v>
      </x:c>
      <x:c r="J2315" t="n">
        <x:v>26</x:v>
      </x:c>
      <x:c r="K2315" t="n">
        <x:v>8</x:v>
      </x:c>
      <x:c r="L2315" t="str">
        <x:v>STORE-001</x:v>
      </x:c>
      <x:c r="M2315" s="22" t="n">
        <x:v>46110</x:v>
      </x:c>
      <x:c r="N2315" t="str">
        <x:v>SKU-024</x:v>
      </x:c>
      <x:c r="O2315" t="n">
        <x:v>1</x:v>
      </x:c>
      <x:c r="P2315" s="26" t="n">
        <x:f>F2315/O2315</x:f>
        <x:v>13.2</x:v>
      </x:c>
    </x:row>
    <x:row r="2316">
      <x:c r="A2316" t="n">
        <x:v>2315</x:v>
      </x:c>
      <x:c r="B2316" t="n">
        <x:v>37</x:v>
      </x:c>
      <x:c r="C2316" t="str">
        <x:v>Male</x:v>
      </x:c>
      <x:c r="D2316" t="str">
        <x:v>Home</x:v>
      </x:c>
      <x:c r="E2316" t="str">
        <x:v>Lamp</x:v>
      </x:c>
      <x:c r="F2316" s="24" t="n">
        <x:v>64.24</x:v>
      </x:c>
      <x:c r="G2316" t="str">
        <x:v>Summer</x:v>
      </x:c>
      <x:c r="H2316" t="str">
        <x:v>Card</x:v>
      </x:c>
      <x:c r="I2316" t="n">
        <x:v>3.6</x:v>
      </x:c>
      <x:c r="J2316" t="n">
        <x:v>4</x:v>
      </x:c>
      <x:c r="K2316" t="n">
        <x:v>2</x:v>
      </x:c>
      <x:c r="L2316" t="str">
        <x:v>STORE-001</x:v>
      </x:c>
      <x:c r="M2316" s="22" t="n">
        <x:v>46060</x:v>
      </x:c>
      <x:c r="N2316" t="str">
        <x:v>SKU-013</x:v>
      </x:c>
      <x:c r="O2316" t="n">
        <x:v>1</x:v>
      </x:c>
      <x:c r="P2316" s="26" t="n">
        <x:f>F2316/O2316</x:f>
        <x:v>64.24</x:v>
      </x:c>
    </x:row>
    <x:row r="2317">
      <x:c r="A2317" t="n">
        <x:v>2316</x:v>
      </x:c>
      <x:c r="B2317" t="n">
        <x:v>41</x:v>
      </x:c>
      <x:c r="C2317" t="str">
        <x:v>Male</x:v>
      </x:c>
      <x:c r="D2317" t="str">
        <x:v>Sports</x:v>
      </x:c>
      <x:c r="E2317" t="str">
        <x:v>Yoga Mat</x:v>
      </x:c>
      <x:c r="F2317" s="24" t="n">
        <x:v>124.84</x:v>
      </x:c>
      <x:c r="G2317" t="str">
        <x:v>Autumn</x:v>
      </x:c>
      <x:c r="H2317" t="str">
        <x:v>Card</x:v>
      </x:c>
      <x:c r="I2317" t="n">
        <x:v>3.9</x:v>
      </x:c>
      <x:c r="J2317" t="n">
        <x:v>22</x:v>
      </x:c>
      <x:c r="K2317" t="n">
        <x:v>6</x:v>
      </x:c>
      <x:c r="L2317" t="str">
        <x:v>STORE-001</x:v>
      </x:c>
      <x:c r="M2317" s="22" t="n">
        <x:v>46092</x:v>
      </x:c>
      <x:c r="N2317" t="str">
        <x:v>SKU-030</x:v>
      </x:c>
      <x:c r="O2317" t="n">
        <x:v>1</x:v>
      </x:c>
      <x:c r="P2317" s="26" t="n">
        <x:f>F2317/O2317</x:f>
        <x:v>124.84</x:v>
      </x:c>
    </x:row>
    <x:row r="2318">
      <x:c r="A2318" t="n">
        <x:v>2317</x:v>
      </x:c>
      <x:c r="B2318" t="n">
        <x:v>68</x:v>
      </x:c>
      <x:c r="C2318" t="str">
        <x:v>Male</x:v>
      </x:c>
      <x:c r="D2318" t="str">
        <x:v>Footwear</x:v>
      </x:c>
      <x:c r="E2318" t="str">
        <x:v>Sandals</x:v>
      </x:c>
      <x:c r="F2318" s="24" t="n">
        <x:v>102.27</x:v>
      </x:c>
      <x:c r="G2318" t="str">
        <x:v>Summer</x:v>
      </x:c>
      <x:c r="H2318" t="str">
        <x:v>Card</x:v>
      </x:c>
      <x:c r="I2318" t="n">
        <x:v>3.9</x:v>
      </x:c>
      <x:c r="J2318" t="n">
        <x:v>12</x:v>
      </x:c>
      <x:c r="K2318" t="n">
        <x:v>6</x:v>
      </x:c>
      <x:c r="L2318" t="str">
        <x:v>STORE-001</x:v>
      </x:c>
      <x:c r="M2318" s="22" t="n">
        <x:v>46027</x:v>
      </x:c>
      <x:c r="N2318" t="str">
        <x:v>SKU-019</x:v>
      </x:c>
      <x:c r="O2318" t="n">
        <x:v>1</x:v>
      </x:c>
      <x:c r="P2318" s="26" t="n">
        <x:f>F2318/O2318</x:f>
        <x:v>102.27</x:v>
      </x:c>
    </x:row>
    <x:row r="2319">
      <x:c r="A2319" t="n">
        <x:v>2318</x:v>
      </x:c>
      <x:c r="B2319" t="n">
        <x:v>46</x:v>
      </x:c>
      <x:c r="C2319" t="str">
        <x:v>Female</x:v>
      </x:c>
      <x:c r="D2319" t="str">
        <x:v>Home</x:v>
      </x:c>
      <x:c r="E2319" t="str">
        <x:v>Curtains</x:v>
      </x:c>
      <x:c r="F2319" s="24" t="n">
        <x:v>186.17</x:v>
      </x:c>
      <x:c r="G2319" t="str">
        <x:v>Spring</x:v>
      </x:c>
      <x:c r="H2319" t="str">
        <x:v>Card</x:v>
      </x:c>
      <x:c r="I2319" t="n">
        <x:v>3.7</x:v>
      </x:c>
      <x:c r="J2319" t="n">
        <x:v>22</x:v>
      </x:c>
      <x:c r="K2319" t="n">
        <x:v>6</x:v>
      </x:c>
      <x:c r="L2319" t="str">
        <x:v>STORE-001</x:v>
      </x:c>
      <x:c r="M2319" s="22" t="n">
        <x:v>46277</x:v>
      </x:c>
      <x:c r="N2319" t="str">
        <x:v>SKU-003</x:v>
      </x:c>
      <x:c r="O2319" t="n">
        <x:v>1</x:v>
      </x:c>
      <x:c r="P2319" s="26" t="n">
        <x:f>F2319/O2319</x:f>
        <x:v>186.17</x:v>
      </x:c>
    </x:row>
    <x:row r="2320">
      <x:c r="A2320" t="n">
        <x:v>2319</x:v>
      </x:c>
      <x:c r="B2320" t="n">
        <x:v>39</x:v>
      </x:c>
      <x:c r="C2320" t="str">
        <x:v>Female</x:v>
      </x:c>
      <x:c r="D2320" t="str">
        <x:v>Womens Clothing</x:v>
      </x:c>
      <x:c r="E2320" t="str">
        <x:v>Top</x:v>
      </x:c>
      <x:c r="F2320" s="24" t="n">
        <x:v>143.51</x:v>
      </x:c>
      <x:c r="G2320" t="str">
        <x:v>Summer</x:v>
      </x:c>
      <x:c r="H2320" t="str">
        <x:v>Card</x:v>
      </x:c>
      <x:c r="I2320" t="n">
        <x:v>3.7</x:v>
      </x:c>
      <x:c r="J2320" t="n">
        <x:v>22</x:v>
      </x:c>
      <x:c r="K2320" t="n">
        <x:v>6</x:v>
      </x:c>
      <x:c r="L2320" t="str">
        <x:v>STORE-001</x:v>
      </x:c>
      <x:c r="M2320" s="22" t="n">
        <x:v>46055</x:v>
      </x:c>
      <x:c r="N2320" t="str">
        <x:v>SKU-028</x:v>
      </x:c>
      <x:c r="O2320" t="n">
        <x:v>1</x:v>
      </x:c>
      <x:c r="P2320" s="26" t="n">
        <x:f>F2320/O2320</x:f>
        <x:v>143.51</x:v>
      </x:c>
    </x:row>
    <x:row r="2321">
      <x:c r="A2321" t="n">
        <x:v>2320</x:v>
      </x:c>
      <x:c r="B2321" t="n">
        <x:v>53</x:v>
      </x:c>
      <x:c r="C2321" t="str">
        <x:v>Male</x:v>
      </x:c>
      <x:c r="D2321" t="str">
        <x:v>Footwear</x:v>
      </x:c>
      <x:c r="E2321" t="str">
        <x:v>Sneakers</x:v>
      </x:c>
      <x:c r="F2321" s="24" t="n">
        <x:v>97.72</x:v>
      </x:c>
      <x:c r="G2321" t="str">
        <x:v>Autumn</x:v>
      </x:c>
      <x:c r="H2321" t="str">
        <x:v>Card</x:v>
      </x:c>
      <x:c r="I2321" t="n">
        <x:v>3.3</x:v>
      </x:c>
      <x:c r="J2321" t="n">
        <x:v>24</x:v>
      </x:c>
      <x:c r="K2321" t="n">
        <x:v>7</x:v>
      </x:c>
      <x:c r="L2321" t="str">
        <x:v>STORE-001</x:v>
      </x:c>
      <x:c r="M2321" s="22" t="n">
        <x:v>46100</x:v>
      </x:c>
      <x:c r="N2321" t="str">
        <x:v>SKU-025</x:v>
      </x:c>
      <x:c r="O2321" t="n">
        <x:v>1</x:v>
      </x:c>
      <x:c r="P2321" s="26" t="n">
        <x:f>F2321/O2321</x:f>
        <x:v>97.72</x:v>
      </x:c>
    </x:row>
    <x:row r="2322">
      <x:c r="A2322" t="n">
        <x:v>2321</x:v>
      </x:c>
      <x:c r="B2322" t="n">
        <x:v>47</x:v>
      </x:c>
      <x:c r="C2322" t="str">
        <x:v>Female</x:v>
      </x:c>
      <x:c r="D2322" t="str">
        <x:v>Sports</x:v>
      </x:c>
      <x:c r="E2322" t="str">
        <x:v>Football</x:v>
      </x:c>
      <x:c r="F2322" s="24" t="n">
        <x:v>212.99</x:v>
      </x:c>
      <x:c r="G2322" t="str">
        <x:v>Autumn</x:v>
      </x:c>
      <x:c r="H2322" t="str">
        <x:v>Card</x:v>
      </x:c>
      <x:c r="I2322" t="n">
        <x:v>4.1</x:v>
      </x:c>
      <x:c r="J2322" t="n">
        <x:v>15</x:v>
      </x:c>
      <x:c r="K2322" t="n">
        <x:v>5</x:v>
      </x:c>
      <x:c r="L2322" t="str">
        <x:v>STORE-001</x:v>
      </x:c>
      <x:c r="M2322" s="22" t="n">
        <x:v>46108</x:v>
      </x:c>
      <x:c r="N2322" t="str">
        <x:v>SKU-006</x:v>
      </x:c>
      <x:c r="O2322" t="n">
        <x:v>3</x:v>
      </x:c>
      <x:c r="P2322" s="26" t="n">
        <x:f>F2322/O2322</x:f>
        <x:v>70.99666666666667</x:v>
      </x:c>
    </x:row>
    <x:row r="2323">
      <x:c r="A2323" t="n">
        <x:v>2322</x:v>
      </x:c>
      <x:c r="B2323" t="n">
        <x:v>70</x:v>
      </x:c>
      <x:c r="C2323" t="str">
        <x:v>Female</x:v>
      </x:c>
      <x:c r="D2323" t="str">
        <x:v>Accessories</x:v>
      </x:c>
      <x:c r="E2323" t="str">
        <x:v>Sunglasses</x:v>
      </x:c>
      <x:c r="F2323" s="24" t="n">
        <x:v>149.53</x:v>
      </x:c>
      <x:c r="G2323" t="str">
        <x:v>Summer</x:v>
      </x:c>
      <x:c r="H2323" t="str">
        <x:v>Card</x:v>
      </x:c>
      <x:c r="I2323" t="n">
        <x:v>3.8</x:v>
      </x:c>
      <x:c r="J2323" t="n">
        <x:v>8</x:v>
      </x:c>
      <x:c r="K2323" t="n">
        <x:v>4</x:v>
      </x:c>
      <x:c r="L2323" t="str">
        <x:v>STORE-001</x:v>
      </x:c>
      <x:c r="M2323" s="22" t="n">
        <x:v>45996</x:v>
      </x:c>
      <x:c r="N2323" t="str">
        <x:v>SKU-026</x:v>
      </x:c>
      <x:c r="O2323" t="n">
        <x:v>1</x:v>
      </x:c>
      <x:c r="P2323" s="26" t="n">
        <x:f>F2323/O2323</x:f>
        <x:v>149.53</x:v>
      </x:c>
    </x:row>
    <x:row r="2324">
      <x:c r="A2324" t="n">
        <x:v>2323</x:v>
      </x:c>
      <x:c r="B2324" t="n">
        <x:v>27</x:v>
      </x:c>
      <x:c r="C2324" t="str">
        <x:v>Male</x:v>
      </x:c>
      <x:c r="D2324" t="str">
        <x:v>Footwear</x:v>
      </x:c>
      <x:c r="E2324" t="str">
        <x:v>Sneakers</x:v>
      </x:c>
      <x:c r="F2324" s="24" t="n">
        <x:v>104.13</x:v>
      </x:c>
      <x:c r="G2324" t="str">
        <x:v>Winter</x:v>
      </x:c>
      <x:c r="H2324" t="str">
        <x:v>Card</x:v>
      </x:c>
      <x:c r="I2324" t="n">
        <x:v>3</x:v>
      </x:c>
      <x:c r="J2324" t="n">
        <x:v>19</x:v>
      </x:c>
      <x:c r="K2324" t="n">
        <x:v>7</x:v>
      </x:c>
      <x:c r="L2324" t="str">
        <x:v>STORE-001</x:v>
      </x:c>
      <x:c r="M2324" s="22" t="n">
        <x:v>46220</x:v>
      </x:c>
      <x:c r="N2324" t="str">
        <x:v>SKU-025</x:v>
      </x:c>
      <x:c r="O2324" t="n">
        <x:v>1</x:v>
      </x:c>
      <x:c r="P2324" s="26" t="n">
        <x:f>F2324/O2324</x:f>
        <x:v>104.13</x:v>
      </x:c>
    </x:row>
    <x:row r="2325">
      <x:c r="A2325" t="n">
        <x:v>2324</x:v>
      </x:c>
      <x:c r="B2325" t="n">
        <x:v>66</x:v>
      </x:c>
      <x:c r="C2325" t="str">
        <x:v>Male</x:v>
      </x:c>
      <x:c r="D2325" t="str">
        <x:v>Footwear</x:v>
      </x:c>
      <x:c r="E2325" t="str">
        <x:v>Sneakers</x:v>
      </x:c>
      <x:c r="F2325" s="24" t="n">
        <x:v>86.86</x:v>
      </x:c>
      <x:c r="G2325" t="str">
        <x:v>Spring</x:v>
      </x:c>
      <x:c r="H2325" t="str">
        <x:v>Cash on Delivery</x:v>
      </x:c>
      <x:c r="I2325" t="n">
        <x:v>2.6</x:v>
      </x:c>
      <x:c r="J2325" t="n">
        <x:v>12</x:v>
      </x:c>
      <x:c r="K2325" t="n">
        <x:v>6</x:v>
      </x:c>
      <x:c r="L2325" t="str">
        <x:v>STORE-001</x:v>
      </x:c>
      <x:c r="M2325" s="22" t="n">
        <x:v>46272</x:v>
      </x:c>
      <x:c r="N2325" t="str">
        <x:v>SKU-025</x:v>
      </x:c>
      <x:c r="O2325" t="n">
        <x:v>1</x:v>
      </x:c>
      <x:c r="P2325" s="26" t="n">
        <x:f>F2325/O2325</x:f>
        <x:v>86.86</x:v>
      </x:c>
    </x:row>
    <x:row r="2326">
      <x:c r="A2326" t="n">
        <x:v>2325</x:v>
      </x:c>
      <x:c r="B2326" t="n">
        <x:v>50</x:v>
      </x:c>
      <x:c r="C2326" t="str">
        <x:v>Male</x:v>
      </x:c>
      <x:c r="D2326" t="str">
        <x:v>Footwear</x:v>
      </x:c>
      <x:c r="E2326" t="str">
        <x:v>Sneakers</x:v>
      </x:c>
      <x:c r="F2326" s="24" t="n">
        <x:v>155.92</x:v>
      </x:c>
      <x:c r="G2326" t="str">
        <x:v>Winter</x:v>
      </x:c>
      <x:c r="H2326" t="str">
        <x:v>Card</x:v>
      </x:c>
      <x:c r="I2326" t="n">
        <x:v>2.6</x:v>
      </x:c>
      <x:c r="J2326" t="n">
        <x:v>6</x:v>
      </x:c>
      <x:c r="K2326" t="n">
        <x:v>3</x:v>
      </x:c>
      <x:c r="L2326" t="str">
        <x:v>STORE-001</x:v>
      </x:c>
      <x:c r="M2326" s="22" t="n">
        <x:v>46248</x:v>
      </x:c>
      <x:c r="N2326" t="str">
        <x:v>SKU-025</x:v>
      </x:c>
      <x:c r="O2326" t="n">
        <x:v>1</x:v>
      </x:c>
      <x:c r="P2326" s="26" t="n">
        <x:f>F2326/O2326</x:f>
        <x:v>155.92</x:v>
      </x:c>
    </x:row>
    <x:row r="2327">
      <x:c r="A2327" t="n">
        <x:v>2326</x:v>
      </x:c>
      <x:c r="B2327" t="n">
        <x:v>46</x:v>
      </x:c>
      <x:c r="C2327" t="str">
        <x:v>Female</x:v>
      </x:c>
      <x:c r="D2327" t="str">
        <x:v>Beauty</x:v>
      </x:c>
      <x:c r="E2327" t="str">
        <x:v>Skincare Kit</x:v>
      </x:c>
      <x:c r="F2327" s="24" t="n">
        <x:v>42.37</x:v>
      </x:c>
      <x:c r="G2327" t="str">
        <x:v>Summer</x:v>
      </x:c>
      <x:c r="H2327" t="str">
        <x:v>Card</x:v>
      </x:c>
      <x:c r="I2327" t="n">
        <x:v>3.3</x:v>
      </x:c>
      <x:c r="J2327" t="n">
        <x:v>11</x:v>
      </x:c>
      <x:c r="K2327" t="n">
        <x:v>3</x:v>
      </x:c>
      <x:c r="L2327" t="str">
        <x:v>STORE-001</x:v>
      </x:c>
      <x:c r="M2327" s="22" t="n">
        <x:v>46075</x:v>
      </x:c>
      <x:c r="N2327" t="str">
        <x:v>SKU-021</x:v>
      </x:c>
      <x:c r="O2327" t="n">
        <x:v>1</x:v>
      </x:c>
      <x:c r="P2327" s="26" t="n">
        <x:f>F2327/O2327</x:f>
        <x:v>42.37</x:v>
      </x:c>
    </x:row>
    <x:row r="2328">
      <x:c r="A2328" t="n">
        <x:v>2327</x:v>
      </x:c>
      <x:c r="B2328" t="n">
        <x:v>34</x:v>
      </x:c>
      <x:c r="C2328" t="str">
        <x:v>Male</x:v>
      </x:c>
      <x:c r="D2328" t="str">
        <x:v>Mens Clothing</x:v>
      </x:c>
      <x:c r="E2328" t="str">
        <x:v>T-Shirt</x:v>
      </x:c>
      <x:c r="F2328" s="24" t="n">
        <x:v>55.77</x:v>
      </x:c>
      <x:c r="G2328" t="str">
        <x:v>Autumn</x:v>
      </x:c>
      <x:c r="H2328" t="str">
        <x:v>Card</x:v>
      </x:c>
      <x:c r="I2328" t="n">
        <x:v>2.4</x:v>
      </x:c>
      <x:c r="J2328" t="n">
        <x:v>10</x:v>
      </x:c>
      <x:c r="K2328" t="n">
        <x:v>5</x:v>
      </x:c>
      <x:c r="L2328" t="str">
        <x:v>STORE-001</x:v>
      </x:c>
      <x:c r="M2328" s="22" t="n">
        <x:v>46164</x:v>
      </x:c>
      <x:c r="N2328" t="str">
        <x:v>SKU-027</x:v>
      </x:c>
      <x:c r="O2328" t="n">
        <x:v>1</x:v>
      </x:c>
      <x:c r="P2328" s="26" t="n">
        <x:f>F2328/O2328</x:f>
        <x:v>55.77</x:v>
      </x:c>
    </x:row>
    <x:row r="2329">
      <x:c r="A2329" t="n">
        <x:v>2328</x:v>
      </x:c>
      <x:c r="B2329" t="n">
        <x:v>35</x:v>
      </x:c>
      <x:c r="C2329" t="str">
        <x:v>Female</x:v>
      </x:c>
      <x:c r="D2329" t="str">
        <x:v>Footwear</x:v>
      </x:c>
      <x:c r="E2329" t="str">
        <x:v>Sandals</x:v>
      </x:c>
      <x:c r="F2329" s="24" t="n">
        <x:v>202.39</x:v>
      </x:c>
      <x:c r="G2329" t="str">
        <x:v>Winter</x:v>
      </x:c>
      <x:c r="H2329" t="str">
        <x:v>Card</x:v>
      </x:c>
      <x:c r="I2329" t="n">
        <x:v>2.5</x:v>
      </x:c>
      <x:c r="J2329" t="n">
        <x:v>11</x:v>
      </x:c>
      <x:c r="K2329" t="n">
        <x:v>3</x:v>
      </x:c>
      <x:c r="L2329" t="str">
        <x:v>STORE-001</x:v>
      </x:c>
      <x:c r="M2329" s="22" t="n">
        <x:v>46245</x:v>
      </x:c>
      <x:c r="N2329" t="str">
        <x:v>SKU-019</x:v>
      </x:c>
      <x:c r="O2329" t="n">
        <x:v>1</x:v>
      </x:c>
      <x:c r="P2329" s="26" t="n">
        <x:f>F2329/O2329</x:f>
        <x:v>202.39</x:v>
      </x:c>
    </x:row>
    <x:row r="2330">
      <x:c r="A2330" t="n">
        <x:v>2329</x:v>
      </x:c>
      <x:c r="B2330" t="n">
        <x:v>30</x:v>
      </x:c>
      <x:c r="C2330" t="str">
        <x:v>Female</x:v>
      </x:c>
      <x:c r="D2330" t="str">
        <x:v>Beauty</x:v>
      </x:c>
      <x:c r="E2330" t="str">
        <x:v>Makeup Set</x:v>
      </x:c>
      <x:c r="F2330" s="24" t="n">
        <x:v>146.26</x:v>
      </x:c>
      <x:c r="G2330" t="str">
        <x:v>Winter</x:v>
      </x:c>
      <x:c r="H2330" t="str">
        <x:v>Card</x:v>
      </x:c>
      <x:c r="I2330" t="n">
        <x:v>3.9</x:v>
      </x:c>
      <x:c r="J2330" t="n">
        <x:v>7</x:v>
      </x:c>
      <x:c r="K2330" t="n">
        <x:v>1</x:v>
      </x:c>
      <x:c r="L2330" t="str">
        <x:v>STORE-001</x:v>
      </x:c>
      <x:c r="M2330" s="22" t="n">
        <x:v>46205</x:v>
      </x:c>
      <x:c r="N2330" t="str">
        <x:v>SKU-015</x:v>
      </x:c>
      <x:c r="O2330" t="n">
        <x:v>2</x:v>
      </x:c>
      <x:c r="P2330" s="26" t="n">
        <x:f>F2330/O2330</x:f>
        <x:v>73.13</x:v>
      </x:c>
    </x:row>
    <x:row r="2331">
      <x:c r="A2331" t="n">
        <x:v>2330</x:v>
      </x:c>
      <x:c r="B2331" t="n">
        <x:v>64</x:v>
      </x:c>
      <x:c r="C2331" t="str">
        <x:v>Male</x:v>
      </x:c>
      <x:c r="D2331" t="str">
        <x:v>Electronics</x:v>
      </x:c>
      <x:c r="E2331" t="str">
        <x:v>Headphones</x:v>
      </x:c>
      <x:c r="F2331" s="24" t="n">
        <x:v>1531.63</x:v>
      </x:c>
      <x:c r="G2331" t="str">
        <x:v>Spring</x:v>
      </x:c>
      <x:c r="H2331" t="str">
        <x:v>Card</x:v>
      </x:c>
      <x:c r="I2331" t="n">
        <x:v>4.1</x:v>
      </x:c>
      <x:c r="J2331" t="n">
        <x:v>28</x:v>
      </x:c>
      <x:c r="K2331" t="n">
        <x:v>9</x:v>
      </x:c>
      <x:c r="L2331" t="str">
        <x:v>STORE-001</x:v>
      </x:c>
      <x:c r="M2331" s="22" t="n">
        <x:v>45952</x:v>
      </x:c>
      <x:c r="N2331" t="str">
        <x:v>SKU-009</x:v>
      </x:c>
      <x:c r="O2331" t="n">
        <x:v>1</x:v>
      </x:c>
      <x:c r="P2331" s="26" t="n">
        <x:f>F2331/O2331</x:f>
        <x:v>1531.63</x:v>
      </x:c>
    </x:row>
    <x:row r="2332">
      <x:c r="A2332" t="n">
        <x:v>2331</x:v>
      </x:c>
      <x:c r="B2332" t="n">
        <x:v>42</x:v>
      </x:c>
      <x:c r="C2332" t="str">
        <x:v>Male</x:v>
      </x:c>
      <x:c r="D2332" t="str">
        <x:v>Footwear</x:v>
      </x:c>
      <x:c r="E2332" t="str">
        <x:v>Sandals</x:v>
      </x:c>
      <x:c r="F2332" s="24" t="n">
        <x:v>53.4</x:v>
      </x:c>
      <x:c r="G2332" t="str">
        <x:v>Summer</x:v>
      </x:c>
      <x:c r="H2332" t="str">
        <x:v>Cash on Delivery</x:v>
      </x:c>
      <x:c r="I2332" t="n">
        <x:v>4.4</x:v>
      </x:c>
      <x:c r="J2332" t="n">
        <x:v>16</x:v>
      </x:c>
      <x:c r="K2332" t="n">
        <x:v>3</x:v>
      </x:c>
      <x:c r="L2332" t="str">
        <x:v>STORE-001</x:v>
      </x:c>
      <x:c r="M2332" s="22" t="n">
        <x:v>46050</x:v>
      </x:c>
      <x:c r="N2332" t="str">
        <x:v>SKU-019</x:v>
      </x:c>
      <x:c r="O2332" t="n">
        <x:v>1</x:v>
      </x:c>
      <x:c r="P2332" s="26" t="n">
        <x:f>F2332/O2332</x:f>
        <x:v>53.4</x:v>
      </x:c>
    </x:row>
    <x:row r="2333">
      <x:c r="A2333" t="n">
        <x:v>2332</x:v>
      </x:c>
      <x:c r="B2333" t="n">
        <x:v>70</x:v>
      </x:c>
      <x:c r="C2333" t="str">
        <x:v>Male</x:v>
      </x:c>
      <x:c r="D2333" t="str">
        <x:v>Home</x:v>
      </x:c>
      <x:c r="E2333" t="str">
        <x:v>Curtains</x:v>
      </x:c>
      <x:c r="F2333" s="24" t="n">
        <x:v>255.78</x:v>
      </x:c>
      <x:c r="G2333" t="str">
        <x:v>Autumn</x:v>
      </x:c>
      <x:c r="H2333" t="str">
        <x:v>Card</x:v>
      </x:c>
      <x:c r="I2333" t="n">
        <x:v>2.9</x:v>
      </x:c>
      <x:c r="J2333" t="n">
        <x:v>20</x:v>
      </x:c>
      <x:c r="K2333" t="n">
        <x:v>5</x:v>
      </x:c>
      <x:c r="L2333" t="str">
        <x:v>STORE-001</x:v>
      </x:c>
      <x:c r="M2333" s="22" t="n">
        <x:v>46088</x:v>
      </x:c>
      <x:c r="N2333" t="str">
        <x:v>SKU-003</x:v>
      </x:c>
      <x:c r="O2333" t="n">
        <x:v>2</x:v>
      </x:c>
      <x:c r="P2333" s="26" t="n">
        <x:f>F2333/O2333</x:f>
        <x:v>127.89</x:v>
      </x:c>
    </x:row>
    <x:row r="2334">
      <x:c r="A2334" t="n">
        <x:v>2333</x:v>
      </x:c>
      <x:c r="B2334" t="n">
        <x:v>48</x:v>
      </x:c>
      <x:c r="C2334" t="str">
        <x:v>Female</x:v>
      </x:c>
      <x:c r="D2334" t="str">
        <x:v>Womens Clothing</x:v>
      </x:c>
      <x:c r="E2334" t="str">
        <x:v>Skirt</x:v>
      </x:c>
      <x:c r="F2334" s="24" t="n">
        <x:v>171.19</x:v>
      </x:c>
      <x:c r="G2334" t="str">
        <x:v>Winter</x:v>
      </x:c>
      <x:c r="H2334" t="str">
        <x:v>Card</x:v>
      </x:c>
      <x:c r="I2334" t="n">
        <x:v>3.8</x:v>
      </x:c>
      <x:c r="J2334" t="n">
        <x:v>14</x:v>
      </x:c>
      <x:c r="K2334" t="n">
        <x:v>7</x:v>
      </x:c>
      <x:c r="L2334" t="str">
        <x:v>STORE-001</x:v>
      </x:c>
      <x:c r="M2334" s="22" t="n">
        <x:v>46223</x:v>
      </x:c>
      <x:c r="N2334" t="str">
        <x:v>SKU-022</x:v>
      </x:c>
      <x:c r="O2334" t="n">
        <x:v>2</x:v>
      </x:c>
      <x:c r="P2334" s="26" t="n">
        <x:f>F2334/O2334</x:f>
        <x:v>85.595</x:v>
      </x:c>
    </x:row>
    <x:row r="2335">
      <x:c r="A2335" t="n">
        <x:v>2334</x:v>
      </x:c>
      <x:c r="B2335" t="n">
        <x:v>43</x:v>
      </x:c>
      <x:c r="C2335" t="str">
        <x:v>Female</x:v>
      </x:c>
      <x:c r="D2335" t="str">
        <x:v>Accessories</x:v>
      </x:c>
      <x:c r="E2335" t="str">
        <x:v>Handbag</x:v>
      </x:c>
      <x:c r="F2335" s="24" t="n">
        <x:v>38.45</x:v>
      </x:c>
      <x:c r="G2335" t="str">
        <x:v>Winter</x:v>
      </x:c>
      <x:c r="H2335" t="str">
        <x:v>Card</x:v>
      </x:c>
      <x:c r="I2335" t="n">
        <x:v>4.2</x:v>
      </x:c>
      <x:c r="J2335" t="n">
        <x:v>19</x:v>
      </x:c>
      <x:c r="K2335" t="n">
        <x:v>7</x:v>
      </x:c>
      <x:c r="L2335" t="str">
        <x:v>STORE-001</x:v>
      </x:c>
      <x:c r="M2335" s="22" t="n">
        <x:v>46254</x:v>
      </x:c>
      <x:c r="N2335" t="str">
        <x:v>SKU-008</x:v>
      </x:c>
      <x:c r="O2335" t="n">
        <x:v>1</x:v>
      </x:c>
      <x:c r="P2335" s="26" t="n">
        <x:f>F2335/O2335</x:f>
        <x:v>38.45</x:v>
      </x:c>
    </x:row>
    <x:row r="2336">
      <x:c r="A2336" t="n">
        <x:v>2335</x:v>
      </x:c>
      <x:c r="B2336" t="n">
        <x:v>68</x:v>
      </x:c>
      <x:c r="C2336" t="str">
        <x:v>Male</x:v>
      </x:c>
      <x:c r="D2336" t="str">
        <x:v>Footwear</x:v>
      </x:c>
      <x:c r="E2336" t="str">
        <x:v>Formal Shoes</x:v>
      </x:c>
      <x:c r="F2336" s="24" t="n">
        <x:v>117.49</x:v>
      </x:c>
      <x:c r="G2336" t="str">
        <x:v>Autumn</x:v>
      </x:c>
      <x:c r="H2336" t="str">
        <x:v>Card</x:v>
      </x:c>
      <x:c r="I2336" t="n">
        <x:v>4.3</x:v>
      </x:c>
      <x:c r="J2336" t="n">
        <x:v>19</x:v>
      </x:c>
      <x:c r="K2336" t="n">
        <x:v>7</x:v>
      </x:c>
      <x:c r="L2336" t="str">
        <x:v>STORE-001</x:v>
      </x:c>
      <x:c r="M2336" s="22" t="n">
        <x:v>46094</x:v>
      </x:c>
      <x:c r="N2336" t="str">
        <x:v>SKU-007</x:v>
      </x:c>
      <x:c r="O2336" t="n">
        <x:v>1</x:v>
      </x:c>
      <x:c r="P2336" s="26" t="n">
        <x:f>F2336/O2336</x:f>
        <x:v>117.49</x:v>
      </x:c>
    </x:row>
    <x:row r="2337">
      <x:c r="A2337" t="n">
        <x:v>2336</x:v>
      </x:c>
      <x:c r="B2337" t="n">
        <x:v>64</x:v>
      </x:c>
      <x:c r="C2337" t="str">
        <x:v>Male</x:v>
      </x:c>
      <x:c r="D2337" t="str">
        <x:v>Groceries</x:v>
      </x:c>
      <x:c r="E2337" t="str">
        <x:v>Cooking Oil</x:v>
      </x:c>
      <x:c r="F2337" s="24" t="n">
        <x:v>8.37</x:v>
      </x:c>
      <x:c r="G2337" t="str">
        <x:v>Summer</x:v>
      </x:c>
      <x:c r="H2337" t="str">
        <x:v>Cash on Delivery</x:v>
      </x:c>
      <x:c r="I2337" t="n">
        <x:v>4.4</x:v>
      </x:c>
      <x:c r="J2337" t="n">
        <x:v>22</x:v>
      </x:c>
      <x:c r="K2337" t="n">
        <x:v>11</x:v>
      </x:c>
      <x:c r="L2337" t="str">
        <x:v>STORE-001</x:v>
      </x:c>
      <x:c r="M2337" s="22" t="n">
        <x:v>46069</x:v>
      </x:c>
      <x:c r="N2337" t="str">
        <x:v>SKU-002</x:v>
      </x:c>
      <x:c r="O2337" t="n">
        <x:v>3</x:v>
      </x:c>
      <x:c r="P2337" s="26" t="n">
        <x:f>F2337/O2337</x:f>
        <x:v>2.7899999999999996</x:v>
      </x:c>
    </x:row>
    <x:row r="2338">
      <x:c r="A2338" t="n">
        <x:v>2337</x:v>
      </x:c>
      <x:c r="B2338" t="n">
        <x:v>45</x:v>
      </x:c>
      <x:c r="C2338" t="str">
        <x:v>Male</x:v>
      </x:c>
      <x:c r="D2338" t="str">
        <x:v>Mens Clothing</x:v>
      </x:c>
      <x:c r="E2338" t="str">
        <x:v>Shirt</x:v>
      </x:c>
      <x:c r="F2338" s="24" t="n">
        <x:v>157.65</x:v>
      </x:c>
      <x:c r="G2338" t="str">
        <x:v>Winter</x:v>
      </x:c>
      <x:c r="H2338" t="str">
        <x:v>Card</x:v>
      </x:c>
      <x:c r="I2338" t="n">
        <x:v>2.7</x:v>
      </x:c>
      <x:c r="J2338" t="n">
        <x:v>15</x:v>
      </x:c>
      <x:c r="K2338" t="n">
        <x:v>5</x:v>
      </x:c>
      <x:c r="L2338" t="str">
        <x:v>STORE-001</x:v>
      </x:c>
      <x:c r="M2338" s="22" t="n">
        <x:v>46252</x:v>
      </x:c>
      <x:c r="N2338" t="str">
        <x:v>SKU-020</x:v>
      </x:c>
      <x:c r="O2338" t="n">
        <x:v>1</x:v>
      </x:c>
      <x:c r="P2338" s="26" t="n">
        <x:f>F2338/O2338</x:f>
        <x:v>157.65</x:v>
      </x:c>
    </x:row>
    <x:row r="2339">
      <x:c r="A2339" t="n">
        <x:v>2338</x:v>
      </x:c>
      <x:c r="B2339" t="n">
        <x:v>37</x:v>
      </x:c>
      <x:c r="C2339" t="str">
        <x:v>Female</x:v>
      </x:c>
      <x:c r="D2339" t="str">
        <x:v>Accessories</x:v>
      </x:c>
      <x:c r="E2339" t="str">
        <x:v>Sunglasses</x:v>
      </x:c>
      <x:c r="F2339" s="24" t="n">
        <x:v>172.44</x:v>
      </x:c>
      <x:c r="G2339" t="str">
        <x:v>Summer</x:v>
      </x:c>
      <x:c r="H2339" t="str">
        <x:v>Card</x:v>
      </x:c>
      <x:c r="I2339" t="n">
        <x:v>3.9</x:v>
      </x:c>
      <x:c r="J2339" t="n">
        <x:v>18</x:v>
      </x:c>
      <x:c r="K2339" t="n">
        <x:v>9</x:v>
      </x:c>
      <x:c r="L2339" t="str">
        <x:v>STORE-001</x:v>
      </x:c>
      <x:c r="M2339" s="22" t="n">
        <x:v>45997</x:v>
      </x:c>
      <x:c r="N2339" t="str">
        <x:v>SKU-026</x:v>
      </x:c>
      <x:c r="O2339" t="n">
        <x:v>4</x:v>
      </x:c>
      <x:c r="P2339" s="26" t="n">
        <x:f>F2339/O2339</x:f>
        <x:v>43.11</x:v>
      </x:c>
    </x:row>
    <x:row r="2340">
      <x:c r="A2340" t="n">
        <x:v>2339</x:v>
      </x:c>
      <x:c r="B2340" t="n">
        <x:v>55</x:v>
      </x:c>
      <x:c r="C2340" t="str">
        <x:v>Female</x:v>
      </x:c>
      <x:c r="D2340" t="str">
        <x:v>Accessories</x:v>
      </x:c>
      <x:c r="E2340" t="str">
        <x:v>Wallet</x:v>
      </x:c>
      <x:c r="F2340" s="24" t="n">
        <x:v>109.99</x:v>
      </x:c>
      <x:c r="G2340" t="str">
        <x:v>Summer</x:v>
      </x:c>
      <x:c r="H2340" t="str">
        <x:v>Card</x:v>
      </x:c>
      <x:c r="I2340" t="n">
        <x:v>3.8</x:v>
      </x:c>
      <x:c r="J2340" t="n">
        <x:v>6</x:v>
      </x:c>
      <x:c r="K2340" t="n">
        <x:v>3</x:v>
      </x:c>
      <x:c r="L2340" t="str">
        <x:v>STORE-001</x:v>
      </x:c>
      <x:c r="M2340" s="22" t="n">
        <x:v>46055</x:v>
      </x:c>
      <x:c r="N2340" t="str">
        <x:v>SKU-029</x:v>
      </x:c>
      <x:c r="O2340" t="n">
        <x:v>3</x:v>
      </x:c>
      <x:c r="P2340" s="26" t="n">
        <x:f>F2340/O2340</x:f>
        <x:v>36.663333333333334</x:v>
      </x:c>
    </x:row>
    <x:row r="2341">
      <x:c r="A2341" t="n">
        <x:v>2340</x:v>
      </x:c>
      <x:c r="B2341" t="n">
        <x:v>26</x:v>
      </x:c>
      <x:c r="C2341" t="str">
        <x:v>Male</x:v>
      </x:c>
      <x:c r="D2341" t="str">
        <x:v>Footwear</x:v>
      </x:c>
      <x:c r="E2341" t="str">
        <x:v>Sandals</x:v>
      </x:c>
      <x:c r="F2341" s="24" t="n">
        <x:v>123.73</x:v>
      </x:c>
      <x:c r="G2341" t="str">
        <x:v>Spring</x:v>
      </x:c>
      <x:c r="H2341" t="str">
        <x:v>Card</x:v>
      </x:c>
      <x:c r="I2341" t="n">
        <x:v>3.3</x:v>
      </x:c>
      <x:c r="J2341" t="n">
        <x:v>23</x:v>
      </x:c>
      <x:c r="K2341" t="n">
        <x:v>9</x:v>
      </x:c>
      <x:c r="L2341" t="str">
        <x:v>STORE-001</x:v>
      </x:c>
      <x:c r="M2341" s="22" t="n">
        <x:v>45969</x:v>
      </x:c>
      <x:c r="N2341" t="str">
        <x:v>SKU-019</x:v>
      </x:c>
      <x:c r="O2341" t="n">
        <x:v>2</x:v>
      </x:c>
      <x:c r="P2341" s="26" t="n">
        <x:f>F2341/O2341</x:f>
        <x:v>61.865</x:v>
      </x:c>
    </x:row>
    <x:row r="2342">
      <x:c r="A2342" t="n">
        <x:v>2341</x:v>
      </x:c>
      <x:c r="B2342" t="n">
        <x:v>66</x:v>
      </x:c>
      <x:c r="C2342" t="str">
        <x:v>Female</x:v>
      </x:c>
      <x:c r="D2342" t="str">
        <x:v>Beauty</x:v>
      </x:c>
      <x:c r="E2342" t="str">
        <x:v>Skincare Kit</x:v>
      </x:c>
      <x:c r="F2342" s="24" t="n">
        <x:v>102.25</x:v>
      </x:c>
      <x:c r="G2342" t="str">
        <x:v>Spring</x:v>
      </x:c>
      <x:c r="H2342" t="str">
        <x:v>Card</x:v>
      </x:c>
      <x:c r="I2342" t="n">
        <x:v>3.4</x:v>
      </x:c>
      <x:c r="J2342" t="n">
        <x:v>16</x:v>
      </x:c>
      <x:c r="K2342" t="n">
        <x:v>3</x:v>
      </x:c>
      <x:c r="L2342" t="str">
        <x:v>STORE-001</x:v>
      </x:c>
      <x:c r="M2342" s="22" t="n">
        <x:v>46280</x:v>
      </x:c>
      <x:c r="N2342" t="str">
        <x:v>SKU-021</x:v>
      </x:c>
      <x:c r="O2342" t="n">
        <x:v>1</x:v>
      </x:c>
      <x:c r="P2342" s="26" t="n">
        <x:f>F2342/O2342</x:f>
        <x:v>102.25</x:v>
      </x:c>
    </x:row>
    <x:row r="2343">
      <x:c r="A2343" t="n">
        <x:v>2342</x:v>
      </x:c>
      <x:c r="B2343" t="n">
        <x:v>49</x:v>
      </x:c>
      <x:c r="C2343" t="str">
        <x:v>Female</x:v>
      </x:c>
      <x:c r="D2343" t="str">
        <x:v>Womens Clothing</x:v>
      </x:c>
      <x:c r="E2343" t="str">
        <x:v>Dress</x:v>
      </x:c>
      <x:c r="F2343" s="24" t="n">
        <x:v>46.77</x:v>
      </x:c>
      <x:c r="G2343" t="str">
        <x:v>Summer</x:v>
      </x:c>
      <x:c r="H2343" t="str">
        <x:v>Cash on Delivery</x:v>
      </x:c>
      <x:c r="I2343" t="n">
        <x:v>4.4</x:v>
      </x:c>
      <x:c r="J2343" t="n">
        <x:v>14</x:v>
      </x:c>
      <x:c r="K2343" t="n">
        <x:v>2</x:v>
      </x:c>
      <x:c r="L2343" t="str">
        <x:v>STORE-001</x:v>
      </x:c>
      <x:c r="M2343" s="22" t="n">
        <x:v>46061</x:v>
      </x:c>
      <x:c r="N2343" t="str">
        <x:v>SKU-004</x:v>
      </x:c>
      <x:c r="O2343" t="n">
        <x:v>1</x:v>
      </x:c>
      <x:c r="P2343" s="26" t="n">
        <x:f>F2343/O2343</x:f>
        <x:v>46.77</x:v>
      </x:c>
    </x:row>
    <x:row r="2344">
      <x:c r="A2344" t="n">
        <x:v>2343</x:v>
      </x:c>
      <x:c r="B2344" t="n">
        <x:v>52</x:v>
      </x:c>
      <x:c r="C2344" t="str">
        <x:v>Male</x:v>
      </x:c>
      <x:c r="D2344" t="str">
        <x:v>Footwear</x:v>
      </x:c>
      <x:c r="E2344" t="str">
        <x:v>Sandals</x:v>
      </x:c>
      <x:c r="F2344" s="24" t="n">
        <x:v>107.99</x:v>
      </x:c>
      <x:c r="G2344" t="str">
        <x:v>Winter</x:v>
      </x:c>
      <x:c r="H2344" t="str">
        <x:v>Card</x:v>
      </x:c>
      <x:c r="I2344" t="n">
        <x:v>3.7</x:v>
      </x:c>
      <x:c r="J2344" t="n">
        <x:v>14</x:v>
      </x:c>
      <x:c r="K2344" t="n">
        <x:v>7</x:v>
      </x:c>
      <x:c r="L2344" t="str">
        <x:v>STORE-001</x:v>
      </x:c>
      <x:c r="M2344" s="22" t="n">
        <x:v>46229</x:v>
      </x:c>
      <x:c r="N2344" t="str">
        <x:v>SKU-019</x:v>
      </x:c>
      <x:c r="O2344" t="n">
        <x:v>1</x:v>
      </x:c>
      <x:c r="P2344" s="26" t="n">
        <x:f>F2344/O2344</x:f>
        <x:v>107.99</x:v>
      </x:c>
    </x:row>
    <x:row r="2345">
      <x:c r="A2345" t="n">
        <x:v>2344</x:v>
      </x:c>
      <x:c r="B2345" t="n">
        <x:v>57</x:v>
      </x:c>
      <x:c r="C2345" t="str">
        <x:v>Female</x:v>
      </x:c>
      <x:c r="D2345" t="str">
        <x:v>Sports</x:v>
      </x:c>
      <x:c r="E2345" t="str">
        <x:v>Yoga Mat</x:v>
      </x:c>
      <x:c r="F2345" s="24" t="n">
        <x:v>133.57</x:v>
      </x:c>
      <x:c r="G2345" t="str">
        <x:v>Autumn</x:v>
      </x:c>
      <x:c r="H2345" t="str">
        <x:v>Card</x:v>
      </x:c>
      <x:c r="I2345" t="n">
        <x:v>3.8</x:v>
      </x:c>
      <x:c r="J2345" t="n">
        <x:v>24</x:v>
      </x:c>
      <x:c r="K2345" t="n">
        <x:v>7</x:v>
      </x:c>
      <x:c r="L2345" t="str">
        <x:v>STORE-001</x:v>
      </x:c>
      <x:c r="M2345" s="22" t="n">
        <x:v>46123</x:v>
      </x:c>
      <x:c r="N2345" t="str">
        <x:v>SKU-030</x:v>
      </x:c>
      <x:c r="O2345" t="n">
        <x:v>2</x:v>
      </x:c>
      <x:c r="P2345" s="26" t="n">
        <x:f>F2345/O2345</x:f>
        <x:v>66.785</x:v>
      </x:c>
    </x:row>
    <x:row r="2346">
      <x:c r="A2346" t="n">
        <x:v>2345</x:v>
      </x:c>
      <x:c r="B2346" t="n">
        <x:v>66</x:v>
      </x:c>
      <x:c r="C2346" t="str">
        <x:v>Male</x:v>
      </x:c>
      <x:c r="D2346" t="str">
        <x:v>Mens Clothing</x:v>
      </x:c>
      <x:c r="E2346" t="str">
        <x:v>T-Shirt</x:v>
      </x:c>
      <x:c r="F2346" s="24" t="n">
        <x:v>95.73</x:v>
      </x:c>
      <x:c r="G2346" t="str">
        <x:v>Winter</x:v>
      </x:c>
      <x:c r="H2346" t="str">
        <x:v>Cash on Delivery</x:v>
      </x:c>
      <x:c r="I2346" t="n">
        <x:v>2.7</x:v>
      </x:c>
      <x:c r="J2346" t="n">
        <x:v>19</x:v>
      </x:c>
      <x:c r="K2346" t="n">
        <x:v>7</x:v>
      </x:c>
      <x:c r="L2346" t="str">
        <x:v>STORE-001</x:v>
      </x:c>
      <x:c r="M2346" s="22" t="n">
        <x:v>46214</x:v>
      </x:c>
      <x:c r="N2346" t="str">
        <x:v>SKU-027</x:v>
      </x:c>
      <x:c r="O2346" t="n">
        <x:v>1</x:v>
      </x:c>
      <x:c r="P2346" s="26" t="n">
        <x:f>F2346/O2346</x:f>
        <x:v>95.73</x:v>
      </x:c>
    </x:row>
    <x:row r="2347">
      <x:c r="A2347" t="n">
        <x:v>2346</x:v>
      </x:c>
      <x:c r="B2347" t="n">
        <x:v>55</x:v>
      </x:c>
      <x:c r="C2347" t="str">
        <x:v>Male</x:v>
      </x:c>
      <x:c r="D2347" t="str">
        <x:v>Footwear</x:v>
      </x:c>
      <x:c r="E2347" t="str">
        <x:v>Sandals</x:v>
      </x:c>
      <x:c r="F2347" s="24" t="n">
        <x:v>97.58</x:v>
      </x:c>
      <x:c r="G2347" t="str">
        <x:v>Spring</x:v>
      </x:c>
      <x:c r="H2347" t="str">
        <x:v>Card</x:v>
      </x:c>
      <x:c r="I2347" t="n">
        <x:v>3.5</x:v>
      </x:c>
      <x:c r="J2347" t="n">
        <x:v>16</x:v>
      </x:c>
      <x:c r="K2347" t="n">
        <x:v>3</x:v>
      </x:c>
      <x:c r="L2347" t="str">
        <x:v>STORE-001</x:v>
      </x:c>
      <x:c r="M2347" s="22" t="n">
        <x:v>45981</x:v>
      </x:c>
      <x:c r="N2347" t="str">
        <x:v>SKU-019</x:v>
      </x:c>
      <x:c r="O2347" t="n">
        <x:v>1</x:v>
      </x:c>
      <x:c r="P2347" s="26" t="n">
        <x:f>F2347/O2347</x:f>
        <x:v>97.58</x:v>
      </x:c>
    </x:row>
    <x:row r="2348">
      <x:c r="A2348" t="n">
        <x:v>2347</x:v>
      </x:c>
      <x:c r="B2348" t="n">
        <x:v>34</x:v>
      </x:c>
      <x:c r="C2348" t="str">
        <x:v>Female</x:v>
      </x:c>
      <x:c r="D2348" t="str">
        <x:v>Footwear</x:v>
      </x:c>
      <x:c r="E2348" t="str">
        <x:v>Sandals</x:v>
      </x:c>
      <x:c r="F2348" s="24" t="n">
        <x:v>46.66</x:v>
      </x:c>
      <x:c r="G2348" t="str">
        <x:v>Autumn</x:v>
      </x:c>
      <x:c r="H2348" t="str">
        <x:v>Card</x:v>
      </x:c>
      <x:c r="I2348" t="n">
        <x:v>4.1</x:v>
      </x:c>
      <x:c r="J2348" t="n">
        <x:v>15</x:v>
      </x:c>
      <x:c r="K2348" t="n">
        <x:v>5</x:v>
      </x:c>
      <x:c r="L2348" t="str">
        <x:v>STORE-001</x:v>
      </x:c>
      <x:c r="M2348" s="22" t="n">
        <x:v>46126</x:v>
      </x:c>
      <x:c r="N2348" t="str">
        <x:v>SKU-019</x:v>
      </x:c>
      <x:c r="O2348" t="n">
        <x:v>1</x:v>
      </x:c>
      <x:c r="P2348" s="26" t="n">
        <x:f>F2348/O2348</x:f>
        <x:v>46.66</x:v>
      </x:c>
    </x:row>
    <x:row r="2349">
      <x:c r="A2349" t="n">
        <x:v>2348</x:v>
      </x:c>
      <x:c r="B2349" t="n">
        <x:v>57</x:v>
      </x:c>
      <x:c r="C2349" t="str">
        <x:v>Female</x:v>
      </x:c>
      <x:c r="D2349" t="str">
        <x:v>Womens Clothing</x:v>
      </x:c>
      <x:c r="E2349" t="str">
        <x:v>Skirt</x:v>
      </x:c>
      <x:c r="F2349" s="24" t="n">
        <x:v>120.4</x:v>
      </x:c>
      <x:c r="G2349" t="str">
        <x:v>Spring</x:v>
      </x:c>
      <x:c r="H2349" t="str">
        <x:v>Card</x:v>
      </x:c>
      <x:c r="I2349" t="n">
        <x:v>3.5</x:v>
      </x:c>
      <x:c r="J2349" t="n">
        <x:v>18</x:v>
      </x:c>
      <x:c r="K2349" t="n">
        <x:v>4</x:v>
      </x:c>
      <x:c r="L2349" t="str">
        <x:v>STORE-001</x:v>
      </x:c>
      <x:c r="M2349" s="22" t="n">
        <x:v>45931</x:v>
      </x:c>
      <x:c r="N2349" t="str">
        <x:v>SKU-022</x:v>
      </x:c>
      <x:c r="O2349" t="n">
        <x:v>1</x:v>
      </x:c>
      <x:c r="P2349" s="26" t="n">
        <x:f>F2349/O2349</x:f>
        <x:v>120.4</x:v>
      </x:c>
    </x:row>
    <x:row r="2350">
      <x:c r="A2350" t="n">
        <x:v>2349</x:v>
      </x:c>
      <x:c r="B2350" t="n">
        <x:v>25</x:v>
      </x:c>
      <x:c r="C2350" t="str">
        <x:v>Female</x:v>
      </x:c>
      <x:c r="D2350" t="str">
        <x:v>Groceries</x:v>
      </x:c>
      <x:c r="E2350" t="str">
        <x:v>Beverages</x:v>
      </x:c>
      <x:c r="F2350" s="24" t="n">
        <x:v>32.25</x:v>
      </x:c>
      <x:c r="G2350" t="str">
        <x:v>Winter</x:v>
      </x:c>
      <x:c r="H2350" t="str">
        <x:v>Cash on Delivery</x:v>
      </x:c>
      <x:c r="I2350" t="n">
        <x:v>3.5</x:v>
      </x:c>
      <x:c r="J2350" t="n">
        <x:v>15</x:v>
      </x:c>
      <x:c r="K2350" t="n">
        <x:v>5</x:v>
      </x:c>
      <x:c r="L2350" t="str">
        <x:v>STORE-001</x:v>
      </x:c>
      <x:c r="M2350" s="22" t="n">
        <x:v>46189</x:v>
      </x:c>
      <x:c r="N2350" t="str">
        <x:v>SKU-001</x:v>
      </x:c>
      <x:c r="O2350" t="n">
        <x:v>2</x:v>
      </x:c>
      <x:c r="P2350" s="26" t="n">
        <x:f>F2350/O2350</x:f>
        <x:v>16.125</x:v>
      </x:c>
    </x:row>
    <x:row r="2351">
      <x:c r="A2351" t="n">
        <x:v>2350</x:v>
      </x:c>
      <x:c r="B2351" t="n">
        <x:v>56</x:v>
      </x:c>
      <x:c r="C2351" t="str">
        <x:v>Female</x:v>
      </x:c>
      <x:c r="D2351" t="str">
        <x:v>Beauty</x:v>
      </x:c>
      <x:c r="E2351" t="str">
        <x:v>Makeup Set</x:v>
      </x:c>
      <x:c r="F2351" s="24" t="n">
        <x:v>140.52</x:v>
      </x:c>
      <x:c r="G2351" t="str">
        <x:v>Autumn</x:v>
      </x:c>
      <x:c r="H2351" t="str">
        <x:v>Card</x:v>
      </x:c>
      <x:c r="I2351" t="n">
        <x:v>3.7</x:v>
      </x:c>
      <x:c r="J2351" t="n">
        <x:v>6</x:v>
      </x:c>
      <x:c r="K2351" t="n">
        <x:v>3</x:v>
      </x:c>
      <x:c r="L2351" t="str">
        <x:v>STORE-001</x:v>
      </x:c>
      <x:c r="M2351" s="22" t="n">
        <x:v>46097</x:v>
      </x:c>
      <x:c r="N2351" t="str">
        <x:v>SKU-015</x:v>
      </x:c>
      <x:c r="O2351" t="n">
        <x:v>2</x:v>
      </x:c>
      <x:c r="P2351" s="26" t="n">
        <x:f>F2351/O2351</x:f>
        <x:v>70.26</x:v>
      </x:c>
    </x:row>
    <x:row r="2352">
      <x:c r="A2352" t="n">
        <x:v>2351</x:v>
      </x:c>
      <x:c r="B2352" t="n">
        <x:v>63</x:v>
      </x:c>
      <x:c r="C2352" t="str">
        <x:v>Male</x:v>
      </x:c>
      <x:c r="D2352" t="str">
        <x:v>Mens Clothing</x:v>
      </x:c>
      <x:c r="E2352" t="str">
        <x:v>T-Shirt</x:v>
      </x:c>
      <x:c r="F2352" s="24" t="n">
        <x:v>56.51</x:v>
      </x:c>
      <x:c r="G2352" t="str">
        <x:v>Spring</x:v>
      </x:c>
      <x:c r="H2352" t="str">
        <x:v>Card</x:v>
      </x:c>
      <x:c r="I2352" t="n">
        <x:v>3.4</x:v>
      </x:c>
      <x:c r="J2352" t="n">
        <x:v>13</x:v>
      </x:c>
      <x:c r="K2352" t="n">
        <x:v>4</x:v>
      </x:c>
      <x:c r="L2352" t="str">
        <x:v>STORE-001</x:v>
      </x:c>
      <x:c r="M2352" s="22" t="n">
        <x:v>45958</x:v>
      </x:c>
      <x:c r="N2352" t="str">
        <x:v>SKU-027</x:v>
      </x:c>
      <x:c r="O2352" t="n">
        <x:v>1</x:v>
      </x:c>
      <x:c r="P2352" s="26" t="n">
        <x:f>F2352/O2352</x:f>
        <x:v>56.51</x:v>
      </x:c>
    </x:row>
    <x:row r="2353">
      <x:c r="A2353" t="n">
        <x:v>2352</x:v>
      </x:c>
      <x:c r="B2353" t="n">
        <x:v>41</x:v>
      </x:c>
      <x:c r="C2353" t="str">
        <x:v>Male</x:v>
      </x:c>
      <x:c r="D2353" t="str">
        <x:v>Electronics</x:v>
      </x:c>
      <x:c r="E2353" t="str">
        <x:v>Smart Watch</x:v>
      </x:c>
      <x:c r="F2353" s="24" t="n">
        <x:v>1053.68</x:v>
      </x:c>
      <x:c r="G2353" t="str">
        <x:v>Summer</x:v>
      </x:c>
      <x:c r="H2353" t="str">
        <x:v>Card</x:v>
      </x:c>
      <x:c r="I2353" t="n">
        <x:v>3.5</x:v>
      </x:c>
      <x:c r="J2353" t="n">
        <x:v>6</x:v>
      </x:c>
      <x:c r="K2353" t="n">
        <x:v>3</x:v>
      </x:c>
      <x:c r="L2353" t="str">
        <x:v>STORE-001</x:v>
      </x:c>
      <x:c r="M2353" s="22" t="n">
        <x:v>46016</x:v>
      </x:c>
      <x:c r="N2353" t="str">
        <x:v>SKU-023</x:v>
      </x:c>
      <x:c r="O2353" t="n">
        <x:v>1</x:v>
      </x:c>
      <x:c r="P2353" s="26" t="n">
        <x:f>F2353/O2353</x:f>
        <x:v>1053.68</x:v>
      </x:c>
    </x:row>
    <x:row r="2354">
      <x:c r="A2354" t="n">
        <x:v>2353</x:v>
      </x:c>
      <x:c r="B2354" t="n">
        <x:v>57</x:v>
      </x:c>
      <x:c r="C2354" t="str">
        <x:v>Male</x:v>
      </x:c>
      <x:c r="D2354" t="str">
        <x:v>Mens Clothing</x:v>
      </x:c>
      <x:c r="E2354" t="str">
        <x:v>Shirt</x:v>
      </x:c>
      <x:c r="F2354" s="24" t="n">
        <x:v>147.73</x:v>
      </x:c>
      <x:c r="G2354" t="str">
        <x:v>Winter</x:v>
      </x:c>
      <x:c r="H2354" t="str">
        <x:v>Card</x:v>
      </x:c>
      <x:c r="I2354" t="n">
        <x:v>3.6</x:v>
      </x:c>
      <x:c r="J2354" t="n">
        <x:v>15</x:v>
      </x:c>
      <x:c r="K2354" t="n">
        <x:v>5</x:v>
      </x:c>
      <x:c r="L2354" t="str">
        <x:v>STORE-001</x:v>
      </x:c>
      <x:c r="M2354" s="22" t="n">
        <x:v>46185</x:v>
      </x:c>
      <x:c r="N2354" t="str">
        <x:v>SKU-020</x:v>
      </x:c>
      <x:c r="O2354" t="n">
        <x:v>1</x:v>
      </x:c>
      <x:c r="P2354" s="26" t="n">
        <x:f>F2354/O2354</x:f>
        <x:v>147.73</x:v>
      </x:c>
    </x:row>
    <x:row r="2355">
      <x:c r="A2355" t="n">
        <x:v>2354</x:v>
      </x:c>
      <x:c r="B2355" t="n">
        <x:v>29</x:v>
      </x:c>
      <x:c r="C2355" t="str">
        <x:v>Female</x:v>
      </x:c>
      <x:c r="D2355" t="str">
        <x:v>Home</x:v>
      </x:c>
      <x:c r="E2355" t="str">
        <x:v>Curtains</x:v>
      </x:c>
      <x:c r="F2355" s="24" t="n">
        <x:v>58.79</x:v>
      </x:c>
      <x:c r="G2355" t="str">
        <x:v>Autumn</x:v>
      </x:c>
      <x:c r="H2355" t="str">
        <x:v>Cash on Delivery</x:v>
      </x:c>
      <x:c r="I2355" t="n">
        <x:v>2.4</x:v>
      </x:c>
      <x:c r="J2355" t="n">
        <x:v>18</x:v>
      </x:c>
      <x:c r="K2355" t="n">
        <x:v>9</x:v>
      </x:c>
      <x:c r="L2355" t="str">
        <x:v>STORE-001</x:v>
      </x:c>
      <x:c r="M2355" s="22" t="n">
        <x:v>46082</x:v>
      </x:c>
      <x:c r="N2355" t="str">
        <x:v>SKU-003</x:v>
      </x:c>
      <x:c r="O2355" t="n">
        <x:v>2</x:v>
      </x:c>
      <x:c r="P2355" s="26" t="n">
        <x:f>F2355/O2355</x:f>
        <x:v>29.395</x:v>
      </x:c>
    </x:row>
    <x:row r="2356">
      <x:c r="A2356" t="n">
        <x:v>2355</x:v>
      </x:c>
      <x:c r="B2356" t="n">
        <x:v>52</x:v>
      </x:c>
      <x:c r="C2356" t="str">
        <x:v>Female</x:v>
      </x:c>
      <x:c r="D2356" t="str">
        <x:v>Groceries</x:v>
      </x:c>
      <x:c r="E2356" t="str">
        <x:v>Rice Pack</x:v>
      </x:c>
      <x:c r="F2356" s="24" t="n">
        <x:v>17.37</x:v>
      </x:c>
      <x:c r="G2356" t="str">
        <x:v>Winter</x:v>
      </x:c>
      <x:c r="H2356" t="str">
        <x:v>Cash on Delivery</x:v>
      </x:c>
      <x:c r="I2356" t="n">
        <x:v>4.3</x:v>
      </x:c>
      <x:c r="J2356" t="n">
        <x:v>17</x:v>
      </x:c>
      <x:c r="K2356" t="n">
        <x:v>6</x:v>
      </x:c>
      <x:c r="L2356" t="str">
        <x:v>STORE-001</x:v>
      </x:c>
      <x:c r="M2356" s="22" t="n">
        <x:v>46179</x:v>
      </x:c>
      <x:c r="N2356" t="str">
        <x:v>SKU-018</x:v>
      </x:c>
      <x:c r="O2356" t="n">
        <x:v>2</x:v>
      </x:c>
      <x:c r="P2356" s="26" t="n">
        <x:f>F2356/O2356</x:f>
        <x:v>8.685</x:v>
      </x:c>
    </x:row>
    <x:row r="2357">
      <x:c r="A2357" t="n">
        <x:v>2356</x:v>
      </x:c>
      <x:c r="B2357" t="n">
        <x:v>59</x:v>
      </x:c>
      <x:c r="C2357" t="str">
        <x:v>Female</x:v>
      </x:c>
      <x:c r="D2357" t="str">
        <x:v>Accessories</x:v>
      </x:c>
      <x:c r="E2357" t="str">
        <x:v>Wallet</x:v>
      </x:c>
      <x:c r="F2357" s="24" t="n">
        <x:v>153.74</x:v>
      </x:c>
      <x:c r="G2357" t="str">
        <x:v>Winter</x:v>
      </x:c>
      <x:c r="H2357" t="str">
        <x:v>Card</x:v>
      </x:c>
      <x:c r="I2357" t="n">
        <x:v>4</x:v>
      </x:c>
      <x:c r="J2357" t="n">
        <x:v>15</x:v>
      </x:c>
      <x:c r="K2357" t="n">
        <x:v>5</x:v>
      </x:c>
      <x:c r="L2357" t="str">
        <x:v>STORE-001</x:v>
      </x:c>
      <x:c r="M2357" s="22" t="n">
        <x:v>46230</x:v>
      </x:c>
      <x:c r="N2357" t="str">
        <x:v>SKU-029</x:v>
      </x:c>
      <x:c r="O2357" t="n">
        <x:v>1</x:v>
      </x:c>
      <x:c r="P2357" s="26" t="n">
        <x:f>F2357/O2357</x:f>
        <x:v>153.74</x:v>
      </x:c>
    </x:row>
    <x:row r="2358">
      <x:c r="A2358" t="n">
        <x:v>2357</x:v>
      </x:c>
      <x:c r="B2358" t="n">
        <x:v>70</x:v>
      </x:c>
      <x:c r="C2358" t="str">
        <x:v>Male</x:v>
      </x:c>
      <x:c r="D2358" t="str">
        <x:v>Groceries</x:v>
      </x:c>
      <x:c r="E2358" t="str">
        <x:v>Cooking Oil</x:v>
      </x:c>
      <x:c r="F2358" s="24" t="n">
        <x:v>22.29</x:v>
      </x:c>
      <x:c r="G2358" t="str">
        <x:v>Winter</x:v>
      </x:c>
      <x:c r="H2358" t="str">
        <x:v>Cash on Delivery</x:v>
      </x:c>
      <x:c r="I2358" t="n">
        <x:v>4.2</x:v>
      </x:c>
      <x:c r="J2358" t="n">
        <x:v>12</x:v>
      </x:c>
      <x:c r="K2358" t="n">
        <x:v>6</x:v>
      </x:c>
      <x:c r="L2358" t="str">
        <x:v>STORE-001</x:v>
      </x:c>
      <x:c r="M2358" s="22" t="n">
        <x:v>46244</x:v>
      </x:c>
      <x:c r="N2358" t="str">
        <x:v>SKU-002</x:v>
      </x:c>
      <x:c r="O2358" t="n">
        <x:v>2</x:v>
      </x:c>
      <x:c r="P2358" s="26" t="n">
        <x:f>F2358/O2358</x:f>
        <x:v>11.145</x:v>
      </x:c>
    </x:row>
    <x:row r="2359">
      <x:c r="A2359" t="n">
        <x:v>2358</x:v>
      </x:c>
      <x:c r="B2359" t="n">
        <x:v>50</x:v>
      </x:c>
      <x:c r="C2359" t="str">
        <x:v>Female</x:v>
      </x:c>
      <x:c r="D2359" t="str">
        <x:v>Beauty</x:v>
      </x:c>
      <x:c r="E2359" t="str">
        <x:v>Makeup Set</x:v>
      </x:c>
      <x:c r="F2359" s="24" t="n">
        <x:v>29.51</x:v>
      </x:c>
      <x:c r="G2359" t="str">
        <x:v>Spring</x:v>
      </x:c>
      <x:c r="H2359" t="str">
        <x:v>Cash on Delivery</x:v>
      </x:c>
      <x:c r="I2359" t="n">
        <x:v>4.2</x:v>
      </x:c>
      <x:c r="J2359" t="n">
        <x:v>34</x:v>
      </x:c>
      <x:c r="K2359" t="n">
        <x:v>12</x:v>
      </x:c>
      <x:c r="L2359" t="str">
        <x:v>STORE-001</x:v>
      </x:c>
      <x:c r="M2359" s="22" t="n">
        <x:v>46275</x:v>
      </x:c>
      <x:c r="N2359" t="str">
        <x:v>SKU-015</x:v>
      </x:c>
      <x:c r="O2359" t="n">
        <x:v>2</x:v>
      </x:c>
      <x:c r="P2359" s="26" t="n">
        <x:f>F2359/O2359</x:f>
        <x:v>14.755</x:v>
      </x:c>
    </x:row>
    <x:row r="2360">
      <x:c r="A2360" t="n">
        <x:v>2359</x:v>
      </x:c>
      <x:c r="B2360" t="n">
        <x:v>24</x:v>
      </x:c>
      <x:c r="C2360" t="str">
        <x:v>Male</x:v>
      </x:c>
      <x:c r="D2360" t="str">
        <x:v>Sports</x:v>
      </x:c>
      <x:c r="E2360" t="str">
        <x:v>Yoga Mat</x:v>
      </x:c>
      <x:c r="F2360" s="24" t="n">
        <x:v>232.38</x:v>
      </x:c>
      <x:c r="G2360" t="str">
        <x:v>Spring</x:v>
      </x:c>
      <x:c r="H2360" t="str">
        <x:v>Card</x:v>
      </x:c>
      <x:c r="I2360" t="n">
        <x:v>4.7</x:v>
      </x:c>
      <x:c r="J2360" t="n">
        <x:v>22</x:v>
      </x:c>
      <x:c r="K2360" t="n">
        <x:v>6</x:v>
      </x:c>
      <x:c r="L2360" t="str">
        <x:v>STORE-001</x:v>
      </x:c>
      <x:c r="M2360" s="22" t="n">
        <x:v>46267</x:v>
      </x:c>
      <x:c r="N2360" t="str">
        <x:v>SKU-030</x:v>
      </x:c>
      <x:c r="O2360" t="n">
        <x:v>1</x:v>
      </x:c>
      <x:c r="P2360" s="26" t="n">
        <x:f>F2360/O2360</x:f>
        <x:v>232.38</x:v>
      </x:c>
    </x:row>
    <x:row r="2361">
      <x:c r="A2361" t="n">
        <x:v>2360</x:v>
      </x:c>
      <x:c r="B2361" t="n">
        <x:v>45</x:v>
      </x:c>
      <x:c r="C2361" t="str">
        <x:v>Female</x:v>
      </x:c>
      <x:c r="D2361" t="str">
        <x:v>Sports</x:v>
      </x:c>
      <x:c r="E2361" t="str">
        <x:v>Yoga Mat</x:v>
      </x:c>
      <x:c r="F2361" s="24" t="n">
        <x:v>107.39</x:v>
      </x:c>
      <x:c r="G2361" t="str">
        <x:v>Spring</x:v>
      </x:c>
      <x:c r="H2361" t="str">
        <x:v>Card</x:v>
      </x:c>
      <x:c r="I2361" t="n">
        <x:v>4.1</x:v>
      </x:c>
      <x:c r="J2361" t="n">
        <x:v>12</x:v>
      </x:c>
      <x:c r="K2361" t="n">
        <x:v>6</x:v>
      </x:c>
      <x:c r="L2361" t="str">
        <x:v>STORE-001</x:v>
      </x:c>
      <x:c r="M2361" s="22" t="n">
        <x:v>45971</x:v>
      </x:c>
      <x:c r="N2361" t="str">
        <x:v>SKU-030</x:v>
      </x:c>
      <x:c r="O2361" t="n">
        <x:v>2</x:v>
      </x:c>
      <x:c r="P2361" s="26" t="n">
        <x:f>F2361/O2361</x:f>
        <x:v>53.695</x:v>
      </x:c>
    </x:row>
    <x:row r="2362">
      <x:c r="A2362" t="n">
        <x:v>2361</x:v>
      </x:c>
      <x:c r="B2362" t="n">
        <x:v>59</x:v>
      </x:c>
      <x:c r="C2362" t="str">
        <x:v>Female</x:v>
      </x:c>
      <x:c r="D2362" t="str">
        <x:v>Accessories</x:v>
      </x:c>
      <x:c r="E2362" t="str">
        <x:v>Handbag</x:v>
      </x:c>
      <x:c r="F2362" s="24" t="n">
        <x:v>97.16</x:v>
      </x:c>
      <x:c r="G2362" t="str">
        <x:v>Winter</x:v>
      </x:c>
      <x:c r="H2362" t="str">
        <x:v>Cash on Delivery</x:v>
      </x:c>
      <x:c r="I2362" t="n">
        <x:v>2.9</x:v>
      </x:c>
      <x:c r="J2362" t="n">
        <x:v>17</x:v>
      </x:c>
      <x:c r="K2362" t="n">
        <x:v>6</x:v>
      </x:c>
      <x:c r="L2362" t="str">
        <x:v>STORE-001</x:v>
      </x:c>
      <x:c r="M2362" s="22" t="n">
        <x:v>46206</x:v>
      </x:c>
      <x:c r="N2362" t="str">
        <x:v>SKU-008</x:v>
      </x:c>
      <x:c r="O2362" t="n">
        <x:v>1</x:v>
      </x:c>
      <x:c r="P2362" s="26" t="n">
        <x:f>F2362/O2362</x:f>
        <x:v>97.16</x:v>
      </x:c>
    </x:row>
    <x:row r="2363">
      <x:c r="A2363" t="n">
        <x:v>2362</x:v>
      </x:c>
      <x:c r="B2363" t="n">
        <x:v>46</x:v>
      </x:c>
      <x:c r="C2363" t="str">
        <x:v>Male</x:v>
      </x:c>
      <x:c r="D2363" t="str">
        <x:v>Sports</x:v>
      </x:c>
      <x:c r="E2363" t="str">
        <x:v>Dumbbells</x:v>
      </x:c>
      <x:c r="F2363" s="24" t="n">
        <x:v>173.47</x:v>
      </x:c>
      <x:c r="G2363" t="str">
        <x:v>Spring</x:v>
      </x:c>
      <x:c r="H2363" t="str">
        <x:v>Card</x:v>
      </x:c>
      <x:c r="I2363" t="n">
        <x:v>4</x:v>
      </x:c>
      <x:c r="J2363" t="n">
        <x:v>24</x:v>
      </x:c>
      <x:c r="K2363" t="n">
        <x:v>7</x:v>
      </x:c>
      <x:c r="L2363" t="str">
        <x:v>STORE-001</x:v>
      </x:c>
      <x:c r="M2363" s="22" t="n">
        <x:v>46294</x:v>
      </x:c>
      <x:c r="N2363" t="str">
        <x:v>SKU-005</x:v>
      </x:c>
      <x:c r="O2363" t="n">
        <x:v>1</x:v>
      </x:c>
      <x:c r="P2363" s="26" t="n">
        <x:f>F2363/O2363</x:f>
        <x:v>173.47</x:v>
      </x:c>
    </x:row>
    <x:row r="2364">
      <x:c r="A2364" t="n">
        <x:v>2363</x:v>
      </x:c>
      <x:c r="B2364" t="n">
        <x:v>42</x:v>
      </x:c>
      <x:c r="C2364" t="str">
        <x:v>Female</x:v>
      </x:c>
      <x:c r="D2364" t="str">
        <x:v>Footwear</x:v>
      </x:c>
      <x:c r="E2364" t="str">
        <x:v>Formal Shoes</x:v>
      </x:c>
      <x:c r="F2364" s="24" t="n">
        <x:v>119.21</x:v>
      </x:c>
      <x:c r="G2364" t="str">
        <x:v>Summer</x:v>
      </x:c>
      <x:c r="H2364" t="str">
        <x:v>Card</x:v>
      </x:c>
      <x:c r="I2364" t="n">
        <x:v>2.7</x:v>
      </x:c>
      <x:c r="J2364" t="n">
        <x:v>6</x:v>
      </x:c>
      <x:c r="K2364" t="n">
        <x:v>3</x:v>
      </x:c>
      <x:c r="L2364" t="str">
        <x:v>STORE-001</x:v>
      </x:c>
      <x:c r="M2364" s="22" t="n">
        <x:v>46037</x:v>
      </x:c>
      <x:c r="N2364" t="str">
        <x:v>SKU-007</x:v>
      </x:c>
      <x:c r="O2364" t="n">
        <x:v>1</x:v>
      </x:c>
      <x:c r="P2364" s="26" t="n">
        <x:f>F2364/O2364</x:f>
        <x:v>119.21</x:v>
      </x:c>
    </x:row>
    <x:row r="2365">
      <x:c r="A2365" t="n">
        <x:v>2364</x:v>
      </x:c>
      <x:c r="B2365" t="n">
        <x:v>56</x:v>
      </x:c>
      <x:c r="C2365" t="str">
        <x:v>Male</x:v>
      </x:c>
      <x:c r="D2365" t="str">
        <x:v>Sports</x:v>
      </x:c>
      <x:c r="E2365" t="str">
        <x:v>Yoga Mat</x:v>
      </x:c>
      <x:c r="F2365" s="24" t="n">
        <x:v>39.86</x:v>
      </x:c>
      <x:c r="G2365" t="str">
        <x:v>Winter</x:v>
      </x:c>
      <x:c r="H2365" t="str">
        <x:v>Card</x:v>
      </x:c>
      <x:c r="I2365" t="n">
        <x:v>2.9</x:v>
      </x:c>
      <x:c r="J2365" t="n">
        <x:v>4</x:v>
      </x:c>
      <x:c r="K2365" t="n">
        <x:v>2</x:v>
      </x:c>
      <x:c r="L2365" t="str">
        <x:v>STORE-001</x:v>
      </x:c>
      <x:c r="M2365" s="22" t="n">
        <x:v>46242</x:v>
      </x:c>
      <x:c r="N2365" t="str">
        <x:v>SKU-030</x:v>
      </x:c>
      <x:c r="O2365" t="n">
        <x:v>1</x:v>
      </x:c>
      <x:c r="P2365" s="26" t="n">
        <x:f>F2365/O2365</x:f>
        <x:v>39.86</x:v>
      </x:c>
    </x:row>
    <x:row r="2366">
      <x:c r="A2366" t="n">
        <x:v>2365</x:v>
      </x:c>
      <x:c r="B2366" t="n">
        <x:v>22</x:v>
      </x:c>
      <x:c r="C2366" t="str">
        <x:v>Male</x:v>
      </x:c>
      <x:c r="D2366" t="str">
        <x:v>Electronics</x:v>
      </x:c>
      <x:c r="E2366" t="str">
        <x:v>Smart Watch</x:v>
      </x:c>
      <x:c r="F2366" s="24" t="n">
        <x:v>504.91</x:v>
      </x:c>
      <x:c r="G2366" t="str">
        <x:v>Summer</x:v>
      </x:c>
      <x:c r="H2366" t="str">
        <x:v>Card</x:v>
      </x:c>
      <x:c r="I2366" t="n">
        <x:v>3.8</x:v>
      </x:c>
      <x:c r="J2366" t="n">
        <x:v>15</x:v>
      </x:c>
      <x:c r="K2366" t="n">
        <x:v>5</x:v>
      </x:c>
      <x:c r="L2366" t="str">
        <x:v>STORE-001</x:v>
      </x:c>
      <x:c r="M2366" s="22" t="n">
        <x:v>46025</x:v>
      </x:c>
      <x:c r="N2366" t="str">
        <x:v>SKU-023</x:v>
      </x:c>
      <x:c r="O2366" t="n">
        <x:v>1</x:v>
      </x:c>
      <x:c r="P2366" s="26" t="n">
        <x:f>F2366/O2366</x:f>
        <x:v>504.91</x:v>
      </x:c>
    </x:row>
    <x:row r="2367">
      <x:c r="A2367" t="n">
        <x:v>2366</x:v>
      </x:c>
      <x:c r="B2367" t="n">
        <x:v>45</x:v>
      </x:c>
      <x:c r="C2367" t="str">
        <x:v>Male</x:v>
      </x:c>
      <x:c r="D2367" t="str">
        <x:v>Footwear</x:v>
      </x:c>
      <x:c r="E2367" t="str">
        <x:v>Sneakers</x:v>
      </x:c>
      <x:c r="F2367" s="24" t="n">
        <x:v>96.52</x:v>
      </x:c>
      <x:c r="G2367" t="str">
        <x:v>Spring</x:v>
      </x:c>
      <x:c r="H2367" t="str">
        <x:v>Cash on Delivery</x:v>
      </x:c>
      <x:c r="I2367" t="n">
        <x:v>3.3</x:v>
      </x:c>
      <x:c r="J2367" t="n">
        <x:v>11</x:v>
      </x:c>
      <x:c r="K2367" t="n">
        <x:v>3</x:v>
      </x:c>
      <x:c r="L2367" t="str">
        <x:v>STORE-001</x:v>
      </x:c>
      <x:c r="M2367" s="22" t="n">
        <x:v>46285</x:v>
      </x:c>
      <x:c r="N2367" t="str">
        <x:v>SKU-025</x:v>
      </x:c>
      <x:c r="O2367" t="n">
        <x:v>1</x:v>
      </x:c>
      <x:c r="P2367" s="26" t="n">
        <x:f>F2367/O2367</x:f>
        <x:v>96.52</x:v>
      </x:c>
    </x:row>
    <x:row r="2368">
      <x:c r="A2368" t="n">
        <x:v>2367</x:v>
      </x:c>
      <x:c r="B2368" t="n">
        <x:v>34</x:v>
      </x:c>
      <x:c r="C2368" t="str">
        <x:v>Male</x:v>
      </x:c>
      <x:c r="D2368" t="str">
        <x:v>Footwear</x:v>
      </x:c>
      <x:c r="E2368" t="str">
        <x:v>Formal Shoes</x:v>
      </x:c>
      <x:c r="F2368" s="24" t="n">
        <x:v>109.16</x:v>
      </x:c>
      <x:c r="G2368" t="str">
        <x:v>Spring</x:v>
      </x:c>
      <x:c r="H2368" t="str">
        <x:v>Card</x:v>
      </x:c>
      <x:c r="I2368" t="n">
        <x:v>3.7</x:v>
      </x:c>
      <x:c r="J2368" t="n">
        <x:v>13</x:v>
      </x:c>
      <x:c r="K2368" t="n">
        <x:v>4</x:v>
      </x:c>
      <x:c r="L2368" t="str">
        <x:v>STORE-001</x:v>
      </x:c>
      <x:c r="M2368" s="22" t="n">
        <x:v>45980</x:v>
      </x:c>
      <x:c r="N2368" t="str">
        <x:v>SKU-007</x:v>
      </x:c>
      <x:c r="O2368" t="n">
        <x:v>2</x:v>
      </x:c>
      <x:c r="P2368" s="26" t="n">
        <x:f>F2368/O2368</x:f>
        <x:v>54.58</x:v>
      </x:c>
    </x:row>
    <x:row r="2369">
      <x:c r="A2369" t="n">
        <x:v>2368</x:v>
      </x:c>
      <x:c r="B2369" t="n">
        <x:v>69</x:v>
      </x:c>
      <x:c r="C2369" t="str">
        <x:v>Female</x:v>
      </x:c>
      <x:c r="D2369" t="str">
        <x:v>Accessories</x:v>
      </x:c>
      <x:c r="E2369" t="str">
        <x:v>Wallet</x:v>
      </x:c>
      <x:c r="F2369" s="24" t="n">
        <x:v>145.25</x:v>
      </x:c>
      <x:c r="G2369" t="str">
        <x:v>Winter</x:v>
      </x:c>
      <x:c r="H2369" t="str">
        <x:v>Card</x:v>
      </x:c>
      <x:c r="I2369" t="n">
        <x:v>4.7</x:v>
      </x:c>
      <x:c r="J2369" t="n">
        <x:v>11</x:v>
      </x:c>
      <x:c r="K2369" t="n">
        <x:v>3</x:v>
      </x:c>
      <x:c r="L2369" t="str">
        <x:v>STORE-001</x:v>
      </x:c>
      <x:c r="M2369" s="22" t="n">
        <x:v>46230</x:v>
      </x:c>
      <x:c r="N2369" t="str">
        <x:v>SKU-029</x:v>
      </x:c>
      <x:c r="O2369" t="n">
        <x:v>1</x:v>
      </x:c>
      <x:c r="P2369" s="26" t="n">
        <x:f>F2369/O2369</x:f>
        <x:v>145.25</x:v>
      </x:c>
    </x:row>
    <x:row r="2370">
      <x:c r="A2370" t="n">
        <x:v>2369</x:v>
      </x:c>
      <x:c r="B2370" t="n">
        <x:v>57</x:v>
      </x:c>
      <x:c r="C2370" t="str">
        <x:v>Female</x:v>
      </x:c>
      <x:c r="D2370" t="str">
        <x:v>Womens Clothing</x:v>
      </x:c>
      <x:c r="E2370" t="str">
        <x:v>Top</x:v>
      </x:c>
      <x:c r="F2370" s="24" t="n">
        <x:v>193.36</x:v>
      </x:c>
      <x:c r="G2370" t="str">
        <x:v>Summer</x:v>
      </x:c>
      <x:c r="H2370" t="str">
        <x:v>Card</x:v>
      </x:c>
      <x:c r="I2370" t="n">
        <x:v>3.8</x:v>
      </x:c>
      <x:c r="J2370" t="n">
        <x:v>20</x:v>
      </x:c>
      <x:c r="K2370" t="n">
        <x:v>5</x:v>
      </x:c>
      <x:c r="L2370" t="str">
        <x:v>STORE-001</x:v>
      </x:c>
      <x:c r="M2370" s="22" t="n">
        <x:v>46028</x:v>
      </x:c>
      <x:c r="N2370" t="str">
        <x:v>SKU-028</x:v>
      </x:c>
      <x:c r="O2370" t="n">
        <x:v>1</x:v>
      </x:c>
      <x:c r="P2370" s="26" t="n">
        <x:f>F2370/O2370</x:f>
        <x:v>193.36</x:v>
      </x:c>
    </x:row>
    <x:row r="2371">
      <x:c r="A2371" t="n">
        <x:v>2370</x:v>
      </x:c>
      <x:c r="B2371" t="n">
        <x:v>36</x:v>
      </x:c>
      <x:c r="C2371" t="str">
        <x:v>Male</x:v>
      </x:c>
      <x:c r="D2371" t="str">
        <x:v>Footwear</x:v>
      </x:c>
      <x:c r="E2371" t="str">
        <x:v>Sandals</x:v>
      </x:c>
      <x:c r="F2371" s="24" t="n">
        <x:v>116.93</x:v>
      </x:c>
      <x:c r="G2371" t="str">
        <x:v>Autumn</x:v>
      </x:c>
      <x:c r="H2371" t="str">
        <x:v>Card</x:v>
      </x:c>
      <x:c r="I2371" t="n">
        <x:v>4.8</x:v>
      </x:c>
      <x:c r="J2371" t="n">
        <x:v>32</x:v>
      </x:c>
      <x:c r="K2371" t="n">
        <x:v>11</x:v>
      </x:c>
      <x:c r="L2371" t="str">
        <x:v>STORE-001</x:v>
      </x:c>
      <x:c r="M2371" s="22" t="n">
        <x:v>46089</x:v>
      </x:c>
      <x:c r="N2371" t="str">
        <x:v>SKU-019</x:v>
      </x:c>
      <x:c r="O2371" t="n">
        <x:v>2</x:v>
      </x:c>
      <x:c r="P2371" s="26" t="n">
        <x:f>F2371/O2371</x:f>
        <x:v>58.465</x:v>
      </x:c>
    </x:row>
    <x:row r="2372">
      <x:c r="A2372" t="n">
        <x:v>2371</x:v>
      </x:c>
      <x:c r="B2372" t="n">
        <x:v>53</x:v>
      </x:c>
      <x:c r="C2372" t="str">
        <x:v>Female</x:v>
      </x:c>
      <x:c r="D2372" t="str">
        <x:v>Accessories</x:v>
      </x:c>
      <x:c r="E2372" t="str">
        <x:v>Sunglasses</x:v>
      </x:c>
      <x:c r="F2372" s="24" t="n">
        <x:v>152.31</x:v>
      </x:c>
      <x:c r="G2372" t="str">
        <x:v>Winter</x:v>
      </x:c>
      <x:c r="H2372" t="str">
        <x:v>Card</x:v>
      </x:c>
      <x:c r="I2372" t="n">
        <x:v>4.7</x:v>
      </x:c>
      <x:c r="J2372" t="n">
        <x:v>18</x:v>
      </x:c>
      <x:c r="K2372" t="n">
        <x:v>4</x:v>
      </x:c>
      <x:c r="L2372" t="str">
        <x:v>STORE-001</x:v>
      </x:c>
      <x:c r="M2372" s="22" t="n">
        <x:v>46259</x:v>
      </x:c>
      <x:c r="N2372" t="str">
        <x:v>SKU-026</x:v>
      </x:c>
      <x:c r="O2372" t="n">
        <x:v>2</x:v>
      </x:c>
      <x:c r="P2372" s="26" t="n">
        <x:f>F2372/O2372</x:f>
        <x:v>76.155</x:v>
      </x:c>
    </x:row>
    <x:row r="2373">
      <x:c r="A2373" t="n">
        <x:v>2372</x:v>
      </x:c>
      <x:c r="B2373" t="n">
        <x:v>27</x:v>
      </x:c>
      <x:c r="C2373" t="str">
        <x:v>Male</x:v>
      </x:c>
      <x:c r="D2373" t="str">
        <x:v>Sports</x:v>
      </x:c>
      <x:c r="E2373" t="str">
        <x:v>Yoga Mat</x:v>
      </x:c>
      <x:c r="F2373" s="24" t="n">
        <x:v>52.75</x:v>
      </x:c>
      <x:c r="G2373" t="str">
        <x:v>Spring</x:v>
      </x:c>
      <x:c r="H2373" t="str">
        <x:v>Card</x:v>
      </x:c>
      <x:c r="I2373" t="n">
        <x:v>3.8</x:v>
      </x:c>
      <x:c r="J2373" t="n">
        <x:v>19</x:v>
      </x:c>
      <x:c r="K2373" t="n">
        <x:v>7</x:v>
      </x:c>
      <x:c r="L2373" t="str">
        <x:v>STORE-001</x:v>
      </x:c>
      <x:c r="M2373" s="22" t="n">
        <x:v>46285</x:v>
      </x:c>
      <x:c r="N2373" t="str">
        <x:v>SKU-030</x:v>
      </x:c>
      <x:c r="O2373" t="n">
        <x:v>1</x:v>
      </x:c>
      <x:c r="P2373" s="26" t="n">
        <x:f>F2373/O2373</x:f>
        <x:v>52.75</x:v>
      </x:c>
    </x:row>
    <x:row r="2374">
      <x:c r="A2374" t="n">
        <x:v>2373</x:v>
      </x:c>
      <x:c r="B2374" t="n">
        <x:v>49</x:v>
      </x:c>
      <x:c r="C2374" t="str">
        <x:v>Female</x:v>
      </x:c>
      <x:c r="D2374" t="str">
        <x:v>Beauty</x:v>
      </x:c>
      <x:c r="E2374" t="str">
        <x:v>Skincare Kit</x:v>
      </x:c>
      <x:c r="F2374" s="24" t="n">
        <x:v>141.08</x:v>
      </x:c>
      <x:c r="G2374" t="str">
        <x:v>Summer</x:v>
      </x:c>
      <x:c r="H2374" t="str">
        <x:v>Card</x:v>
      </x:c>
      <x:c r="I2374" t="n">
        <x:v>4.5</x:v>
      </x:c>
      <x:c r="J2374" t="n">
        <x:v>23</x:v>
      </x:c>
      <x:c r="K2374" t="n">
        <x:v>9</x:v>
      </x:c>
      <x:c r="L2374" t="str">
        <x:v>STORE-001</x:v>
      </x:c>
      <x:c r="M2374" s="22" t="n">
        <x:v>45996</x:v>
      </x:c>
      <x:c r="N2374" t="str">
        <x:v>SKU-021</x:v>
      </x:c>
      <x:c r="O2374" t="n">
        <x:v>3</x:v>
      </x:c>
      <x:c r="P2374" s="26" t="n">
        <x:f>F2374/O2374</x:f>
        <x:v>47.02666666666667</x:v>
      </x:c>
    </x:row>
    <x:row r="2375">
      <x:c r="A2375" t="n">
        <x:v>2374</x:v>
      </x:c>
      <x:c r="B2375" t="n">
        <x:v>45</x:v>
      </x:c>
      <x:c r="C2375" t="str">
        <x:v>Female</x:v>
      </x:c>
      <x:c r="D2375" t="str">
        <x:v>Groceries</x:v>
      </x:c>
      <x:c r="E2375" t="str">
        <x:v>Snacks</x:v>
      </x:c>
      <x:c r="F2375" s="24" t="n">
        <x:v>79</x:v>
      </x:c>
      <x:c r="G2375" t="str">
        <x:v>Spring</x:v>
      </x:c>
      <x:c r="H2375" t="str">
        <x:v>Cash on Delivery</x:v>
      </x:c>
      <x:c r="I2375" t="n">
        <x:v>3.1</x:v>
      </x:c>
      <x:c r="J2375" t="n">
        <x:v>11</x:v>
      </x:c>
      <x:c r="K2375" t="n">
        <x:v>3</x:v>
      </x:c>
      <x:c r="L2375" t="str">
        <x:v>STORE-001</x:v>
      </x:c>
      <x:c r="M2375" s="22" t="n">
        <x:v>46276</x:v>
      </x:c>
      <x:c r="N2375" t="str">
        <x:v>SKU-024</x:v>
      </x:c>
      <x:c r="O2375" t="n">
        <x:v>4</x:v>
      </x:c>
      <x:c r="P2375" s="26" t="n">
        <x:f>F2375/O2375</x:f>
        <x:v>19.75</x:v>
      </x:c>
    </x:row>
    <x:row r="2376">
      <x:c r="A2376" t="n">
        <x:v>2375</x:v>
      </x:c>
      <x:c r="B2376" t="n">
        <x:v>58</x:v>
      </x:c>
      <x:c r="C2376" t="str">
        <x:v>Female</x:v>
      </x:c>
      <x:c r="D2376" t="str">
        <x:v>Home</x:v>
      </x:c>
      <x:c r="E2376" t="str">
        <x:v>Curtains</x:v>
      </x:c>
      <x:c r="F2376" s="24" t="n">
        <x:v>53.86</x:v>
      </x:c>
      <x:c r="G2376" t="str">
        <x:v>Spring</x:v>
      </x:c>
      <x:c r="H2376" t="str">
        <x:v>Card</x:v>
      </x:c>
      <x:c r="I2376" t="n">
        <x:v>4</x:v>
      </x:c>
      <x:c r="J2376" t="n">
        <x:v>8</x:v>
      </x:c>
      <x:c r="K2376" t="n">
        <x:v>4</x:v>
      </x:c>
      <x:c r="L2376" t="str">
        <x:v>STORE-001</x:v>
      </x:c>
      <x:c r="M2376" s="22" t="n">
        <x:v>45986</x:v>
      </x:c>
      <x:c r="N2376" t="str">
        <x:v>SKU-003</x:v>
      </x:c>
      <x:c r="O2376" t="n">
        <x:v>1</x:v>
      </x:c>
      <x:c r="P2376" s="26" t="n">
        <x:f>F2376/O2376</x:f>
        <x:v>53.86</x:v>
      </x:c>
    </x:row>
    <x:row r="2377">
      <x:c r="A2377" t="n">
        <x:v>2376</x:v>
      </x:c>
      <x:c r="B2377" t="n">
        <x:v>57</x:v>
      </x:c>
      <x:c r="C2377" t="str">
        <x:v>Male</x:v>
      </x:c>
      <x:c r="D2377" t="str">
        <x:v>Sports</x:v>
      </x:c>
      <x:c r="E2377" t="str">
        <x:v>Dumbbells</x:v>
      </x:c>
      <x:c r="F2377" s="24" t="n">
        <x:v>143.78</x:v>
      </x:c>
      <x:c r="G2377" t="str">
        <x:v>Summer</x:v>
      </x:c>
      <x:c r="H2377" t="str">
        <x:v>Card</x:v>
      </x:c>
      <x:c r="I2377" t="n">
        <x:v>3.1</x:v>
      </x:c>
      <x:c r="J2377" t="n">
        <x:v>8</x:v>
      </x:c>
      <x:c r="K2377" t="n">
        <x:v>4</x:v>
      </x:c>
      <x:c r="L2377" t="str">
        <x:v>STORE-001</x:v>
      </x:c>
      <x:c r="M2377" s="22" t="n">
        <x:v>46069</x:v>
      </x:c>
      <x:c r="N2377" t="str">
        <x:v>SKU-005</x:v>
      </x:c>
      <x:c r="O2377" t="n">
        <x:v>1</x:v>
      </x:c>
      <x:c r="P2377" s="26" t="n">
        <x:f>F2377/O2377</x:f>
        <x:v>143.78</x:v>
      </x:c>
    </x:row>
    <x:row r="2378">
      <x:c r="A2378" t="n">
        <x:v>2377</x:v>
      </x:c>
      <x:c r="B2378" t="n">
        <x:v>50</x:v>
      </x:c>
      <x:c r="C2378" t="str">
        <x:v>Female</x:v>
      </x:c>
      <x:c r="D2378" t="str">
        <x:v>Footwear</x:v>
      </x:c>
      <x:c r="E2378" t="str">
        <x:v>Sandals</x:v>
      </x:c>
      <x:c r="F2378" s="24" t="n">
        <x:v>225.05</x:v>
      </x:c>
      <x:c r="G2378" t="str">
        <x:v>Summer</x:v>
      </x:c>
      <x:c r="H2378" t="str">
        <x:v>Card</x:v>
      </x:c>
      <x:c r="I2378" t="n">
        <x:v>3.8</x:v>
      </x:c>
      <x:c r="J2378" t="n">
        <x:v>11</x:v>
      </x:c>
      <x:c r="K2378" t="n">
        <x:v>3</x:v>
      </x:c>
      <x:c r="L2378" t="str">
        <x:v>STORE-001</x:v>
      </x:c>
      <x:c r="M2378" s="22" t="n">
        <x:v>45992</x:v>
      </x:c>
      <x:c r="N2378" t="str">
        <x:v>SKU-019</x:v>
      </x:c>
      <x:c r="O2378" t="n">
        <x:v>2</x:v>
      </x:c>
      <x:c r="P2378" s="26" t="n">
        <x:f>F2378/O2378</x:f>
        <x:v>112.525</x:v>
      </x:c>
    </x:row>
    <x:row r="2379">
      <x:c r="A2379" t="n">
        <x:v>2378</x:v>
      </x:c>
      <x:c r="B2379" t="n">
        <x:v>26</x:v>
      </x:c>
      <x:c r="C2379" t="str">
        <x:v>Male</x:v>
      </x:c>
      <x:c r="D2379" t="str">
        <x:v>Sports</x:v>
      </x:c>
      <x:c r="E2379" t="str">
        <x:v>Dumbbells</x:v>
      </x:c>
      <x:c r="F2379" s="24" t="n">
        <x:v>180.74</x:v>
      </x:c>
      <x:c r="G2379" t="str">
        <x:v>Spring</x:v>
      </x:c>
      <x:c r="H2379" t="str">
        <x:v>Card</x:v>
      </x:c>
      <x:c r="I2379" t="n">
        <x:v>4.2</x:v>
      </x:c>
      <x:c r="J2379" t="n">
        <x:v>32</x:v>
      </x:c>
      <x:c r="K2379" t="n">
        <x:v>11</x:v>
      </x:c>
      <x:c r="L2379" t="str">
        <x:v>STORE-001</x:v>
      </x:c>
      <x:c r="M2379" s="22" t="n">
        <x:v>45988</x:v>
      </x:c>
      <x:c r="N2379" t="str">
        <x:v>SKU-005</x:v>
      </x:c>
      <x:c r="O2379" t="n">
        <x:v>1</x:v>
      </x:c>
      <x:c r="P2379" s="26" t="n">
        <x:f>F2379/O2379</x:f>
        <x:v>180.74</x:v>
      </x:c>
    </x:row>
    <x:row r="2380">
      <x:c r="A2380" t="n">
        <x:v>2379</x:v>
      </x:c>
      <x:c r="B2380" t="n">
        <x:v>31</x:v>
      </x:c>
      <x:c r="C2380" t="str">
        <x:v>Male</x:v>
      </x:c>
      <x:c r="D2380" t="str">
        <x:v>Sports</x:v>
      </x:c>
      <x:c r="E2380" t="str">
        <x:v>Football</x:v>
      </x:c>
      <x:c r="F2380" s="24" t="n">
        <x:v>197.61</x:v>
      </x:c>
      <x:c r="G2380" t="str">
        <x:v>Autumn</x:v>
      </x:c>
      <x:c r="H2380" t="str">
        <x:v>Card</x:v>
      </x:c>
      <x:c r="I2380" t="n">
        <x:v>3.5</x:v>
      </x:c>
      <x:c r="J2380" t="n">
        <x:v>12</x:v>
      </x:c>
      <x:c r="K2380" t="n">
        <x:v>6</x:v>
      </x:c>
      <x:c r="L2380" t="str">
        <x:v>STORE-001</x:v>
      </x:c>
      <x:c r="M2380" s="22" t="n">
        <x:v>46119</x:v>
      </x:c>
      <x:c r="N2380" t="str">
        <x:v>SKU-006</x:v>
      </x:c>
      <x:c r="O2380" t="n">
        <x:v>1</x:v>
      </x:c>
      <x:c r="P2380" s="26" t="n">
        <x:f>F2380/O2380</x:f>
        <x:v>197.61</x:v>
      </x:c>
    </x:row>
    <x:row r="2381">
      <x:c r="A2381" t="n">
        <x:v>2380</x:v>
      </x:c>
      <x:c r="B2381" t="n">
        <x:v>59</x:v>
      </x:c>
      <x:c r="C2381" t="str">
        <x:v>Female</x:v>
      </x:c>
      <x:c r="D2381" t="str">
        <x:v>Womens Clothing</x:v>
      </x:c>
      <x:c r="E2381" t="str">
        <x:v>Top</x:v>
      </x:c>
      <x:c r="F2381" s="24" t="n">
        <x:v>192.86</x:v>
      </x:c>
      <x:c r="G2381" t="str">
        <x:v>Spring</x:v>
      </x:c>
      <x:c r="H2381" t="str">
        <x:v>Card</x:v>
      </x:c>
      <x:c r="I2381" t="n">
        <x:v>4.2</x:v>
      </x:c>
      <x:c r="J2381" t="n">
        <x:v>18</x:v>
      </x:c>
      <x:c r="K2381" t="n">
        <x:v>4</x:v>
      </x:c>
      <x:c r="L2381" t="str">
        <x:v>STORE-001</x:v>
      </x:c>
      <x:c r="M2381" s="22" t="n">
        <x:v>46283</x:v>
      </x:c>
      <x:c r="N2381" t="str">
        <x:v>SKU-028</x:v>
      </x:c>
      <x:c r="O2381" t="n">
        <x:v>2</x:v>
      </x:c>
      <x:c r="P2381" s="26" t="n">
        <x:f>F2381/O2381</x:f>
        <x:v>96.43</x:v>
      </x:c>
    </x:row>
    <x:row r="2382">
      <x:c r="A2382" t="n">
        <x:v>2381</x:v>
      </x:c>
      <x:c r="B2382" t="n">
        <x:v>36</x:v>
      </x:c>
      <x:c r="C2382" t="str">
        <x:v>Female</x:v>
      </x:c>
      <x:c r="D2382" t="str">
        <x:v>Womens Clothing</x:v>
      </x:c>
      <x:c r="E2382" t="str">
        <x:v>Dress</x:v>
      </x:c>
      <x:c r="F2382" s="24" t="n">
        <x:v>71.03</x:v>
      </x:c>
      <x:c r="G2382" t="str">
        <x:v>Summer</x:v>
      </x:c>
      <x:c r="H2382" t="str">
        <x:v>Card</x:v>
      </x:c>
      <x:c r="I2382" t="n">
        <x:v>4.8</x:v>
      </x:c>
      <x:c r="J2382" t="n">
        <x:v>22</x:v>
      </x:c>
      <x:c r="K2382" t="n">
        <x:v>6</x:v>
      </x:c>
      <x:c r="L2382" t="str">
        <x:v>STORE-001</x:v>
      </x:c>
      <x:c r="M2382" s="22" t="n">
        <x:v>46071</x:v>
      </x:c>
      <x:c r="N2382" t="str">
        <x:v>SKU-004</x:v>
      </x:c>
      <x:c r="O2382" t="n">
        <x:v>1</x:v>
      </x:c>
      <x:c r="P2382" s="26" t="n">
        <x:f>F2382/O2382</x:f>
        <x:v>71.03</x:v>
      </x:c>
    </x:row>
    <x:row r="2383">
      <x:c r="A2383" t="n">
        <x:v>2382</x:v>
      </x:c>
      <x:c r="B2383" t="n">
        <x:v>37</x:v>
      </x:c>
      <x:c r="C2383" t="str">
        <x:v>Female</x:v>
      </x:c>
      <x:c r="D2383" t="str">
        <x:v>Beauty</x:v>
      </x:c>
      <x:c r="E2383" t="str">
        <x:v>Perfume</x:v>
      </x:c>
      <x:c r="F2383" s="24" t="n">
        <x:v>90.69</x:v>
      </x:c>
      <x:c r="G2383" t="str">
        <x:v>Autumn</x:v>
      </x:c>
      <x:c r="H2383" t="str">
        <x:v>Card</x:v>
      </x:c>
      <x:c r="I2383" t="n">
        <x:v>4.3</x:v>
      </x:c>
      <x:c r="J2383" t="n">
        <x:v>10</x:v>
      </x:c>
      <x:c r="K2383" t="n">
        <x:v>0</x:v>
      </x:c>
      <x:c r="L2383" t="str">
        <x:v>STORE-001</x:v>
      </x:c>
      <x:c r="M2383" s="22" t="n">
        <x:v>46139</x:v>
      </x:c>
      <x:c r="N2383" t="str">
        <x:v>SKU-017</x:v>
      </x:c>
      <x:c r="O2383" t="n">
        <x:v>1</x:v>
      </x:c>
      <x:c r="P2383" s="26" t="n">
        <x:f>F2383/O2383</x:f>
        <x:v>90.69</x:v>
      </x:c>
    </x:row>
    <x:row r="2384">
      <x:c r="A2384" t="n">
        <x:v>2383</x:v>
      </x:c>
      <x:c r="B2384" t="n">
        <x:v>60</x:v>
      </x:c>
      <x:c r="C2384" t="str">
        <x:v>Female</x:v>
      </x:c>
      <x:c r="D2384" t="str">
        <x:v>Beauty</x:v>
      </x:c>
      <x:c r="E2384" t="str">
        <x:v>Skincare Kit</x:v>
      </x:c>
      <x:c r="F2384" s="24" t="n">
        <x:v>75.29</x:v>
      </x:c>
      <x:c r="G2384" t="str">
        <x:v>Spring</x:v>
      </x:c>
      <x:c r="H2384" t="str">
        <x:v>Card</x:v>
      </x:c>
      <x:c r="I2384" t="n">
        <x:v>5</x:v>
      </x:c>
      <x:c r="J2384" t="n">
        <x:v>20</x:v>
      </x:c>
      <x:c r="K2384" t="n">
        <x:v>5</x:v>
      </x:c>
      <x:c r="L2384" t="str">
        <x:v>STORE-001</x:v>
      </x:c>
      <x:c r="M2384" s="22" t="n">
        <x:v>45975</x:v>
      </x:c>
      <x:c r="N2384" t="str">
        <x:v>SKU-021</x:v>
      </x:c>
      <x:c r="O2384" t="n">
        <x:v>2</x:v>
      </x:c>
      <x:c r="P2384" s="26" t="n">
        <x:f>F2384/O2384</x:f>
        <x:v>37.645</x:v>
      </x:c>
    </x:row>
    <x:row r="2385">
      <x:c r="A2385" t="n">
        <x:v>2384</x:v>
      </x:c>
      <x:c r="B2385" t="n">
        <x:v>27</x:v>
      </x:c>
      <x:c r="C2385" t="str">
        <x:v>Male</x:v>
      </x:c>
      <x:c r="D2385" t="str">
        <x:v>Mens Clothing</x:v>
      </x:c>
      <x:c r="E2385" t="str">
        <x:v>Jacket</x:v>
      </x:c>
      <x:c r="F2385" s="24" t="n">
        <x:v>62.41</x:v>
      </x:c>
      <x:c r="G2385" t="str">
        <x:v>Spring</x:v>
      </x:c>
      <x:c r="H2385" t="str">
        <x:v>Cash on Delivery</x:v>
      </x:c>
      <x:c r="I2385" t="n">
        <x:v>2.9</x:v>
      </x:c>
      <x:c r="J2385" t="n">
        <x:v>13</x:v>
      </x:c>
      <x:c r="K2385" t="n">
        <x:v>4</x:v>
      </x:c>
      <x:c r="L2385" t="str">
        <x:v>STORE-001</x:v>
      </x:c>
      <x:c r="M2385" s="22" t="n">
        <x:v>46283</x:v>
      </x:c>
      <x:c r="N2385" t="str">
        <x:v>SKU-010</x:v>
      </x:c>
      <x:c r="O2385" t="n">
        <x:v>3</x:v>
      </x:c>
      <x:c r="P2385" s="26" t="n">
        <x:f>F2385/O2385</x:f>
        <x:v>20.80333333333333</x:v>
      </x:c>
    </x:row>
    <x:row r="2386">
      <x:c r="A2386" t="n">
        <x:v>2385</x:v>
      </x:c>
      <x:c r="B2386" t="n">
        <x:v>65</x:v>
      </x:c>
      <x:c r="C2386" t="str">
        <x:v>Male</x:v>
      </x:c>
      <x:c r="D2386" t="str">
        <x:v>Mens Clothing</x:v>
      </x:c>
      <x:c r="E2386" t="str">
        <x:v>Jacket</x:v>
      </x:c>
      <x:c r="F2386" s="24" t="n">
        <x:v>169.17</x:v>
      </x:c>
      <x:c r="G2386" t="str">
        <x:v>Autumn</x:v>
      </x:c>
      <x:c r="H2386" t="str">
        <x:v>Card</x:v>
      </x:c>
      <x:c r="I2386" t="n">
        <x:v>3.8</x:v>
      </x:c>
      <x:c r="J2386" t="n">
        <x:v>10</x:v>
      </x:c>
      <x:c r="K2386" t="n">
        <x:v>5</x:v>
      </x:c>
      <x:c r="L2386" t="str">
        <x:v>STORE-001</x:v>
      </x:c>
      <x:c r="M2386" s="22" t="n">
        <x:v>46171</x:v>
      </x:c>
      <x:c r="N2386" t="str">
        <x:v>SKU-010</x:v>
      </x:c>
      <x:c r="O2386" t="n">
        <x:v>1</x:v>
      </x:c>
      <x:c r="P2386" s="26" t="n">
        <x:f>F2386/O2386</x:f>
        <x:v>169.17</x:v>
      </x:c>
    </x:row>
    <x:row r="2387">
      <x:c r="A2387" t="n">
        <x:v>2386</x:v>
      </x:c>
      <x:c r="B2387" t="n">
        <x:v>39</x:v>
      </x:c>
      <x:c r="C2387" t="str">
        <x:v>Male</x:v>
      </x:c>
      <x:c r="D2387" t="str">
        <x:v>Electronics</x:v>
      </x:c>
      <x:c r="E2387" t="str">
        <x:v>Mobile Phone</x:v>
      </x:c>
      <x:c r="F2387" s="24" t="n">
        <x:v>2886.67</x:v>
      </x:c>
      <x:c r="G2387" t="str">
        <x:v>Summer</x:v>
      </x:c>
      <x:c r="H2387" t="str">
        <x:v>Card</x:v>
      </x:c>
      <x:c r="I2387" t="n">
        <x:v>3.6</x:v>
      </x:c>
      <x:c r="J2387" t="n">
        <x:v>19</x:v>
      </x:c>
      <x:c r="K2387" t="n">
        <x:v>7</x:v>
      </x:c>
      <x:c r="L2387" t="str">
        <x:v>STORE-001</x:v>
      </x:c>
      <x:c r="M2387" s="22" t="n">
        <x:v>46027</x:v>
      </x:c>
      <x:c r="N2387" t="str">
        <x:v>SKU-016</x:v>
      </x:c>
      <x:c r="O2387" t="n">
        <x:v>1</x:v>
      </x:c>
      <x:c r="P2387" s="26" t="n">
        <x:f>F2387/O2387</x:f>
        <x:v>2886.67</x:v>
      </x:c>
    </x:row>
    <x:row r="2388">
      <x:c r="A2388" t="n">
        <x:v>2387</x:v>
      </x:c>
      <x:c r="B2388" t="n">
        <x:v>60</x:v>
      </x:c>
      <x:c r="C2388" t="str">
        <x:v>Male</x:v>
      </x:c>
      <x:c r="D2388" t="str">
        <x:v>Footwear</x:v>
      </x:c>
      <x:c r="E2388" t="str">
        <x:v>Sneakers</x:v>
      </x:c>
      <x:c r="F2388" s="24" t="n">
        <x:v>144.37</x:v>
      </x:c>
      <x:c r="G2388" t="str">
        <x:v>Winter</x:v>
      </x:c>
      <x:c r="H2388" t="str">
        <x:v>Card</x:v>
      </x:c>
      <x:c r="I2388" t="n">
        <x:v>4.4</x:v>
      </x:c>
      <x:c r="J2388" t="n">
        <x:v>18</x:v>
      </x:c>
      <x:c r="K2388" t="n">
        <x:v>4</x:v>
      </x:c>
      <x:c r="L2388" t="str">
        <x:v>STORE-001</x:v>
      </x:c>
      <x:c r="M2388" s="22" t="n">
        <x:v>46212</x:v>
      </x:c>
      <x:c r="N2388" t="str">
        <x:v>SKU-025</x:v>
      </x:c>
      <x:c r="O2388" t="n">
        <x:v>2</x:v>
      </x:c>
      <x:c r="P2388" s="26" t="n">
        <x:f>F2388/O2388</x:f>
        <x:v>72.185</x:v>
      </x:c>
    </x:row>
    <x:row r="2389">
      <x:c r="A2389" t="n">
        <x:v>2388</x:v>
      </x:c>
      <x:c r="B2389" t="n">
        <x:v>56</x:v>
      </x:c>
      <x:c r="C2389" t="str">
        <x:v>Male</x:v>
      </x:c>
      <x:c r="D2389" t="str">
        <x:v>Groceries</x:v>
      </x:c>
      <x:c r="E2389" t="str">
        <x:v>Cooking Oil</x:v>
      </x:c>
      <x:c r="F2389" s="24" t="n">
        <x:v>23.35</x:v>
      </x:c>
      <x:c r="G2389" t="str">
        <x:v>Winter</x:v>
      </x:c>
      <x:c r="H2389" t="str">
        <x:v>Card</x:v>
      </x:c>
      <x:c r="I2389" t="n">
        <x:v>4.9</x:v>
      </x:c>
      <x:c r="J2389" t="n">
        <x:v>17</x:v>
      </x:c>
      <x:c r="K2389" t="n">
        <x:v>6</x:v>
      </x:c>
      <x:c r="L2389" t="str">
        <x:v>STORE-001</x:v>
      </x:c>
      <x:c r="M2389" s="22" t="n">
        <x:v>46247</x:v>
      </x:c>
      <x:c r="N2389" t="str">
        <x:v>SKU-002</x:v>
      </x:c>
      <x:c r="O2389" t="n">
        <x:v>3</x:v>
      </x:c>
      <x:c r="P2389" s="26" t="n">
        <x:f>F2389/O2389</x:f>
        <x:v>7.783333333333334</x:v>
      </x:c>
    </x:row>
    <x:row r="2390">
      <x:c r="A2390" t="n">
        <x:v>2389</x:v>
      </x:c>
      <x:c r="B2390" t="n">
        <x:v>32</x:v>
      </x:c>
      <x:c r="C2390" t="str">
        <x:v>Male</x:v>
      </x:c>
      <x:c r="D2390" t="str">
        <x:v>Mens Clothing</x:v>
      </x:c>
      <x:c r="E2390" t="str">
        <x:v>Jeans</x:v>
      </x:c>
      <x:c r="F2390" s="24" t="n">
        <x:v>191.09</x:v>
      </x:c>
      <x:c r="G2390" t="str">
        <x:v>Summer</x:v>
      </x:c>
      <x:c r="H2390" t="str">
        <x:v>Card</x:v>
      </x:c>
      <x:c r="I2390" t="n">
        <x:v>4.2</x:v>
      </x:c>
      <x:c r="J2390" t="n">
        <x:v>14</x:v>
      </x:c>
      <x:c r="K2390" t="n">
        <x:v>7</x:v>
      </x:c>
      <x:c r="L2390" t="str">
        <x:v>STORE-001</x:v>
      </x:c>
      <x:c r="M2390" s="22" t="n">
        <x:v>46007</x:v>
      </x:c>
      <x:c r="N2390" t="str">
        <x:v>SKU-011</x:v>
      </x:c>
      <x:c r="O2390" t="n">
        <x:v>1</x:v>
      </x:c>
      <x:c r="P2390" s="26" t="n">
        <x:f>F2390/O2390</x:f>
        <x:v>191.09</x:v>
      </x:c>
    </x:row>
    <x:row r="2391">
      <x:c r="A2391" t="n">
        <x:v>2390</x:v>
      </x:c>
      <x:c r="B2391" t="n">
        <x:v>47</x:v>
      </x:c>
      <x:c r="C2391" t="str">
        <x:v>Female</x:v>
      </x:c>
      <x:c r="D2391" t="str">
        <x:v>Footwear</x:v>
      </x:c>
      <x:c r="E2391" t="str">
        <x:v>Formal Shoes</x:v>
      </x:c>
      <x:c r="F2391" s="24" t="n">
        <x:v>69.52</x:v>
      </x:c>
      <x:c r="G2391" t="str">
        <x:v>Summer</x:v>
      </x:c>
      <x:c r="H2391" t="str">
        <x:v>Cash on Delivery</x:v>
      </x:c>
      <x:c r="I2391" t="n">
        <x:v>3.2</x:v>
      </x:c>
      <x:c r="J2391" t="n">
        <x:v>20</x:v>
      </x:c>
      <x:c r="K2391" t="n">
        <x:v>5</x:v>
      </x:c>
      <x:c r="L2391" t="str">
        <x:v>STORE-001</x:v>
      </x:c>
      <x:c r="M2391" s="22" t="n">
        <x:v>46064</x:v>
      </x:c>
      <x:c r="N2391" t="str">
        <x:v>SKU-007</x:v>
      </x:c>
      <x:c r="O2391" t="n">
        <x:v>1</x:v>
      </x:c>
      <x:c r="P2391" s="26" t="n">
        <x:f>F2391/O2391</x:f>
        <x:v>69.52</x:v>
      </x:c>
    </x:row>
    <x:row r="2392">
      <x:c r="A2392" t="n">
        <x:v>2391</x:v>
      </x:c>
      <x:c r="B2392" t="n">
        <x:v>55</x:v>
      </x:c>
      <x:c r="C2392" t="str">
        <x:v>Male</x:v>
      </x:c>
      <x:c r="D2392" t="str">
        <x:v>Mens Clothing</x:v>
      </x:c>
      <x:c r="E2392" t="str">
        <x:v>Jeans</x:v>
      </x:c>
      <x:c r="F2392" s="24" t="n">
        <x:v>119.06</x:v>
      </x:c>
      <x:c r="G2392" t="str">
        <x:v>Autumn</x:v>
      </x:c>
      <x:c r="H2392" t="str">
        <x:v>Card</x:v>
      </x:c>
      <x:c r="I2392" t="n">
        <x:v>3.6</x:v>
      </x:c>
      <x:c r="J2392" t="n">
        <x:v>8</x:v>
      </x:c>
      <x:c r="K2392" t="n">
        <x:v>4</x:v>
      </x:c>
      <x:c r="L2392" t="str">
        <x:v>STORE-001</x:v>
      </x:c>
      <x:c r="M2392" s="22" t="n">
        <x:v>46098</x:v>
      </x:c>
      <x:c r="N2392" t="str">
        <x:v>SKU-011</x:v>
      </x:c>
      <x:c r="O2392" t="n">
        <x:v>1</x:v>
      </x:c>
      <x:c r="P2392" s="26" t="n">
        <x:f>F2392/O2392</x:f>
        <x:v>119.06</x:v>
      </x:c>
    </x:row>
    <x:row r="2393">
      <x:c r="A2393" t="n">
        <x:v>2392</x:v>
      </x:c>
      <x:c r="B2393" t="n">
        <x:v>52</x:v>
      </x:c>
      <x:c r="C2393" t="str">
        <x:v>Female</x:v>
      </x:c>
      <x:c r="D2393" t="str">
        <x:v>Beauty</x:v>
      </x:c>
      <x:c r="E2393" t="str">
        <x:v>Makeup Set</x:v>
      </x:c>
      <x:c r="F2393" s="24" t="n">
        <x:v>64.56</x:v>
      </x:c>
      <x:c r="G2393" t="str">
        <x:v>Winter</x:v>
      </x:c>
      <x:c r="H2393" t="str">
        <x:v>Card</x:v>
      </x:c>
      <x:c r="I2393" t="n">
        <x:v>3.2</x:v>
      </x:c>
      <x:c r="J2393" t="n">
        <x:v>12</x:v>
      </x:c>
      <x:c r="K2393" t="n">
        <x:v>6</x:v>
      </x:c>
      <x:c r="L2393" t="str">
        <x:v>STORE-001</x:v>
      </x:c>
      <x:c r="M2393" s="22" t="n">
        <x:v>46225</x:v>
      </x:c>
      <x:c r="N2393" t="str">
        <x:v>SKU-015</x:v>
      </x:c>
      <x:c r="O2393" t="n">
        <x:v>1</x:v>
      </x:c>
      <x:c r="P2393" s="26" t="n">
        <x:f>F2393/O2393</x:f>
        <x:v>64.56</x:v>
      </x:c>
    </x:row>
    <x:row r="2394">
      <x:c r="A2394" t="n">
        <x:v>2393</x:v>
      </x:c>
      <x:c r="B2394" t="n">
        <x:v>59</x:v>
      </x:c>
      <x:c r="C2394" t="str">
        <x:v>Female</x:v>
      </x:c>
      <x:c r="D2394" t="str">
        <x:v>Footwear</x:v>
      </x:c>
      <x:c r="E2394" t="str">
        <x:v>Sneakers</x:v>
      </x:c>
      <x:c r="F2394" s="24" t="n">
        <x:v>90.14</x:v>
      </x:c>
      <x:c r="G2394" t="str">
        <x:v>Spring</x:v>
      </x:c>
      <x:c r="H2394" t="str">
        <x:v>Cash on Delivery</x:v>
      </x:c>
      <x:c r="I2394" t="n">
        <x:v>3.9</x:v>
      </x:c>
      <x:c r="J2394" t="n">
        <x:v>11</x:v>
      </x:c>
      <x:c r="K2394" t="n">
        <x:v>3</x:v>
      </x:c>
      <x:c r="L2394" t="str">
        <x:v>STORE-001</x:v>
      </x:c>
      <x:c r="M2394" s="22" t="n">
        <x:v>45984</x:v>
      </x:c>
      <x:c r="N2394" t="str">
        <x:v>SKU-025</x:v>
      </x:c>
      <x:c r="O2394" t="n">
        <x:v>1</x:v>
      </x:c>
      <x:c r="P2394" s="26" t="n">
        <x:f>F2394/O2394</x:f>
        <x:v>90.14</x:v>
      </x:c>
    </x:row>
    <x:row r="2395">
      <x:c r="A2395" t="n">
        <x:v>2394</x:v>
      </x:c>
      <x:c r="B2395" t="n">
        <x:v>32</x:v>
      </x:c>
      <x:c r="C2395" t="str">
        <x:v>Male</x:v>
      </x:c>
      <x:c r="D2395" t="str">
        <x:v>Electronics</x:v>
      </x:c>
      <x:c r="E2395" t="str">
        <x:v>Headphones</x:v>
      </x:c>
      <x:c r="F2395" s="24" t="n">
        <x:v>1690.64</x:v>
      </x:c>
      <x:c r="G2395" t="str">
        <x:v>Spring</x:v>
      </x:c>
      <x:c r="H2395" t="str">
        <x:v>Card</x:v>
      </x:c>
      <x:c r="I2395" t="n">
        <x:v>4.6</x:v>
      </x:c>
      <x:c r="J2395" t="n">
        <x:v>18</x:v>
      </x:c>
      <x:c r="K2395" t="n">
        <x:v>4</x:v>
      </x:c>
      <x:c r="L2395" t="str">
        <x:v>STORE-001</x:v>
      </x:c>
      <x:c r="M2395" s="22" t="n">
        <x:v>46272</x:v>
      </x:c>
      <x:c r="N2395" t="str">
        <x:v>SKU-009</x:v>
      </x:c>
      <x:c r="O2395" t="n">
        <x:v>1</x:v>
      </x:c>
      <x:c r="P2395" s="26" t="n">
        <x:f>F2395/O2395</x:f>
        <x:v>1690.64</x:v>
      </x:c>
    </x:row>
    <x:row r="2396">
      <x:c r="A2396" t="n">
        <x:v>2395</x:v>
      </x:c>
      <x:c r="B2396" t="n">
        <x:v>60</x:v>
      </x:c>
      <x:c r="C2396" t="str">
        <x:v>Female</x:v>
      </x:c>
      <x:c r="D2396" t="str">
        <x:v>Footwear</x:v>
      </x:c>
      <x:c r="E2396" t="str">
        <x:v>Sandals</x:v>
      </x:c>
      <x:c r="F2396" s="24" t="n">
        <x:v>136.97</x:v>
      </x:c>
      <x:c r="G2396" t="str">
        <x:v>Summer</x:v>
      </x:c>
      <x:c r="H2396" t="str">
        <x:v>Card</x:v>
      </x:c>
      <x:c r="I2396" t="n">
        <x:v>4.5</x:v>
      </x:c>
      <x:c r="J2396" t="n">
        <x:v>11</x:v>
      </x:c>
      <x:c r="K2396" t="n">
        <x:v>3</x:v>
      </x:c>
      <x:c r="L2396" t="str">
        <x:v>STORE-001</x:v>
      </x:c>
      <x:c r="M2396" s="22" t="n">
        <x:v>46058</x:v>
      </x:c>
      <x:c r="N2396" t="str">
        <x:v>SKU-019</x:v>
      </x:c>
      <x:c r="O2396" t="n">
        <x:v>1</x:v>
      </x:c>
      <x:c r="P2396" s="26" t="n">
        <x:f>F2396/O2396</x:f>
        <x:v>136.97</x:v>
      </x:c>
    </x:row>
    <x:row r="2397">
      <x:c r="A2397" t="n">
        <x:v>2396</x:v>
      </x:c>
      <x:c r="B2397" t="n">
        <x:v>66</x:v>
      </x:c>
      <x:c r="C2397" t="str">
        <x:v>Male</x:v>
      </x:c>
      <x:c r="D2397" t="str">
        <x:v>Home</x:v>
      </x:c>
      <x:c r="E2397" t="str">
        <x:v>Lamp</x:v>
      </x:c>
      <x:c r="F2397" s="24" t="n">
        <x:v>116.48</x:v>
      </x:c>
      <x:c r="G2397" t="str">
        <x:v>Spring</x:v>
      </x:c>
      <x:c r="H2397" t="str">
        <x:v>Card</x:v>
      </x:c>
      <x:c r="I2397" t="n">
        <x:v>5</x:v>
      </x:c>
      <x:c r="J2397" t="n">
        <x:v>24</x:v>
      </x:c>
      <x:c r="K2397" t="n">
        <x:v>12</x:v>
      </x:c>
      <x:c r="L2397" t="str">
        <x:v>STORE-001</x:v>
      </x:c>
      <x:c r="M2397" s="22" t="n">
        <x:v>45960</x:v>
      </x:c>
      <x:c r="N2397" t="str">
        <x:v>SKU-013</x:v>
      </x:c>
      <x:c r="O2397" t="n">
        <x:v>1</x:v>
      </x:c>
      <x:c r="P2397" s="26" t="n">
        <x:f>F2397/O2397</x:f>
        <x:v>116.48</x:v>
      </x:c>
    </x:row>
    <x:row r="2398">
      <x:c r="A2398" t="n">
        <x:v>2397</x:v>
      </x:c>
      <x:c r="B2398" t="n">
        <x:v>22</x:v>
      </x:c>
      <x:c r="C2398" t="str">
        <x:v>Male</x:v>
      </x:c>
      <x:c r="D2398" t="str">
        <x:v>Electronics</x:v>
      </x:c>
      <x:c r="E2398" t="str">
        <x:v>Mobile Phone</x:v>
      </x:c>
      <x:c r="F2398" s="24" t="n">
        <x:v>503.66</x:v>
      </x:c>
      <x:c r="G2398" t="str">
        <x:v>Winter</x:v>
      </x:c>
      <x:c r="H2398" t="str">
        <x:v>Card</x:v>
      </x:c>
      <x:c r="I2398" t="n">
        <x:v>2.8</x:v>
      </x:c>
      <x:c r="J2398" t="n">
        <x:v>14</x:v>
      </x:c>
      <x:c r="K2398" t="n">
        <x:v>7</x:v>
      </x:c>
      <x:c r="L2398" t="str">
        <x:v>STORE-001</x:v>
      </x:c>
      <x:c r="M2398" s="22" t="n">
        <x:v>46212</x:v>
      </x:c>
      <x:c r="N2398" t="str">
        <x:v>SKU-016</x:v>
      </x:c>
      <x:c r="O2398" t="n">
        <x:v>1</x:v>
      </x:c>
      <x:c r="P2398" s="26" t="n">
        <x:f>F2398/O2398</x:f>
        <x:v>503.66</x:v>
      </x:c>
    </x:row>
    <x:row r="2399">
      <x:c r="A2399" t="n">
        <x:v>2398</x:v>
      </x:c>
      <x:c r="B2399" t="n">
        <x:v>21</x:v>
      </x:c>
      <x:c r="C2399" t="str">
        <x:v>Female</x:v>
      </x:c>
      <x:c r="D2399" t="str">
        <x:v>Footwear</x:v>
      </x:c>
      <x:c r="E2399" t="str">
        <x:v>Sneakers</x:v>
      </x:c>
      <x:c r="F2399" s="24" t="n">
        <x:v>176.14</x:v>
      </x:c>
      <x:c r="G2399" t="str">
        <x:v>Autumn</x:v>
      </x:c>
      <x:c r="H2399" t="str">
        <x:v>Card</x:v>
      </x:c>
      <x:c r="I2399" t="n">
        <x:v>3.6</x:v>
      </x:c>
      <x:c r="J2399" t="n">
        <x:v>26</x:v>
      </x:c>
      <x:c r="K2399" t="n">
        <x:v>8</x:v>
      </x:c>
      <x:c r="L2399" t="str">
        <x:v>STORE-001</x:v>
      </x:c>
      <x:c r="M2399" s="22" t="n">
        <x:v>46106</x:v>
      </x:c>
      <x:c r="N2399" t="str">
        <x:v>SKU-025</x:v>
      </x:c>
      <x:c r="O2399" t="n">
        <x:v>1</x:v>
      </x:c>
      <x:c r="P2399" s="26" t="n">
        <x:f>F2399/O2399</x:f>
        <x:v>176.14</x:v>
      </x:c>
    </x:row>
    <x:row r="2400">
      <x:c r="A2400" t="n">
        <x:v>2399</x:v>
      </x:c>
      <x:c r="B2400" t="n">
        <x:v>61</x:v>
      </x:c>
      <x:c r="C2400" t="str">
        <x:v>Female</x:v>
      </x:c>
      <x:c r="D2400" t="str">
        <x:v>Footwear</x:v>
      </x:c>
      <x:c r="E2400" t="str">
        <x:v>Formal Shoes</x:v>
      </x:c>
      <x:c r="F2400" s="24" t="n">
        <x:v>202.84</x:v>
      </x:c>
      <x:c r="G2400" t="str">
        <x:v>Spring</x:v>
      </x:c>
      <x:c r="H2400" t="str">
        <x:v>Card</x:v>
      </x:c>
      <x:c r="I2400" t="n">
        <x:v>3.2</x:v>
      </x:c>
      <x:c r="J2400" t="n">
        <x:v>10</x:v>
      </x:c>
      <x:c r="K2400" t="n">
        <x:v>5</x:v>
      </x:c>
      <x:c r="L2400" t="str">
        <x:v>STORE-001</x:v>
      </x:c>
      <x:c r="M2400" s="22" t="n">
        <x:v>45952</x:v>
      </x:c>
      <x:c r="N2400" t="str">
        <x:v>SKU-007</x:v>
      </x:c>
      <x:c r="O2400" t="n">
        <x:v>1</x:v>
      </x:c>
      <x:c r="P2400" s="26" t="n">
        <x:f>F2400/O2400</x:f>
        <x:v>202.84</x:v>
      </x:c>
    </x:row>
    <x:row r="2401">
      <x:c r="A2401" t="n">
        <x:v>2400</x:v>
      </x:c>
      <x:c r="B2401" t="n">
        <x:v>45</x:v>
      </x:c>
      <x:c r="C2401" t="str">
        <x:v>Male</x:v>
      </x:c>
      <x:c r="D2401" t="str">
        <x:v>Footwear</x:v>
      </x:c>
      <x:c r="E2401" t="str">
        <x:v>Sandals</x:v>
      </x:c>
      <x:c r="F2401" s="24" t="n">
        <x:v>95.24</x:v>
      </x:c>
      <x:c r="G2401" t="str">
        <x:v>Winter</x:v>
      </x:c>
      <x:c r="H2401" t="str">
        <x:v>Cash on Delivery</x:v>
      </x:c>
      <x:c r="I2401" t="n">
        <x:v>4.6</x:v>
      </x:c>
      <x:c r="J2401" t="n">
        <x:v>11</x:v>
      </x:c>
      <x:c r="K2401" t="n">
        <x:v>3</x:v>
      </x:c>
      <x:c r="L2401" t="str">
        <x:v>STORE-001</x:v>
      </x:c>
      <x:c r="M2401" s="22" t="n">
        <x:v>46263</x:v>
      </x:c>
      <x:c r="N2401" t="str">
        <x:v>SKU-019</x:v>
      </x:c>
      <x:c r="O2401" t="n">
        <x:v>1</x:v>
      </x:c>
      <x:c r="P2401" s="26" t="n">
        <x:f>F2401/O2401</x:f>
        <x:v>95.24</x:v>
      </x:c>
    </x:row>
    <x:row r="2402">
      <x:c r="A2402" t="n">
        <x:v>2401</x:v>
      </x:c>
      <x:c r="B2402" t="n">
        <x:v>59</x:v>
      </x:c>
      <x:c r="C2402" t="str">
        <x:v>Female</x:v>
      </x:c>
      <x:c r="D2402" t="str">
        <x:v>Womens Clothing</x:v>
      </x:c>
      <x:c r="E2402" t="str">
        <x:v>Top</x:v>
      </x:c>
      <x:c r="F2402" s="24" t="n">
        <x:v>188.01</x:v>
      </x:c>
      <x:c r="G2402" t="str">
        <x:v>Winter</x:v>
      </x:c>
      <x:c r="H2402" t="str">
        <x:v>Card</x:v>
      </x:c>
      <x:c r="I2402" t="n">
        <x:v>2.8</x:v>
      </x:c>
      <x:c r="J2402" t="n">
        <x:v>12</x:v>
      </x:c>
      <x:c r="K2402" t="n">
        <x:v>6</x:v>
      </x:c>
      <x:c r="L2402" t="str">
        <x:v>STORE-001</x:v>
      </x:c>
      <x:c r="M2402" s="22" t="n">
        <x:v>46255</x:v>
      </x:c>
      <x:c r="N2402" t="str">
        <x:v>SKU-028</x:v>
      </x:c>
      <x:c r="O2402" t="n">
        <x:v>1</x:v>
      </x:c>
      <x:c r="P2402" s="26" t="n">
        <x:f>F2402/O2402</x:f>
        <x:v>188.01</x:v>
      </x:c>
    </x:row>
    <x:row r="2403">
      <x:c r="A2403" t="n">
        <x:v>2402</x:v>
      </x:c>
      <x:c r="B2403" t="n">
        <x:v>50</x:v>
      </x:c>
      <x:c r="C2403" t="str">
        <x:v>Male</x:v>
      </x:c>
      <x:c r="D2403" t="str">
        <x:v>Groceries</x:v>
      </x:c>
      <x:c r="E2403" t="str">
        <x:v>Beverages</x:v>
      </x:c>
      <x:c r="F2403" s="24" t="n">
        <x:v>11.64</x:v>
      </x:c>
      <x:c r="G2403" t="str">
        <x:v>Summer</x:v>
      </x:c>
      <x:c r="H2403" t="str">
        <x:v>Cash on Delivery</x:v>
      </x:c>
      <x:c r="I2403" t="n">
        <x:v>2.8</x:v>
      </x:c>
      <x:c r="J2403" t="n">
        <x:v>2</x:v>
      </x:c>
      <x:c r="K2403" t="n">
        <x:v>1</x:v>
      </x:c>
      <x:c r="L2403" t="str">
        <x:v>STORE-001</x:v>
      </x:c>
      <x:c r="M2403" s="22" t="n">
        <x:v>46061</x:v>
      </x:c>
      <x:c r="N2403" t="str">
        <x:v>SKU-001</x:v>
      </x:c>
      <x:c r="O2403" t="n">
        <x:v>1</x:v>
      </x:c>
      <x:c r="P2403" s="26" t="n">
        <x:f>F2403/O2403</x:f>
        <x:v>11.64</x:v>
      </x:c>
    </x:row>
    <x:row r="2404">
      <x:c r="A2404" t="n">
        <x:v>2403</x:v>
      </x:c>
      <x:c r="B2404" t="n">
        <x:v>61</x:v>
      </x:c>
      <x:c r="C2404" t="str">
        <x:v>Male</x:v>
      </x:c>
      <x:c r="D2404" t="str">
        <x:v>Groceries</x:v>
      </x:c>
      <x:c r="E2404" t="str">
        <x:v>Beverages</x:v>
      </x:c>
      <x:c r="F2404" s="24" t="n">
        <x:v>49.05</x:v>
      </x:c>
      <x:c r="G2404" t="str">
        <x:v>Summer</x:v>
      </x:c>
      <x:c r="H2404" t="str">
        <x:v>Card</x:v>
      </x:c>
      <x:c r="I2404" t="n">
        <x:v>2.7</x:v>
      </x:c>
      <x:c r="J2404" t="n">
        <x:v>22</x:v>
      </x:c>
      <x:c r="K2404" t="n">
        <x:v>6</x:v>
      </x:c>
      <x:c r="L2404" t="str">
        <x:v>STORE-001</x:v>
      </x:c>
      <x:c r="M2404" s="22" t="n">
        <x:v>46013</x:v>
      </x:c>
      <x:c r="N2404" t="str">
        <x:v>SKU-001</x:v>
      </x:c>
      <x:c r="O2404" t="n">
        <x:v>5</x:v>
      </x:c>
      <x:c r="P2404" s="26" t="n">
        <x:f>F2404/O2404</x:f>
        <x:v>9.809999999999999</x:v>
      </x:c>
    </x:row>
    <x:row r="2405">
      <x:c r="A2405" t="n">
        <x:v>2404</x:v>
      </x:c>
      <x:c r="B2405" t="n">
        <x:v>36</x:v>
      </x:c>
      <x:c r="C2405" t="str">
        <x:v>Female</x:v>
      </x:c>
      <x:c r="D2405" t="str">
        <x:v>Sports</x:v>
      </x:c>
      <x:c r="E2405" t="str">
        <x:v>Yoga Mat</x:v>
      </x:c>
      <x:c r="F2405" s="24" t="n">
        <x:v>51.28</x:v>
      </x:c>
      <x:c r="G2405" t="str">
        <x:v>Spring</x:v>
      </x:c>
      <x:c r="H2405" t="str">
        <x:v>Card</x:v>
      </x:c>
      <x:c r="I2405" t="n">
        <x:v>4.5</x:v>
      </x:c>
      <x:c r="J2405" t="n">
        <x:v>22</x:v>
      </x:c>
      <x:c r="K2405" t="n">
        <x:v>6</x:v>
      </x:c>
      <x:c r="L2405" t="str">
        <x:v>STORE-001</x:v>
      </x:c>
      <x:c r="M2405" s="22" t="n">
        <x:v>45953</x:v>
      </x:c>
      <x:c r="N2405" t="str">
        <x:v>SKU-030</x:v>
      </x:c>
      <x:c r="O2405" t="n">
        <x:v>1</x:v>
      </x:c>
      <x:c r="P2405" s="26" t="n">
        <x:f>F2405/O2405</x:f>
        <x:v>51.28</x:v>
      </x:c>
    </x:row>
    <x:row r="2406">
      <x:c r="A2406" t="n">
        <x:v>2405</x:v>
      </x:c>
      <x:c r="B2406" t="n">
        <x:v>45</x:v>
      </x:c>
      <x:c r="C2406" t="str">
        <x:v>Male</x:v>
      </x:c>
      <x:c r="D2406" t="str">
        <x:v>Footwear</x:v>
      </x:c>
      <x:c r="E2406" t="str">
        <x:v>Sneakers</x:v>
      </x:c>
      <x:c r="F2406" s="24" t="n">
        <x:v>53.31</x:v>
      </x:c>
      <x:c r="G2406" t="str">
        <x:v>Summer</x:v>
      </x:c>
      <x:c r="H2406" t="str">
        <x:v>Cash on Delivery</x:v>
      </x:c>
      <x:c r="I2406" t="n">
        <x:v>3.8</x:v>
      </x:c>
      <x:c r="J2406" t="n">
        <x:v>20</x:v>
      </x:c>
      <x:c r="K2406" t="n">
        <x:v>5</x:v>
      </x:c>
      <x:c r="L2406" t="str">
        <x:v>STORE-001</x:v>
      </x:c>
      <x:c r="M2406" s="22" t="n">
        <x:v>46031</x:v>
      </x:c>
      <x:c r="N2406" t="str">
        <x:v>SKU-025</x:v>
      </x:c>
      <x:c r="O2406" t="n">
        <x:v>1</x:v>
      </x:c>
      <x:c r="P2406" s="26" t="n">
        <x:f>F2406/O2406</x:f>
        <x:v>53.31</x:v>
      </x:c>
    </x:row>
    <x:row r="2407">
      <x:c r="A2407" t="n">
        <x:v>2406</x:v>
      </x:c>
      <x:c r="B2407" t="n">
        <x:v>23</x:v>
      </x:c>
      <x:c r="C2407" t="str">
        <x:v>Male</x:v>
      </x:c>
      <x:c r="D2407" t="str">
        <x:v>Footwear</x:v>
      </x:c>
      <x:c r="E2407" t="str">
        <x:v>Sandals</x:v>
      </x:c>
      <x:c r="F2407" s="24" t="n">
        <x:v>70.92</x:v>
      </x:c>
      <x:c r="G2407" t="str">
        <x:v>Summer</x:v>
      </x:c>
      <x:c r="H2407" t="str">
        <x:v>Card</x:v>
      </x:c>
      <x:c r="I2407" t="n">
        <x:v>2.8</x:v>
      </x:c>
      <x:c r="J2407" t="n">
        <x:v>24</x:v>
      </x:c>
      <x:c r="K2407" t="n">
        <x:v>7</x:v>
      </x:c>
      <x:c r="L2407" t="str">
        <x:v>STORE-001</x:v>
      </x:c>
      <x:c r="M2407" s="22" t="n">
        <x:v>46051</x:v>
      </x:c>
      <x:c r="N2407" t="str">
        <x:v>SKU-019</x:v>
      </x:c>
      <x:c r="O2407" t="n">
        <x:v>1</x:v>
      </x:c>
      <x:c r="P2407" s="26" t="n">
        <x:f>F2407/O2407</x:f>
        <x:v>70.92</x:v>
      </x:c>
    </x:row>
    <x:row r="2408">
      <x:c r="A2408" t="n">
        <x:v>2407</x:v>
      </x:c>
      <x:c r="B2408" t="n">
        <x:v>66</x:v>
      </x:c>
      <x:c r="C2408" t="str">
        <x:v>Female</x:v>
      </x:c>
      <x:c r="D2408" t="str">
        <x:v>Home</x:v>
      </x:c>
      <x:c r="E2408" t="str">
        <x:v>Lamp</x:v>
      </x:c>
      <x:c r="F2408" s="24" t="n">
        <x:v>245.8</x:v>
      </x:c>
      <x:c r="G2408" t="str">
        <x:v>Winter</x:v>
      </x:c>
      <x:c r="H2408" t="str">
        <x:v>Card</x:v>
      </x:c>
      <x:c r="I2408" t="n">
        <x:v>3.1</x:v>
      </x:c>
      <x:c r="J2408" t="n">
        <x:v>14</x:v>
      </x:c>
      <x:c r="K2408" t="n">
        <x:v>7</x:v>
      </x:c>
      <x:c r="L2408" t="str">
        <x:v>STORE-001</x:v>
      </x:c>
      <x:c r="M2408" s="22" t="n">
        <x:v>46262</x:v>
      </x:c>
      <x:c r="N2408" t="str">
        <x:v>SKU-013</x:v>
      </x:c>
      <x:c r="O2408" t="n">
        <x:v>1</x:v>
      </x:c>
      <x:c r="P2408" s="26" t="n">
        <x:f>F2408/O2408</x:f>
        <x:v>245.8</x:v>
      </x:c>
    </x:row>
    <x:row r="2409">
      <x:c r="A2409" t="n">
        <x:v>2408</x:v>
      </x:c>
      <x:c r="B2409" t="n">
        <x:v>62</x:v>
      </x:c>
      <x:c r="C2409" t="str">
        <x:v>Male</x:v>
      </x:c>
      <x:c r="D2409" t="str">
        <x:v>Footwear</x:v>
      </x:c>
      <x:c r="E2409" t="str">
        <x:v>Sandals</x:v>
      </x:c>
      <x:c r="F2409" s="24" t="n">
        <x:v>111.93</x:v>
      </x:c>
      <x:c r="G2409" t="str">
        <x:v>Summer</x:v>
      </x:c>
      <x:c r="H2409" t="str">
        <x:v>Card</x:v>
      </x:c>
      <x:c r="I2409" t="n">
        <x:v>2.3</x:v>
      </x:c>
      <x:c r="J2409" t="n">
        <x:v>10</x:v>
      </x:c>
      <x:c r="K2409" t="n">
        <x:v>5</x:v>
      </x:c>
      <x:c r="L2409" t="str">
        <x:v>STORE-001</x:v>
      </x:c>
      <x:c r="M2409" s="22" t="n">
        <x:v>46051</x:v>
      </x:c>
      <x:c r="N2409" t="str">
        <x:v>SKU-019</x:v>
      </x:c>
      <x:c r="O2409" t="n">
        <x:v>2</x:v>
      </x:c>
      <x:c r="P2409" s="26" t="n">
        <x:f>F2409/O2409</x:f>
        <x:v>55.965</x:v>
      </x:c>
    </x:row>
    <x:row r="2410">
      <x:c r="A2410" t="n">
        <x:v>2409</x:v>
      </x:c>
      <x:c r="B2410" t="n">
        <x:v>33</x:v>
      </x:c>
      <x:c r="C2410" t="str">
        <x:v>Male</x:v>
      </x:c>
      <x:c r="D2410" t="str">
        <x:v>Mens Clothing</x:v>
      </x:c>
      <x:c r="E2410" t="str">
        <x:v>T-Shirt</x:v>
      </x:c>
      <x:c r="F2410" s="24" t="n">
        <x:v>81.37</x:v>
      </x:c>
      <x:c r="G2410" t="str">
        <x:v>Summer</x:v>
      </x:c>
      <x:c r="H2410" t="str">
        <x:v>Cash on Delivery</x:v>
      </x:c>
      <x:c r="I2410" t="n">
        <x:v>4.2</x:v>
      </x:c>
      <x:c r="J2410" t="n">
        <x:v>18</x:v>
      </x:c>
      <x:c r="K2410" t="n">
        <x:v>4</x:v>
      </x:c>
      <x:c r="L2410" t="str">
        <x:v>STORE-001</x:v>
      </x:c>
      <x:c r="M2410" s="22" t="n">
        <x:v>46049</x:v>
      </x:c>
      <x:c r="N2410" t="str">
        <x:v>SKU-027</x:v>
      </x:c>
      <x:c r="O2410" t="n">
        <x:v>1</x:v>
      </x:c>
      <x:c r="P2410" s="26" t="n">
        <x:f>F2410/O2410</x:f>
        <x:v>81.37</x:v>
      </x:c>
    </x:row>
    <x:row r="2411">
      <x:c r="A2411" t="n">
        <x:v>2410</x:v>
      </x:c>
      <x:c r="B2411" t="n">
        <x:v>64</x:v>
      </x:c>
      <x:c r="C2411" t="str">
        <x:v>Female</x:v>
      </x:c>
      <x:c r="D2411" t="str">
        <x:v>Beauty</x:v>
      </x:c>
      <x:c r="E2411" t="str">
        <x:v>Makeup Set</x:v>
      </x:c>
      <x:c r="F2411" s="24" t="n">
        <x:v>49.12</x:v>
      </x:c>
      <x:c r="G2411" t="str">
        <x:v>Autumn</x:v>
      </x:c>
      <x:c r="H2411" t="str">
        <x:v>Cash on Delivery</x:v>
      </x:c>
      <x:c r="I2411" t="n">
        <x:v>3.6</x:v>
      </x:c>
      <x:c r="J2411" t="n">
        <x:v>19</x:v>
      </x:c>
      <x:c r="K2411" t="n">
        <x:v>7</x:v>
      </x:c>
      <x:c r="L2411" t="str">
        <x:v>STORE-001</x:v>
      </x:c>
      <x:c r="M2411" s="22" t="n">
        <x:v>46158</x:v>
      </x:c>
      <x:c r="N2411" t="str">
        <x:v>SKU-015</x:v>
      </x:c>
      <x:c r="O2411" t="n">
        <x:v>1</x:v>
      </x:c>
      <x:c r="P2411" s="26" t="n">
        <x:f>F2411/O2411</x:f>
        <x:v>49.12</x:v>
      </x:c>
    </x:row>
    <x:row r="2412">
      <x:c r="A2412" t="n">
        <x:v>2411</x:v>
      </x:c>
      <x:c r="B2412" t="n">
        <x:v>34</x:v>
      </x:c>
      <x:c r="C2412" t="str">
        <x:v>Female</x:v>
      </x:c>
      <x:c r="D2412" t="str">
        <x:v>Accessories</x:v>
      </x:c>
      <x:c r="E2412" t="str">
        <x:v>Handbag</x:v>
      </x:c>
      <x:c r="F2412" s="24" t="n">
        <x:v>23.82</x:v>
      </x:c>
      <x:c r="G2412" t="str">
        <x:v>Winter</x:v>
      </x:c>
      <x:c r="H2412" t="str">
        <x:v>Card</x:v>
      </x:c>
      <x:c r="I2412" t="n">
        <x:v>4.6</x:v>
      </x:c>
      <x:c r="J2412" t="n">
        <x:v>24</x:v>
      </x:c>
      <x:c r="K2412" t="n">
        <x:v>7</x:v>
      </x:c>
      <x:c r="L2412" t="str">
        <x:v>STORE-001</x:v>
      </x:c>
      <x:c r="M2412" s="22" t="n">
        <x:v>46243</x:v>
      </x:c>
      <x:c r="N2412" t="str">
        <x:v>SKU-008</x:v>
      </x:c>
      <x:c r="O2412" t="n">
        <x:v>2</x:v>
      </x:c>
      <x:c r="P2412" s="26" t="n">
        <x:f>F2412/O2412</x:f>
        <x:v>11.91</x:v>
      </x:c>
    </x:row>
    <x:row r="2413">
      <x:c r="A2413" t="n">
        <x:v>2412</x:v>
      </x:c>
      <x:c r="B2413" t="n">
        <x:v>41</x:v>
      </x:c>
      <x:c r="C2413" t="str">
        <x:v>Male</x:v>
      </x:c>
      <x:c r="D2413" t="str">
        <x:v>Home</x:v>
      </x:c>
      <x:c r="E2413" t="str">
        <x:v>Curtains</x:v>
      </x:c>
      <x:c r="F2413" s="24" t="n">
        <x:v>295.39</x:v>
      </x:c>
      <x:c r="G2413" t="str">
        <x:v>Autumn</x:v>
      </x:c>
      <x:c r="H2413" t="str">
        <x:v>Card</x:v>
      </x:c>
      <x:c r="I2413" t="n">
        <x:v>3.8</x:v>
      </x:c>
      <x:c r="J2413" t="n">
        <x:v>6</x:v>
      </x:c>
      <x:c r="K2413" t="n">
        <x:v>3</x:v>
      </x:c>
      <x:c r="L2413" t="str">
        <x:v>STORE-001</x:v>
      </x:c>
      <x:c r="M2413" s="22" t="n">
        <x:v>46096</x:v>
      </x:c>
      <x:c r="N2413" t="str">
        <x:v>SKU-003</x:v>
      </x:c>
      <x:c r="O2413" t="n">
        <x:v>1</x:v>
      </x:c>
      <x:c r="P2413" s="26" t="n">
        <x:f>F2413/O2413</x:f>
        <x:v>295.39</x:v>
      </x:c>
    </x:row>
    <x:row r="2414">
      <x:c r="A2414" t="n">
        <x:v>2413</x:v>
      </x:c>
      <x:c r="B2414" t="n">
        <x:v>62</x:v>
      </x:c>
      <x:c r="C2414" t="str">
        <x:v>Female</x:v>
      </x:c>
      <x:c r="D2414" t="str">
        <x:v>Womens Clothing</x:v>
      </x:c>
      <x:c r="E2414" t="str">
        <x:v>Dress</x:v>
      </x:c>
      <x:c r="F2414" s="24" t="n">
        <x:v>191.31</x:v>
      </x:c>
      <x:c r="G2414" t="str">
        <x:v>Winter</x:v>
      </x:c>
      <x:c r="H2414" t="str">
        <x:v>Card</x:v>
      </x:c>
      <x:c r="I2414" t="n">
        <x:v>3.6</x:v>
      </x:c>
      <x:c r="J2414" t="n">
        <x:v>12</x:v>
      </x:c>
      <x:c r="K2414" t="n">
        <x:v>6</x:v>
      </x:c>
      <x:c r="L2414" t="str">
        <x:v>STORE-001</x:v>
      </x:c>
      <x:c r="M2414" s="22" t="n">
        <x:v>46190</x:v>
      </x:c>
      <x:c r="N2414" t="str">
        <x:v>SKU-004</x:v>
      </x:c>
      <x:c r="O2414" t="n">
        <x:v>1</x:v>
      </x:c>
      <x:c r="P2414" s="26" t="n">
        <x:f>F2414/O2414</x:f>
        <x:v>191.31</x:v>
      </x:c>
    </x:row>
    <x:row r="2415">
      <x:c r="A2415" t="n">
        <x:v>2414</x:v>
      </x:c>
      <x:c r="B2415" t="n">
        <x:v>63</x:v>
      </x:c>
      <x:c r="C2415" t="str">
        <x:v>Female</x:v>
      </x:c>
      <x:c r="D2415" t="str">
        <x:v>Footwear</x:v>
      </x:c>
      <x:c r="E2415" t="str">
        <x:v>Sandals</x:v>
      </x:c>
      <x:c r="F2415" s="24" t="n">
        <x:v>75.31</x:v>
      </x:c>
      <x:c r="G2415" t="str">
        <x:v>Autumn</x:v>
      </x:c>
      <x:c r="H2415" t="str">
        <x:v>Cash on Delivery</x:v>
      </x:c>
      <x:c r="I2415" t="n">
        <x:v>4</x:v>
      </x:c>
      <x:c r="J2415" t="n">
        <x:v>22</x:v>
      </x:c>
      <x:c r="K2415" t="n">
        <x:v>11</x:v>
      </x:c>
      <x:c r="L2415" t="str">
        <x:v>STORE-001</x:v>
      </x:c>
      <x:c r="M2415" s="22" t="n">
        <x:v>46108</x:v>
      </x:c>
      <x:c r="N2415" t="str">
        <x:v>SKU-019</x:v>
      </x:c>
      <x:c r="O2415" t="n">
        <x:v>1</x:v>
      </x:c>
      <x:c r="P2415" s="26" t="n">
        <x:f>F2415/O2415</x:f>
        <x:v>75.31</x:v>
      </x:c>
    </x:row>
    <x:row r="2416">
      <x:c r="A2416" t="n">
        <x:v>2415</x:v>
      </x:c>
      <x:c r="B2416" t="n">
        <x:v>65</x:v>
      </x:c>
      <x:c r="C2416" t="str">
        <x:v>Male</x:v>
      </x:c>
      <x:c r="D2416" t="str">
        <x:v>Mens Clothing</x:v>
      </x:c>
      <x:c r="E2416" t="str">
        <x:v>T-Shirt</x:v>
      </x:c>
      <x:c r="F2416" s="24" t="n">
        <x:v>191.04</x:v>
      </x:c>
      <x:c r="G2416" t="str">
        <x:v>Autumn</x:v>
      </x:c>
      <x:c r="H2416" t="str">
        <x:v>Card</x:v>
      </x:c>
      <x:c r="I2416" t="n">
        <x:v>4.2</x:v>
      </x:c>
      <x:c r="J2416" t="n">
        <x:v>16</x:v>
      </x:c>
      <x:c r="K2416" t="n">
        <x:v>3</x:v>
      </x:c>
      <x:c r="L2416" t="str">
        <x:v>STORE-001</x:v>
      </x:c>
      <x:c r="M2416" s="22" t="n">
        <x:v>46085</x:v>
      </x:c>
      <x:c r="N2416" t="str">
        <x:v>SKU-027</x:v>
      </x:c>
      <x:c r="O2416" t="n">
        <x:v>2</x:v>
      </x:c>
      <x:c r="P2416" s="26" t="n">
        <x:f>F2416/O2416</x:f>
        <x:v>95.52</x:v>
      </x:c>
    </x:row>
    <x:row r="2417">
      <x:c r="A2417" t="n">
        <x:v>2416</x:v>
      </x:c>
      <x:c r="B2417" t="n">
        <x:v>44</x:v>
      </x:c>
      <x:c r="C2417" t="str">
        <x:v>Female</x:v>
      </x:c>
      <x:c r="D2417" t="str">
        <x:v>Beauty</x:v>
      </x:c>
      <x:c r="E2417" t="str">
        <x:v>Makeup Set</x:v>
      </x:c>
      <x:c r="F2417" s="24" t="n">
        <x:v>68.39</x:v>
      </x:c>
      <x:c r="G2417" t="str">
        <x:v>Summer</x:v>
      </x:c>
      <x:c r="H2417" t="str">
        <x:v>Cash on Delivery</x:v>
      </x:c>
      <x:c r="I2417" t="n">
        <x:v>3.2</x:v>
      </x:c>
      <x:c r="J2417" t="n">
        <x:v>15</x:v>
      </x:c>
      <x:c r="K2417" t="n">
        <x:v>5</x:v>
      </x:c>
      <x:c r="L2417" t="str">
        <x:v>STORE-001</x:v>
      </x:c>
      <x:c r="M2417" s="22" t="n">
        <x:v>46036</x:v>
      </x:c>
      <x:c r="N2417" t="str">
        <x:v>SKU-015</x:v>
      </x:c>
      <x:c r="O2417" t="n">
        <x:v>1</x:v>
      </x:c>
      <x:c r="P2417" s="26" t="n">
        <x:f>F2417/O2417</x:f>
        <x:v>68.39</x:v>
      </x:c>
    </x:row>
    <x:row r="2418">
      <x:c r="A2418" t="n">
        <x:v>2417</x:v>
      </x:c>
      <x:c r="B2418" t="n">
        <x:v>53</x:v>
      </x:c>
      <x:c r="C2418" t="str">
        <x:v>Male</x:v>
      </x:c>
      <x:c r="D2418" t="str">
        <x:v>Footwear</x:v>
      </x:c>
      <x:c r="E2418" t="str">
        <x:v>Sneakers</x:v>
      </x:c>
      <x:c r="F2418" s="24" t="n">
        <x:v>192.28</x:v>
      </x:c>
      <x:c r="G2418" t="str">
        <x:v>Spring</x:v>
      </x:c>
      <x:c r="H2418" t="str">
        <x:v>Card</x:v>
      </x:c>
      <x:c r="I2418" t="n">
        <x:v>3.7</x:v>
      </x:c>
      <x:c r="J2418" t="n">
        <x:v>14</x:v>
      </x:c>
      <x:c r="K2418" t="n">
        <x:v>7</x:v>
      </x:c>
      <x:c r="L2418" t="str">
        <x:v>STORE-001</x:v>
      </x:c>
      <x:c r="M2418" s="22" t="n">
        <x:v>46279</x:v>
      </x:c>
      <x:c r="N2418" t="str">
        <x:v>SKU-025</x:v>
      </x:c>
      <x:c r="O2418" t="n">
        <x:v>1</x:v>
      </x:c>
      <x:c r="P2418" s="26" t="n">
        <x:f>F2418/O2418</x:f>
        <x:v>192.28</x:v>
      </x:c>
    </x:row>
    <x:row r="2419">
      <x:c r="A2419" t="n">
        <x:v>2418</x:v>
      </x:c>
      <x:c r="B2419" t="n">
        <x:v>40</x:v>
      </x:c>
      <x:c r="C2419" t="str">
        <x:v>Male</x:v>
      </x:c>
      <x:c r="D2419" t="str">
        <x:v>Footwear</x:v>
      </x:c>
      <x:c r="E2419" t="str">
        <x:v>Formal Shoes</x:v>
      </x:c>
      <x:c r="F2419" s="24" t="n">
        <x:v>236.78</x:v>
      </x:c>
      <x:c r="G2419" t="str">
        <x:v>Spring</x:v>
      </x:c>
      <x:c r="H2419" t="str">
        <x:v>Card</x:v>
      </x:c>
      <x:c r="I2419" t="n">
        <x:v>4.1</x:v>
      </x:c>
      <x:c r="J2419" t="n">
        <x:v>22</x:v>
      </x:c>
      <x:c r="K2419" t="n">
        <x:v>6</x:v>
      </x:c>
      <x:c r="L2419" t="str">
        <x:v>STORE-001</x:v>
      </x:c>
      <x:c r="M2419" s="22" t="n">
        <x:v>46290</x:v>
      </x:c>
      <x:c r="N2419" t="str">
        <x:v>SKU-007</x:v>
      </x:c>
      <x:c r="O2419" t="n">
        <x:v>1</x:v>
      </x:c>
      <x:c r="P2419" s="26" t="n">
        <x:f>F2419/O2419</x:f>
        <x:v>236.78</x:v>
      </x:c>
    </x:row>
    <x:row r="2420">
      <x:c r="A2420" t="n">
        <x:v>2419</x:v>
      </x:c>
      <x:c r="B2420" t="n">
        <x:v>31</x:v>
      </x:c>
      <x:c r="C2420" t="str">
        <x:v>Female</x:v>
      </x:c>
      <x:c r="D2420" t="str">
        <x:v>Groceries</x:v>
      </x:c>
      <x:c r="E2420" t="str">
        <x:v>Beverages</x:v>
      </x:c>
      <x:c r="F2420" s="24" t="n">
        <x:v>52.19</x:v>
      </x:c>
      <x:c r="G2420" t="str">
        <x:v>Winter</x:v>
      </x:c>
      <x:c r="H2420" t="str">
        <x:v>Cash on Delivery</x:v>
      </x:c>
      <x:c r="I2420" t="n">
        <x:v>5</x:v>
      </x:c>
      <x:c r="J2420" t="n">
        <x:v>2</x:v>
      </x:c>
      <x:c r="K2420" t="n">
        <x:v>1</x:v>
      </x:c>
      <x:c r="L2420" t="str">
        <x:v>STORE-001</x:v>
      </x:c>
      <x:c r="M2420" s="22" t="n">
        <x:v>46207</x:v>
      </x:c>
      <x:c r="N2420" t="str">
        <x:v>SKU-001</x:v>
      </x:c>
      <x:c r="O2420" t="n">
        <x:v>1</x:v>
      </x:c>
      <x:c r="P2420" s="26" t="n">
        <x:f>F2420/O2420</x:f>
        <x:v>52.19</x:v>
      </x:c>
    </x:row>
    <x:row r="2421">
      <x:c r="A2421" t="n">
        <x:v>2420</x:v>
      </x:c>
      <x:c r="B2421" t="n">
        <x:v>46</x:v>
      </x:c>
      <x:c r="C2421" t="str">
        <x:v>Female</x:v>
      </x:c>
      <x:c r="D2421" t="str">
        <x:v>Beauty</x:v>
      </x:c>
      <x:c r="E2421" t="str">
        <x:v>Skincare Kit</x:v>
      </x:c>
      <x:c r="F2421" s="24" t="n">
        <x:v>63.26</x:v>
      </x:c>
      <x:c r="G2421" t="str">
        <x:v>Autumn</x:v>
      </x:c>
      <x:c r="H2421" t="str">
        <x:v>Cash on Delivery</x:v>
      </x:c>
      <x:c r="I2421" t="n">
        <x:v>4.2</x:v>
      </x:c>
      <x:c r="J2421" t="n">
        <x:v>22</x:v>
      </x:c>
      <x:c r="K2421" t="n">
        <x:v>6</x:v>
      </x:c>
      <x:c r="L2421" t="str">
        <x:v>STORE-001</x:v>
      </x:c>
      <x:c r="M2421" s="22" t="n">
        <x:v>46131</x:v>
      </x:c>
      <x:c r="N2421" t="str">
        <x:v>SKU-021</x:v>
      </x:c>
      <x:c r="O2421" t="n">
        <x:v>1</x:v>
      </x:c>
      <x:c r="P2421" s="26" t="n">
        <x:f>F2421/O2421</x:f>
        <x:v>63.26</x:v>
      </x:c>
    </x:row>
    <x:row r="2422">
      <x:c r="A2422" t="n">
        <x:v>2421</x:v>
      </x:c>
      <x:c r="B2422" t="n">
        <x:v>43</x:v>
      </x:c>
      <x:c r="C2422" t="str">
        <x:v>Female</x:v>
      </x:c>
      <x:c r="D2422" t="str">
        <x:v>Beauty</x:v>
      </x:c>
      <x:c r="E2422" t="str">
        <x:v>Perfume</x:v>
      </x:c>
      <x:c r="F2422" s="24" t="n">
        <x:v>57.97</x:v>
      </x:c>
      <x:c r="G2422" t="str">
        <x:v>Summer</x:v>
      </x:c>
      <x:c r="H2422" t="str">
        <x:v>Cash on Delivery</x:v>
      </x:c>
      <x:c r="I2422" t="n">
        <x:v>4.8</x:v>
      </x:c>
      <x:c r="J2422" t="n">
        <x:v>20</x:v>
      </x:c>
      <x:c r="K2422" t="n">
        <x:v>5</x:v>
      </x:c>
      <x:c r="L2422" t="str">
        <x:v>STORE-001</x:v>
      </x:c>
      <x:c r="M2422" s="22" t="n">
        <x:v>45997</x:v>
      </x:c>
      <x:c r="N2422" t="str">
        <x:v>SKU-017</x:v>
      </x:c>
      <x:c r="O2422" t="n">
        <x:v>1</x:v>
      </x:c>
      <x:c r="P2422" s="26" t="n">
        <x:f>F2422/O2422</x:f>
        <x:v>57.97</x:v>
      </x:c>
    </x:row>
    <x:row r="2423">
      <x:c r="A2423" t="n">
        <x:v>2422</x:v>
      </x:c>
      <x:c r="B2423" t="n">
        <x:v>58</x:v>
      </x:c>
      <x:c r="C2423" t="str">
        <x:v>Male</x:v>
      </x:c>
      <x:c r="D2423" t="str">
        <x:v>Electronics</x:v>
      </x:c>
      <x:c r="E2423" t="str">
        <x:v>Mobile Phone</x:v>
      </x:c>
      <x:c r="F2423" s="24" t="n">
        <x:v>2430.6</x:v>
      </x:c>
      <x:c r="G2423" t="str">
        <x:v>Autumn</x:v>
      </x:c>
      <x:c r="H2423" t="str">
        <x:v>Card</x:v>
      </x:c>
      <x:c r="I2423" t="n">
        <x:v>3.1</x:v>
      </x:c>
      <x:c r="J2423" t="n">
        <x:v>6</x:v>
      </x:c>
      <x:c r="K2423" t="n">
        <x:v>3</x:v>
      </x:c>
      <x:c r="L2423" t="str">
        <x:v>STORE-001</x:v>
      </x:c>
      <x:c r="M2423" s="22" t="n">
        <x:v>46114</x:v>
      </x:c>
      <x:c r="N2423" t="str">
        <x:v>SKU-016</x:v>
      </x:c>
      <x:c r="O2423" t="n">
        <x:v>1</x:v>
      </x:c>
      <x:c r="P2423" s="26" t="n">
        <x:f>F2423/O2423</x:f>
        <x:v>2430.6</x:v>
      </x:c>
    </x:row>
    <x:row r="2424">
      <x:c r="A2424" t="n">
        <x:v>2423</x:v>
      </x:c>
      <x:c r="B2424" t="n">
        <x:v>63</x:v>
      </x:c>
      <x:c r="C2424" t="str">
        <x:v>Male</x:v>
      </x:c>
      <x:c r="D2424" t="str">
        <x:v>Home</x:v>
      </x:c>
      <x:c r="E2424" t="str">
        <x:v>Kitchen Set</x:v>
      </x:c>
      <x:c r="F2424" s="24" t="n">
        <x:v>50.59</x:v>
      </x:c>
      <x:c r="G2424" t="str">
        <x:v>Spring</x:v>
      </x:c>
      <x:c r="H2424" t="str">
        <x:v>Cash on Delivery</x:v>
      </x:c>
      <x:c r="I2424" t="n">
        <x:v>3.2</x:v>
      </x:c>
      <x:c r="J2424" t="n">
        <x:v>6</x:v>
      </x:c>
      <x:c r="K2424" t="n">
        <x:v>3</x:v>
      </x:c>
      <x:c r="L2424" t="str">
        <x:v>STORE-001</x:v>
      </x:c>
      <x:c r="M2424" s="22" t="n">
        <x:v>46282</x:v>
      </x:c>
      <x:c r="N2424" t="str">
        <x:v>SKU-012</x:v>
      </x:c>
      <x:c r="O2424" t="n">
        <x:v>3</x:v>
      </x:c>
      <x:c r="P2424" s="26" t="n">
        <x:f>F2424/O2424</x:f>
        <x:v>16.863333333333333</x:v>
      </x:c>
    </x:row>
    <x:row r="2425">
      <x:c r="A2425" t="n">
        <x:v>2424</x:v>
      </x:c>
      <x:c r="B2425" t="n">
        <x:v>31</x:v>
      </x:c>
      <x:c r="C2425" t="str">
        <x:v>Male</x:v>
      </x:c>
      <x:c r="D2425" t="str">
        <x:v>Electronics</x:v>
      </x:c>
      <x:c r="E2425" t="str">
        <x:v>Mobile Phone</x:v>
      </x:c>
      <x:c r="F2425" s="24" t="n">
        <x:v>2025.94</x:v>
      </x:c>
      <x:c r="G2425" t="str">
        <x:v>Summer</x:v>
      </x:c>
      <x:c r="H2425" t="str">
        <x:v>Card</x:v>
      </x:c>
      <x:c r="I2425" t="n">
        <x:v>3.8</x:v>
      </x:c>
      <x:c r="J2425" t="n">
        <x:v>18</x:v>
      </x:c>
      <x:c r="K2425" t="n">
        <x:v>9</x:v>
      </x:c>
      <x:c r="L2425" t="str">
        <x:v>STORE-001</x:v>
      </x:c>
      <x:c r="M2425" s="22" t="n">
        <x:v>46011</x:v>
      </x:c>
      <x:c r="N2425" t="str">
        <x:v>SKU-016</x:v>
      </x:c>
      <x:c r="O2425" t="n">
        <x:v>1</x:v>
      </x:c>
      <x:c r="P2425" s="26" t="n">
        <x:f>F2425/O2425</x:f>
        <x:v>2025.94</x:v>
      </x:c>
    </x:row>
    <x:row r="2426">
      <x:c r="A2426" t="n">
        <x:v>2425</x:v>
      </x:c>
      <x:c r="B2426" t="n">
        <x:v>29</x:v>
      </x:c>
      <x:c r="C2426" t="str">
        <x:v>Male</x:v>
      </x:c>
      <x:c r="D2426" t="str">
        <x:v>Sports</x:v>
      </x:c>
      <x:c r="E2426" t="str">
        <x:v>Yoga Mat</x:v>
      </x:c>
      <x:c r="F2426" s="24" t="n">
        <x:v>217.27</x:v>
      </x:c>
      <x:c r="G2426" t="str">
        <x:v>Spring</x:v>
      </x:c>
      <x:c r="H2426" t="str">
        <x:v>Card</x:v>
      </x:c>
      <x:c r="I2426" t="n">
        <x:v>4.5</x:v>
      </x:c>
      <x:c r="J2426" t="n">
        <x:v>18</x:v>
      </x:c>
      <x:c r="K2426" t="n">
        <x:v>4</x:v>
      </x:c>
      <x:c r="L2426" t="str">
        <x:v>STORE-001</x:v>
      </x:c>
      <x:c r="M2426" s="22" t="n">
        <x:v>45958</x:v>
      </x:c>
      <x:c r="N2426" t="str">
        <x:v>SKU-030</x:v>
      </x:c>
      <x:c r="O2426" t="n">
        <x:v>1</x:v>
      </x:c>
      <x:c r="P2426" s="26" t="n">
        <x:f>F2426/O2426</x:f>
        <x:v>217.27</x:v>
      </x:c>
    </x:row>
    <x:row r="2427">
      <x:c r="A2427" t="n">
        <x:v>2426</x:v>
      </x:c>
      <x:c r="B2427" t="n">
        <x:v>61</x:v>
      </x:c>
      <x:c r="C2427" t="str">
        <x:v>Female</x:v>
      </x:c>
      <x:c r="D2427" t="str">
        <x:v>Beauty</x:v>
      </x:c>
      <x:c r="E2427" t="str">
        <x:v>Skincare Kit</x:v>
      </x:c>
      <x:c r="F2427" s="24" t="n">
        <x:v>81.17</x:v>
      </x:c>
      <x:c r="G2427" t="str">
        <x:v>Spring</x:v>
      </x:c>
      <x:c r="H2427" t="str">
        <x:v>Cash on Delivery</x:v>
      </x:c>
      <x:c r="I2427" t="n">
        <x:v>3.7</x:v>
      </x:c>
      <x:c r="J2427" t="n">
        <x:v>18</x:v>
      </x:c>
      <x:c r="K2427" t="n">
        <x:v>4</x:v>
      </x:c>
      <x:c r="L2427" t="str">
        <x:v>STORE-001</x:v>
      </x:c>
      <x:c r="M2427" s="22" t="n">
        <x:v>45941</x:v>
      </x:c>
      <x:c r="N2427" t="str">
        <x:v>SKU-021</x:v>
      </x:c>
      <x:c r="O2427" t="n">
        <x:v>1</x:v>
      </x:c>
      <x:c r="P2427" s="26" t="n">
        <x:f>F2427/O2427</x:f>
        <x:v>81.17</x:v>
      </x:c>
    </x:row>
    <x:row r="2428">
      <x:c r="A2428" t="n">
        <x:v>2427</x:v>
      </x:c>
      <x:c r="B2428" t="n">
        <x:v>22</x:v>
      </x:c>
      <x:c r="C2428" t="str">
        <x:v>Female</x:v>
      </x:c>
      <x:c r="D2428" t="str">
        <x:v>Sports</x:v>
      </x:c>
      <x:c r="E2428" t="str">
        <x:v>Yoga Mat</x:v>
      </x:c>
      <x:c r="F2428" s="24" t="n">
        <x:v>88.1</x:v>
      </x:c>
      <x:c r="G2428" t="str">
        <x:v>Spring</x:v>
      </x:c>
      <x:c r="H2428" t="str">
        <x:v>Cash on Delivery</x:v>
      </x:c>
      <x:c r="I2428" t="n">
        <x:v>3.3</x:v>
      </x:c>
      <x:c r="J2428" t="n">
        <x:v>25</x:v>
      </x:c>
      <x:c r="K2428" t="n">
        <x:v>10</x:v>
      </x:c>
      <x:c r="L2428" t="str">
        <x:v>STORE-001</x:v>
      </x:c>
      <x:c r="M2428" s="22" t="n">
        <x:v>46288</x:v>
      </x:c>
      <x:c r="N2428" t="str">
        <x:v>SKU-030</x:v>
      </x:c>
      <x:c r="O2428" t="n">
        <x:v>2</x:v>
      </x:c>
      <x:c r="P2428" s="26" t="n">
        <x:f>F2428/O2428</x:f>
        <x:v>44.05</x:v>
      </x:c>
    </x:row>
    <x:row r="2429">
      <x:c r="A2429" t="n">
        <x:v>2428</x:v>
      </x:c>
      <x:c r="B2429" t="n">
        <x:v>45</x:v>
      </x:c>
      <x:c r="C2429" t="str">
        <x:v>Female</x:v>
      </x:c>
      <x:c r="D2429" t="str">
        <x:v>Womens Clothing</x:v>
      </x:c>
      <x:c r="E2429" t="str">
        <x:v>Jeans</x:v>
      </x:c>
      <x:c r="F2429" s="24" t="n">
        <x:v>174.75</x:v>
      </x:c>
      <x:c r="G2429" t="str">
        <x:v>Autumn</x:v>
      </x:c>
      <x:c r="H2429" t="str">
        <x:v>Card</x:v>
      </x:c>
      <x:c r="I2429" t="n">
        <x:v>3.5</x:v>
      </x:c>
      <x:c r="J2429" t="n">
        <x:v>14</x:v>
      </x:c>
      <x:c r="K2429" t="n">
        <x:v>2</x:v>
      </x:c>
      <x:c r="L2429" t="str">
        <x:v>STORE-001</x:v>
      </x:c>
      <x:c r="M2429" s="22" t="n">
        <x:v>46129</x:v>
      </x:c>
      <x:c r="N2429" t="str">
        <x:v>SKU-011</x:v>
      </x:c>
      <x:c r="O2429" t="n">
        <x:v>1</x:v>
      </x:c>
      <x:c r="P2429" s="26" t="n">
        <x:f>F2429/O2429</x:f>
        <x:v>174.75</x:v>
      </x:c>
    </x:row>
    <x:row r="2430">
      <x:c r="A2430" t="n">
        <x:v>2429</x:v>
      </x:c>
      <x:c r="B2430" t="n">
        <x:v>39</x:v>
      </x:c>
      <x:c r="C2430" t="str">
        <x:v>Male</x:v>
      </x:c>
      <x:c r="D2430" t="str">
        <x:v>Groceries</x:v>
      </x:c>
      <x:c r="E2430" t="str">
        <x:v>Rice Pack</x:v>
      </x:c>
      <x:c r="F2430" s="24" t="n">
        <x:v>56.99</x:v>
      </x:c>
      <x:c r="G2430" t="str">
        <x:v>Autumn</x:v>
      </x:c>
      <x:c r="H2430" t="str">
        <x:v>Cash on Delivery</x:v>
      </x:c>
      <x:c r="I2430" t="n">
        <x:v>3.3</x:v>
      </x:c>
      <x:c r="J2430" t="n">
        <x:v>25</x:v>
      </x:c>
      <x:c r="K2430" t="n">
        <x:v>10</x:v>
      </x:c>
      <x:c r="L2430" t="str">
        <x:v>STORE-001</x:v>
      </x:c>
      <x:c r="M2430" s="22" t="n">
        <x:v>46095</x:v>
      </x:c>
      <x:c r="N2430" t="str">
        <x:v>SKU-018</x:v>
      </x:c>
      <x:c r="O2430" t="n">
        <x:v>2</x:v>
      </x:c>
      <x:c r="P2430" s="26" t="n">
        <x:f>F2430/O2430</x:f>
        <x:v>28.495</x:v>
      </x:c>
    </x:row>
    <x:row r="2431">
      <x:c r="A2431" t="n">
        <x:v>2430</x:v>
      </x:c>
      <x:c r="B2431" t="n">
        <x:v>20</x:v>
      </x:c>
      <x:c r="C2431" t="str">
        <x:v>Female</x:v>
      </x:c>
      <x:c r="D2431" t="str">
        <x:v>Womens Clothing</x:v>
      </x:c>
      <x:c r="E2431" t="str">
        <x:v>Top</x:v>
      </x:c>
      <x:c r="F2431" s="24" t="n">
        <x:v>95.46</x:v>
      </x:c>
      <x:c r="G2431" t="str">
        <x:v>Autumn</x:v>
      </x:c>
      <x:c r="H2431" t="str">
        <x:v>Cash on Delivery</x:v>
      </x:c>
      <x:c r="I2431" t="n">
        <x:v>4.5</x:v>
      </x:c>
      <x:c r="J2431" t="n">
        <x:v>23</x:v>
      </x:c>
      <x:c r="K2431" t="n">
        <x:v>9</x:v>
      </x:c>
      <x:c r="L2431" t="str">
        <x:v>STORE-001</x:v>
      </x:c>
      <x:c r="M2431" s="22" t="n">
        <x:v>46149</x:v>
      </x:c>
      <x:c r="N2431" t="str">
        <x:v>SKU-028</x:v>
      </x:c>
      <x:c r="O2431" t="n">
        <x:v>1</x:v>
      </x:c>
      <x:c r="P2431" s="26" t="n">
        <x:f>F2431/O2431</x:f>
        <x:v>95.46</x:v>
      </x:c>
    </x:row>
    <x:row r="2432">
      <x:c r="A2432" t="n">
        <x:v>2431</x:v>
      </x:c>
      <x:c r="B2432" t="n">
        <x:v>22</x:v>
      </x:c>
      <x:c r="C2432" t="str">
        <x:v>Male</x:v>
      </x:c>
      <x:c r="D2432" t="str">
        <x:v>Sports</x:v>
      </x:c>
      <x:c r="E2432" t="str">
        <x:v>Dumbbells</x:v>
      </x:c>
      <x:c r="F2432" s="24" t="n">
        <x:v>108.86</x:v>
      </x:c>
      <x:c r="G2432" t="str">
        <x:v>Spring</x:v>
      </x:c>
      <x:c r="H2432" t="str">
        <x:v>Card</x:v>
      </x:c>
      <x:c r="I2432" t="n">
        <x:v>3.6</x:v>
      </x:c>
      <x:c r="J2432" t="n">
        <x:v>15</x:v>
      </x:c>
      <x:c r="K2432" t="n">
        <x:v>5</x:v>
      </x:c>
      <x:c r="L2432" t="str">
        <x:v>STORE-001</x:v>
      </x:c>
      <x:c r="M2432" s="22" t="n">
        <x:v>46270</x:v>
      </x:c>
      <x:c r="N2432" t="str">
        <x:v>SKU-005</x:v>
      </x:c>
      <x:c r="O2432" t="n">
        <x:v>3</x:v>
      </x:c>
      <x:c r="P2432" s="26" t="n">
        <x:f>F2432/O2432</x:f>
        <x:v>36.28666666666667</x:v>
      </x:c>
    </x:row>
    <x:row r="2433">
      <x:c r="A2433" t="n">
        <x:v>2432</x:v>
      </x:c>
      <x:c r="B2433" t="n">
        <x:v>54</x:v>
      </x:c>
      <x:c r="C2433" t="str">
        <x:v>Female</x:v>
      </x:c>
      <x:c r="D2433" t="str">
        <x:v>Womens Clothing</x:v>
      </x:c>
      <x:c r="E2433" t="str">
        <x:v>Skirt</x:v>
      </x:c>
      <x:c r="F2433" s="24" t="n">
        <x:v>166.88</x:v>
      </x:c>
      <x:c r="G2433" t="str">
        <x:v>Spring</x:v>
      </x:c>
      <x:c r="H2433" t="str">
        <x:v>Card</x:v>
      </x:c>
      <x:c r="I2433" t="n">
        <x:v>3.5</x:v>
      </x:c>
      <x:c r="J2433" t="n">
        <x:v>18</x:v>
      </x:c>
      <x:c r="K2433" t="n">
        <x:v>4</x:v>
      </x:c>
      <x:c r="L2433" t="str">
        <x:v>STORE-001</x:v>
      </x:c>
      <x:c r="M2433" s="22" t="n">
        <x:v>46270</x:v>
      </x:c>
      <x:c r="N2433" t="str">
        <x:v>SKU-022</x:v>
      </x:c>
      <x:c r="O2433" t="n">
        <x:v>1</x:v>
      </x:c>
      <x:c r="P2433" s="26" t="n">
        <x:f>F2433/O2433</x:f>
        <x:v>166.88</x:v>
      </x:c>
    </x:row>
    <x:row r="2434">
      <x:c r="A2434" t="n">
        <x:v>2433</x:v>
      </x:c>
      <x:c r="B2434" t="n">
        <x:v>52</x:v>
      </x:c>
      <x:c r="C2434" t="str">
        <x:v>Male</x:v>
      </x:c>
      <x:c r="D2434" t="str">
        <x:v>Electronics</x:v>
      </x:c>
      <x:c r="E2434" t="str">
        <x:v>Mobile Phone</x:v>
      </x:c>
      <x:c r="F2434" s="24" t="n">
        <x:v>523.38</x:v>
      </x:c>
      <x:c r="G2434" t="str">
        <x:v>Summer</x:v>
      </x:c>
      <x:c r="H2434" t="str">
        <x:v>Card</x:v>
      </x:c>
      <x:c r="I2434" t="n">
        <x:v>3.9</x:v>
      </x:c>
      <x:c r="J2434" t="n">
        <x:v>18</x:v>
      </x:c>
      <x:c r="K2434" t="n">
        <x:v>4</x:v>
      </x:c>
      <x:c r="L2434" t="str">
        <x:v>STORE-001</x:v>
      </x:c>
      <x:c r="M2434" s="22" t="n">
        <x:v>45997</x:v>
      </x:c>
      <x:c r="N2434" t="str">
        <x:v>SKU-016</x:v>
      </x:c>
      <x:c r="O2434" t="n">
        <x:v>1</x:v>
      </x:c>
      <x:c r="P2434" s="26" t="n">
        <x:f>F2434/O2434</x:f>
        <x:v>523.38</x:v>
      </x:c>
    </x:row>
    <x:row r="2435">
      <x:c r="A2435" t="n">
        <x:v>2434</x:v>
      </x:c>
      <x:c r="B2435" t="n">
        <x:v>25</x:v>
      </x:c>
      <x:c r="C2435" t="str">
        <x:v>Male</x:v>
      </x:c>
      <x:c r="D2435" t="str">
        <x:v>Mens Clothing</x:v>
      </x:c>
      <x:c r="E2435" t="str">
        <x:v>T-Shirt</x:v>
      </x:c>
      <x:c r="F2435" s="24" t="n">
        <x:v>109.68</x:v>
      </x:c>
      <x:c r="G2435" t="str">
        <x:v>Winter</x:v>
      </x:c>
      <x:c r="H2435" t="str">
        <x:v>Card</x:v>
      </x:c>
      <x:c r="I2435" t="n">
        <x:v>2.8</x:v>
      </x:c>
      <x:c r="J2435" t="n">
        <x:v>13</x:v>
      </x:c>
      <x:c r="K2435" t="n">
        <x:v>4</x:v>
      </x:c>
      <x:c r="L2435" t="str">
        <x:v>STORE-001</x:v>
      </x:c>
      <x:c r="M2435" s="22" t="n">
        <x:v>46205</x:v>
      </x:c>
      <x:c r="N2435" t="str">
        <x:v>SKU-027</x:v>
      </x:c>
      <x:c r="O2435" t="n">
        <x:v>1</x:v>
      </x:c>
      <x:c r="P2435" s="26" t="n">
        <x:f>F2435/O2435</x:f>
        <x:v>109.68</x:v>
      </x:c>
    </x:row>
    <x:row r="2436">
      <x:c r="A2436" t="n">
        <x:v>2435</x:v>
      </x:c>
      <x:c r="B2436" t="n">
        <x:v>67</x:v>
      </x:c>
      <x:c r="C2436" t="str">
        <x:v>Male</x:v>
      </x:c>
      <x:c r="D2436" t="str">
        <x:v>Home</x:v>
      </x:c>
      <x:c r="E2436" t="str">
        <x:v>Lamp</x:v>
      </x:c>
      <x:c r="F2436" s="24" t="n">
        <x:v>222.65</x:v>
      </x:c>
      <x:c r="G2436" t="str">
        <x:v>Autumn</x:v>
      </x:c>
      <x:c r="H2436" t="str">
        <x:v>Card</x:v>
      </x:c>
      <x:c r="I2436" t="n">
        <x:v>3</x:v>
      </x:c>
      <x:c r="J2436" t="n">
        <x:v>9</x:v>
      </x:c>
      <x:c r="K2436" t="n">
        <x:v>2</x:v>
      </x:c>
      <x:c r="L2436" t="str">
        <x:v>STORE-001</x:v>
      </x:c>
      <x:c r="M2436" s="22" t="n">
        <x:v>46114</x:v>
      </x:c>
      <x:c r="N2436" t="str">
        <x:v>SKU-013</x:v>
      </x:c>
      <x:c r="O2436" t="n">
        <x:v>2</x:v>
      </x:c>
      <x:c r="P2436" s="26" t="n">
        <x:f>F2436/O2436</x:f>
        <x:v>111.325</x:v>
      </x:c>
    </x:row>
    <x:row r="2437">
      <x:c r="A2437" t="n">
        <x:v>2436</x:v>
      </x:c>
      <x:c r="B2437" t="n">
        <x:v>59</x:v>
      </x:c>
      <x:c r="C2437" t="str">
        <x:v>Male</x:v>
      </x:c>
      <x:c r="D2437" t="str">
        <x:v>Footwear</x:v>
      </x:c>
      <x:c r="E2437" t="str">
        <x:v>Sandals</x:v>
      </x:c>
      <x:c r="F2437" s="24" t="n">
        <x:v>141.41</x:v>
      </x:c>
      <x:c r="G2437" t="str">
        <x:v>Spring</x:v>
      </x:c>
      <x:c r="H2437" t="str">
        <x:v>Card</x:v>
      </x:c>
      <x:c r="I2437" t="n">
        <x:v>3.3</x:v>
      </x:c>
      <x:c r="J2437" t="n">
        <x:v>12</x:v>
      </x:c>
      <x:c r="K2437" t="n">
        <x:v>6</x:v>
      </x:c>
      <x:c r="L2437" t="str">
        <x:v>STORE-001</x:v>
      </x:c>
      <x:c r="M2437" s="22" t="n">
        <x:v>46281</x:v>
      </x:c>
      <x:c r="N2437" t="str">
        <x:v>SKU-019</x:v>
      </x:c>
      <x:c r="O2437" t="n">
        <x:v>1</x:v>
      </x:c>
      <x:c r="P2437" s="26" t="n">
        <x:f>F2437/O2437</x:f>
        <x:v>141.41</x:v>
      </x:c>
    </x:row>
    <x:row r="2438">
      <x:c r="A2438" t="n">
        <x:v>2437</x:v>
      </x:c>
      <x:c r="B2438" t="n">
        <x:v>59</x:v>
      </x:c>
      <x:c r="C2438" t="str">
        <x:v>Male</x:v>
      </x:c>
      <x:c r="D2438" t="str">
        <x:v>Sports</x:v>
      </x:c>
      <x:c r="E2438" t="str">
        <x:v>Yoga Mat</x:v>
      </x:c>
      <x:c r="F2438" s="24" t="n">
        <x:v>165.82</x:v>
      </x:c>
      <x:c r="G2438" t="str">
        <x:v>Winter</x:v>
      </x:c>
      <x:c r="H2438" t="str">
        <x:v>Card</x:v>
      </x:c>
      <x:c r="I2438" t="n">
        <x:v>3.8</x:v>
      </x:c>
      <x:c r="J2438" t="n">
        <x:v>17</x:v>
      </x:c>
      <x:c r="K2438" t="n">
        <x:v>6</x:v>
      </x:c>
      <x:c r="L2438" t="str">
        <x:v>STORE-001</x:v>
      </x:c>
      <x:c r="M2438" s="22" t="n">
        <x:v>46230</x:v>
      </x:c>
      <x:c r="N2438" t="str">
        <x:v>SKU-030</x:v>
      </x:c>
      <x:c r="O2438" t="n">
        <x:v>1</x:v>
      </x:c>
      <x:c r="P2438" s="26" t="n">
        <x:f>F2438/O2438</x:f>
        <x:v>165.82</x:v>
      </x:c>
    </x:row>
    <x:row r="2439">
      <x:c r="A2439" t="n">
        <x:v>2438</x:v>
      </x:c>
      <x:c r="B2439" t="n">
        <x:v>66</x:v>
      </x:c>
      <x:c r="C2439" t="str">
        <x:v>Female</x:v>
      </x:c>
      <x:c r="D2439" t="str">
        <x:v>Womens Clothing</x:v>
      </x:c>
      <x:c r="E2439" t="str">
        <x:v>Skirt</x:v>
      </x:c>
      <x:c r="F2439" s="24" t="n">
        <x:v>52.02</x:v>
      </x:c>
      <x:c r="G2439" t="str">
        <x:v>Autumn</x:v>
      </x:c>
      <x:c r="H2439" t="str">
        <x:v>Cash on Delivery</x:v>
      </x:c>
      <x:c r="I2439" t="n">
        <x:v>3.9</x:v>
      </x:c>
      <x:c r="J2439" t="n">
        <x:v>20</x:v>
      </x:c>
      <x:c r="K2439" t="n">
        <x:v>5</x:v>
      </x:c>
      <x:c r="L2439" t="str">
        <x:v>STORE-001</x:v>
      </x:c>
      <x:c r="M2439" s="22" t="n">
        <x:v>46125</x:v>
      </x:c>
      <x:c r="N2439" t="str">
        <x:v>SKU-022</x:v>
      </x:c>
      <x:c r="O2439" t="n">
        <x:v>2</x:v>
      </x:c>
      <x:c r="P2439" s="26" t="n">
        <x:f>F2439/O2439</x:f>
        <x:v>26.01</x:v>
      </x:c>
    </x:row>
    <x:row r="2440">
      <x:c r="A2440" t="n">
        <x:v>2439</x:v>
      </x:c>
      <x:c r="B2440" t="n">
        <x:v>45</x:v>
      </x:c>
      <x:c r="C2440" t="str">
        <x:v>Female</x:v>
      </x:c>
      <x:c r="D2440" t="str">
        <x:v>Beauty</x:v>
      </x:c>
      <x:c r="E2440" t="str">
        <x:v>Perfume</x:v>
      </x:c>
      <x:c r="F2440" s="24" t="n">
        <x:v>130.55</x:v>
      </x:c>
      <x:c r="G2440" t="str">
        <x:v>Autumn</x:v>
      </x:c>
      <x:c r="H2440" t="str">
        <x:v>Card</x:v>
      </x:c>
      <x:c r="I2440" t="n">
        <x:v>4.8</x:v>
      </x:c>
      <x:c r="J2440" t="n">
        <x:v>8</x:v>
      </x:c>
      <x:c r="K2440" t="n">
        <x:v>4</x:v>
      </x:c>
      <x:c r="L2440" t="str">
        <x:v>STORE-001</x:v>
      </x:c>
      <x:c r="M2440" s="22" t="n">
        <x:v>46125</x:v>
      </x:c>
      <x:c r="N2440" t="str">
        <x:v>SKU-017</x:v>
      </x:c>
      <x:c r="O2440" t="n">
        <x:v>1</x:v>
      </x:c>
      <x:c r="P2440" s="26" t="n">
        <x:f>F2440/O2440</x:f>
        <x:v>130.55</x:v>
      </x:c>
    </x:row>
    <x:row r="2441">
      <x:c r="A2441" t="n">
        <x:v>2440</x:v>
      </x:c>
      <x:c r="B2441" t="n">
        <x:v>36</x:v>
      </x:c>
      <x:c r="C2441" t="str">
        <x:v>Male</x:v>
      </x:c>
      <x:c r="D2441" t="str">
        <x:v>Mens Clothing</x:v>
      </x:c>
      <x:c r="E2441" t="str">
        <x:v>Jacket</x:v>
      </x:c>
      <x:c r="F2441" s="24" t="n">
        <x:v>108.9</x:v>
      </x:c>
      <x:c r="G2441" t="str">
        <x:v>Summer</x:v>
      </x:c>
      <x:c r="H2441" t="str">
        <x:v>Card</x:v>
      </x:c>
      <x:c r="I2441" t="n">
        <x:v>3</x:v>
      </x:c>
      <x:c r="J2441" t="n">
        <x:v>16</x:v>
      </x:c>
      <x:c r="K2441" t="n">
        <x:v>8</x:v>
      </x:c>
      <x:c r="L2441" t="str">
        <x:v>STORE-001</x:v>
      </x:c>
      <x:c r="M2441" s="22" t="n">
        <x:v>46014</x:v>
      </x:c>
      <x:c r="N2441" t="str">
        <x:v>SKU-010</x:v>
      </x:c>
      <x:c r="O2441" t="n">
        <x:v>2</x:v>
      </x:c>
      <x:c r="P2441" s="26" t="n">
        <x:f>F2441/O2441</x:f>
        <x:v>54.45</x:v>
      </x:c>
    </x:row>
    <x:row r="2442">
      <x:c r="A2442" t="n">
        <x:v>2441</x:v>
      </x:c>
      <x:c r="B2442" t="n">
        <x:v>48</x:v>
      </x:c>
      <x:c r="C2442" t="str">
        <x:v>Female</x:v>
      </x:c>
      <x:c r="D2442" t="str">
        <x:v>Beauty</x:v>
      </x:c>
      <x:c r="E2442" t="str">
        <x:v>Skincare Kit</x:v>
      </x:c>
      <x:c r="F2442" s="24" t="n">
        <x:v>88.67</x:v>
      </x:c>
      <x:c r="G2442" t="str">
        <x:v>Winter</x:v>
      </x:c>
      <x:c r="H2442" t="str">
        <x:v>Card</x:v>
      </x:c>
      <x:c r="I2442" t="n">
        <x:v>4.2</x:v>
      </x:c>
      <x:c r="J2442" t="n">
        <x:v>20</x:v>
      </x:c>
      <x:c r="K2442" t="n">
        <x:v>5</x:v>
      </x:c>
      <x:c r="L2442" t="str">
        <x:v>STORE-001</x:v>
      </x:c>
      <x:c r="M2442" s="22" t="n">
        <x:v>46200</x:v>
      </x:c>
      <x:c r="N2442" t="str">
        <x:v>SKU-021</x:v>
      </x:c>
      <x:c r="O2442" t="n">
        <x:v>1</x:v>
      </x:c>
      <x:c r="P2442" s="26" t="n">
        <x:f>F2442/O2442</x:f>
        <x:v>88.67</x:v>
      </x:c>
    </x:row>
    <x:row r="2443">
      <x:c r="A2443" t="n">
        <x:v>2442</x:v>
      </x:c>
      <x:c r="B2443" t="n">
        <x:v>26</x:v>
      </x:c>
      <x:c r="C2443" t="str">
        <x:v>Male</x:v>
      </x:c>
      <x:c r="D2443" t="str">
        <x:v>Sports</x:v>
      </x:c>
      <x:c r="E2443" t="str">
        <x:v>Dumbbells</x:v>
      </x:c>
      <x:c r="F2443" s="24" t="n">
        <x:v>231.99</x:v>
      </x:c>
      <x:c r="G2443" t="str">
        <x:v>Winter</x:v>
      </x:c>
      <x:c r="H2443" t="str">
        <x:v>Card</x:v>
      </x:c>
      <x:c r="I2443" t="n">
        <x:v>3</x:v>
      </x:c>
      <x:c r="J2443" t="n">
        <x:v>20</x:v>
      </x:c>
      <x:c r="K2443" t="n">
        <x:v>5</x:v>
      </x:c>
      <x:c r="L2443" t="str">
        <x:v>STORE-001</x:v>
      </x:c>
      <x:c r="M2443" s="22" t="n">
        <x:v>46265</x:v>
      </x:c>
      <x:c r="N2443" t="str">
        <x:v>SKU-005</x:v>
      </x:c>
      <x:c r="O2443" t="n">
        <x:v>1</x:v>
      </x:c>
      <x:c r="P2443" s="26" t="n">
        <x:f>F2443/O2443</x:f>
        <x:v>231.99</x:v>
      </x:c>
    </x:row>
    <x:row r="2444">
      <x:c r="A2444" t="n">
        <x:v>2443</x:v>
      </x:c>
      <x:c r="B2444" t="n">
        <x:v>34</x:v>
      </x:c>
      <x:c r="C2444" t="str">
        <x:v>Male</x:v>
      </x:c>
      <x:c r="D2444" t="str">
        <x:v>Electronics</x:v>
      </x:c>
      <x:c r="E2444" t="str">
        <x:v>Headphones</x:v>
      </x:c>
      <x:c r="F2444" s="24" t="n">
        <x:v>585.57</x:v>
      </x:c>
      <x:c r="G2444" t="str">
        <x:v>Summer</x:v>
      </x:c>
      <x:c r="H2444" t="str">
        <x:v>Card</x:v>
      </x:c>
      <x:c r="I2444" t="n">
        <x:v>4.6</x:v>
      </x:c>
      <x:c r="J2444" t="n">
        <x:v>26</x:v>
      </x:c>
      <x:c r="K2444" t="n">
        <x:v>8</x:v>
      </x:c>
      <x:c r="L2444" t="str">
        <x:v>STORE-001</x:v>
      </x:c>
      <x:c r="M2444" s="22" t="n">
        <x:v>45994</x:v>
      </x:c>
      <x:c r="N2444" t="str">
        <x:v>SKU-009</x:v>
      </x:c>
      <x:c r="O2444" t="n">
        <x:v>1</x:v>
      </x:c>
      <x:c r="P2444" s="26" t="n">
        <x:f>F2444/O2444</x:f>
        <x:v>585.57</x:v>
      </x:c>
    </x:row>
    <x:row r="2445">
      <x:c r="A2445" t="n">
        <x:v>2444</x:v>
      </x:c>
      <x:c r="B2445" t="n">
        <x:v>63</x:v>
      </x:c>
      <x:c r="C2445" t="str">
        <x:v>Female</x:v>
      </x:c>
      <x:c r="D2445" t="str">
        <x:v>Beauty</x:v>
      </x:c>
      <x:c r="E2445" t="str">
        <x:v>Perfume</x:v>
      </x:c>
      <x:c r="F2445" s="24" t="n">
        <x:v>33.49</x:v>
      </x:c>
      <x:c r="G2445" t="str">
        <x:v>Summer</x:v>
      </x:c>
      <x:c r="H2445" t="str">
        <x:v>Cash on Delivery</x:v>
      </x:c>
      <x:c r="I2445" t="n">
        <x:v>3.6</x:v>
      </x:c>
      <x:c r="J2445" t="n">
        <x:v>21</x:v>
      </x:c>
      <x:c r="K2445" t="n">
        <x:v>8</x:v>
      </x:c>
      <x:c r="L2445" t="str">
        <x:v>STORE-001</x:v>
      </x:c>
      <x:c r="M2445" s="22" t="n">
        <x:v>46015</x:v>
      </x:c>
      <x:c r="N2445" t="str">
        <x:v>SKU-017</x:v>
      </x:c>
      <x:c r="O2445" t="n">
        <x:v>1</x:v>
      </x:c>
      <x:c r="P2445" s="26" t="n">
        <x:f>F2445/O2445</x:f>
        <x:v>33.49</x:v>
      </x:c>
    </x:row>
    <x:row r="2446">
      <x:c r="A2446" t="n">
        <x:v>2445</x:v>
      </x:c>
      <x:c r="B2446" t="n">
        <x:v>68</x:v>
      </x:c>
      <x:c r="C2446" t="str">
        <x:v>Male</x:v>
      </x:c>
      <x:c r="D2446" t="str">
        <x:v>Footwear</x:v>
      </x:c>
      <x:c r="E2446" t="str">
        <x:v>Sandals</x:v>
      </x:c>
      <x:c r="F2446" s="24" t="n">
        <x:v>145.49</x:v>
      </x:c>
      <x:c r="G2446" t="str">
        <x:v>Summer</x:v>
      </x:c>
      <x:c r="H2446" t="str">
        <x:v>Card</x:v>
      </x:c>
      <x:c r="I2446" t="n">
        <x:v>3.9</x:v>
      </x:c>
      <x:c r="J2446" t="n">
        <x:v>10</x:v>
      </x:c>
      <x:c r="K2446" t="n">
        <x:v>5</x:v>
      </x:c>
      <x:c r="L2446" t="str">
        <x:v>STORE-001</x:v>
      </x:c>
      <x:c r="M2446" s="22" t="n">
        <x:v>46071</x:v>
      </x:c>
      <x:c r="N2446" t="str">
        <x:v>SKU-019</x:v>
      </x:c>
      <x:c r="O2446" t="n">
        <x:v>2</x:v>
      </x:c>
      <x:c r="P2446" s="26" t="n">
        <x:f>F2446/O2446</x:f>
        <x:v>72.745</x:v>
      </x:c>
    </x:row>
    <x:row r="2447">
      <x:c r="A2447" t="n">
        <x:v>2446</x:v>
      </x:c>
      <x:c r="B2447" t="n">
        <x:v>65</x:v>
      </x:c>
      <x:c r="C2447" t="str">
        <x:v>Female</x:v>
      </x:c>
      <x:c r="D2447" t="str">
        <x:v>Home</x:v>
      </x:c>
      <x:c r="E2447" t="str">
        <x:v>Curtains</x:v>
      </x:c>
      <x:c r="F2447" s="24" t="n">
        <x:v>39.99</x:v>
      </x:c>
      <x:c r="G2447" t="str">
        <x:v>Autumn</x:v>
      </x:c>
      <x:c r="H2447" t="str">
        <x:v>Cash on Delivery</x:v>
      </x:c>
      <x:c r="I2447" t="n">
        <x:v>2.8</x:v>
      </x:c>
      <x:c r="J2447" t="n">
        <x:v>17</x:v>
      </x:c>
      <x:c r="K2447" t="n">
        <x:v>6</x:v>
      </x:c>
      <x:c r="L2447" t="str">
        <x:v>STORE-001</x:v>
      </x:c>
      <x:c r="M2447" s="22" t="n">
        <x:v>46112</x:v>
      </x:c>
      <x:c r="N2447" t="str">
        <x:v>SKU-003</x:v>
      </x:c>
      <x:c r="O2447" t="n">
        <x:v>1</x:v>
      </x:c>
      <x:c r="P2447" s="26" t="n">
        <x:f>F2447/O2447</x:f>
        <x:v>39.99</x:v>
      </x:c>
    </x:row>
    <x:row r="2448">
      <x:c r="A2448" t="n">
        <x:v>2447</x:v>
      </x:c>
      <x:c r="B2448" t="n">
        <x:v>39</x:v>
      </x:c>
      <x:c r="C2448" t="str">
        <x:v>Male</x:v>
      </x:c>
      <x:c r="D2448" t="str">
        <x:v>Electronics</x:v>
      </x:c>
      <x:c r="E2448" t="str">
        <x:v>Laptop</x:v>
      </x:c>
      <x:c r="F2448" s="24" t="n">
        <x:v>1959.09</x:v>
      </x:c>
      <x:c r="G2448" t="str">
        <x:v>Winter</x:v>
      </x:c>
      <x:c r="H2448" t="str">
        <x:v>Card</x:v>
      </x:c>
      <x:c r="I2448" t="n">
        <x:v>4.2</x:v>
      </x:c>
      <x:c r="J2448" t="n">
        <x:v>12</x:v>
      </x:c>
      <x:c r="K2448" t="n">
        <x:v>1</x:v>
      </x:c>
      <x:c r="L2448" t="str">
        <x:v>STORE-001</x:v>
      </x:c>
      <x:c r="M2448" s="22" t="n">
        <x:v>46180</x:v>
      </x:c>
      <x:c r="N2448" t="str">
        <x:v>SKU-014</x:v>
      </x:c>
      <x:c r="O2448" t="n">
        <x:v>1</x:v>
      </x:c>
      <x:c r="P2448" s="26" t="n">
        <x:f>F2448/O2448</x:f>
        <x:v>1959.09</x:v>
      </x:c>
    </x:row>
    <x:row r="2449">
      <x:c r="A2449" t="n">
        <x:v>2448</x:v>
      </x:c>
      <x:c r="B2449" t="n">
        <x:v>66</x:v>
      </x:c>
      <x:c r="C2449" t="str">
        <x:v>Female</x:v>
      </x:c>
      <x:c r="D2449" t="str">
        <x:v>Sports</x:v>
      </x:c>
      <x:c r="E2449" t="str">
        <x:v>Football</x:v>
      </x:c>
      <x:c r="F2449" s="24" t="n">
        <x:v>109.15</x:v>
      </x:c>
      <x:c r="G2449" t="str">
        <x:v>Winter</x:v>
      </x:c>
      <x:c r="H2449" t="str">
        <x:v>Card</x:v>
      </x:c>
      <x:c r="I2449" t="n">
        <x:v>2.8</x:v>
      </x:c>
      <x:c r="J2449" t="n">
        <x:v>18</x:v>
      </x:c>
      <x:c r="K2449" t="n">
        <x:v>4</x:v>
      </x:c>
      <x:c r="L2449" t="str">
        <x:v>STORE-001</x:v>
      </x:c>
      <x:c r="M2449" s="22" t="n">
        <x:v>46234</x:v>
      </x:c>
      <x:c r="N2449" t="str">
        <x:v>SKU-006</x:v>
      </x:c>
      <x:c r="O2449" t="n">
        <x:v>1</x:v>
      </x:c>
      <x:c r="P2449" s="26" t="n">
        <x:f>F2449/O2449</x:f>
        <x:v>109.15</x:v>
      </x:c>
    </x:row>
    <x:row r="2450">
      <x:c r="A2450" t="n">
        <x:v>2449</x:v>
      </x:c>
      <x:c r="B2450" t="n">
        <x:v>31</x:v>
      </x:c>
      <x:c r="C2450" t="str">
        <x:v>Male</x:v>
      </x:c>
      <x:c r="D2450" t="str">
        <x:v>Sports</x:v>
      </x:c>
      <x:c r="E2450" t="str">
        <x:v>Yoga Mat</x:v>
      </x:c>
      <x:c r="F2450" s="24" t="n">
        <x:v>247.77</x:v>
      </x:c>
      <x:c r="G2450" t="str">
        <x:v>Spring</x:v>
      </x:c>
      <x:c r="H2450" t="str">
        <x:v>Card</x:v>
      </x:c>
      <x:c r="I2450" t="n">
        <x:v>2.8</x:v>
      </x:c>
      <x:c r="J2450" t="n">
        <x:v>10</x:v>
      </x:c>
      <x:c r="K2450" t="n">
        <x:v>5</x:v>
      </x:c>
      <x:c r="L2450" t="str">
        <x:v>STORE-001</x:v>
      </x:c>
      <x:c r="M2450" s="22" t="n">
        <x:v>45959</x:v>
      </x:c>
      <x:c r="N2450" t="str">
        <x:v>SKU-030</x:v>
      </x:c>
      <x:c r="O2450" t="n">
        <x:v>2</x:v>
      </x:c>
      <x:c r="P2450" s="26" t="n">
        <x:f>F2450/O2450</x:f>
        <x:v>123.885</x:v>
      </x:c>
    </x:row>
    <x:row r="2451">
      <x:c r="A2451" t="n">
        <x:v>2450</x:v>
      </x:c>
      <x:c r="B2451" t="n">
        <x:v>29</x:v>
      </x:c>
      <x:c r="C2451" t="str">
        <x:v>Female</x:v>
      </x:c>
      <x:c r="D2451" t="str">
        <x:v>Footwear</x:v>
      </x:c>
      <x:c r="E2451" t="str">
        <x:v>Formal Shoes</x:v>
      </x:c>
      <x:c r="F2451" s="24" t="n">
        <x:v>175.99</x:v>
      </x:c>
      <x:c r="G2451" t="str">
        <x:v>Spring</x:v>
      </x:c>
      <x:c r="H2451" t="str">
        <x:v>Card</x:v>
      </x:c>
      <x:c r="I2451" t="n">
        <x:v>5</x:v>
      </x:c>
      <x:c r="J2451" t="n">
        <x:v>24</x:v>
      </x:c>
      <x:c r="K2451" t="n">
        <x:v>7</x:v>
      </x:c>
      <x:c r="L2451" t="str">
        <x:v>STORE-001</x:v>
      </x:c>
      <x:c r="M2451" s="22" t="n">
        <x:v>46292</x:v>
      </x:c>
      <x:c r="N2451" t="str">
        <x:v>SKU-007</x:v>
      </x:c>
      <x:c r="O2451" t="n">
        <x:v>1</x:v>
      </x:c>
      <x:c r="P2451" s="26" t="n">
        <x:f>F2451/O2451</x:f>
        <x:v>175.99</x:v>
      </x:c>
    </x:row>
    <x:row r="2452">
      <x:c r="A2452" t="n">
        <x:v>2451</x:v>
      </x:c>
      <x:c r="B2452" t="n">
        <x:v>33</x:v>
      </x:c>
      <x:c r="C2452" t="str">
        <x:v>Female</x:v>
      </x:c>
      <x:c r="D2452" t="str">
        <x:v>Beauty</x:v>
      </x:c>
      <x:c r="E2452" t="str">
        <x:v>Makeup Set</x:v>
      </x:c>
      <x:c r="F2452" s="24" t="n">
        <x:v>20.03</x:v>
      </x:c>
      <x:c r="G2452" t="str">
        <x:v>Summer</x:v>
      </x:c>
      <x:c r="H2452" t="str">
        <x:v>Card</x:v>
      </x:c>
      <x:c r="I2452" t="n">
        <x:v>3.6</x:v>
      </x:c>
      <x:c r="J2452" t="n">
        <x:v>20</x:v>
      </x:c>
      <x:c r="K2452" t="n">
        <x:v>5</x:v>
      </x:c>
      <x:c r="L2452" t="str">
        <x:v>STORE-001</x:v>
      </x:c>
      <x:c r="M2452" s="22" t="n">
        <x:v>46026</x:v>
      </x:c>
      <x:c r="N2452" t="str">
        <x:v>SKU-015</x:v>
      </x:c>
      <x:c r="O2452" t="n">
        <x:v>1</x:v>
      </x:c>
      <x:c r="P2452" s="26" t="n">
        <x:f>F2452/O2452</x:f>
        <x:v>20.03</x:v>
      </x:c>
    </x:row>
    <x:row r="2453">
      <x:c r="A2453" t="n">
        <x:v>2452</x:v>
      </x:c>
      <x:c r="B2453" t="n">
        <x:v>23</x:v>
      </x:c>
      <x:c r="C2453" t="str">
        <x:v>Female</x:v>
      </x:c>
      <x:c r="D2453" t="str">
        <x:v>Womens Clothing</x:v>
      </x:c>
      <x:c r="E2453" t="str">
        <x:v>Skirt</x:v>
      </x:c>
      <x:c r="F2453" s="24" t="n">
        <x:v>194.96</x:v>
      </x:c>
      <x:c r="G2453" t="str">
        <x:v>Spring</x:v>
      </x:c>
      <x:c r="H2453" t="str">
        <x:v>Card</x:v>
      </x:c>
      <x:c r="I2453" t="n">
        <x:v>2.9</x:v>
      </x:c>
      <x:c r="J2453" t="n">
        <x:v>14</x:v>
      </x:c>
      <x:c r="K2453" t="n">
        <x:v>7</x:v>
      </x:c>
      <x:c r="L2453" t="str">
        <x:v>STORE-001</x:v>
      </x:c>
      <x:c r="M2453" s="22" t="n">
        <x:v>45978</x:v>
      </x:c>
      <x:c r="N2453" t="str">
        <x:v>SKU-022</x:v>
      </x:c>
      <x:c r="O2453" t="n">
        <x:v>1</x:v>
      </x:c>
      <x:c r="P2453" s="26" t="n">
        <x:f>F2453/O2453</x:f>
        <x:v>194.96</x:v>
      </x:c>
    </x:row>
    <x:row r="2454">
      <x:c r="A2454" t="n">
        <x:v>2453</x:v>
      </x:c>
      <x:c r="B2454" t="n">
        <x:v>47</x:v>
      </x:c>
      <x:c r="C2454" t="str">
        <x:v>Female</x:v>
      </x:c>
      <x:c r="D2454" t="str">
        <x:v>Beauty</x:v>
      </x:c>
      <x:c r="E2454" t="str">
        <x:v>Makeup Set</x:v>
      </x:c>
      <x:c r="F2454" s="24" t="n">
        <x:v>132.65</x:v>
      </x:c>
      <x:c r="G2454" t="str">
        <x:v>Winter</x:v>
      </x:c>
      <x:c r="H2454" t="str">
        <x:v>Card</x:v>
      </x:c>
      <x:c r="I2454" t="n">
        <x:v>3.9</x:v>
      </x:c>
      <x:c r="J2454" t="n">
        <x:v>19</x:v>
      </x:c>
      <x:c r="K2454" t="n">
        <x:v>7</x:v>
      </x:c>
      <x:c r="L2454" t="str">
        <x:v>STORE-001</x:v>
      </x:c>
      <x:c r="M2454" s="22" t="n">
        <x:v>46200</x:v>
      </x:c>
      <x:c r="N2454" t="str">
        <x:v>SKU-015</x:v>
      </x:c>
      <x:c r="O2454" t="n">
        <x:v>1</x:v>
      </x:c>
      <x:c r="P2454" s="26" t="n">
        <x:f>F2454/O2454</x:f>
        <x:v>132.65</x:v>
      </x:c>
    </x:row>
    <x:row r="2455">
      <x:c r="A2455" t="n">
        <x:v>2454</x:v>
      </x:c>
      <x:c r="B2455" t="n">
        <x:v>32</x:v>
      </x:c>
      <x:c r="C2455" t="str">
        <x:v>Female</x:v>
      </x:c>
      <x:c r="D2455" t="str">
        <x:v>Sports</x:v>
      </x:c>
      <x:c r="E2455" t="str">
        <x:v>Yoga Mat</x:v>
      </x:c>
      <x:c r="F2455" s="24" t="n">
        <x:v>119.74</x:v>
      </x:c>
      <x:c r="G2455" t="str">
        <x:v>Spring</x:v>
      </x:c>
      <x:c r="H2455" t="str">
        <x:v>Card</x:v>
      </x:c>
      <x:c r="I2455" t="n">
        <x:v>3.3</x:v>
      </x:c>
      <x:c r="J2455" t="n">
        <x:v>22</x:v>
      </x:c>
      <x:c r="K2455" t="n">
        <x:v>11</x:v>
      </x:c>
      <x:c r="L2455" t="str">
        <x:v>STORE-001</x:v>
      </x:c>
      <x:c r="M2455" s="22" t="n">
        <x:v>46283</x:v>
      </x:c>
      <x:c r="N2455" t="str">
        <x:v>SKU-030</x:v>
      </x:c>
      <x:c r="O2455" t="n">
        <x:v>1</x:v>
      </x:c>
      <x:c r="P2455" s="26" t="n">
        <x:f>F2455/O2455</x:f>
        <x:v>119.74</x:v>
      </x:c>
    </x:row>
    <x:row r="2456">
      <x:c r="A2456" t="n">
        <x:v>2455</x:v>
      </x:c>
      <x:c r="B2456" t="n">
        <x:v>49</x:v>
      </x:c>
      <x:c r="C2456" t="str">
        <x:v>Female</x:v>
      </x:c>
      <x:c r="D2456" t="str">
        <x:v>Sports</x:v>
      </x:c>
      <x:c r="E2456" t="str">
        <x:v>Football</x:v>
      </x:c>
      <x:c r="F2456" s="24" t="n">
        <x:v>105.64</x:v>
      </x:c>
      <x:c r="G2456" t="str">
        <x:v>Spring</x:v>
      </x:c>
      <x:c r="H2456" t="str">
        <x:v>Card</x:v>
      </x:c>
      <x:c r="I2456" t="n">
        <x:v>3.3</x:v>
      </x:c>
      <x:c r="J2456" t="n">
        <x:v>24</x:v>
      </x:c>
      <x:c r="K2456" t="n">
        <x:v>7</x:v>
      </x:c>
      <x:c r="L2456" t="str">
        <x:v>STORE-001</x:v>
      </x:c>
      <x:c r="M2456" s="22" t="n">
        <x:v>46288</x:v>
      </x:c>
      <x:c r="N2456" t="str">
        <x:v>SKU-006</x:v>
      </x:c>
      <x:c r="O2456" t="n">
        <x:v>1</x:v>
      </x:c>
      <x:c r="P2456" s="26" t="n">
        <x:f>F2456/O2456</x:f>
        <x:v>105.64</x:v>
      </x:c>
    </x:row>
    <x:row r="2457">
      <x:c r="A2457" t="n">
        <x:v>2456</x:v>
      </x:c>
      <x:c r="B2457" t="n">
        <x:v>37</x:v>
      </x:c>
      <x:c r="C2457" t="str">
        <x:v>Male</x:v>
      </x:c>
      <x:c r="D2457" t="str">
        <x:v>Footwear</x:v>
      </x:c>
      <x:c r="E2457" t="str">
        <x:v>Formal Shoes</x:v>
      </x:c>
      <x:c r="F2457" s="24" t="n">
        <x:v>232.32</x:v>
      </x:c>
      <x:c r="G2457" t="str">
        <x:v>Summer</x:v>
      </x:c>
      <x:c r="H2457" t="str">
        <x:v>Card</x:v>
      </x:c>
      <x:c r="I2457" t="n">
        <x:v>3.8</x:v>
      </x:c>
      <x:c r="J2457" t="n">
        <x:v>16</x:v>
      </x:c>
      <x:c r="K2457" t="n">
        <x:v>3</x:v>
      </x:c>
      <x:c r="L2457" t="str">
        <x:v>STORE-001</x:v>
      </x:c>
      <x:c r="M2457" s="22" t="n">
        <x:v>46061</x:v>
      </x:c>
      <x:c r="N2457" t="str">
        <x:v>SKU-007</x:v>
      </x:c>
      <x:c r="O2457" t="n">
        <x:v>1</x:v>
      </x:c>
      <x:c r="P2457" s="26" t="n">
        <x:f>F2457/O2457</x:f>
        <x:v>232.32</x:v>
      </x:c>
    </x:row>
    <x:row r="2458">
      <x:c r="A2458" t="n">
        <x:v>2457</x:v>
      </x:c>
      <x:c r="B2458" t="n">
        <x:v>41</x:v>
      </x:c>
      <x:c r="C2458" t="str">
        <x:v>Male</x:v>
      </x:c>
      <x:c r="D2458" t="str">
        <x:v>Sports</x:v>
      </x:c>
      <x:c r="E2458" t="str">
        <x:v>Football</x:v>
      </x:c>
      <x:c r="F2458" s="24" t="n">
        <x:v>142.71</x:v>
      </x:c>
      <x:c r="G2458" t="str">
        <x:v>Winter</x:v>
      </x:c>
      <x:c r="H2458" t="str">
        <x:v>Card</x:v>
      </x:c>
      <x:c r="I2458" t="n">
        <x:v>4.2</x:v>
      </x:c>
      <x:c r="J2458" t="n">
        <x:v>20</x:v>
      </x:c>
      <x:c r="K2458" t="n">
        <x:v>5</x:v>
      </x:c>
      <x:c r="L2458" t="str">
        <x:v>STORE-001</x:v>
      </x:c>
      <x:c r="M2458" s="22" t="n">
        <x:v>46252</x:v>
      </x:c>
      <x:c r="N2458" t="str">
        <x:v>SKU-006</x:v>
      </x:c>
      <x:c r="O2458" t="n">
        <x:v>1</x:v>
      </x:c>
      <x:c r="P2458" s="26" t="n">
        <x:f>F2458/O2458</x:f>
        <x:v>142.71</x:v>
      </x:c>
    </x:row>
    <x:row r="2459">
      <x:c r="A2459" t="n">
        <x:v>2458</x:v>
      </x:c>
      <x:c r="B2459" t="n">
        <x:v>37</x:v>
      </x:c>
      <x:c r="C2459" t="str">
        <x:v>Male</x:v>
      </x:c>
      <x:c r="D2459" t="str">
        <x:v>Sports</x:v>
      </x:c>
      <x:c r="E2459" t="str">
        <x:v>Dumbbells</x:v>
      </x:c>
      <x:c r="F2459" s="24" t="n">
        <x:v>163.3</x:v>
      </x:c>
      <x:c r="G2459" t="str">
        <x:v>Autumn</x:v>
      </x:c>
      <x:c r="H2459" t="str">
        <x:v>Card</x:v>
      </x:c>
      <x:c r="I2459" t="n">
        <x:v>3.6</x:v>
      </x:c>
      <x:c r="J2459" t="n">
        <x:v>12</x:v>
      </x:c>
      <x:c r="K2459" t="n">
        <x:v>6</x:v>
      </x:c>
      <x:c r="L2459" t="str">
        <x:v>STORE-001</x:v>
      </x:c>
      <x:c r="M2459" s="22" t="n">
        <x:v>46116</x:v>
      </x:c>
      <x:c r="N2459" t="str">
        <x:v>SKU-005</x:v>
      </x:c>
      <x:c r="O2459" t="n">
        <x:v>1</x:v>
      </x:c>
      <x:c r="P2459" s="26" t="n">
        <x:f>F2459/O2459</x:f>
        <x:v>163.3</x:v>
      </x:c>
    </x:row>
    <x:row r="2460">
      <x:c r="A2460" t="n">
        <x:v>2459</x:v>
      </x:c>
      <x:c r="B2460" t="n">
        <x:v>55</x:v>
      </x:c>
      <x:c r="C2460" t="str">
        <x:v>Male</x:v>
      </x:c>
      <x:c r="D2460" t="str">
        <x:v>Electronics</x:v>
      </x:c>
      <x:c r="E2460" t="str">
        <x:v>Laptop</x:v>
      </x:c>
      <x:c r="F2460" s="24" t="n">
        <x:v>2997.94</x:v>
      </x:c>
      <x:c r="G2460" t="str">
        <x:v>Autumn</x:v>
      </x:c>
      <x:c r="H2460" t="str">
        <x:v>Card</x:v>
      </x:c>
      <x:c r="I2460" t="n">
        <x:v>4.2</x:v>
      </x:c>
      <x:c r="J2460" t="n">
        <x:v>14</x:v>
      </x:c>
      <x:c r="K2460" t="n">
        <x:v>2</x:v>
      </x:c>
      <x:c r="L2460" t="str">
        <x:v>STORE-001</x:v>
      </x:c>
      <x:c r="M2460" s="22" t="n">
        <x:v>46163</x:v>
      </x:c>
      <x:c r="N2460" t="str">
        <x:v>SKU-014</x:v>
      </x:c>
      <x:c r="O2460" t="n">
        <x:v>1</x:v>
      </x:c>
      <x:c r="P2460" s="26" t="n">
        <x:f>F2460/O2460</x:f>
        <x:v>2997.94</x:v>
      </x:c>
    </x:row>
    <x:row r="2461">
      <x:c r="A2461" t="n">
        <x:v>2460</x:v>
      </x:c>
      <x:c r="B2461" t="n">
        <x:v>42</x:v>
      </x:c>
      <x:c r="C2461" t="str">
        <x:v>Male</x:v>
      </x:c>
      <x:c r="D2461" t="str">
        <x:v>Electronics</x:v>
      </x:c>
      <x:c r="E2461" t="str">
        <x:v>Smart Watch</x:v>
      </x:c>
      <x:c r="F2461" s="24" t="n">
        <x:v>1412.92</x:v>
      </x:c>
      <x:c r="G2461" t="str">
        <x:v>Autumn</x:v>
      </x:c>
      <x:c r="H2461" t="str">
        <x:v>Card</x:v>
      </x:c>
      <x:c r="I2461" t="n">
        <x:v>3.9</x:v>
      </x:c>
      <x:c r="J2461" t="n">
        <x:v>19</x:v>
      </x:c>
      <x:c r="K2461" t="n">
        <x:v>7</x:v>
      </x:c>
      <x:c r="L2461" t="str">
        <x:v>STORE-001</x:v>
      </x:c>
      <x:c r="M2461" s="22" t="n">
        <x:v>46153</x:v>
      </x:c>
      <x:c r="N2461" t="str">
        <x:v>SKU-023</x:v>
      </x:c>
      <x:c r="O2461" t="n">
        <x:v>2</x:v>
      </x:c>
      <x:c r="P2461" s="26" t="n">
        <x:f>F2461/O2461</x:f>
        <x:v>706.46</x:v>
      </x:c>
    </x:row>
    <x:row r="2462">
      <x:c r="A2462" t="n">
        <x:v>2461</x:v>
      </x:c>
      <x:c r="B2462" t="n">
        <x:v>60</x:v>
      </x:c>
      <x:c r="C2462" t="str">
        <x:v>Female</x:v>
      </x:c>
      <x:c r="D2462" t="str">
        <x:v>Footwear</x:v>
      </x:c>
      <x:c r="E2462" t="str">
        <x:v>Sandals</x:v>
      </x:c>
      <x:c r="F2462" s="24" t="n">
        <x:v>104.02</x:v>
      </x:c>
      <x:c r="G2462" t="str">
        <x:v>Winter</x:v>
      </x:c>
      <x:c r="H2462" t="str">
        <x:v>Card</x:v>
      </x:c>
      <x:c r="I2462" t="n">
        <x:v>5</x:v>
      </x:c>
      <x:c r="J2462" t="n">
        <x:v>8</x:v>
      </x:c>
      <x:c r="K2462" t="n">
        <x:v>4</x:v>
      </x:c>
      <x:c r="L2462" t="str">
        <x:v>STORE-001</x:v>
      </x:c>
      <x:c r="M2462" s="22" t="n">
        <x:v>46231</x:v>
      </x:c>
      <x:c r="N2462" t="str">
        <x:v>SKU-019</x:v>
      </x:c>
      <x:c r="O2462" t="n">
        <x:v>1</x:v>
      </x:c>
      <x:c r="P2462" s="26" t="n">
        <x:f>F2462/O2462</x:f>
        <x:v>104.02</x:v>
      </x:c>
    </x:row>
    <x:row r="2463">
      <x:c r="A2463" t="n">
        <x:v>2462</x:v>
      </x:c>
      <x:c r="B2463" t="n">
        <x:v>62</x:v>
      </x:c>
      <x:c r="C2463" t="str">
        <x:v>Female</x:v>
      </x:c>
      <x:c r="D2463" t="str">
        <x:v>Beauty</x:v>
      </x:c>
      <x:c r="E2463" t="str">
        <x:v>Makeup Set</x:v>
      </x:c>
      <x:c r="F2463" s="24" t="n">
        <x:v>20.71</x:v>
      </x:c>
      <x:c r="G2463" t="str">
        <x:v>Autumn</x:v>
      </x:c>
      <x:c r="H2463" t="str">
        <x:v>Card</x:v>
      </x:c>
      <x:c r="I2463" t="n">
        <x:v>3.8</x:v>
      </x:c>
      <x:c r="J2463" t="n">
        <x:v>20</x:v>
      </x:c>
      <x:c r="K2463" t="n">
        <x:v>5</x:v>
      </x:c>
      <x:c r="L2463" t="str">
        <x:v>STORE-001</x:v>
      </x:c>
      <x:c r="M2463" s="22" t="n">
        <x:v>46101</x:v>
      </x:c>
      <x:c r="N2463" t="str">
        <x:v>SKU-015</x:v>
      </x:c>
      <x:c r="O2463" t="n">
        <x:v>2</x:v>
      </x:c>
      <x:c r="P2463" s="26" t="n">
        <x:f>F2463/O2463</x:f>
        <x:v>10.355</x:v>
      </x:c>
    </x:row>
    <x:row r="2464">
      <x:c r="A2464" t="n">
        <x:v>2463</x:v>
      </x:c>
      <x:c r="B2464" t="n">
        <x:v>56</x:v>
      </x:c>
      <x:c r="C2464" t="str">
        <x:v>Female</x:v>
      </x:c>
      <x:c r="D2464" t="str">
        <x:v>Womens Clothing</x:v>
      </x:c>
      <x:c r="E2464" t="str">
        <x:v>Dress</x:v>
      </x:c>
      <x:c r="F2464" s="24" t="n">
        <x:v>83.87</x:v>
      </x:c>
      <x:c r="G2464" t="str">
        <x:v>Spring</x:v>
      </x:c>
      <x:c r="H2464" t="str">
        <x:v>Card</x:v>
      </x:c>
      <x:c r="I2464" t="n">
        <x:v>3.9</x:v>
      </x:c>
      <x:c r="J2464" t="n">
        <x:v>17</x:v>
      </x:c>
      <x:c r="K2464" t="n">
        <x:v>6</x:v>
      </x:c>
      <x:c r="L2464" t="str">
        <x:v>STORE-001</x:v>
      </x:c>
      <x:c r="M2464" s="22" t="n">
        <x:v>45990</x:v>
      </x:c>
      <x:c r="N2464" t="str">
        <x:v>SKU-004</x:v>
      </x:c>
      <x:c r="O2464" t="n">
        <x:v>3</x:v>
      </x:c>
      <x:c r="P2464" s="26" t="n">
        <x:f>F2464/O2464</x:f>
        <x:v>27.956666666666667</x:v>
      </x:c>
    </x:row>
    <x:row r="2465">
      <x:c r="A2465" t="n">
        <x:v>2464</x:v>
      </x:c>
      <x:c r="B2465" t="n">
        <x:v>67</x:v>
      </x:c>
      <x:c r="C2465" t="str">
        <x:v>Male</x:v>
      </x:c>
      <x:c r="D2465" t="str">
        <x:v>Mens Clothing</x:v>
      </x:c>
      <x:c r="E2465" t="str">
        <x:v>T-Shirt</x:v>
      </x:c>
      <x:c r="F2465" s="24" t="n">
        <x:v>43.13</x:v>
      </x:c>
      <x:c r="G2465" t="str">
        <x:v>Winter</x:v>
      </x:c>
      <x:c r="H2465" t="str">
        <x:v>Cash on Delivery</x:v>
      </x:c>
      <x:c r="I2465" t="n">
        <x:v>3</x:v>
      </x:c>
      <x:c r="J2465" t="n">
        <x:v>9</x:v>
      </x:c>
      <x:c r="K2465" t="n">
        <x:v>2</x:v>
      </x:c>
      <x:c r="L2465" t="str">
        <x:v>STORE-001</x:v>
      </x:c>
      <x:c r="M2465" s="22" t="n">
        <x:v>46258</x:v>
      </x:c>
      <x:c r="N2465" t="str">
        <x:v>SKU-027</x:v>
      </x:c>
      <x:c r="O2465" t="n">
        <x:v>1</x:v>
      </x:c>
      <x:c r="P2465" s="26" t="n">
        <x:f>F2465/O2465</x:f>
        <x:v>43.13</x:v>
      </x:c>
    </x:row>
    <x:row r="2466">
      <x:c r="A2466" t="n">
        <x:v>2465</x:v>
      </x:c>
      <x:c r="B2466" t="n">
        <x:v>59</x:v>
      </x:c>
      <x:c r="C2466" t="str">
        <x:v>Male</x:v>
      </x:c>
      <x:c r="D2466" t="str">
        <x:v>Sports</x:v>
      </x:c>
      <x:c r="E2466" t="str">
        <x:v>Football</x:v>
      </x:c>
      <x:c r="F2466" s="24" t="n">
        <x:v>73.74</x:v>
      </x:c>
      <x:c r="G2466" t="str">
        <x:v>Summer</x:v>
      </x:c>
      <x:c r="H2466" t="str">
        <x:v>Card</x:v>
      </x:c>
      <x:c r="I2466" t="n">
        <x:v>3.8</x:v>
      </x:c>
      <x:c r="J2466" t="n">
        <x:v>15</x:v>
      </x:c>
      <x:c r="K2466" t="n">
        <x:v>5</x:v>
      </x:c>
      <x:c r="L2466" t="str">
        <x:v>STORE-001</x:v>
      </x:c>
      <x:c r="M2466" s="22" t="n">
        <x:v>46006</x:v>
      </x:c>
      <x:c r="N2466" t="str">
        <x:v>SKU-006</x:v>
      </x:c>
      <x:c r="O2466" t="n">
        <x:v>1</x:v>
      </x:c>
      <x:c r="P2466" s="26" t="n">
        <x:f>F2466/O2466</x:f>
        <x:v>73.74</x:v>
      </x:c>
    </x:row>
    <x:row r="2467">
      <x:c r="A2467" t="n">
        <x:v>2466</x:v>
      </x:c>
      <x:c r="B2467" t="n">
        <x:v>32</x:v>
      </x:c>
      <x:c r="C2467" t="str">
        <x:v>Male</x:v>
      </x:c>
      <x:c r="D2467" t="str">
        <x:v>Sports</x:v>
      </x:c>
      <x:c r="E2467" t="str">
        <x:v>Football</x:v>
      </x:c>
      <x:c r="F2467" s="24" t="n">
        <x:v>144.04</x:v>
      </x:c>
      <x:c r="G2467" t="str">
        <x:v>Summer</x:v>
      </x:c>
      <x:c r="H2467" t="str">
        <x:v>Card</x:v>
      </x:c>
      <x:c r="I2467" t="n">
        <x:v>3.8</x:v>
      </x:c>
      <x:c r="J2467" t="n">
        <x:v>13</x:v>
      </x:c>
      <x:c r="K2467" t="n">
        <x:v>4</x:v>
      </x:c>
      <x:c r="L2467" t="str">
        <x:v>STORE-001</x:v>
      </x:c>
      <x:c r="M2467" s="22" t="n">
        <x:v>46004</x:v>
      </x:c>
      <x:c r="N2467" t="str">
        <x:v>SKU-006</x:v>
      </x:c>
      <x:c r="O2467" t="n">
        <x:v>1</x:v>
      </x:c>
      <x:c r="P2467" s="26" t="n">
        <x:f>F2467/O2467</x:f>
        <x:v>144.04</x:v>
      </x:c>
    </x:row>
    <x:row r="2468">
      <x:c r="A2468" t="n">
        <x:v>2467</x:v>
      </x:c>
      <x:c r="B2468" t="n">
        <x:v>24</x:v>
      </x:c>
      <x:c r="C2468" t="str">
        <x:v>Female</x:v>
      </x:c>
      <x:c r="D2468" t="str">
        <x:v>Beauty</x:v>
      </x:c>
      <x:c r="E2468" t="str">
        <x:v>Makeup Set</x:v>
      </x:c>
      <x:c r="F2468" s="24" t="n">
        <x:v>82.17</x:v>
      </x:c>
      <x:c r="G2468" t="str">
        <x:v>Winter</x:v>
      </x:c>
      <x:c r="H2468" t="str">
        <x:v>Card</x:v>
      </x:c>
      <x:c r="I2468" t="n">
        <x:v>3.4</x:v>
      </x:c>
      <x:c r="J2468" t="n">
        <x:v>15</x:v>
      </x:c>
      <x:c r="K2468" t="n">
        <x:v>5</x:v>
      </x:c>
      <x:c r="L2468" t="str">
        <x:v>STORE-001</x:v>
      </x:c>
      <x:c r="M2468" s="22" t="n">
        <x:v>46189</x:v>
      </x:c>
      <x:c r="N2468" t="str">
        <x:v>SKU-015</x:v>
      </x:c>
      <x:c r="O2468" t="n">
        <x:v>1</x:v>
      </x:c>
      <x:c r="P2468" s="26" t="n">
        <x:f>F2468/O2468</x:f>
        <x:v>82.17</x:v>
      </x:c>
    </x:row>
    <x:row r="2469">
      <x:c r="A2469" t="n">
        <x:v>2468</x:v>
      </x:c>
      <x:c r="B2469" t="n">
        <x:v>31</x:v>
      </x:c>
      <x:c r="C2469" t="str">
        <x:v>Female</x:v>
      </x:c>
      <x:c r="D2469" t="str">
        <x:v>Womens Clothing</x:v>
      </x:c>
      <x:c r="E2469" t="str">
        <x:v>Skirt</x:v>
      </x:c>
      <x:c r="F2469" s="24" t="n">
        <x:v>128.18</x:v>
      </x:c>
      <x:c r="G2469" t="str">
        <x:v>Autumn</x:v>
      </x:c>
      <x:c r="H2469" t="str">
        <x:v>Card</x:v>
      </x:c>
      <x:c r="I2469" t="n">
        <x:v>4</x:v>
      </x:c>
      <x:c r="J2469" t="n">
        <x:v>17</x:v>
      </x:c>
      <x:c r="K2469" t="n">
        <x:v>6</x:v>
      </x:c>
      <x:c r="L2469" t="str">
        <x:v>STORE-001</x:v>
      </x:c>
      <x:c r="M2469" s="22" t="n">
        <x:v>46138</x:v>
      </x:c>
      <x:c r="N2469" t="str">
        <x:v>SKU-022</x:v>
      </x:c>
      <x:c r="O2469" t="n">
        <x:v>1</x:v>
      </x:c>
      <x:c r="P2469" s="26" t="n">
        <x:f>F2469/O2469</x:f>
        <x:v>128.18</x:v>
      </x:c>
    </x:row>
    <x:row r="2470">
      <x:c r="A2470" t="n">
        <x:v>2469</x:v>
      </x:c>
      <x:c r="B2470" t="n">
        <x:v>67</x:v>
      </x:c>
      <x:c r="C2470" t="str">
        <x:v>Female</x:v>
      </x:c>
      <x:c r="D2470" t="str">
        <x:v>Womens Clothing</x:v>
      </x:c>
      <x:c r="E2470" t="str">
        <x:v>Top</x:v>
      </x:c>
      <x:c r="F2470" s="24" t="n">
        <x:v>74.73</x:v>
      </x:c>
      <x:c r="G2470" t="str">
        <x:v>Autumn</x:v>
      </x:c>
      <x:c r="H2470" t="str">
        <x:v>Cash on Delivery</x:v>
      </x:c>
      <x:c r="I2470" t="n">
        <x:v>3.7</x:v>
      </x:c>
      <x:c r="J2470" t="n">
        <x:v>20</x:v>
      </x:c>
      <x:c r="K2470" t="n">
        <x:v>5</x:v>
      </x:c>
      <x:c r="L2470" t="str">
        <x:v>STORE-001</x:v>
      </x:c>
      <x:c r="M2470" s="22" t="n">
        <x:v>46106</x:v>
      </x:c>
      <x:c r="N2470" t="str">
        <x:v>SKU-028</x:v>
      </x:c>
      <x:c r="O2470" t="n">
        <x:v>2</x:v>
      </x:c>
      <x:c r="P2470" s="26" t="n">
        <x:f>F2470/O2470</x:f>
        <x:v>37.365</x:v>
      </x:c>
    </x:row>
    <x:row r="2471">
      <x:c r="A2471" t="n">
        <x:v>2470</x:v>
      </x:c>
      <x:c r="B2471" t="n">
        <x:v>41</x:v>
      </x:c>
      <x:c r="C2471" t="str">
        <x:v>Female</x:v>
      </x:c>
      <x:c r="D2471" t="str">
        <x:v>Home</x:v>
      </x:c>
      <x:c r="E2471" t="str">
        <x:v>Curtains</x:v>
      </x:c>
      <x:c r="F2471" s="24" t="n">
        <x:v>159.58</x:v>
      </x:c>
      <x:c r="G2471" t="str">
        <x:v>Spring</x:v>
      </x:c>
      <x:c r="H2471" t="str">
        <x:v>Card</x:v>
      </x:c>
      <x:c r="I2471" t="n">
        <x:v>4.4</x:v>
      </x:c>
      <x:c r="J2471" t="n">
        <x:v>8</x:v>
      </x:c>
      <x:c r="K2471" t="n">
        <x:v>4</x:v>
      </x:c>
      <x:c r="L2471" t="str">
        <x:v>STORE-001</x:v>
      </x:c>
      <x:c r="M2471" s="22" t="n">
        <x:v>45976</x:v>
      </x:c>
      <x:c r="N2471" t="str">
        <x:v>SKU-003</x:v>
      </x:c>
      <x:c r="O2471" t="n">
        <x:v>1</x:v>
      </x:c>
      <x:c r="P2471" s="26" t="n">
        <x:f>F2471/O2471</x:f>
        <x:v>159.58</x:v>
      </x:c>
    </x:row>
    <x:row r="2472">
      <x:c r="A2472" t="n">
        <x:v>2471</x:v>
      </x:c>
      <x:c r="B2472" t="n">
        <x:v>58</x:v>
      </x:c>
      <x:c r="C2472" t="str">
        <x:v>Female</x:v>
      </x:c>
      <x:c r="D2472" t="str">
        <x:v>Womens Clothing</x:v>
      </x:c>
      <x:c r="E2472" t="str">
        <x:v>Skirt</x:v>
      </x:c>
      <x:c r="F2472" s="24" t="n">
        <x:v>142.95</x:v>
      </x:c>
      <x:c r="G2472" t="str">
        <x:v>Winter</x:v>
      </x:c>
      <x:c r="H2472" t="str">
        <x:v>Card</x:v>
      </x:c>
      <x:c r="I2472" t="n">
        <x:v>4.8</x:v>
      </x:c>
      <x:c r="J2472" t="n">
        <x:v>15</x:v>
      </x:c>
      <x:c r="K2472" t="n">
        <x:v>5</x:v>
      </x:c>
      <x:c r="L2472" t="str">
        <x:v>STORE-001</x:v>
      </x:c>
      <x:c r="M2472" s="22" t="n">
        <x:v>46258</x:v>
      </x:c>
      <x:c r="N2472" t="str">
        <x:v>SKU-022</x:v>
      </x:c>
      <x:c r="O2472" t="n">
        <x:v>1</x:v>
      </x:c>
      <x:c r="P2472" s="26" t="n">
        <x:f>F2472/O2472</x:f>
        <x:v>142.95</x:v>
      </x:c>
    </x:row>
    <x:row r="2473">
      <x:c r="A2473" t="n">
        <x:v>2472</x:v>
      </x:c>
      <x:c r="B2473" t="n">
        <x:v>22</x:v>
      </x:c>
      <x:c r="C2473" t="str">
        <x:v>Female</x:v>
      </x:c>
      <x:c r="D2473" t="str">
        <x:v>Beauty</x:v>
      </x:c>
      <x:c r="E2473" t="str">
        <x:v>Perfume</x:v>
      </x:c>
      <x:c r="F2473" s="24" t="n">
        <x:v>56.67</x:v>
      </x:c>
      <x:c r="G2473" t="str">
        <x:v>Summer</x:v>
      </x:c>
      <x:c r="H2473" t="str">
        <x:v>Cash on Delivery</x:v>
      </x:c>
      <x:c r="I2473" t="n">
        <x:v>4.3</x:v>
      </x:c>
      <x:c r="J2473" t="n">
        <x:v>15</x:v>
      </x:c>
      <x:c r="K2473" t="n">
        <x:v>5</x:v>
      </x:c>
      <x:c r="L2473" t="str">
        <x:v>STORE-001</x:v>
      </x:c>
      <x:c r="M2473" s="22" t="n">
        <x:v>46081</x:v>
      </x:c>
      <x:c r="N2473" t="str">
        <x:v>SKU-017</x:v>
      </x:c>
      <x:c r="O2473" t="n">
        <x:v>2</x:v>
      </x:c>
      <x:c r="P2473" s="26" t="n">
        <x:f>F2473/O2473</x:f>
        <x:v>28.335</x:v>
      </x:c>
    </x:row>
    <x:row r="2474">
      <x:c r="A2474" t="n">
        <x:v>2473</x:v>
      </x:c>
      <x:c r="B2474" t="n">
        <x:v>56</x:v>
      </x:c>
      <x:c r="C2474" t="str">
        <x:v>Female</x:v>
      </x:c>
      <x:c r="D2474" t="str">
        <x:v>Accessories</x:v>
      </x:c>
      <x:c r="E2474" t="str">
        <x:v>Wallet</x:v>
      </x:c>
      <x:c r="F2474" s="24" t="n">
        <x:v>60.82</x:v>
      </x:c>
      <x:c r="G2474" t="str">
        <x:v>Spring</x:v>
      </x:c>
      <x:c r="H2474" t="str">
        <x:v>Cash on Delivery</x:v>
      </x:c>
      <x:c r="I2474" t="n">
        <x:v>3.5</x:v>
      </x:c>
      <x:c r="J2474" t="n">
        <x:v>8</x:v>
      </x:c>
      <x:c r="K2474" t="n">
        <x:v>4</x:v>
      </x:c>
      <x:c r="L2474" t="str">
        <x:v>STORE-001</x:v>
      </x:c>
      <x:c r="M2474" s="22" t="n">
        <x:v>46289</x:v>
      </x:c>
      <x:c r="N2474" t="str">
        <x:v>SKU-029</x:v>
      </x:c>
      <x:c r="O2474" t="n">
        <x:v>2</x:v>
      </x:c>
      <x:c r="P2474" s="26" t="n">
        <x:f>F2474/O2474</x:f>
        <x:v>30.41</x:v>
      </x:c>
    </x:row>
    <x:row r="2475">
      <x:c r="A2475" t="n">
        <x:v>2474</x:v>
      </x:c>
      <x:c r="B2475" t="n">
        <x:v>64</x:v>
      </x:c>
      <x:c r="C2475" t="str">
        <x:v>Female</x:v>
      </x:c>
      <x:c r="D2475" t="str">
        <x:v>Footwear</x:v>
      </x:c>
      <x:c r="E2475" t="str">
        <x:v>Sneakers</x:v>
      </x:c>
      <x:c r="F2475" s="24" t="n">
        <x:v>249.17</x:v>
      </x:c>
      <x:c r="G2475" t="str">
        <x:v>Spring</x:v>
      </x:c>
      <x:c r="H2475" t="str">
        <x:v>Card</x:v>
      </x:c>
      <x:c r="I2475" t="n">
        <x:v>4.8</x:v>
      </x:c>
      <x:c r="J2475" t="n">
        <x:v>8</x:v>
      </x:c>
      <x:c r="K2475" t="n">
        <x:v>4</x:v>
      </x:c>
      <x:c r="L2475" t="str">
        <x:v>STORE-001</x:v>
      </x:c>
      <x:c r="M2475" s="22" t="n">
        <x:v>46287</x:v>
      </x:c>
      <x:c r="N2475" t="str">
        <x:v>SKU-025</x:v>
      </x:c>
      <x:c r="O2475" t="n">
        <x:v>1</x:v>
      </x:c>
      <x:c r="P2475" s="26" t="n">
        <x:f>F2475/O2475</x:f>
        <x:v>249.17</x:v>
      </x:c>
    </x:row>
    <x:row r="2476">
      <x:c r="A2476" t="n">
        <x:v>2475</x:v>
      </x:c>
      <x:c r="B2476" t="n">
        <x:v>58</x:v>
      </x:c>
      <x:c r="C2476" t="str">
        <x:v>Female</x:v>
      </x:c>
      <x:c r="D2476" t="str">
        <x:v>Womens Clothing</x:v>
      </x:c>
      <x:c r="E2476" t="str">
        <x:v>Dress</x:v>
      </x:c>
      <x:c r="F2476" s="24" t="n">
        <x:v>105.75</x:v>
      </x:c>
      <x:c r="G2476" t="str">
        <x:v>Autumn</x:v>
      </x:c>
      <x:c r="H2476" t="str">
        <x:v>Card</x:v>
      </x:c>
      <x:c r="I2476" t="n">
        <x:v>4.5</x:v>
      </x:c>
      <x:c r="J2476" t="n">
        <x:v>19</x:v>
      </x:c>
      <x:c r="K2476" t="n">
        <x:v>7</x:v>
      </x:c>
      <x:c r="L2476" t="str">
        <x:v>STORE-001</x:v>
      </x:c>
      <x:c r="M2476" s="22" t="n">
        <x:v>46123</x:v>
      </x:c>
      <x:c r="N2476" t="str">
        <x:v>SKU-004</x:v>
      </x:c>
      <x:c r="O2476" t="n">
        <x:v>1</x:v>
      </x:c>
      <x:c r="P2476" s="26" t="n">
        <x:f>F2476/O2476</x:f>
        <x:v>105.75</x:v>
      </x:c>
    </x:row>
    <x:row r="2477">
      <x:c r="A2477" t="n">
        <x:v>2476</x:v>
      </x:c>
      <x:c r="B2477" t="n">
        <x:v>57</x:v>
      </x:c>
      <x:c r="C2477" t="str">
        <x:v>Male</x:v>
      </x:c>
      <x:c r="D2477" t="str">
        <x:v>Sports</x:v>
      </x:c>
      <x:c r="E2477" t="str">
        <x:v>Dumbbells</x:v>
      </x:c>
      <x:c r="F2477" s="24" t="n">
        <x:v>89.44</x:v>
      </x:c>
      <x:c r="G2477" t="str">
        <x:v>Autumn</x:v>
      </x:c>
      <x:c r="H2477" t="str">
        <x:v>Cash on Delivery</x:v>
      </x:c>
      <x:c r="I2477" t="n">
        <x:v>4.9</x:v>
      </x:c>
      <x:c r="J2477" t="n">
        <x:v>10</x:v>
      </x:c>
      <x:c r="K2477" t="n">
        <x:v>5</x:v>
      </x:c>
      <x:c r="L2477" t="str">
        <x:v>STORE-001</x:v>
      </x:c>
      <x:c r="M2477" s="22" t="n">
        <x:v>46130</x:v>
      </x:c>
      <x:c r="N2477" t="str">
        <x:v>SKU-005</x:v>
      </x:c>
      <x:c r="O2477" t="n">
        <x:v>2</x:v>
      </x:c>
      <x:c r="P2477" s="26" t="n">
        <x:f>F2477/O2477</x:f>
        <x:v>44.72</x:v>
      </x:c>
    </x:row>
    <x:row r="2478">
      <x:c r="A2478" t="n">
        <x:v>2477</x:v>
      </x:c>
      <x:c r="B2478" t="n">
        <x:v>37</x:v>
      </x:c>
      <x:c r="C2478" t="str">
        <x:v>Male</x:v>
      </x:c>
      <x:c r="D2478" t="str">
        <x:v>Sports</x:v>
      </x:c>
      <x:c r="E2478" t="str">
        <x:v>Football</x:v>
      </x:c>
      <x:c r="F2478" s="24" t="n">
        <x:v>182.81</x:v>
      </x:c>
      <x:c r="G2478" t="str">
        <x:v>Summer</x:v>
      </x:c>
      <x:c r="H2478" t="str">
        <x:v>Card</x:v>
      </x:c>
      <x:c r="I2478" t="n">
        <x:v>3.2</x:v>
      </x:c>
      <x:c r="J2478" t="n">
        <x:v>16</x:v>
      </x:c>
      <x:c r="K2478" t="n">
        <x:v>3</x:v>
      </x:c>
      <x:c r="L2478" t="str">
        <x:v>STORE-001</x:v>
      </x:c>
      <x:c r="M2478" s="22" t="n">
        <x:v>46030</x:v>
      </x:c>
      <x:c r="N2478" t="str">
        <x:v>SKU-006</x:v>
      </x:c>
      <x:c r="O2478" t="n">
        <x:v>3</x:v>
      </x:c>
      <x:c r="P2478" s="26" t="n">
        <x:f>F2478/O2478</x:f>
        <x:v>60.93666666666667</x:v>
      </x:c>
    </x:row>
    <x:row r="2479">
      <x:c r="A2479" t="n">
        <x:v>2478</x:v>
      </x:c>
      <x:c r="B2479" t="n">
        <x:v>30</x:v>
      </x:c>
      <x:c r="C2479" t="str">
        <x:v>Male</x:v>
      </x:c>
      <x:c r="D2479" t="str">
        <x:v>Sports</x:v>
      </x:c>
      <x:c r="E2479" t="str">
        <x:v>Football</x:v>
      </x:c>
      <x:c r="F2479" s="24" t="n">
        <x:v>49.64</x:v>
      </x:c>
      <x:c r="G2479" t="str">
        <x:v>Spring</x:v>
      </x:c>
      <x:c r="H2479" t="str">
        <x:v>Cash on Delivery</x:v>
      </x:c>
      <x:c r="I2479" t="n">
        <x:v>4.1</x:v>
      </x:c>
      <x:c r="J2479" t="n">
        <x:v>9</x:v>
      </x:c>
      <x:c r="K2479" t="n">
        <x:v>2</x:v>
      </x:c>
      <x:c r="L2479" t="str">
        <x:v>STORE-001</x:v>
      </x:c>
      <x:c r="M2479" s="22" t="n">
        <x:v>46293</x:v>
      </x:c>
      <x:c r="N2479" t="str">
        <x:v>SKU-006</x:v>
      </x:c>
      <x:c r="O2479" t="n">
        <x:v>2</x:v>
      </x:c>
      <x:c r="P2479" s="26" t="n">
        <x:f>F2479/O2479</x:f>
        <x:v>24.82</x:v>
      </x:c>
    </x:row>
    <x:row r="2480">
      <x:c r="A2480" t="n">
        <x:v>2479</x:v>
      </x:c>
      <x:c r="B2480" t="n">
        <x:v>56</x:v>
      </x:c>
      <x:c r="C2480" t="str">
        <x:v>Male</x:v>
      </x:c>
      <x:c r="D2480" t="str">
        <x:v>Sports</x:v>
      </x:c>
      <x:c r="E2480" t="str">
        <x:v>Yoga Mat</x:v>
      </x:c>
      <x:c r="F2480" s="24" t="n">
        <x:v>118.27</x:v>
      </x:c>
      <x:c r="G2480" t="str">
        <x:v>Autumn</x:v>
      </x:c>
      <x:c r="H2480" t="str">
        <x:v>Card</x:v>
      </x:c>
      <x:c r="I2480" t="n">
        <x:v>4</x:v>
      </x:c>
      <x:c r="J2480" t="n">
        <x:v>19</x:v>
      </x:c>
      <x:c r="K2480" t="n">
        <x:v>7</x:v>
      </x:c>
      <x:c r="L2480" t="str">
        <x:v>STORE-001</x:v>
      </x:c>
      <x:c r="M2480" s="22" t="n">
        <x:v>46117</x:v>
      </x:c>
      <x:c r="N2480" t="str">
        <x:v>SKU-030</x:v>
      </x:c>
      <x:c r="O2480" t="n">
        <x:v>1</x:v>
      </x:c>
      <x:c r="P2480" s="26" t="n">
        <x:f>F2480/O2480</x:f>
        <x:v>118.27</x:v>
      </x:c>
    </x:row>
    <x:row r="2481">
      <x:c r="A2481" t="n">
        <x:v>2480</x:v>
      </x:c>
      <x:c r="B2481" t="n">
        <x:v>41</x:v>
      </x:c>
      <x:c r="C2481" t="str">
        <x:v>Female</x:v>
      </x:c>
      <x:c r="D2481" t="str">
        <x:v>Accessories</x:v>
      </x:c>
      <x:c r="E2481" t="str">
        <x:v>Wallet</x:v>
      </x:c>
      <x:c r="F2481" s="24" t="n">
        <x:v>155.41</x:v>
      </x:c>
      <x:c r="G2481" t="str">
        <x:v>Winter</x:v>
      </x:c>
      <x:c r="H2481" t="str">
        <x:v>Card</x:v>
      </x:c>
      <x:c r="I2481" t="n">
        <x:v>5</x:v>
      </x:c>
      <x:c r="J2481" t="n">
        <x:v>22</x:v>
      </x:c>
      <x:c r="K2481" t="n">
        <x:v>6</x:v>
      </x:c>
      <x:c r="L2481" t="str">
        <x:v>STORE-001</x:v>
      </x:c>
      <x:c r="M2481" s="22" t="n">
        <x:v>46196</x:v>
      </x:c>
      <x:c r="N2481" t="str">
        <x:v>SKU-029</x:v>
      </x:c>
      <x:c r="O2481" t="n">
        <x:v>1</x:v>
      </x:c>
      <x:c r="P2481" s="26" t="n">
        <x:f>F2481/O2481</x:f>
        <x:v>155.41</x:v>
      </x:c>
    </x:row>
    <x:row r="2482">
      <x:c r="A2482" t="n">
        <x:v>2481</x:v>
      </x:c>
      <x:c r="B2482" t="n">
        <x:v>47</x:v>
      </x:c>
      <x:c r="C2482" t="str">
        <x:v>Male</x:v>
      </x:c>
      <x:c r="D2482" t="str">
        <x:v>Footwear</x:v>
      </x:c>
      <x:c r="E2482" t="str">
        <x:v>Sandals</x:v>
      </x:c>
      <x:c r="F2482" s="24" t="n">
        <x:v>162.15</x:v>
      </x:c>
      <x:c r="G2482" t="str">
        <x:v>Autumn</x:v>
      </x:c>
      <x:c r="H2482" t="str">
        <x:v>Card</x:v>
      </x:c>
      <x:c r="I2482" t="n">
        <x:v>4.9</x:v>
      </x:c>
      <x:c r="J2482" t="n">
        <x:v>22</x:v>
      </x:c>
      <x:c r="K2482" t="n">
        <x:v>6</x:v>
      </x:c>
      <x:c r="L2482" t="str">
        <x:v>STORE-001</x:v>
      </x:c>
      <x:c r="M2482" s="22" t="n">
        <x:v>46164</x:v>
      </x:c>
      <x:c r="N2482" t="str">
        <x:v>SKU-019</x:v>
      </x:c>
      <x:c r="O2482" t="n">
        <x:v>2</x:v>
      </x:c>
      <x:c r="P2482" s="26" t="n">
        <x:f>F2482/O2482</x:f>
        <x:v>81.075</x:v>
      </x:c>
    </x:row>
    <x:row r="2483">
      <x:c r="A2483" t="n">
        <x:v>2482</x:v>
      </x:c>
      <x:c r="B2483" t="n">
        <x:v>62</x:v>
      </x:c>
      <x:c r="C2483" t="str">
        <x:v>Male</x:v>
      </x:c>
      <x:c r="D2483" t="str">
        <x:v>Mens Clothing</x:v>
      </x:c>
      <x:c r="E2483" t="str">
        <x:v>Shirt</x:v>
      </x:c>
      <x:c r="F2483" s="24" t="n">
        <x:v>122.41</x:v>
      </x:c>
      <x:c r="G2483" t="str">
        <x:v>Spring</x:v>
      </x:c>
      <x:c r="H2483" t="str">
        <x:v>Card</x:v>
      </x:c>
      <x:c r="I2483" t="n">
        <x:v>3</x:v>
      </x:c>
      <x:c r="J2483" t="n">
        <x:v>17</x:v>
      </x:c>
      <x:c r="K2483" t="n">
        <x:v>6</x:v>
      </x:c>
      <x:c r="L2483" t="str">
        <x:v>STORE-001</x:v>
      </x:c>
      <x:c r="M2483" s="22" t="n">
        <x:v>46291</x:v>
      </x:c>
      <x:c r="N2483" t="str">
        <x:v>SKU-020</x:v>
      </x:c>
      <x:c r="O2483" t="n">
        <x:v>1</x:v>
      </x:c>
      <x:c r="P2483" s="26" t="n">
        <x:f>F2483/O2483</x:f>
        <x:v>122.41</x:v>
      </x:c>
    </x:row>
    <x:row r="2484">
      <x:c r="A2484" t="n">
        <x:v>2483</x:v>
      </x:c>
      <x:c r="B2484" t="n">
        <x:v>42</x:v>
      </x:c>
      <x:c r="C2484" t="str">
        <x:v>Male</x:v>
      </x:c>
      <x:c r="D2484" t="str">
        <x:v>Footwear</x:v>
      </x:c>
      <x:c r="E2484" t="str">
        <x:v>Sandals</x:v>
      </x:c>
      <x:c r="F2484" s="24" t="n">
        <x:v>166.76</x:v>
      </x:c>
      <x:c r="G2484" t="str">
        <x:v>Spring</x:v>
      </x:c>
      <x:c r="H2484" t="str">
        <x:v>Card</x:v>
      </x:c>
      <x:c r="I2484" t="n">
        <x:v>3.4</x:v>
      </x:c>
      <x:c r="J2484" t="n">
        <x:v>18</x:v>
      </x:c>
      <x:c r="K2484" t="n">
        <x:v>9</x:v>
      </x:c>
      <x:c r="L2484" t="str">
        <x:v>STORE-001</x:v>
      </x:c>
      <x:c r="M2484" s="22" t="n">
        <x:v>46292</x:v>
      </x:c>
      <x:c r="N2484" t="str">
        <x:v>SKU-019</x:v>
      </x:c>
      <x:c r="O2484" t="n">
        <x:v>2</x:v>
      </x:c>
      <x:c r="P2484" s="26" t="n">
        <x:f>F2484/O2484</x:f>
        <x:v>83.38</x:v>
      </x:c>
    </x:row>
    <x:row r="2485">
      <x:c r="A2485" t="n">
        <x:v>2484</x:v>
      </x:c>
      <x:c r="B2485" t="n">
        <x:v>55</x:v>
      </x:c>
      <x:c r="C2485" t="str">
        <x:v>Male</x:v>
      </x:c>
      <x:c r="D2485" t="str">
        <x:v>Sports</x:v>
      </x:c>
      <x:c r="E2485" t="str">
        <x:v>Football</x:v>
      </x:c>
      <x:c r="F2485" s="24" t="n">
        <x:v>91.77</x:v>
      </x:c>
      <x:c r="G2485" t="str">
        <x:v>Autumn</x:v>
      </x:c>
      <x:c r="H2485" t="str">
        <x:v>Cash on Delivery</x:v>
      </x:c>
      <x:c r="I2485" t="n">
        <x:v>3.8</x:v>
      </x:c>
      <x:c r="J2485" t="n">
        <x:v>20</x:v>
      </x:c>
      <x:c r="K2485" t="n">
        <x:v>5</x:v>
      </x:c>
      <x:c r="L2485" t="str">
        <x:v>STORE-001</x:v>
      </x:c>
      <x:c r="M2485" s="22" t="n">
        <x:v>46147</x:v>
      </x:c>
      <x:c r="N2485" t="str">
        <x:v>SKU-006</x:v>
      </x:c>
      <x:c r="O2485" t="n">
        <x:v>1</x:v>
      </x:c>
      <x:c r="P2485" s="26" t="n">
        <x:f>F2485/O2485</x:f>
        <x:v>91.77</x:v>
      </x:c>
    </x:row>
    <x:row r="2486">
      <x:c r="A2486" t="n">
        <x:v>2485</x:v>
      </x:c>
      <x:c r="B2486" t="n">
        <x:v>70</x:v>
      </x:c>
      <x:c r="C2486" t="str">
        <x:v>Female</x:v>
      </x:c>
      <x:c r="D2486" t="str">
        <x:v>Womens Clothing</x:v>
      </x:c>
      <x:c r="E2486" t="str">
        <x:v>Top</x:v>
      </x:c>
      <x:c r="F2486" s="24" t="n">
        <x:v>112.59</x:v>
      </x:c>
      <x:c r="G2486" t="str">
        <x:v>Spring</x:v>
      </x:c>
      <x:c r="H2486" t="str">
        <x:v>Card</x:v>
      </x:c>
      <x:c r="I2486" t="n">
        <x:v>4.7</x:v>
      </x:c>
      <x:c r="J2486" t="n">
        <x:v>18</x:v>
      </x:c>
      <x:c r="K2486" t="n">
        <x:v>4</x:v>
      </x:c>
      <x:c r="L2486" t="str">
        <x:v>STORE-001</x:v>
      </x:c>
      <x:c r="M2486" s="22" t="n">
        <x:v>46273</x:v>
      </x:c>
      <x:c r="N2486" t="str">
        <x:v>SKU-028</x:v>
      </x:c>
      <x:c r="O2486" t="n">
        <x:v>2</x:v>
      </x:c>
      <x:c r="P2486" s="26" t="n">
        <x:f>F2486/O2486</x:f>
        <x:v>56.295</x:v>
      </x:c>
    </x:row>
    <x:row r="2487">
      <x:c r="A2487" t="n">
        <x:v>2486</x:v>
      </x:c>
      <x:c r="B2487" t="n">
        <x:v>30</x:v>
      </x:c>
      <x:c r="C2487" t="str">
        <x:v>Female</x:v>
      </x:c>
      <x:c r="D2487" t="str">
        <x:v>Womens Clothing</x:v>
      </x:c>
      <x:c r="E2487" t="str">
        <x:v>Top</x:v>
      </x:c>
      <x:c r="F2487" s="24" t="n">
        <x:v>77.54</x:v>
      </x:c>
      <x:c r="G2487" t="str">
        <x:v>Summer</x:v>
      </x:c>
      <x:c r="H2487" t="str">
        <x:v>Cash on Delivery</x:v>
      </x:c>
      <x:c r="I2487" t="n">
        <x:v>3.8</x:v>
      </x:c>
      <x:c r="J2487" t="n">
        <x:v>18</x:v>
      </x:c>
      <x:c r="K2487" t="n">
        <x:v>4</x:v>
      </x:c>
      <x:c r="L2487" t="str">
        <x:v>STORE-001</x:v>
      </x:c>
      <x:c r="M2487" s="22" t="n">
        <x:v>46025</x:v>
      </x:c>
      <x:c r="N2487" t="str">
        <x:v>SKU-028</x:v>
      </x:c>
      <x:c r="O2487" t="n">
        <x:v>1</x:v>
      </x:c>
      <x:c r="P2487" s="26" t="n">
        <x:f>F2487/O2487</x:f>
        <x:v>77.54</x:v>
      </x:c>
    </x:row>
    <x:row r="2488">
      <x:c r="A2488" t="n">
        <x:v>2487</x:v>
      </x:c>
      <x:c r="B2488" t="n">
        <x:v>58</x:v>
      </x:c>
      <x:c r="C2488" t="str">
        <x:v>Female</x:v>
      </x:c>
      <x:c r="D2488" t="str">
        <x:v>Accessories</x:v>
      </x:c>
      <x:c r="E2488" t="str">
        <x:v>Sunglasses</x:v>
      </x:c>
      <x:c r="F2488" s="24" t="n">
        <x:v>125.61</x:v>
      </x:c>
      <x:c r="G2488" t="str">
        <x:v>Autumn</x:v>
      </x:c>
      <x:c r="H2488" t="str">
        <x:v>Card</x:v>
      </x:c>
      <x:c r="I2488" t="n">
        <x:v>3.3</x:v>
      </x:c>
      <x:c r="J2488" t="n">
        <x:v>12</x:v>
      </x:c>
      <x:c r="K2488" t="n">
        <x:v>6</x:v>
      </x:c>
      <x:c r="L2488" t="str">
        <x:v>STORE-001</x:v>
      </x:c>
      <x:c r="M2488" s="22" t="n">
        <x:v>46114</x:v>
      </x:c>
      <x:c r="N2488" t="str">
        <x:v>SKU-026</x:v>
      </x:c>
      <x:c r="O2488" t="n">
        <x:v>2</x:v>
      </x:c>
      <x:c r="P2488" s="26" t="n">
        <x:f>F2488/O2488</x:f>
        <x:v>62.805</x:v>
      </x:c>
    </x:row>
    <x:row r="2489">
      <x:c r="A2489" t="n">
        <x:v>2488</x:v>
      </x:c>
      <x:c r="B2489" t="n">
        <x:v>66</x:v>
      </x:c>
      <x:c r="C2489" t="str">
        <x:v>Female</x:v>
      </x:c>
      <x:c r="D2489" t="str">
        <x:v>Accessories</x:v>
      </x:c>
      <x:c r="E2489" t="str">
        <x:v>Handbag</x:v>
      </x:c>
      <x:c r="F2489" s="24" t="n">
        <x:v>175.38</x:v>
      </x:c>
      <x:c r="G2489" t="str">
        <x:v>Autumn</x:v>
      </x:c>
      <x:c r="H2489" t="str">
        <x:v>Card</x:v>
      </x:c>
      <x:c r="I2489" t="n">
        <x:v>4.1</x:v>
      </x:c>
      <x:c r="J2489" t="n">
        <x:v>12</x:v>
      </x:c>
      <x:c r="K2489" t="n">
        <x:v>6</x:v>
      </x:c>
      <x:c r="L2489" t="str">
        <x:v>STORE-001</x:v>
      </x:c>
      <x:c r="M2489" s="22" t="n">
        <x:v>46173</x:v>
      </x:c>
      <x:c r="N2489" t="str">
        <x:v>SKU-008</x:v>
      </x:c>
      <x:c r="O2489" t="n">
        <x:v>1</x:v>
      </x:c>
      <x:c r="P2489" s="26" t="n">
        <x:f>F2489/O2489</x:f>
        <x:v>175.38</x:v>
      </x:c>
    </x:row>
    <x:row r="2490">
      <x:c r="A2490" t="n">
        <x:v>2489</x:v>
      </x:c>
      <x:c r="B2490" t="n">
        <x:v>45</x:v>
      </x:c>
      <x:c r="C2490" t="str">
        <x:v>Female</x:v>
      </x:c>
      <x:c r="D2490" t="str">
        <x:v>Footwear</x:v>
      </x:c>
      <x:c r="E2490" t="str">
        <x:v>Sandals</x:v>
      </x:c>
      <x:c r="F2490" s="24" t="n">
        <x:v>199.34</x:v>
      </x:c>
      <x:c r="G2490" t="str">
        <x:v>Summer</x:v>
      </x:c>
      <x:c r="H2490" t="str">
        <x:v>Card</x:v>
      </x:c>
      <x:c r="I2490" t="n">
        <x:v>5</x:v>
      </x:c>
      <x:c r="J2490" t="n">
        <x:v>16</x:v>
      </x:c>
      <x:c r="K2490" t="n">
        <x:v>3</x:v>
      </x:c>
      <x:c r="L2490" t="str">
        <x:v>STORE-001</x:v>
      </x:c>
      <x:c r="M2490" s="22" t="n">
        <x:v>46019</x:v>
      </x:c>
      <x:c r="N2490" t="str">
        <x:v>SKU-019</x:v>
      </x:c>
      <x:c r="O2490" t="n">
        <x:v>1</x:v>
      </x:c>
      <x:c r="P2490" s="26" t="n">
        <x:f>F2490/O2490</x:f>
        <x:v>199.34</x:v>
      </x:c>
    </x:row>
    <x:row r="2491">
      <x:c r="A2491" t="n">
        <x:v>2490</x:v>
      </x:c>
      <x:c r="B2491" t="n">
        <x:v>57</x:v>
      </x:c>
      <x:c r="C2491" t="str">
        <x:v>Male</x:v>
      </x:c>
      <x:c r="D2491" t="str">
        <x:v>Footwear</x:v>
      </x:c>
      <x:c r="E2491" t="str">
        <x:v>Sneakers</x:v>
      </x:c>
      <x:c r="F2491" s="24" t="n">
        <x:v>102.02</x:v>
      </x:c>
      <x:c r="G2491" t="str">
        <x:v>Winter</x:v>
      </x:c>
      <x:c r="H2491" t="str">
        <x:v>Card</x:v>
      </x:c>
      <x:c r="I2491" t="n">
        <x:v>4</x:v>
      </x:c>
      <x:c r="J2491" t="n">
        <x:v>19</x:v>
      </x:c>
      <x:c r="K2491" t="n">
        <x:v>7</x:v>
      </x:c>
      <x:c r="L2491" t="str">
        <x:v>STORE-001</x:v>
      </x:c>
      <x:c r="M2491" s="22" t="n">
        <x:v>46193</x:v>
      </x:c>
      <x:c r="N2491" t="str">
        <x:v>SKU-025</x:v>
      </x:c>
      <x:c r="O2491" t="n">
        <x:v>1</x:v>
      </x:c>
      <x:c r="P2491" s="26" t="n">
        <x:f>F2491/O2491</x:f>
        <x:v>102.02</x:v>
      </x:c>
    </x:row>
    <x:row r="2492">
      <x:c r="A2492" t="n">
        <x:v>2491</x:v>
      </x:c>
      <x:c r="B2492" t="n">
        <x:v>27</x:v>
      </x:c>
      <x:c r="C2492" t="str">
        <x:v>Male</x:v>
      </x:c>
      <x:c r="D2492" t="str">
        <x:v>Electronics</x:v>
      </x:c>
      <x:c r="E2492" t="str">
        <x:v>Smart Watch</x:v>
      </x:c>
      <x:c r="F2492" s="24" t="n">
        <x:v>736.82</x:v>
      </x:c>
      <x:c r="G2492" t="str">
        <x:v>Autumn</x:v>
      </x:c>
      <x:c r="H2492" t="str">
        <x:v>Card</x:v>
      </x:c>
      <x:c r="I2492" t="n">
        <x:v>4.4</x:v>
      </x:c>
      <x:c r="J2492" t="n">
        <x:v>10</x:v>
      </x:c>
      <x:c r="K2492" t="n">
        <x:v>5</x:v>
      </x:c>
      <x:c r="L2492" t="str">
        <x:v>STORE-001</x:v>
      </x:c>
      <x:c r="M2492" s="22" t="n">
        <x:v>46156</x:v>
      </x:c>
      <x:c r="N2492" t="str">
        <x:v>SKU-023</x:v>
      </x:c>
      <x:c r="O2492" t="n">
        <x:v>1</x:v>
      </x:c>
      <x:c r="P2492" s="26" t="n">
        <x:f>F2492/O2492</x:f>
        <x:v>736.82</x:v>
      </x:c>
    </x:row>
    <x:row r="2493">
      <x:c r="A2493" t="n">
        <x:v>2492</x:v>
      </x:c>
      <x:c r="B2493" t="n">
        <x:v>61</x:v>
      </x:c>
      <x:c r="C2493" t="str">
        <x:v>Male</x:v>
      </x:c>
      <x:c r="D2493" t="str">
        <x:v>Mens Clothing</x:v>
      </x:c>
      <x:c r="E2493" t="str">
        <x:v>Shirt</x:v>
      </x:c>
      <x:c r="F2493" s="24" t="n">
        <x:v>67.64</x:v>
      </x:c>
      <x:c r="G2493" t="str">
        <x:v>Summer</x:v>
      </x:c>
      <x:c r="H2493" t="str">
        <x:v>Cash on Delivery</x:v>
      </x:c>
      <x:c r="I2493" t="n">
        <x:v>3.6</x:v>
      </x:c>
      <x:c r="J2493" t="n">
        <x:v>18</x:v>
      </x:c>
      <x:c r="K2493" t="n">
        <x:v>4</x:v>
      </x:c>
      <x:c r="L2493" t="str">
        <x:v>STORE-001</x:v>
      </x:c>
      <x:c r="M2493" s="22" t="n">
        <x:v>46024</x:v>
      </x:c>
      <x:c r="N2493" t="str">
        <x:v>SKU-020</x:v>
      </x:c>
      <x:c r="O2493" t="n">
        <x:v>1</x:v>
      </x:c>
      <x:c r="P2493" s="26" t="n">
        <x:f>F2493/O2493</x:f>
        <x:v>67.64</x:v>
      </x:c>
    </x:row>
    <x:row r="2494">
      <x:c r="A2494" t="n">
        <x:v>2493</x:v>
      </x:c>
      <x:c r="B2494" t="n">
        <x:v>61</x:v>
      </x:c>
      <x:c r="C2494" t="str">
        <x:v>Male</x:v>
      </x:c>
      <x:c r="D2494" t="str">
        <x:v>Mens Clothing</x:v>
      </x:c>
      <x:c r="E2494" t="str">
        <x:v>Shirt</x:v>
      </x:c>
      <x:c r="F2494" s="24" t="n">
        <x:v>97.18</x:v>
      </x:c>
      <x:c r="G2494" t="str">
        <x:v>Summer</x:v>
      </x:c>
      <x:c r="H2494" t="str">
        <x:v>Card</x:v>
      </x:c>
      <x:c r="I2494" t="n">
        <x:v>3.9</x:v>
      </x:c>
      <x:c r="J2494" t="n">
        <x:v>19</x:v>
      </x:c>
      <x:c r="K2494" t="n">
        <x:v>7</x:v>
      </x:c>
      <x:c r="L2494" t="str">
        <x:v>STORE-001</x:v>
      </x:c>
      <x:c r="M2494" s="22" t="n">
        <x:v>46065</x:v>
      </x:c>
      <x:c r="N2494" t="str">
        <x:v>SKU-020</x:v>
      </x:c>
      <x:c r="O2494" t="n">
        <x:v>2</x:v>
      </x:c>
      <x:c r="P2494" s="26" t="n">
        <x:f>F2494/O2494</x:f>
        <x:v>48.59</x:v>
      </x:c>
    </x:row>
    <x:row r="2495">
      <x:c r="A2495" t="n">
        <x:v>2494</x:v>
      </x:c>
      <x:c r="B2495" t="n">
        <x:v>36</x:v>
      </x:c>
      <x:c r="C2495" t="str">
        <x:v>Female</x:v>
      </x:c>
      <x:c r="D2495" t="str">
        <x:v>Womens Clothing</x:v>
      </x:c>
      <x:c r="E2495" t="str">
        <x:v>Top</x:v>
      </x:c>
      <x:c r="F2495" s="24" t="n">
        <x:v>96.2</x:v>
      </x:c>
      <x:c r="G2495" t="str">
        <x:v>Winter</x:v>
      </x:c>
      <x:c r="H2495" t="str">
        <x:v>Cash on Delivery</x:v>
      </x:c>
      <x:c r="I2495" t="n">
        <x:v>5</x:v>
      </x:c>
      <x:c r="J2495" t="n">
        <x:v>6</x:v>
      </x:c>
      <x:c r="K2495" t="n">
        <x:v>3</x:v>
      </x:c>
      <x:c r="L2495" t="str">
        <x:v>STORE-001</x:v>
      </x:c>
      <x:c r="M2495" s="22" t="n">
        <x:v>46191</x:v>
      </x:c>
      <x:c r="N2495" t="str">
        <x:v>SKU-028</x:v>
      </x:c>
      <x:c r="O2495" t="n">
        <x:v>2</x:v>
      </x:c>
      <x:c r="P2495" s="26" t="n">
        <x:f>F2495/O2495</x:f>
        <x:v>48.1</x:v>
      </x:c>
    </x:row>
    <x:row r="2496">
      <x:c r="A2496" t="n">
        <x:v>2495</x:v>
      </x:c>
      <x:c r="B2496" t="n">
        <x:v>30</x:v>
      </x:c>
      <x:c r="C2496" t="str">
        <x:v>Male</x:v>
      </x:c>
      <x:c r="D2496" t="str">
        <x:v>Footwear</x:v>
      </x:c>
      <x:c r="E2496" t="str">
        <x:v>Formal Shoes</x:v>
      </x:c>
      <x:c r="F2496" s="24" t="n">
        <x:v>178.66</x:v>
      </x:c>
      <x:c r="G2496" t="str">
        <x:v>Winter</x:v>
      </x:c>
      <x:c r="H2496" t="str">
        <x:v>Card</x:v>
      </x:c>
      <x:c r="I2496" t="n">
        <x:v>3.1</x:v>
      </x:c>
      <x:c r="J2496" t="n">
        <x:v>16</x:v>
      </x:c>
      <x:c r="K2496" t="n">
        <x:v>3</x:v>
      </x:c>
      <x:c r="L2496" t="str">
        <x:v>STORE-001</x:v>
      </x:c>
      <x:c r="M2496" s="22" t="n">
        <x:v>46203</x:v>
      </x:c>
      <x:c r="N2496" t="str">
        <x:v>SKU-007</x:v>
      </x:c>
      <x:c r="O2496" t="n">
        <x:v>1</x:v>
      </x:c>
      <x:c r="P2496" s="26" t="n">
        <x:f>F2496/O2496</x:f>
        <x:v>178.66</x:v>
      </x:c>
    </x:row>
    <x:row r="2497">
      <x:c r="A2497" t="n">
        <x:v>2496</x:v>
      </x:c>
      <x:c r="B2497" t="n">
        <x:v>58</x:v>
      </x:c>
      <x:c r="C2497" t="str">
        <x:v>Male</x:v>
      </x:c>
      <x:c r="D2497" t="str">
        <x:v>Mens Clothing</x:v>
      </x:c>
      <x:c r="E2497" t="str">
        <x:v>Shirt</x:v>
      </x:c>
      <x:c r="F2497" s="24" t="n">
        <x:v>59.56</x:v>
      </x:c>
      <x:c r="G2497" t="str">
        <x:v>Autumn</x:v>
      </x:c>
      <x:c r="H2497" t="str">
        <x:v>Card</x:v>
      </x:c>
      <x:c r="I2497" t="n">
        <x:v>4.5</x:v>
      </x:c>
      <x:c r="J2497" t="n">
        <x:v>24</x:v>
      </x:c>
      <x:c r="K2497" t="n">
        <x:v>7</x:v>
      </x:c>
      <x:c r="L2497" t="str">
        <x:v>STORE-001</x:v>
      </x:c>
      <x:c r="M2497" s="22" t="n">
        <x:v>46145</x:v>
      </x:c>
      <x:c r="N2497" t="str">
        <x:v>SKU-020</x:v>
      </x:c>
      <x:c r="O2497" t="n">
        <x:v>1</x:v>
      </x:c>
      <x:c r="P2497" s="26" t="n">
        <x:f>F2497/O2497</x:f>
        <x:v>59.56</x:v>
      </x:c>
    </x:row>
    <x:row r="2498">
      <x:c r="A2498" t="n">
        <x:v>2497</x:v>
      </x:c>
      <x:c r="B2498" t="n">
        <x:v>44</x:v>
      </x:c>
      <x:c r="C2498" t="str">
        <x:v>Male</x:v>
      </x:c>
      <x:c r="D2498" t="str">
        <x:v>Sports</x:v>
      </x:c>
      <x:c r="E2498" t="str">
        <x:v>Football</x:v>
      </x:c>
      <x:c r="F2498" s="24" t="n">
        <x:v>211.96</x:v>
      </x:c>
      <x:c r="G2498" t="str">
        <x:v>Spring</x:v>
      </x:c>
      <x:c r="H2498" t="str">
        <x:v>Card</x:v>
      </x:c>
      <x:c r="I2498" t="n">
        <x:v>2.7</x:v>
      </x:c>
      <x:c r="J2498" t="n">
        <x:v>24</x:v>
      </x:c>
      <x:c r="K2498" t="n">
        <x:v>7</x:v>
      </x:c>
      <x:c r="L2498" t="str">
        <x:v>STORE-001</x:v>
      </x:c>
      <x:c r="M2498" s="22" t="n">
        <x:v>45959</x:v>
      </x:c>
      <x:c r="N2498" t="str">
        <x:v>SKU-006</x:v>
      </x:c>
      <x:c r="O2498" t="n">
        <x:v>1</x:v>
      </x:c>
      <x:c r="P2498" s="26" t="n">
        <x:f>F2498/O2498</x:f>
        <x:v>211.96</x:v>
      </x:c>
    </x:row>
    <x:row r="2499">
      <x:c r="A2499" t="n">
        <x:v>2498</x:v>
      </x:c>
      <x:c r="B2499" t="n">
        <x:v>28</x:v>
      </x:c>
      <x:c r="C2499" t="str">
        <x:v>Male</x:v>
      </x:c>
      <x:c r="D2499" t="str">
        <x:v>Footwear</x:v>
      </x:c>
      <x:c r="E2499" t="str">
        <x:v>Formal Shoes</x:v>
      </x:c>
      <x:c r="F2499" s="24" t="n">
        <x:v>54.72</x:v>
      </x:c>
      <x:c r="G2499" t="str">
        <x:v>Winter</x:v>
      </x:c>
      <x:c r="H2499" t="str">
        <x:v>Cash on Delivery</x:v>
      </x:c>
      <x:c r="I2499" t="n">
        <x:v>3</x:v>
      </x:c>
      <x:c r="J2499" t="n">
        <x:v>8</x:v>
      </x:c>
      <x:c r="K2499" t="n">
        <x:v>4</x:v>
      </x:c>
      <x:c r="L2499" t="str">
        <x:v>STORE-001</x:v>
      </x:c>
      <x:c r="M2499" s="22" t="n">
        <x:v>46209</x:v>
      </x:c>
      <x:c r="N2499" t="str">
        <x:v>SKU-007</x:v>
      </x:c>
      <x:c r="O2499" t="n">
        <x:v>1</x:v>
      </x:c>
      <x:c r="P2499" s="26" t="n">
        <x:f>F2499/O2499</x:f>
        <x:v>54.72</x:v>
      </x:c>
    </x:row>
    <x:row r="2500">
      <x:c r="A2500" t="n">
        <x:v>2499</x:v>
      </x:c>
      <x:c r="B2500" t="n">
        <x:v>50</x:v>
      </x:c>
      <x:c r="C2500" t="str">
        <x:v>Female</x:v>
      </x:c>
      <x:c r="D2500" t="str">
        <x:v>Womens Clothing</x:v>
      </x:c>
      <x:c r="E2500" t="str">
        <x:v>Jeans</x:v>
      </x:c>
      <x:c r="F2500" s="24" t="n">
        <x:v>166.8</x:v>
      </x:c>
      <x:c r="G2500" t="str">
        <x:v>Autumn</x:v>
      </x:c>
      <x:c r="H2500" t="str">
        <x:v>Card</x:v>
      </x:c>
      <x:c r="I2500" t="n">
        <x:v>4.8</x:v>
      </x:c>
      <x:c r="J2500" t="n">
        <x:v>15</x:v>
      </x:c>
      <x:c r="K2500" t="n">
        <x:v>5</x:v>
      </x:c>
      <x:c r="L2500" t="str">
        <x:v>STORE-001</x:v>
      </x:c>
      <x:c r="M2500" s="22" t="n">
        <x:v>46135</x:v>
      </x:c>
      <x:c r="N2500" t="str">
        <x:v>SKU-011</x:v>
      </x:c>
      <x:c r="O2500" t="n">
        <x:v>2</x:v>
      </x:c>
      <x:c r="P2500" s="26" t="n">
        <x:f>F2500/O2500</x:f>
        <x:v>83.4</x:v>
      </x:c>
    </x:row>
    <x:row r="2501">
      <x:c r="A2501" t="n">
        <x:v>2500</x:v>
      </x:c>
      <x:c r="B2501" t="n">
        <x:v>36</x:v>
      </x:c>
      <x:c r="C2501" t="str">
        <x:v>Female</x:v>
      </x:c>
      <x:c r="D2501" t="str">
        <x:v>Sports</x:v>
      </x:c>
      <x:c r="E2501" t="str">
        <x:v>Football</x:v>
      </x:c>
      <x:c r="F2501" s="24" t="n">
        <x:v>180.09</x:v>
      </x:c>
      <x:c r="G2501" t="str">
        <x:v>Winter</x:v>
      </x:c>
      <x:c r="H2501" t="str">
        <x:v>Card</x:v>
      </x:c>
      <x:c r="I2501" t="n">
        <x:v>4.9</x:v>
      </x:c>
      <x:c r="J2501" t="n">
        <x:v>19</x:v>
      </x:c>
      <x:c r="K2501" t="n">
        <x:v>7</x:v>
      </x:c>
      <x:c r="L2501" t="str">
        <x:v>STORE-001</x:v>
      </x:c>
      <x:c r="M2501" s="22" t="n">
        <x:v>46197</x:v>
      </x:c>
      <x:c r="N2501" t="str">
        <x:v>SKU-006</x:v>
      </x:c>
      <x:c r="O2501" t="n">
        <x:v>1</x:v>
      </x:c>
      <x:c r="P2501" s="26" t="n">
        <x:f>F2501/O2501</x:f>
        <x:v>180.09</x:v>
      </x:c>
    </x:row>
    <x:row r="2502">
      <x:c r="A2502" t="n">
        <x:v>2501</x:v>
      </x:c>
      <x:c r="B2502" t="n">
        <x:v>55</x:v>
      </x:c>
      <x:c r="C2502" t="str">
        <x:v>Female</x:v>
      </x:c>
      <x:c r="D2502" t="str">
        <x:v>Sports</x:v>
      </x:c>
      <x:c r="E2502" t="str">
        <x:v>Football</x:v>
      </x:c>
      <x:c r="F2502" s="24" t="n">
        <x:v>73.29</x:v>
      </x:c>
      <x:c r="G2502" t="str">
        <x:v>Winter</x:v>
      </x:c>
      <x:c r="H2502" t="str">
        <x:v>Card</x:v>
      </x:c>
      <x:c r="I2502" t="n">
        <x:v>4.6</x:v>
      </x:c>
      <x:c r="J2502" t="n">
        <x:v>19</x:v>
      </x:c>
      <x:c r="K2502" t="n">
        <x:v>7</x:v>
      </x:c>
      <x:c r="L2502" t="str">
        <x:v>STORE-001</x:v>
      </x:c>
      <x:c r="M2502" s="22" t="n">
        <x:v>46174</x:v>
      </x:c>
      <x:c r="N2502" t="str">
        <x:v>SKU-006</x:v>
      </x:c>
      <x:c r="O2502" t="n">
        <x:v>1</x:v>
      </x:c>
      <x:c r="P2502" s="26" t="n">
        <x:f>F2502/O2502</x:f>
        <x:v>73.29</x:v>
      </x:c>
    </x:row>
    <x:row r="2503">
      <x:c r="A2503" t="n">
        <x:v>2502</x:v>
      </x:c>
      <x:c r="B2503" t="n">
        <x:v>49</x:v>
      </x:c>
      <x:c r="C2503" t="str">
        <x:v>Male</x:v>
      </x:c>
      <x:c r="D2503" t="str">
        <x:v>Sports</x:v>
      </x:c>
      <x:c r="E2503" t="str">
        <x:v>Football</x:v>
      </x:c>
      <x:c r="F2503" s="24" t="n">
        <x:v>240.58</x:v>
      </x:c>
      <x:c r="G2503" t="str">
        <x:v>Spring</x:v>
      </x:c>
      <x:c r="H2503" t="str">
        <x:v>Card</x:v>
      </x:c>
      <x:c r="I2503" t="n">
        <x:v>4.2</x:v>
      </x:c>
      <x:c r="J2503" t="n">
        <x:v>24</x:v>
      </x:c>
      <x:c r="K2503" t="n">
        <x:v>7</x:v>
      </x:c>
      <x:c r="L2503" t="str">
        <x:v>STORE-001</x:v>
      </x:c>
      <x:c r="M2503" s="22" t="n">
        <x:v>46281</x:v>
      </x:c>
      <x:c r="N2503" t="str">
        <x:v>SKU-006</x:v>
      </x:c>
      <x:c r="O2503" t="n">
        <x:v>3</x:v>
      </x:c>
      <x:c r="P2503" s="26" t="n">
        <x:f>F2503/O2503</x:f>
        <x:v>80.19333333333334</x:v>
      </x:c>
    </x:row>
    <x:row r="2504">
      <x:c r="A2504" t="n">
        <x:v>2503</x:v>
      </x:c>
      <x:c r="B2504" t="n">
        <x:v>58</x:v>
      </x:c>
      <x:c r="C2504" t="str">
        <x:v>Female</x:v>
      </x:c>
      <x:c r="D2504" t="str">
        <x:v>Home</x:v>
      </x:c>
      <x:c r="E2504" t="str">
        <x:v>Kitchen Set</x:v>
      </x:c>
      <x:c r="F2504" s="24" t="n">
        <x:v>80.55</x:v>
      </x:c>
      <x:c r="G2504" t="str">
        <x:v>Spring</x:v>
      </x:c>
      <x:c r="H2504" t="str">
        <x:v>Card</x:v>
      </x:c>
      <x:c r="I2504" t="n">
        <x:v>4.8</x:v>
      </x:c>
      <x:c r="J2504" t="n">
        <x:v>13</x:v>
      </x:c>
      <x:c r="K2504" t="n">
        <x:v>4</x:v>
      </x:c>
      <x:c r="L2504" t="str">
        <x:v>STORE-001</x:v>
      </x:c>
      <x:c r="M2504" s="22" t="n">
        <x:v>46268</x:v>
      </x:c>
      <x:c r="N2504" t="str">
        <x:v>SKU-012</x:v>
      </x:c>
      <x:c r="O2504" t="n">
        <x:v>1</x:v>
      </x:c>
      <x:c r="P2504" s="26" t="n">
        <x:f>F2504/O2504</x:f>
        <x:v>80.55</x:v>
      </x:c>
    </x:row>
    <x:row r="2505">
      <x:c r="A2505" t="n">
        <x:v>2504</x:v>
      </x:c>
      <x:c r="B2505" t="n">
        <x:v>57</x:v>
      </x:c>
      <x:c r="C2505" t="str">
        <x:v>Male</x:v>
      </x:c>
      <x:c r="D2505" t="str">
        <x:v>Electronics</x:v>
      </x:c>
      <x:c r="E2505" t="str">
        <x:v>Smart Watch</x:v>
      </x:c>
      <x:c r="F2505" s="24" t="n">
        <x:v>1635.17</x:v>
      </x:c>
      <x:c r="G2505" t="str">
        <x:v>Summer</x:v>
      </x:c>
      <x:c r="H2505" t="str">
        <x:v>Card</x:v>
      </x:c>
      <x:c r="I2505" t="n">
        <x:v>4.1</x:v>
      </x:c>
      <x:c r="J2505" t="n">
        <x:v>9</x:v>
      </x:c>
      <x:c r="K2505" t="n">
        <x:v>2</x:v>
      </x:c>
      <x:c r="L2505" t="str">
        <x:v>STORE-001</x:v>
      </x:c>
      <x:c r="M2505" s="22" t="n">
        <x:v>46080</x:v>
      </x:c>
      <x:c r="N2505" t="str">
        <x:v>SKU-023</x:v>
      </x:c>
      <x:c r="O2505" t="n">
        <x:v>1</x:v>
      </x:c>
      <x:c r="P2505" s="26" t="n">
        <x:f>F2505/O2505</x:f>
        <x:v>1635.17</x:v>
      </x:c>
    </x:row>
    <x:row r="2506">
      <x:c r="A2506" t="n">
        <x:v>2505</x:v>
      </x:c>
      <x:c r="B2506" t="n">
        <x:v>25</x:v>
      </x:c>
      <x:c r="C2506" t="str">
        <x:v>Male</x:v>
      </x:c>
      <x:c r="D2506" t="str">
        <x:v>Footwear</x:v>
      </x:c>
      <x:c r="E2506" t="str">
        <x:v>Formal Shoes</x:v>
      </x:c>
      <x:c r="F2506" s="24" t="n">
        <x:v>226.76</x:v>
      </x:c>
      <x:c r="G2506" t="str">
        <x:v>Winter</x:v>
      </x:c>
      <x:c r="H2506" t="str">
        <x:v>Card</x:v>
      </x:c>
      <x:c r="I2506" t="n">
        <x:v>4.2</x:v>
      </x:c>
      <x:c r="J2506" t="n">
        <x:v>21</x:v>
      </x:c>
      <x:c r="K2506" t="n">
        <x:v>8</x:v>
      </x:c>
      <x:c r="L2506" t="str">
        <x:v>STORE-001</x:v>
      </x:c>
      <x:c r="M2506" s="22" t="n">
        <x:v>46180</x:v>
      </x:c>
      <x:c r="N2506" t="str">
        <x:v>SKU-007</x:v>
      </x:c>
      <x:c r="O2506" t="n">
        <x:v>1</x:v>
      </x:c>
      <x:c r="P2506" s="26" t="n">
        <x:f>F2506/O2506</x:f>
        <x:v>226.76</x:v>
      </x:c>
    </x:row>
    <x:row r="2507">
      <x:c r="A2507" t="n">
        <x:v>2506</x:v>
      </x:c>
      <x:c r="B2507" t="n">
        <x:v>42</x:v>
      </x:c>
      <x:c r="C2507" t="str">
        <x:v>Male</x:v>
      </x:c>
      <x:c r="D2507" t="str">
        <x:v>Sports</x:v>
      </x:c>
      <x:c r="E2507" t="str">
        <x:v>Football</x:v>
      </x:c>
      <x:c r="F2507" s="24" t="n">
        <x:v>132.34</x:v>
      </x:c>
      <x:c r="G2507" t="str">
        <x:v>Spring</x:v>
      </x:c>
      <x:c r="H2507" t="str">
        <x:v>Card</x:v>
      </x:c>
      <x:c r="I2507" t="n">
        <x:v>4.5</x:v>
      </x:c>
      <x:c r="J2507" t="n">
        <x:v>20</x:v>
      </x:c>
      <x:c r="K2507" t="n">
        <x:v>5</x:v>
      </x:c>
      <x:c r="L2507" t="str">
        <x:v>STORE-001</x:v>
      </x:c>
      <x:c r="M2507" s="22" t="n">
        <x:v>45935</x:v>
      </x:c>
      <x:c r="N2507" t="str">
        <x:v>SKU-006</x:v>
      </x:c>
      <x:c r="O2507" t="n">
        <x:v>1</x:v>
      </x:c>
      <x:c r="P2507" s="26" t="n">
        <x:f>F2507/O2507</x:f>
        <x:v>132.34</x:v>
      </x:c>
    </x:row>
    <x:row r="2508">
      <x:c r="A2508" t="n">
        <x:v>2507</x:v>
      </x:c>
      <x:c r="B2508" t="n">
        <x:v>42</x:v>
      </x:c>
      <x:c r="C2508" t="str">
        <x:v>Female</x:v>
      </x:c>
      <x:c r="D2508" t="str">
        <x:v>Accessories</x:v>
      </x:c>
      <x:c r="E2508" t="str">
        <x:v>Wallet</x:v>
      </x:c>
      <x:c r="F2508" s="24" t="n">
        <x:v>151.58</x:v>
      </x:c>
      <x:c r="G2508" t="str">
        <x:v>Spring</x:v>
      </x:c>
      <x:c r="H2508" t="str">
        <x:v>Card</x:v>
      </x:c>
      <x:c r="I2508" t="n">
        <x:v>4.1</x:v>
      </x:c>
      <x:c r="J2508" t="n">
        <x:v>2</x:v>
      </x:c>
      <x:c r="K2508" t="n">
        <x:v>1</x:v>
      </x:c>
      <x:c r="L2508" t="str">
        <x:v>STORE-001</x:v>
      </x:c>
      <x:c r="M2508" s="22" t="n">
        <x:v>45964</x:v>
      </x:c>
      <x:c r="N2508" t="str">
        <x:v>SKU-029</x:v>
      </x:c>
      <x:c r="O2508" t="n">
        <x:v>1</x:v>
      </x:c>
      <x:c r="P2508" s="26" t="n">
        <x:f>F2508/O2508</x:f>
        <x:v>151.58</x:v>
      </x:c>
    </x:row>
    <x:row r="2509">
      <x:c r="A2509" t="n">
        <x:v>2508</x:v>
      </x:c>
      <x:c r="B2509" t="n">
        <x:v>35</x:v>
      </x:c>
      <x:c r="C2509" t="str">
        <x:v>Male</x:v>
      </x:c>
      <x:c r="D2509" t="str">
        <x:v>Groceries</x:v>
      </x:c>
      <x:c r="E2509" t="str">
        <x:v>Cooking Oil</x:v>
      </x:c>
      <x:c r="F2509" s="24" t="n">
        <x:v>6.79</x:v>
      </x:c>
      <x:c r="G2509" t="str">
        <x:v>Autumn</x:v>
      </x:c>
      <x:c r="H2509" t="str">
        <x:v>Cash on Delivery</x:v>
      </x:c>
      <x:c r="I2509" t="n">
        <x:v>3.4</x:v>
      </x:c>
      <x:c r="J2509" t="n">
        <x:v>16</x:v>
      </x:c>
      <x:c r="K2509" t="n">
        <x:v>8</x:v>
      </x:c>
      <x:c r="L2509" t="str">
        <x:v>STORE-001</x:v>
      </x:c>
      <x:c r="M2509" s="22" t="n">
        <x:v>46105</x:v>
      </x:c>
      <x:c r="N2509" t="str">
        <x:v>SKU-002</x:v>
      </x:c>
      <x:c r="O2509" t="n">
        <x:v>3</x:v>
      </x:c>
      <x:c r="P2509" s="26" t="n">
        <x:f>F2509/O2509</x:f>
        <x:v>2.263333333333333</x:v>
      </x:c>
    </x:row>
    <x:row r="2510">
      <x:c r="A2510" t="n">
        <x:v>2509</x:v>
      </x:c>
      <x:c r="B2510" t="n">
        <x:v>53</x:v>
      </x:c>
      <x:c r="C2510" t="str">
        <x:v>Female</x:v>
      </x:c>
      <x:c r="D2510" t="str">
        <x:v>Footwear</x:v>
      </x:c>
      <x:c r="E2510" t="str">
        <x:v>Sandals</x:v>
      </x:c>
      <x:c r="F2510" s="24" t="n">
        <x:v>177.6</x:v>
      </x:c>
      <x:c r="G2510" t="str">
        <x:v>Autumn</x:v>
      </x:c>
      <x:c r="H2510" t="str">
        <x:v>Card</x:v>
      </x:c>
      <x:c r="I2510" t="n">
        <x:v>5</x:v>
      </x:c>
      <x:c r="J2510" t="n">
        <x:v>26</x:v>
      </x:c>
      <x:c r="K2510" t="n">
        <x:v>8</x:v>
      </x:c>
      <x:c r="L2510" t="str">
        <x:v>STORE-001</x:v>
      </x:c>
      <x:c r="M2510" s="22" t="n">
        <x:v>46165</x:v>
      </x:c>
      <x:c r="N2510" t="str">
        <x:v>SKU-019</x:v>
      </x:c>
      <x:c r="O2510" t="n">
        <x:v>2</x:v>
      </x:c>
      <x:c r="P2510" s="26" t="n">
        <x:f>F2510/O2510</x:f>
        <x:v>88.8</x:v>
      </x:c>
    </x:row>
    <x:row r="2511">
      <x:c r="A2511" t="n">
        <x:v>2510</x:v>
      </x:c>
      <x:c r="B2511" t="n">
        <x:v>49</x:v>
      </x:c>
      <x:c r="C2511" t="str">
        <x:v>Male</x:v>
      </x:c>
      <x:c r="D2511" t="str">
        <x:v>Electronics</x:v>
      </x:c>
      <x:c r="E2511" t="str">
        <x:v>Smart Watch</x:v>
      </x:c>
      <x:c r="F2511" s="24" t="n">
        <x:v>1297.09</x:v>
      </x:c>
      <x:c r="G2511" t="str">
        <x:v>Spring</x:v>
      </x:c>
      <x:c r="H2511" t="str">
        <x:v>Card</x:v>
      </x:c>
      <x:c r="I2511" t="n">
        <x:v>4.8</x:v>
      </x:c>
      <x:c r="J2511" t="n">
        <x:v>20</x:v>
      </x:c>
      <x:c r="K2511" t="n">
        <x:v>5</x:v>
      </x:c>
      <x:c r="L2511" t="str">
        <x:v>STORE-001</x:v>
      </x:c>
      <x:c r="M2511" s="22" t="n">
        <x:v>45952</x:v>
      </x:c>
      <x:c r="N2511" t="str">
        <x:v>SKU-023</x:v>
      </x:c>
      <x:c r="O2511" t="n">
        <x:v>1</x:v>
      </x:c>
      <x:c r="P2511" s="26" t="n">
        <x:f>F2511/O2511</x:f>
        <x:v>1297.09</x:v>
      </x:c>
    </x:row>
    <x:row r="2512">
      <x:c r="A2512" t="n">
        <x:v>2511</x:v>
      </x:c>
      <x:c r="B2512" t="n">
        <x:v>28</x:v>
      </x:c>
      <x:c r="C2512" t="str">
        <x:v>Female</x:v>
      </x:c>
      <x:c r="D2512" t="str">
        <x:v>Accessories</x:v>
      </x:c>
      <x:c r="E2512" t="str">
        <x:v>Sunglasses</x:v>
      </x:c>
      <x:c r="F2512" s="24" t="n">
        <x:v>76.02</x:v>
      </x:c>
      <x:c r="G2512" t="str">
        <x:v>Autumn</x:v>
      </x:c>
      <x:c r="H2512" t="str">
        <x:v>Card</x:v>
      </x:c>
      <x:c r="I2512" t="n">
        <x:v>4</x:v>
      </x:c>
      <x:c r="J2512" t="n">
        <x:v>22</x:v>
      </x:c>
      <x:c r="K2512" t="n">
        <x:v>6</x:v>
      </x:c>
      <x:c r="L2512" t="str">
        <x:v>STORE-001</x:v>
      </x:c>
      <x:c r="M2512" s="22" t="n">
        <x:v>46137</x:v>
      </x:c>
      <x:c r="N2512" t="str">
        <x:v>SKU-026</x:v>
      </x:c>
      <x:c r="O2512" t="n">
        <x:v>1</x:v>
      </x:c>
      <x:c r="P2512" s="26" t="n">
        <x:f>F2512/O2512</x:f>
        <x:v>76.02</x:v>
      </x:c>
    </x:row>
    <x:row r="2513">
      <x:c r="A2513" t="n">
        <x:v>2512</x:v>
      </x:c>
      <x:c r="B2513" t="n">
        <x:v>37</x:v>
      </x:c>
      <x:c r="C2513" t="str">
        <x:v>Female</x:v>
      </x:c>
      <x:c r="D2513" t="str">
        <x:v>Footwear</x:v>
      </x:c>
      <x:c r="E2513" t="str">
        <x:v>Formal Shoes</x:v>
      </x:c>
      <x:c r="F2513" s="24" t="n">
        <x:v>158.57</x:v>
      </x:c>
      <x:c r="G2513" t="str">
        <x:v>Spring</x:v>
      </x:c>
      <x:c r="H2513" t="str">
        <x:v>Card</x:v>
      </x:c>
      <x:c r="I2513" t="n">
        <x:v>3.3</x:v>
      </x:c>
      <x:c r="J2513" t="n">
        <x:v>6</x:v>
      </x:c>
      <x:c r="K2513" t="n">
        <x:v>3</x:v>
      </x:c>
      <x:c r="L2513" t="str">
        <x:v>STORE-001</x:v>
      </x:c>
      <x:c r="M2513" s="22" t="n">
        <x:v>46293</x:v>
      </x:c>
      <x:c r="N2513" t="str">
        <x:v>SKU-007</x:v>
      </x:c>
      <x:c r="O2513" t="n">
        <x:v>3</x:v>
      </x:c>
      <x:c r="P2513" s="26" t="n">
        <x:f>F2513/O2513</x:f>
        <x:v>52.85666666666666</x:v>
      </x:c>
    </x:row>
    <x:row r="2514">
      <x:c r="A2514" t="n">
        <x:v>2513</x:v>
      </x:c>
      <x:c r="B2514" t="n">
        <x:v>27</x:v>
      </x:c>
      <x:c r="C2514" t="str">
        <x:v>Female</x:v>
      </x:c>
      <x:c r="D2514" t="str">
        <x:v>Womens Clothing</x:v>
      </x:c>
      <x:c r="E2514" t="str">
        <x:v>Skirt</x:v>
      </x:c>
      <x:c r="F2514" s="24" t="n">
        <x:v>88.33</x:v>
      </x:c>
      <x:c r="G2514" t="str">
        <x:v>Winter</x:v>
      </x:c>
      <x:c r="H2514" t="str">
        <x:v>Card</x:v>
      </x:c>
      <x:c r="I2514" t="n">
        <x:v>3.8</x:v>
      </x:c>
      <x:c r="J2514" t="n">
        <x:v>10</x:v>
      </x:c>
      <x:c r="K2514" t="n">
        <x:v>5</x:v>
      </x:c>
      <x:c r="L2514" t="str">
        <x:v>STORE-001</x:v>
      </x:c>
      <x:c r="M2514" s="22" t="n">
        <x:v>46178</x:v>
      </x:c>
      <x:c r="N2514" t="str">
        <x:v>SKU-022</x:v>
      </x:c>
      <x:c r="O2514" t="n">
        <x:v>1</x:v>
      </x:c>
      <x:c r="P2514" s="26" t="n">
        <x:f>F2514/O2514</x:f>
        <x:v>88.33</x:v>
      </x:c>
    </x:row>
    <x:row r="2515">
      <x:c r="A2515" t="n">
        <x:v>2514</x:v>
      </x:c>
      <x:c r="B2515" t="n">
        <x:v>54</x:v>
      </x:c>
      <x:c r="C2515" t="str">
        <x:v>Male</x:v>
      </x:c>
      <x:c r="D2515" t="str">
        <x:v>Mens Clothing</x:v>
      </x:c>
      <x:c r="E2515" t="str">
        <x:v>Shirt</x:v>
      </x:c>
      <x:c r="F2515" s="24" t="n">
        <x:v>181.51</x:v>
      </x:c>
      <x:c r="G2515" t="str">
        <x:v>Autumn</x:v>
      </x:c>
      <x:c r="H2515" t="str">
        <x:v>Card</x:v>
      </x:c>
      <x:c r="I2515" t="n">
        <x:v>4.8</x:v>
      </x:c>
      <x:c r="J2515" t="n">
        <x:v>13</x:v>
      </x:c>
      <x:c r="K2515" t="n">
        <x:v>4</x:v>
      </x:c>
      <x:c r="L2515" t="str">
        <x:v>STORE-001</x:v>
      </x:c>
      <x:c r="M2515" s="22" t="n">
        <x:v>46140</x:v>
      </x:c>
      <x:c r="N2515" t="str">
        <x:v>SKU-020</x:v>
      </x:c>
      <x:c r="O2515" t="n">
        <x:v>1</x:v>
      </x:c>
      <x:c r="P2515" s="26" t="n">
        <x:f>F2515/O2515</x:f>
        <x:v>181.51</x:v>
      </x:c>
    </x:row>
    <x:row r="2516">
      <x:c r="A2516" t="n">
        <x:v>2515</x:v>
      </x:c>
      <x:c r="B2516" t="n">
        <x:v>27</x:v>
      </x:c>
      <x:c r="C2516" t="str">
        <x:v>Male</x:v>
      </x:c>
      <x:c r="D2516" t="str">
        <x:v>Mens Clothing</x:v>
      </x:c>
      <x:c r="E2516" t="str">
        <x:v>Shirt</x:v>
      </x:c>
      <x:c r="F2516" s="24" t="n">
        <x:v>48.86</x:v>
      </x:c>
      <x:c r="G2516" t="str">
        <x:v>Winter</x:v>
      </x:c>
      <x:c r="H2516" t="str">
        <x:v>Cash on Delivery</x:v>
      </x:c>
      <x:c r="I2516" t="n">
        <x:v>4.8</x:v>
      </x:c>
      <x:c r="J2516" t="n">
        <x:v>8</x:v>
      </x:c>
      <x:c r="K2516" t="n">
        <x:v>4</x:v>
      </x:c>
      <x:c r="L2516" t="str">
        <x:v>STORE-001</x:v>
      </x:c>
      <x:c r="M2516" s="22" t="n">
        <x:v>46209</x:v>
      </x:c>
      <x:c r="N2516" t="str">
        <x:v>SKU-020</x:v>
      </x:c>
      <x:c r="O2516" t="n">
        <x:v>2</x:v>
      </x:c>
      <x:c r="P2516" s="26" t="n">
        <x:f>F2516/O2516</x:f>
        <x:v>24.43</x:v>
      </x:c>
    </x:row>
    <x:row r="2517">
      <x:c r="A2517" t="n">
        <x:v>2516</x:v>
      </x:c>
      <x:c r="B2517" t="n">
        <x:v>55</x:v>
      </x:c>
      <x:c r="C2517" t="str">
        <x:v>Female</x:v>
      </x:c>
      <x:c r="D2517" t="str">
        <x:v>Accessories</x:v>
      </x:c>
      <x:c r="E2517" t="str">
        <x:v>Handbag</x:v>
      </x:c>
      <x:c r="F2517" s="24" t="n">
        <x:v>124.2</x:v>
      </x:c>
      <x:c r="G2517" t="str">
        <x:v>Spring</x:v>
      </x:c>
      <x:c r="H2517" t="str">
        <x:v>Card</x:v>
      </x:c>
      <x:c r="I2517" t="n">
        <x:v>3.6</x:v>
      </x:c>
      <x:c r="J2517" t="n">
        <x:v>12</x:v>
      </x:c>
      <x:c r="K2517" t="n">
        <x:v>6</x:v>
      </x:c>
      <x:c r="L2517" t="str">
        <x:v>STORE-001</x:v>
      </x:c>
      <x:c r="M2517" s="22" t="n">
        <x:v>45979</x:v>
      </x:c>
      <x:c r="N2517" t="str">
        <x:v>SKU-008</x:v>
      </x:c>
      <x:c r="O2517" t="n">
        <x:v>1</x:v>
      </x:c>
      <x:c r="P2517" s="26" t="n">
        <x:f>F2517/O2517</x:f>
        <x:v>124.2</x:v>
      </x:c>
    </x:row>
    <x:row r="2518">
      <x:c r="A2518" t="n">
        <x:v>2517</x:v>
      </x:c>
      <x:c r="B2518" t="n">
        <x:v>37</x:v>
      </x:c>
      <x:c r="C2518" t="str">
        <x:v>Female</x:v>
      </x:c>
      <x:c r="D2518" t="str">
        <x:v>Beauty</x:v>
      </x:c>
      <x:c r="E2518" t="str">
        <x:v>Skincare Kit</x:v>
      </x:c>
      <x:c r="F2518" s="24" t="n">
        <x:v>130.83</x:v>
      </x:c>
      <x:c r="G2518" t="str">
        <x:v>Spring</x:v>
      </x:c>
      <x:c r="H2518" t="str">
        <x:v>Card</x:v>
      </x:c>
      <x:c r="I2518" t="n">
        <x:v>5</x:v>
      </x:c>
      <x:c r="J2518" t="n">
        <x:v>18</x:v>
      </x:c>
      <x:c r="K2518" t="n">
        <x:v>4</x:v>
      </x:c>
      <x:c r="L2518" t="str">
        <x:v>STORE-001</x:v>
      </x:c>
      <x:c r="M2518" s="22" t="n">
        <x:v>46266</x:v>
      </x:c>
      <x:c r="N2518" t="str">
        <x:v>SKU-021</x:v>
      </x:c>
      <x:c r="O2518" t="n">
        <x:v>1</x:v>
      </x:c>
      <x:c r="P2518" s="26" t="n">
        <x:f>F2518/O2518</x:f>
        <x:v>130.83</x:v>
      </x:c>
    </x:row>
    <x:row r="2519">
      <x:c r="A2519" t="n">
        <x:v>2518</x:v>
      </x:c>
      <x:c r="B2519" t="n">
        <x:v>21</x:v>
      </x:c>
      <x:c r="C2519" t="str">
        <x:v>Male</x:v>
      </x:c>
      <x:c r="D2519" t="str">
        <x:v>Mens Clothing</x:v>
      </x:c>
      <x:c r="E2519" t="str">
        <x:v>Shirt</x:v>
      </x:c>
      <x:c r="F2519" s="24" t="n">
        <x:v>46.83</x:v>
      </x:c>
      <x:c r="G2519" t="str">
        <x:v>Spring</x:v>
      </x:c>
      <x:c r="H2519" t="str">
        <x:v>Card</x:v>
      </x:c>
      <x:c r="I2519" t="n">
        <x:v>5</x:v>
      </x:c>
      <x:c r="J2519" t="n">
        <x:v>16</x:v>
      </x:c>
      <x:c r="K2519" t="n">
        <x:v>3</x:v>
      </x:c>
      <x:c r="L2519" t="str">
        <x:v>STORE-001</x:v>
      </x:c>
      <x:c r="M2519" s="22" t="n">
        <x:v>46275</x:v>
      </x:c>
      <x:c r="N2519" t="str">
        <x:v>SKU-020</x:v>
      </x:c>
      <x:c r="O2519" t="n">
        <x:v>1</x:v>
      </x:c>
      <x:c r="P2519" s="26" t="n">
        <x:f>F2519/O2519</x:f>
        <x:v>46.83</x:v>
      </x:c>
    </x:row>
    <x:row r="2520">
      <x:c r="A2520" t="n">
        <x:v>2519</x:v>
      </x:c>
      <x:c r="B2520" t="n">
        <x:v>47</x:v>
      </x:c>
      <x:c r="C2520" t="str">
        <x:v>Male</x:v>
      </x:c>
      <x:c r="D2520" t="str">
        <x:v>Footwear</x:v>
      </x:c>
      <x:c r="E2520" t="str">
        <x:v>Formal Shoes</x:v>
      </x:c>
      <x:c r="F2520" s="24" t="n">
        <x:v>43.11</x:v>
      </x:c>
      <x:c r="G2520" t="str">
        <x:v>Spring</x:v>
      </x:c>
      <x:c r="H2520" t="str">
        <x:v>Card</x:v>
      </x:c>
      <x:c r="I2520" t="n">
        <x:v>3.6</x:v>
      </x:c>
      <x:c r="J2520" t="n">
        <x:v>16</x:v>
      </x:c>
      <x:c r="K2520" t="n">
        <x:v>8</x:v>
      </x:c>
      <x:c r="L2520" t="str">
        <x:v>STORE-001</x:v>
      </x:c>
      <x:c r="M2520" s="22" t="n">
        <x:v>45973</x:v>
      </x:c>
      <x:c r="N2520" t="str">
        <x:v>SKU-007</x:v>
      </x:c>
      <x:c r="O2520" t="n">
        <x:v>2</x:v>
      </x:c>
      <x:c r="P2520" s="26" t="n">
        <x:f>F2520/O2520</x:f>
        <x:v>21.555</x:v>
      </x:c>
    </x:row>
    <x:row r="2521">
      <x:c r="A2521" t="n">
        <x:v>2520</x:v>
      </x:c>
      <x:c r="B2521" t="n">
        <x:v>55</x:v>
      </x:c>
      <x:c r="C2521" t="str">
        <x:v>Female</x:v>
      </x:c>
      <x:c r="D2521" t="str">
        <x:v>Beauty</x:v>
      </x:c>
      <x:c r="E2521" t="str">
        <x:v>Makeup Set</x:v>
      </x:c>
      <x:c r="F2521" s="24" t="n">
        <x:v>131.37</x:v>
      </x:c>
      <x:c r="G2521" t="str">
        <x:v>Autumn</x:v>
      </x:c>
      <x:c r="H2521" t="str">
        <x:v>Card</x:v>
      </x:c>
      <x:c r="I2521" t="n">
        <x:v>3.4</x:v>
      </x:c>
      <x:c r="J2521" t="n">
        <x:v>14</x:v>
      </x:c>
      <x:c r="K2521" t="n">
        <x:v>2</x:v>
      </x:c>
      <x:c r="L2521" t="str">
        <x:v>STORE-001</x:v>
      </x:c>
      <x:c r="M2521" s="22" t="n">
        <x:v>46150</x:v>
      </x:c>
      <x:c r="N2521" t="str">
        <x:v>SKU-015</x:v>
      </x:c>
      <x:c r="O2521" t="n">
        <x:v>3</x:v>
      </x:c>
      <x:c r="P2521" s="26" t="n">
        <x:f>F2521/O2521</x:f>
        <x:v>43.79</x:v>
      </x:c>
    </x:row>
    <x:row r="2522">
      <x:c r="A2522" t="n">
        <x:v>2521</x:v>
      </x:c>
      <x:c r="B2522" t="n">
        <x:v>35</x:v>
      </x:c>
      <x:c r="C2522" t="str">
        <x:v>Female</x:v>
      </x:c>
      <x:c r="D2522" t="str">
        <x:v>Footwear</x:v>
      </x:c>
      <x:c r="E2522" t="str">
        <x:v>Formal Shoes</x:v>
      </x:c>
      <x:c r="F2522" s="24" t="n">
        <x:v>216.78</x:v>
      </x:c>
      <x:c r="G2522" t="str">
        <x:v>Autumn</x:v>
      </x:c>
      <x:c r="H2522" t="str">
        <x:v>Card</x:v>
      </x:c>
      <x:c r="I2522" t="n">
        <x:v>3.7</x:v>
      </x:c>
      <x:c r="J2522" t="n">
        <x:v>10</x:v>
      </x:c>
      <x:c r="K2522" t="n">
        <x:v>5</x:v>
      </x:c>
      <x:c r="L2522" t="str">
        <x:v>STORE-001</x:v>
      </x:c>
      <x:c r="M2522" s="22" t="n">
        <x:v>46121</x:v>
      </x:c>
      <x:c r="N2522" t="str">
        <x:v>SKU-007</x:v>
      </x:c>
      <x:c r="O2522" t="n">
        <x:v>3</x:v>
      </x:c>
      <x:c r="P2522" s="26" t="n">
        <x:f>F2522/O2522</x:f>
        <x:v>72.26</x:v>
      </x:c>
    </x:row>
    <x:row r="2523">
      <x:c r="A2523" t="n">
        <x:v>2522</x:v>
      </x:c>
      <x:c r="B2523" t="n">
        <x:v>45</x:v>
      </x:c>
      <x:c r="C2523" t="str">
        <x:v>Female</x:v>
      </x:c>
      <x:c r="D2523" t="str">
        <x:v>Groceries</x:v>
      </x:c>
      <x:c r="E2523" t="str">
        <x:v>Snacks</x:v>
      </x:c>
      <x:c r="F2523" s="24" t="n">
        <x:v>21.14</x:v>
      </x:c>
      <x:c r="G2523" t="str">
        <x:v>Winter</x:v>
      </x:c>
      <x:c r="H2523" t="str">
        <x:v>Card</x:v>
      </x:c>
      <x:c r="I2523" t="n">
        <x:v>3.7</x:v>
      </x:c>
      <x:c r="J2523" t="n">
        <x:v>22</x:v>
      </x:c>
      <x:c r="K2523" t="n">
        <x:v>6</x:v>
      </x:c>
      <x:c r="L2523" t="str">
        <x:v>STORE-001</x:v>
      </x:c>
      <x:c r="M2523" s="22" t="n">
        <x:v>46223</x:v>
      </x:c>
      <x:c r="N2523" t="str">
        <x:v>SKU-024</x:v>
      </x:c>
      <x:c r="O2523" t="n">
        <x:v>2</x:v>
      </x:c>
      <x:c r="P2523" s="26" t="n">
        <x:f>F2523/O2523</x:f>
        <x:v>10.57</x:v>
      </x:c>
    </x:row>
    <x:row r="2524">
      <x:c r="A2524" t="n">
        <x:v>2523</x:v>
      </x:c>
      <x:c r="B2524" t="n">
        <x:v>69</x:v>
      </x:c>
      <x:c r="C2524" t="str">
        <x:v>Female</x:v>
      </x:c>
      <x:c r="D2524" t="str">
        <x:v>Footwear</x:v>
      </x:c>
      <x:c r="E2524" t="str">
        <x:v>Formal Shoes</x:v>
      </x:c>
      <x:c r="F2524" s="24" t="n">
        <x:v>237.37</x:v>
      </x:c>
      <x:c r="G2524" t="str">
        <x:v>Autumn</x:v>
      </x:c>
      <x:c r="H2524" t="str">
        <x:v>Card</x:v>
      </x:c>
      <x:c r="I2524" t="n">
        <x:v>3.1</x:v>
      </x:c>
      <x:c r="J2524" t="n">
        <x:v>16</x:v>
      </x:c>
      <x:c r="K2524" t="n">
        <x:v>3</x:v>
      </x:c>
      <x:c r="L2524" t="str">
        <x:v>STORE-001</x:v>
      </x:c>
      <x:c r="M2524" s="22" t="n">
        <x:v>46089</x:v>
      </x:c>
      <x:c r="N2524" t="str">
        <x:v>SKU-007</x:v>
      </x:c>
      <x:c r="O2524" t="n">
        <x:v>1</x:v>
      </x:c>
      <x:c r="P2524" s="26" t="n">
        <x:f>F2524/O2524</x:f>
        <x:v>237.37</x:v>
      </x:c>
    </x:row>
    <x:row r="2525">
      <x:c r="A2525" t="n">
        <x:v>2524</x:v>
      </x:c>
      <x:c r="B2525" t="n">
        <x:v>35</x:v>
      </x:c>
      <x:c r="C2525" t="str">
        <x:v>Female</x:v>
      </x:c>
      <x:c r="D2525" t="str">
        <x:v>Footwear</x:v>
      </x:c>
      <x:c r="E2525" t="str">
        <x:v>Sandals</x:v>
      </x:c>
      <x:c r="F2525" s="24" t="n">
        <x:v>112.58</x:v>
      </x:c>
      <x:c r="G2525" t="str">
        <x:v>Winter</x:v>
      </x:c>
      <x:c r="H2525" t="str">
        <x:v>Card</x:v>
      </x:c>
      <x:c r="I2525" t="n">
        <x:v>4</x:v>
      </x:c>
      <x:c r="J2525" t="n">
        <x:v>8</x:v>
      </x:c>
      <x:c r="K2525" t="n">
        <x:v>4</x:v>
      </x:c>
      <x:c r="L2525" t="str">
        <x:v>STORE-001</x:v>
      </x:c>
      <x:c r="M2525" s="22" t="n">
        <x:v>46187</x:v>
      </x:c>
      <x:c r="N2525" t="str">
        <x:v>SKU-019</x:v>
      </x:c>
      <x:c r="O2525" t="n">
        <x:v>1</x:v>
      </x:c>
      <x:c r="P2525" s="26" t="n">
        <x:f>F2525/O2525</x:f>
        <x:v>112.58</x:v>
      </x:c>
    </x:row>
    <x:row r="2526">
      <x:c r="A2526" t="n">
        <x:v>2525</x:v>
      </x:c>
      <x:c r="B2526" t="n">
        <x:v>47</x:v>
      </x:c>
      <x:c r="C2526" t="str">
        <x:v>Male</x:v>
      </x:c>
      <x:c r="D2526" t="str">
        <x:v>Groceries</x:v>
      </x:c>
      <x:c r="E2526" t="str">
        <x:v>Rice Pack</x:v>
      </x:c>
      <x:c r="F2526" s="24" t="n">
        <x:v>38.12</x:v>
      </x:c>
      <x:c r="G2526" t="str">
        <x:v>Autumn</x:v>
      </x:c>
      <x:c r="H2526" t="str">
        <x:v>Cash on Delivery</x:v>
      </x:c>
      <x:c r="I2526" t="n">
        <x:v>3.7</x:v>
      </x:c>
      <x:c r="J2526" t="n">
        <x:v>8</x:v>
      </x:c>
      <x:c r="K2526" t="n">
        <x:v>4</x:v>
      </x:c>
      <x:c r="L2526" t="str">
        <x:v>STORE-001</x:v>
      </x:c>
      <x:c r="M2526" s="22" t="n">
        <x:v>46170</x:v>
      </x:c>
      <x:c r="N2526" t="str">
        <x:v>SKU-018</x:v>
      </x:c>
      <x:c r="O2526" t="n">
        <x:v>4</x:v>
      </x:c>
      <x:c r="P2526" s="26" t="n">
        <x:f>F2526/O2526</x:f>
        <x:v>9.53</x:v>
      </x:c>
    </x:row>
    <x:row r="2527">
      <x:c r="A2527" t="n">
        <x:v>2526</x:v>
      </x:c>
      <x:c r="B2527" t="n">
        <x:v>40</x:v>
      </x:c>
      <x:c r="C2527" t="str">
        <x:v>Female</x:v>
      </x:c>
      <x:c r="D2527" t="str">
        <x:v>Beauty</x:v>
      </x:c>
      <x:c r="E2527" t="str">
        <x:v>Perfume</x:v>
      </x:c>
      <x:c r="F2527" s="24" t="n">
        <x:v>79.73</x:v>
      </x:c>
      <x:c r="G2527" t="str">
        <x:v>Autumn</x:v>
      </x:c>
      <x:c r="H2527" t="str">
        <x:v>Card</x:v>
      </x:c>
      <x:c r="I2527" t="n">
        <x:v>3.5</x:v>
      </x:c>
      <x:c r="J2527" t="n">
        <x:v>12</x:v>
      </x:c>
      <x:c r="K2527" t="n">
        <x:v>1</x:v>
      </x:c>
      <x:c r="L2527" t="str">
        <x:v>STORE-001</x:v>
      </x:c>
      <x:c r="M2527" s="22" t="n">
        <x:v>46120</x:v>
      </x:c>
      <x:c r="N2527" t="str">
        <x:v>SKU-017</x:v>
      </x:c>
      <x:c r="O2527" t="n">
        <x:v>1</x:v>
      </x:c>
      <x:c r="P2527" s="26" t="n">
        <x:f>F2527/O2527</x:f>
        <x:v>79.73</x:v>
      </x:c>
    </x:row>
    <x:row r="2528">
      <x:c r="A2528" t="n">
        <x:v>2527</x:v>
      </x:c>
      <x:c r="B2528" t="n">
        <x:v>40</x:v>
      </x:c>
      <x:c r="C2528" t="str">
        <x:v>Female</x:v>
      </x:c>
      <x:c r="D2528" t="str">
        <x:v>Groceries</x:v>
      </x:c>
      <x:c r="E2528" t="str">
        <x:v>Snacks</x:v>
      </x:c>
      <x:c r="F2528" s="24" t="n">
        <x:v>23.39</x:v>
      </x:c>
      <x:c r="G2528" t="str">
        <x:v>Winter</x:v>
      </x:c>
      <x:c r="H2528" t="str">
        <x:v>Cash on Delivery</x:v>
      </x:c>
      <x:c r="I2528" t="n">
        <x:v>3.7</x:v>
      </x:c>
      <x:c r="J2528" t="n">
        <x:v>18</x:v>
      </x:c>
      <x:c r="K2528" t="n">
        <x:v>4</x:v>
      </x:c>
      <x:c r="L2528" t="str">
        <x:v>STORE-001</x:v>
      </x:c>
      <x:c r="M2528" s="22" t="n">
        <x:v>46180</x:v>
      </x:c>
      <x:c r="N2528" t="str">
        <x:v>SKU-024</x:v>
      </x:c>
      <x:c r="O2528" t="n">
        <x:v>5</x:v>
      </x:c>
      <x:c r="P2528" s="26" t="n">
        <x:f>F2528/O2528</x:f>
        <x:v>4.678</x:v>
      </x:c>
    </x:row>
    <x:row r="2529">
      <x:c r="A2529" t="n">
        <x:v>2528</x:v>
      </x:c>
      <x:c r="B2529" t="n">
        <x:v>49</x:v>
      </x:c>
      <x:c r="C2529" t="str">
        <x:v>Female</x:v>
      </x:c>
      <x:c r="D2529" t="str">
        <x:v>Sports</x:v>
      </x:c>
      <x:c r="E2529" t="str">
        <x:v>Football</x:v>
      </x:c>
      <x:c r="F2529" s="24" t="n">
        <x:v>155.92</x:v>
      </x:c>
      <x:c r="G2529" t="str">
        <x:v>Summer</x:v>
      </x:c>
      <x:c r="H2529" t="str">
        <x:v>Card</x:v>
      </x:c>
      <x:c r="I2529" t="n">
        <x:v>4.1</x:v>
      </x:c>
      <x:c r="J2529" t="n">
        <x:v>8</x:v>
      </x:c>
      <x:c r="K2529" t="n">
        <x:v>4</x:v>
      </x:c>
      <x:c r="L2529" t="str">
        <x:v>STORE-001</x:v>
      </x:c>
      <x:c r="M2529" s="22" t="n">
        <x:v>46019</x:v>
      </x:c>
      <x:c r="N2529" t="str">
        <x:v>SKU-006</x:v>
      </x:c>
      <x:c r="O2529" t="n">
        <x:v>2</x:v>
      </x:c>
      <x:c r="P2529" s="26" t="n">
        <x:f>F2529/O2529</x:f>
        <x:v>77.96</x:v>
      </x:c>
    </x:row>
    <x:row r="2530">
      <x:c r="A2530" t="n">
        <x:v>2529</x:v>
      </x:c>
      <x:c r="B2530" t="n">
        <x:v>25</x:v>
      </x:c>
      <x:c r="C2530" t="str">
        <x:v>Male</x:v>
      </x:c>
      <x:c r="D2530" t="str">
        <x:v>Electronics</x:v>
      </x:c>
      <x:c r="E2530" t="str">
        <x:v>Headphones</x:v>
      </x:c>
      <x:c r="F2530" s="24" t="n">
        <x:v>1144.23</x:v>
      </x:c>
      <x:c r="G2530" t="str">
        <x:v>Summer</x:v>
      </x:c>
      <x:c r="H2530" t="str">
        <x:v>Card</x:v>
      </x:c>
      <x:c r="I2530" t="n">
        <x:v>3.4</x:v>
      </x:c>
      <x:c r="J2530" t="n">
        <x:v>2</x:v>
      </x:c>
      <x:c r="K2530" t="n">
        <x:v>1</x:v>
      </x:c>
      <x:c r="L2530" t="str">
        <x:v>STORE-001</x:v>
      </x:c>
      <x:c r="M2530" s="22" t="n">
        <x:v>45999</x:v>
      </x:c>
      <x:c r="N2530" t="str">
        <x:v>SKU-009</x:v>
      </x:c>
      <x:c r="O2530" t="n">
        <x:v>1</x:v>
      </x:c>
      <x:c r="P2530" s="26" t="n">
        <x:f>F2530/O2530</x:f>
        <x:v>1144.23</x:v>
      </x:c>
    </x:row>
    <x:row r="2531">
      <x:c r="A2531" t="n">
        <x:v>2530</x:v>
      </x:c>
      <x:c r="B2531" t="n">
        <x:v>35</x:v>
      </x:c>
      <x:c r="C2531" t="str">
        <x:v>Male</x:v>
      </x:c>
      <x:c r="D2531" t="str">
        <x:v>Mens Clothing</x:v>
      </x:c>
      <x:c r="E2531" t="str">
        <x:v>T-Shirt</x:v>
      </x:c>
      <x:c r="F2531" s="24" t="n">
        <x:v>180.47</x:v>
      </x:c>
      <x:c r="G2531" t="str">
        <x:v>Winter</x:v>
      </x:c>
      <x:c r="H2531" t="str">
        <x:v>Card</x:v>
      </x:c>
      <x:c r="I2531" t="n">
        <x:v>4</x:v>
      </x:c>
      <x:c r="J2531" t="n">
        <x:v>12</x:v>
      </x:c>
      <x:c r="K2531" t="n">
        <x:v>6</x:v>
      </x:c>
      <x:c r="L2531" t="str">
        <x:v>STORE-001</x:v>
      </x:c>
      <x:c r="M2531" s="22" t="n">
        <x:v>46189</x:v>
      </x:c>
      <x:c r="N2531" t="str">
        <x:v>SKU-027</x:v>
      </x:c>
      <x:c r="O2531" t="n">
        <x:v>1</x:v>
      </x:c>
      <x:c r="P2531" s="26" t="n">
        <x:f>F2531/O2531</x:f>
        <x:v>180.47</x:v>
      </x:c>
    </x:row>
    <x:row r="2532">
      <x:c r="A2532" t="n">
        <x:v>2531</x:v>
      </x:c>
      <x:c r="B2532" t="n">
        <x:v>67</x:v>
      </x:c>
      <x:c r="C2532" t="str">
        <x:v>Female</x:v>
      </x:c>
      <x:c r="D2532" t="str">
        <x:v>Home</x:v>
      </x:c>
      <x:c r="E2532" t="str">
        <x:v>Lamp</x:v>
      </x:c>
      <x:c r="F2532" s="24" t="n">
        <x:v>127.66</x:v>
      </x:c>
      <x:c r="G2532" t="str">
        <x:v>Summer</x:v>
      </x:c>
      <x:c r="H2532" t="str">
        <x:v>Card</x:v>
      </x:c>
      <x:c r="I2532" t="n">
        <x:v>4.3</x:v>
      </x:c>
      <x:c r="J2532" t="n">
        <x:v>15</x:v>
      </x:c>
      <x:c r="K2532" t="n">
        <x:v>5</x:v>
      </x:c>
      <x:c r="L2532" t="str">
        <x:v>STORE-001</x:v>
      </x:c>
      <x:c r="M2532" s="22" t="n">
        <x:v>46005</x:v>
      </x:c>
      <x:c r="N2532" t="str">
        <x:v>SKU-013</x:v>
      </x:c>
      <x:c r="O2532" t="n">
        <x:v>2</x:v>
      </x:c>
      <x:c r="P2532" s="26" t="n">
        <x:f>F2532/O2532</x:f>
        <x:v>63.83</x:v>
      </x:c>
    </x:row>
    <x:row r="2533">
      <x:c r="A2533" t="n">
        <x:v>2532</x:v>
      </x:c>
      <x:c r="B2533" t="n">
        <x:v>58</x:v>
      </x:c>
      <x:c r="C2533" t="str">
        <x:v>Female</x:v>
      </x:c>
      <x:c r="D2533" t="str">
        <x:v>Groceries</x:v>
      </x:c>
      <x:c r="E2533" t="str">
        <x:v>Cooking Oil</x:v>
      </x:c>
      <x:c r="F2533" s="24" t="n">
        <x:v>24.67</x:v>
      </x:c>
      <x:c r="G2533" t="str">
        <x:v>Spring</x:v>
      </x:c>
      <x:c r="H2533" t="str">
        <x:v>Card</x:v>
      </x:c>
      <x:c r="I2533" t="n">
        <x:v>5</x:v>
      </x:c>
      <x:c r="J2533" t="n">
        <x:v>8</x:v>
      </x:c>
      <x:c r="K2533" t="n">
        <x:v>4</x:v>
      </x:c>
      <x:c r="L2533" t="str">
        <x:v>STORE-001</x:v>
      </x:c>
      <x:c r="M2533" s="22" t="n">
        <x:v>45978</x:v>
      </x:c>
      <x:c r="N2533" t="str">
        <x:v>SKU-002</x:v>
      </x:c>
      <x:c r="O2533" t="n">
        <x:v>3</x:v>
      </x:c>
      <x:c r="P2533" s="26" t="n">
        <x:f>F2533/O2533</x:f>
        <x:v>8.223333333333334</x:v>
      </x:c>
    </x:row>
    <x:row r="2534">
      <x:c r="A2534" t="n">
        <x:v>2533</x:v>
      </x:c>
      <x:c r="B2534" t="n">
        <x:v>57</x:v>
      </x:c>
      <x:c r="C2534" t="str">
        <x:v>Male</x:v>
      </x:c>
      <x:c r="D2534" t="str">
        <x:v>Home</x:v>
      </x:c>
      <x:c r="E2534" t="str">
        <x:v>Curtains</x:v>
      </x:c>
      <x:c r="F2534" s="24" t="n">
        <x:v>146.46</x:v>
      </x:c>
      <x:c r="G2534" t="str">
        <x:v>Spring</x:v>
      </x:c>
      <x:c r="H2534" t="str">
        <x:v>Card</x:v>
      </x:c>
      <x:c r="I2534" t="n">
        <x:v>4.4</x:v>
      </x:c>
      <x:c r="J2534" t="n">
        <x:v>6</x:v>
      </x:c>
      <x:c r="K2534" t="n">
        <x:v>3</x:v>
      </x:c>
      <x:c r="L2534" t="str">
        <x:v>STORE-001</x:v>
      </x:c>
      <x:c r="M2534" s="22" t="n">
        <x:v>46294</x:v>
      </x:c>
      <x:c r="N2534" t="str">
        <x:v>SKU-003</x:v>
      </x:c>
      <x:c r="O2534" t="n">
        <x:v>1</x:v>
      </x:c>
      <x:c r="P2534" s="26" t="n">
        <x:f>F2534/O2534</x:f>
        <x:v>146.46</x:v>
      </x:c>
    </x:row>
    <x:row r="2535">
      <x:c r="A2535" t="n">
        <x:v>2534</x:v>
      </x:c>
      <x:c r="B2535" t="n">
        <x:v>44</x:v>
      </x:c>
      <x:c r="C2535" t="str">
        <x:v>Female</x:v>
      </x:c>
      <x:c r="D2535" t="str">
        <x:v>Womens Clothing</x:v>
      </x:c>
      <x:c r="E2535" t="str">
        <x:v>Skirt</x:v>
      </x:c>
      <x:c r="F2535" s="24" t="n">
        <x:v>88.66</x:v>
      </x:c>
      <x:c r="G2535" t="str">
        <x:v>Spring</x:v>
      </x:c>
      <x:c r="H2535" t="str">
        <x:v>Cash on Delivery</x:v>
      </x:c>
      <x:c r="I2535" t="n">
        <x:v>3.1</x:v>
      </x:c>
      <x:c r="J2535" t="n">
        <x:v>15</x:v>
      </x:c>
      <x:c r="K2535" t="n">
        <x:v>5</x:v>
      </x:c>
      <x:c r="L2535" t="str">
        <x:v>STORE-001</x:v>
      </x:c>
      <x:c r="M2535" s="22" t="n">
        <x:v>45981</x:v>
      </x:c>
      <x:c r="N2535" t="str">
        <x:v>SKU-022</x:v>
      </x:c>
      <x:c r="O2535" t="n">
        <x:v>1</x:v>
      </x:c>
      <x:c r="P2535" s="26" t="n">
        <x:f>F2535/O2535</x:f>
        <x:v>88.66</x:v>
      </x:c>
    </x:row>
    <x:row r="2536">
      <x:c r="A2536" t="n">
        <x:v>2535</x:v>
      </x:c>
      <x:c r="B2536" t="n">
        <x:v>22</x:v>
      </x:c>
      <x:c r="C2536" t="str">
        <x:v>Male</x:v>
      </x:c>
      <x:c r="D2536" t="str">
        <x:v>Sports</x:v>
      </x:c>
      <x:c r="E2536" t="str">
        <x:v>Dumbbells</x:v>
      </x:c>
      <x:c r="F2536" s="24" t="n">
        <x:v>174.54</x:v>
      </x:c>
      <x:c r="G2536" t="str">
        <x:v>Winter</x:v>
      </x:c>
      <x:c r="H2536" t="str">
        <x:v>Card</x:v>
      </x:c>
      <x:c r="I2536" t="n">
        <x:v>3.3</x:v>
      </x:c>
      <x:c r="J2536" t="n">
        <x:v>18</x:v>
      </x:c>
      <x:c r="K2536" t="n">
        <x:v>9</x:v>
      </x:c>
      <x:c r="L2536" t="str">
        <x:v>STORE-001</x:v>
      </x:c>
      <x:c r="M2536" s="22" t="n">
        <x:v>46201</x:v>
      </x:c>
      <x:c r="N2536" t="str">
        <x:v>SKU-005</x:v>
      </x:c>
      <x:c r="O2536" t="n">
        <x:v>2</x:v>
      </x:c>
      <x:c r="P2536" s="26" t="n">
        <x:f>F2536/O2536</x:f>
        <x:v>87.27</x:v>
      </x:c>
    </x:row>
    <x:row r="2537">
      <x:c r="A2537" t="n">
        <x:v>2536</x:v>
      </x:c>
      <x:c r="B2537" t="n">
        <x:v>26</x:v>
      </x:c>
      <x:c r="C2537" t="str">
        <x:v>Male</x:v>
      </x:c>
      <x:c r="D2537" t="str">
        <x:v>Electronics</x:v>
      </x:c>
      <x:c r="E2537" t="str">
        <x:v>Laptop</x:v>
      </x:c>
      <x:c r="F2537" s="24" t="n">
        <x:v>689.29</x:v>
      </x:c>
      <x:c r="G2537" t="str">
        <x:v>Autumn</x:v>
      </x:c>
      <x:c r="H2537" t="str">
        <x:v>Card</x:v>
      </x:c>
      <x:c r="I2537" t="n">
        <x:v>3.7</x:v>
      </x:c>
      <x:c r="J2537" t="n">
        <x:v>4</x:v>
      </x:c>
      <x:c r="K2537" t="n">
        <x:v>2</x:v>
      </x:c>
      <x:c r="L2537" t="str">
        <x:v>STORE-001</x:v>
      </x:c>
      <x:c r="M2537" s="22" t="n">
        <x:v>46124</x:v>
      </x:c>
      <x:c r="N2537" t="str">
        <x:v>SKU-014</x:v>
      </x:c>
      <x:c r="O2537" t="n">
        <x:v>1</x:v>
      </x:c>
      <x:c r="P2537" s="26" t="n">
        <x:f>F2537/O2537</x:f>
        <x:v>689.29</x:v>
      </x:c>
    </x:row>
    <x:row r="2538">
      <x:c r="A2538" t="n">
        <x:v>2537</x:v>
      </x:c>
      <x:c r="B2538" t="n">
        <x:v>48</x:v>
      </x:c>
      <x:c r="C2538" t="str">
        <x:v>Female</x:v>
      </x:c>
      <x:c r="D2538" t="str">
        <x:v>Womens Clothing</x:v>
      </x:c>
      <x:c r="E2538" t="str">
        <x:v>Top</x:v>
      </x:c>
      <x:c r="F2538" s="24" t="n">
        <x:v>102.81</x:v>
      </x:c>
      <x:c r="G2538" t="str">
        <x:v>Summer</x:v>
      </x:c>
      <x:c r="H2538" t="str">
        <x:v>Card</x:v>
      </x:c>
      <x:c r="I2538" t="n">
        <x:v>2.8</x:v>
      </x:c>
      <x:c r="J2538" t="n">
        <x:v>13</x:v>
      </x:c>
      <x:c r="K2538" t="n">
        <x:v>4</x:v>
      </x:c>
      <x:c r="L2538" t="str">
        <x:v>STORE-001</x:v>
      </x:c>
      <x:c r="M2538" s="22" t="n">
        <x:v>46049</x:v>
      </x:c>
      <x:c r="N2538" t="str">
        <x:v>SKU-028</x:v>
      </x:c>
      <x:c r="O2538" t="n">
        <x:v>1</x:v>
      </x:c>
      <x:c r="P2538" s="26" t="n">
        <x:f>F2538/O2538</x:f>
        <x:v>102.81</x:v>
      </x:c>
    </x:row>
    <x:row r="2539">
      <x:c r="A2539" t="n">
        <x:v>2538</x:v>
      </x:c>
      <x:c r="B2539" t="n">
        <x:v>53</x:v>
      </x:c>
      <x:c r="C2539" t="str">
        <x:v>Female</x:v>
      </x:c>
      <x:c r="D2539" t="str">
        <x:v>Womens Clothing</x:v>
      </x:c>
      <x:c r="E2539" t="str">
        <x:v>Skirt</x:v>
      </x:c>
      <x:c r="F2539" s="24" t="n">
        <x:v>98.94</x:v>
      </x:c>
      <x:c r="G2539" t="str">
        <x:v>Autumn</x:v>
      </x:c>
      <x:c r="H2539" t="str">
        <x:v>Card</x:v>
      </x:c>
      <x:c r="I2539" t="n">
        <x:v>4.8</x:v>
      </x:c>
      <x:c r="J2539" t="n">
        <x:v>15</x:v>
      </x:c>
      <x:c r="K2539" t="n">
        <x:v>5</x:v>
      </x:c>
      <x:c r="L2539" t="str">
        <x:v>STORE-001</x:v>
      </x:c>
      <x:c r="M2539" s="22" t="n">
        <x:v>46121</x:v>
      </x:c>
      <x:c r="N2539" t="str">
        <x:v>SKU-022</x:v>
      </x:c>
      <x:c r="O2539" t="n">
        <x:v>1</x:v>
      </x:c>
      <x:c r="P2539" s="26" t="n">
        <x:f>F2539/O2539</x:f>
        <x:v>98.94</x:v>
      </x:c>
    </x:row>
    <x:row r="2540">
      <x:c r="A2540" t="n">
        <x:v>2539</x:v>
      </x:c>
      <x:c r="B2540" t="n">
        <x:v>63</x:v>
      </x:c>
      <x:c r="C2540" t="str">
        <x:v>Male</x:v>
      </x:c>
      <x:c r="D2540" t="str">
        <x:v>Mens Clothing</x:v>
      </x:c>
      <x:c r="E2540" t="str">
        <x:v>T-Shirt</x:v>
      </x:c>
      <x:c r="F2540" s="24" t="n">
        <x:v>111.55</x:v>
      </x:c>
      <x:c r="G2540" t="str">
        <x:v>Winter</x:v>
      </x:c>
      <x:c r="H2540" t="str">
        <x:v>Card</x:v>
      </x:c>
      <x:c r="I2540" t="n">
        <x:v>3.4</x:v>
      </x:c>
      <x:c r="J2540" t="n">
        <x:v>12</x:v>
      </x:c>
      <x:c r="K2540" t="n">
        <x:v>6</x:v>
      </x:c>
      <x:c r="L2540" t="str">
        <x:v>STORE-001</x:v>
      </x:c>
      <x:c r="M2540" s="22" t="n">
        <x:v>46192</x:v>
      </x:c>
      <x:c r="N2540" t="str">
        <x:v>SKU-027</x:v>
      </x:c>
      <x:c r="O2540" t="n">
        <x:v>2</x:v>
      </x:c>
      <x:c r="P2540" s="26" t="n">
        <x:f>F2540/O2540</x:f>
        <x:v>55.775</x:v>
      </x:c>
    </x:row>
    <x:row r="2541">
      <x:c r="A2541" t="n">
        <x:v>2540</x:v>
      </x:c>
      <x:c r="B2541" t="n">
        <x:v>56</x:v>
      </x:c>
      <x:c r="C2541" t="str">
        <x:v>Female</x:v>
      </x:c>
      <x:c r="D2541" t="str">
        <x:v>Footwear</x:v>
      </x:c>
      <x:c r="E2541" t="str">
        <x:v>Formal Shoes</x:v>
      </x:c>
      <x:c r="F2541" s="24" t="n">
        <x:v>97.22</x:v>
      </x:c>
      <x:c r="G2541" t="str">
        <x:v>Autumn</x:v>
      </x:c>
      <x:c r="H2541" t="str">
        <x:v>Card</x:v>
      </x:c>
      <x:c r="I2541" t="n">
        <x:v>2.8</x:v>
      </x:c>
      <x:c r="J2541" t="n">
        <x:v>4</x:v>
      </x:c>
      <x:c r="K2541" t="n">
        <x:v>2</x:v>
      </x:c>
      <x:c r="L2541" t="str">
        <x:v>STORE-001</x:v>
      </x:c>
      <x:c r="M2541" s="22" t="n">
        <x:v>46108</x:v>
      </x:c>
      <x:c r="N2541" t="str">
        <x:v>SKU-007</x:v>
      </x:c>
      <x:c r="O2541" t="n">
        <x:v>2</x:v>
      </x:c>
      <x:c r="P2541" s="26" t="n">
        <x:f>F2541/O2541</x:f>
        <x:v>48.61</x:v>
      </x:c>
    </x:row>
    <x:row r="2542">
      <x:c r="A2542" t="n">
        <x:v>2541</x:v>
      </x:c>
      <x:c r="B2542" t="n">
        <x:v>61</x:v>
      </x:c>
      <x:c r="C2542" t="str">
        <x:v>Female</x:v>
      </x:c>
      <x:c r="D2542" t="str">
        <x:v>Sports</x:v>
      </x:c>
      <x:c r="E2542" t="str">
        <x:v>Yoga Mat</x:v>
      </x:c>
      <x:c r="F2542" s="24" t="n">
        <x:v>25.02</x:v>
      </x:c>
      <x:c r="G2542" t="str">
        <x:v>Spring</x:v>
      </x:c>
      <x:c r="H2542" t="str">
        <x:v>Cash on Delivery</x:v>
      </x:c>
      <x:c r="I2542" t="n">
        <x:v>4.2</x:v>
      </x:c>
      <x:c r="J2542" t="n">
        <x:v>16</x:v>
      </x:c>
      <x:c r="K2542" t="n">
        <x:v>3</x:v>
      </x:c>
      <x:c r="L2542" t="str">
        <x:v>STORE-001</x:v>
      </x:c>
      <x:c r="M2542" s="22" t="n">
        <x:v>45978</x:v>
      </x:c>
      <x:c r="N2542" t="str">
        <x:v>SKU-030</x:v>
      </x:c>
      <x:c r="O2542" t="n">
        <x:v>1</x:v>
      </x:c>
      <x:c r="P2542" s="26" t="n">
        <x:f>F2542/O2542</x:f>
        <x:v>25.02</x:v>
      </x:c>
    </x:row>
    <x:row r="2543">
      <x:c r="A2543" t="n">
        <x:v>2542</x:v>
      </x:c>
      <x:c r="B2543" t="n">
        <x:v>36</x:v>
      </x:c>
      <x:c r="C2543" t="str">
        <x:v>Female</x:v>
      </x:c>
      <x:c r="D2543" t="str">
        <x:v>Footwear</x:v>
      </x:c>
      <x:c r="E2543" t="str">
        <x:v>Sneakers</x:v>
      </x:c>
      <x:c r="F2543" s="24" t="n">
        <x:v>96.04</x:v>
      </x:c>
      <x:c r="G2543" t="str">
        <x:v>Autumn</x:v>
      </x:c>
      <x:c r="H2543" t="str">
        <x:v>Cash on Delivery</x:v>
      </x:c>
      <x:c r="I2543" t="n">
        <x:v>2.8</x:v>
      </x:c>
      <x:c r="J2543" t="n">
        <x:v>20</x:v>
      </x:c>
      <x:c r="K2543" t="n">
        <x:v>5</x:v>
      </x:c>
      <x:c r="L2543" t="str">
        <x:v>STORE-001</x:v>
      </x:c>
      <x:c r="M2543" s="22" t="n">
        <x:v>46137</x:v>
      </x:c>
      <x:c r="N2543" t="str">
        <x:v>SKU-025</x:v>
      </x:c>
      <x:c r="O2543" t="n">
        <x:v>2</x:v>
      </x:c>
      <x:c r="P2543" s="26" t="n">
        <x:f>F2543/O2543</x:f>
        <x:v>48.02</x:v>
      </x:c>
    </x:row>
    <x:row r="2544">
      <x:c r="A2544" t="n">
        <x:v>2543</x:v>
      </x:c>
      <x:c r="B2544" t="n">
        <x:v>25</x:v>
      </x:c>
      <x:c r="C2544" t="str">
        <x:v>Male</x:v>
      </x:c>
      <x:c r="D2544" t="str">
        <x:v>Footwear</x:v>
      </x:c>
      <x:c r="E2544" t="str">
        <x:v>Sandals</x:v>
      </x:c>
      <x:c r="F2544" s="24" t="n">
        <x:v>77.54</x:v>
      </x:c>
      <x:c r="G2544" t="str">
        <x:v>Summer</x:v>
      </x:c>
      <x:c r="H2544" t="str">
        <x:v>Card</x:v>
      </x:c>
      <x:c r="I2544" t="n">
        <x:v>4</x:v>
      </x:c>
      <x:c r="J2544" t="n">
        <x:v>15</x:v>
      </x:c>
      <x:c r="K2544" t="n">
        <x:v>5</x:v>
      </x:c>
      <x:c r="L2544" t="str">
        <x:v>STORE-001</x:v>
      </x:c>
      <x:c r="M2544" s="22" t="n">
        <x:v>46050</x:v>
      </x:c>
      <x:c r="N2544" t="str">
        <x:v>SKU-019</x:v>
      </x:c>
      <x:c r="O2544" t="n">
        <x:v>1</x:v>
      </x:c>
      <x:c r="P2544" s="26" t="n">
        <x:f>F2544/O2544</x:f>
        <x:v>77.54</x:v>
      </x:c>
    </x:row>
    <x:row r="2545">
      <x:c r="A2545" t="n">
        <x:v>2544</x:v>
      </x:c>
      <x:c r="B2545" t="n">
        <x:v>23</x:v>
      </x:c>
      <x:c r="C2545" t="str">
        <x:v>Female</x:v>
      </x:c>
      <x:c r="D2545" t="str">
        <x:v>Footwear</x:v>
      </x:c>
      <x:c r="E2545" t="str">
        <x:v>Sandals</x:v>
      </x:c>
      <x:c r="F2545" s="24" t="n">
        <x:v>128.3</x:v>
      </x:c>
      <x:c r="G2545" t="str">
        <x:v>Autumn</x:v>
      </x:c>
      <x:c r="H2545" t="str">
        <x:v>Card</x:v>
      </x:c>
      <x:c r="I2545" t="n">
        <x:v>2.7</x:v>
      </x:c>
      <x:c r="J2545" t="n">
        <x:v>10</x:v>
      </x:c>
      <x:c r="K2545" t="n">
        <x:v>5</x:v>
      </x:c>
      <x:c r="L2545" t="str">
        <x:v>STORE-001</x:v>
      </x:c>
      <x:c r="M2545" s="22" t="n">
        <x:v>46108</x:v>
      </x:c>
      <x:c r="N2545" t="str">
        <x:v>SKU-019</x:v>
      </x:c>
      <x:c r="O2545" t="n">
        <x:v>1</x:v>
      </x:c>
      <x:c r="P2545" s="26" t="n">
        <x:f>F2545/O2545</x:f>
        <x:v>128.3</x:v>
      </x:c>
    </x:row>
    <x:row r="2546">
      <x:c r="A2546" t="n">
        <x:v>2545</x:v>
      </x:c>
      <x:c r="B2546" t="n">
        <x:v>64</x:v>
      </x:c>
      <x:c r="C2546" t="str">
        <x:v>Female</x:v>
      </x:c>
      <x:c r="D2546" t="str">
        <x:v>Footwear</x:v>
      </x:c>
      <x:c r="E2546" t="str">
        <x:v>Sneakers</x:v>
      </x:c>
      <x:c r="F2546" s="24" t="n">
        <x:v>123.62</x:v>
      </x:c>
      <x:c r="G2546" t="str">
        <x:v>Winter</x:v>
      </x:c>
      <x:c r="H2546" t="str">
        <x:v>Card</x:v>
      </x:c>
      <x:c r="I2546" t="n">
        <x:v>4.2</x:v>
      </x:c>
      <x:c r="J2546" t="n">
        <x:v>10</x:v>
      </x:c>
      <x:c r="K2546" t="n">
        <x:v>5</x:v>
      </x:c>
      <x:c r="L2546" t="str">
        <x:v>STORE-001</x:v>
      </x:c>
      <x:c r="M2546" s="22" t="n">
        <x:v>46249</x:v>
      </x:c>
      <x:c r="N2546" t="str">
        <x:v>SKU-025</x:v>
      </x:c>
      <x:c r="O2546" t="n">
        <x:v>1</x:v>
      </x:c>
      <x:c r="P2546" s="26" t="n">
        <x:f>F2546/O2546</x:f>
        <x:v>123.62</x:v>
      </x:c>
    </x:row>
    <x:row r="2547">
      <x:c r="A2547" t="n">
        <x:v>2546</x:v>
      </x:c>
      <x:c r="B2547" t="n">
        <x:v>54</x:v>
      </x:c>
      <x:c r="C2547" t="str">
        <x:v>Male</x:v>
      </x:c>
      <x:c r="D2547" t="str">
        <x:v>Sports</x:v>
      </x:c>
      <x:c r="E2547" t="str">
        <x:v>Yoga Mat</x:v>
      </x:c>
      <x:c r="F2547" s="24" t="n">
        <x:v>113.57</x:v>
      </x:c>
      <x:c r="G2547" t="str">
        <x:v>Autumn</x:v>
      </x:c>
      <x:c r="H2547" t="str">
        <x:v>Card</x:v>
      </x:c>
      <x:c r="I2547" t="n">
        <x:v>3</x:v>
      </x:c>
      <x:c r="J2547" t="n">
        <x:v>15</x:v>
      </x:c>
      <x:c r="K2547" t="n">
        <x:v>5</x:v>
      </x:c>
      <x:c r="L2547" t="str">
        <x:v>STORE-001</x:v>
      </x:c>
      <x:c r="M2547" s="22" t="n">
        <x:v>46109</x:v>
      </x:c>
      <x:c r="N2547" t="str">
        <x:v>SKU-030</x:v>
      </x:c>
      <x:c r="O2547" t="n">
        <x:v>3</x:v>
      </x:c>
      <x:c r="P2547" s="26" t="n">
        <x:f>F2547/O2547</x:f>
        <x:v>37.85666666666666</x:v>
      </x:c>
    </x:row>
    <x:row r="2548">
      <x:c r="A2548" t="n">
        <x:v>2547</x:v>
      </x:c>
      <x:c r="B2548" t="n">
        <x:v>22</x:v>
      </x:c>
      <x:c r="C2548" t="str">
        <x:v>Female</x:v>
      </x:c>
      <x:c r="D2548" t="str">
        <x:v>Accessories</x:v>
      </x:c>
      <x:c r="E2548" t="str">
        <x:v>Sunglasses</x:v>
      </x:c>
      <x:c r="F2548" s="24" t="n">
        <x:v>76.34</x:v>
      </x:c>
      <x:c r="G2548" t="str">
        <x:v>Summer</x:v>
      </x:c>
      <x:c r="H2548" t="str">
        <x:v>Cash on Delivery</x:v>
      </x:c>
      <x:c r="I2548" t="n">
        <x:v>3.9</x:v>
      </x:c>
      <x:c r="J2548" t="n">
        <x:v>17</x:v>
      </x:c>
      <x:c r="K2548" t="n">
        <x:v>6</x:v>
      </x:c>
      <x:c r="L2548" t="str">
        <x:v>STORE-001</x:v>
      </x:c>
      <x:c r="M2548" s="22" t="n">
        <x:v>46055</x:v>
      </x:c>
      <x:c r="N2548" t="str">
        <x:v>SKU-026</x:v>
      </x:c>
      <x:c r="O2548" t="n">
        <x:v>1</x:v>
      </x:c>
      <x:c r="P2548" s="26" t="n">
        <x:f>F2548/O2548</x:f>
        <x:v>76.34</x:v>
      </x:c>
    </x:row>
    <x:row r="2549">
      <x:c r="A2549" t="n">
        <x:v>2548</x:v>
      </x:c>
      <x:c r="B2549" t="n">
        <x:v>61</x:v>
      </x:c>
      <x:c r="C2549" t="str">
        <x:v>Male</x:v>
      </x:c>
      <x:c r="D2549" t="str">
        <x:v>Mens Clothing</x:v>
      </x:c>
      <x:c r="E2549" t="str">
        <x:v>T-Shirt</x:v>
      </x:c>
      <x:c r="F2549" s="24" t="n">
        <x:v>128.18</x:v>
      </x:c>
      <x:c r="G2549" t="str">
        <x:v>Spring</x:v>
      </x:c>
      <x:c r="H2549" t="str">
        <x:v>Card</x:v>
      </x:c>
      <x:c r="I2549" t="n">
        <x:v>3.6</x:v>
      </x:c>
      <x:c r="J2549" t="n">
        <x:v>16</x:v>
      </x:c>
      <x:c r="K2549" t="n">
        <x:v>3</x:v>
      </x:c>
      <x:c r="L2549" t="str">
        <x:v>STORE-001</x:v>
      </x:c>
      <x:c r="M2549" s="22" t="n">
        <x:v>45982</x:v>
      </x:c>
      <x:c r="N2549" t="str">
        <x:v>SKU-027</x:v>
      </x:c>
      <x:c r="O2549" t="n">
        <x:v>2</x:v>
      </x:c>
      <x:c r="P2549" s="26" t="n">
        <x:f>F2549/O2549</x:f>
        <x:v>64.09</x:v>
      </x:c>
    </x:row>
    <x:row r="2550">
      <x:c r="A2550" t="n">
        <x:v>2549</x:v>
      </x:c>
      <x:c r="B2550" t="n">
        <x:v>26</x:v>
      </x:c>
      <x:c r="C2550" t="str">
        <x:v>Male</x:v>
      </x:c>
      <x:c r="D2550" t="str">
        <x:v>Sports</x:v>
      </x:c>
      <x:c r="E2550" t="str">
        <x:v>Football</x:v>
      </x:c>
      <x:c r="F2550" s="24" t="n">
        <x:v>98.3</x:v>
      </x:c>
      <x:c r="G2550" t="str">
        <x:v>Autumn</x:v>
      </x:c>
      <x:c r="H2550" t="str">
        <x:v>Card</x:v>
      </x:c>
      <x:c r="I2550" t="n">
        <x:v>3.9</x:v>
      </x:c>
      <x:c r="J2550" t="n">
        <x:v>16</x:v>
      </x:c>
      <x:c r="K2550" t="n">
        <x:v>3</x:v>
      </x:c>
      <x:c r="L2550" t="str">
        <x:v>STORE-001</x:v>
      </x:c>
      <x:c r="M2550" s="22" t="n">
        <x:v>46087</x:v>
      </x:c>
      <x:c r="N2550" t="str">
        <x:v>SKU-006</x:v>
      </x:c>
      <x:c r="O2550" t="n">
        <x:v>1</x:v>
      </x:c>
      <x:c r="P2550" s="26" t="n">
        <x:f>F2550/O2550</x:f>
        <x:v>98.3</x:v>
      </x:c>
    </x:row>
    <x:row r="2551">
      <x:c r="A2551" t="n">
        <x:v>2550</x:v>
      </x:c>
      <x:c r="B2551" t="n">
        <x:v>42</x:v>
      </x:c>
      <x:c r="C2551" t="str">
        <x:v>Female</x:v>
      </x:c>
      <x:c r="D2551" t="str">
        <x:v>Beauty</x:v>
      </x:c>
      <x:c r="E2551" t="str">
        <x:v>Skincare Kit</x:v>
      </x:c>
      <x:c r="F2551" s="24" t="n">
        <x:v>74.72</x:v>
      </x:c>
      <x:c r="G2551" t="str">
        <x:v>Spring</x:v>
      </x:c>
      <x:c r="H2551" t="str">
        <x:v>Card</x:v>
      </x:c>
      <x:c r="I2551" t="n">
        <x:v>4.3</x:v>
      </x:c>
      <x:c r="J2551" t="n">
        <x:v>25</x:v>
      </x:c>
      <x:c r="K2551" t="n">
        <x:v>10</x:v>
      </x:c>
      <x:c r="L2551" t="str">
        <x:v>STORE-001</x:v>
      </x:c>
      <x:c r="M2551" s="22" t="n">
        <x:v>46291</x:v>
      </x:c>
      <x:c r="N2551" t="str">
        <x:v>SKU-021</x:v>
      </x:c>
      <x:c r="O2551" t="n">
        <x:v>1</x:v>
      </x:c>
      <x:c r="P2551" s="26" t="n">
        <x:f>F2551/O2551</x:f>
        <x:v>74.72</x:v>
      </x:c>
    </x:row>
    <x:row r="2552">
      <x:c r="A2552" t="n">
        <x:v>2551</x:v>
      </x:c>
      <x:c r="B2552" t="n">
        <x:v>56</x:v>
      </x:c>
      <x:c r="C2552" t="str">
        <x:v>Female</x:v>
      </x:c>
      <x:c r="D2552" t="str">
        <x:v>Womens Clothing</x:v>
      </x:c>
      <x:c r="E2552" t="str">
        <x:v>Top</x:v>
      </x:c>
      <x:c r="F2552" s="24" t="n">
        <x:v>104.87</x:v>
      </x:c>
      <x:c r="G2552" t="str">
        <x:v>Autumn</x:v>
      </x:c>
      <x:c r="H2552" t="str">
        <x:v>Card</x:v>
      </x:c>
      <x:c r="I2552" t="n">
        <x:v>4.4</x:v>
      </x:c>
      <x:c r="J2552" t="n">
        <x:v>22</x:v>
      </x:c>
      <x:c r="K2552" t="n">
        <x:v>11</x:v>
      </x:c>
      <x:c r="L2552" t="str">
        <x:v>STORE-001</x:v>
      </x:c>
      <x:c r="M2552" s="22" t="n">
        <x:v>46110</x:v>
      </x:c>
      <x:c r="N2552" t="str">
        <x:v>SKU-028</x:v>
      </x:c>
      <x:c r="O2552" t="n">
        <x:v>1</x:v>
      </x:c>
      <x:c r="P2552" s="26" t="n">
        <x:f>F2552/O2552</x:f>
        <x:v>104.87</x:v>
      </x:c>
    </x:row>
    <x:row r="2553">
      <x:c r="A2553" t="n">
        <x:v>2552</x:v>
      </x:c>
      <x:c r="B2553" t="n">
        <x:v>54</x:v>
      </x:c>
      <x:c r="C2553" t="str">
        <x:v>Female</x:v>
      </x:c>
      <x:c r="D2553" t="str">
        <x:v>Accessories</x:v>
      </x:c>
      <x:c r="E2553" t="str">
        <x:v>Wallet</x:v>
      </x:c>
      <x:c r="F2553" s="24" t="n">
        <x:v>54.62</x:v>
      </x:c>
      <x:c r="G2553" t="str">
        <x:v>Summer</x:v>
      </x:c>
      <x:c r="H2553" t="str">
        <x:v>Cash on Delivery</x:v>
      </x:c>
      <x:c r="I2553" t="n">
        <x:v>3.7</x:v>
      </x:c>
      <x:c r="J2553" t="n">
        <x:v>8</x:v>
      </x:c>
      <x:c r="K2553" t="n">
        <x:v>4</x:v>
      </x:c>
      <x:c r="L2553" t="str">
        <x:v>STORE-001</x:v>
      </x:c>
      <x:c r="M2553" s="22" t="n">
        <x:v>46075</x:v>
      </x:c>
      <x:c r="N2553" t="str">
        <x:v>SKU-029</x:v>
      </x:c>
      <x:c r="O2553" t="n">
        <x:v>3</x:v>
      </x:c>
      <x:c r="P2553" s="26" t="n">
        <x:f>F2553/O2553</x:f>
        <x:v>18.206666666666667</x:v>
      </x:c>
    </x:row>
    <x:row r="2554">
      <x:c r="A2554" t="n">
        <x:v>2553</x:v>
      </x:c>
      <x:c r="B2554" t="n">
        <x:v>50</x:v>
      </x:c>
      <x:c r="C2554" t="str">
        <x:v>Female</x:v>
      </x:c>
      <x:c r="D2554" t="str">
        <x:v>Accessories</x:v>
      </x:c>
      <x:c r="E2554" t="str">
        <x:v>Wallet</x:v>
      </x:c>
      <x:c r="F2554" s="24" t="n">
        <x:v>161.18</x:v>
      </x:c>
      <x:c r="G2554" t="str">
        <x:v>Summer</x:v>
      </x:c>
      <x:c r="H2554" t="str">
        <x:v>Card</x:v>
      </x:c>
      <x:c r="I2554" t="n">
        <x:v>3.9</x:v>
      </x:c>
      <x:c r="J2554" t="n">
        <x:v>22</x:v>
      </x:c>
      <x:c r="K2554" t="n">
        <x:v>6</x:v>
      </x:c>
      <x:c r="L2554" t="str">
        <x:v>STORE-001</x:v>
      </x:c>
      <x:c r="M2554" s="22" t="n">
        <x:v>46040</x:v>
      </x:c>
      <x:c r="N2554" t="str">
        <x:v>SKU-029</x:v>
      </x:c>
      <x:c r="O2554" t="n">
        <x:v>1</x:v>
      </x:c>
      <x:c r="P2554" s="26" t="n">
        <x:f>F2554/O2554</x:f>
        <x:v>161.18</x:v>
      </x:c>
    </x:row>
    <x:row r="2555">
      <x:c r="A2555" t="n">
        <x:v>2554</x:v>
      </x:c>
      <x:c r="B2555" t="n">
        <x:v>52</x:v>
      </x:c>
      <x:c r="C2555" t="str">
        <x:v>Female</x:v>
      </x:c>
      <x:c r="D2555" t="str">
        <x:v>Groceries</x:v>
      </x:c>
      <x:c r="E2555" t="str">
        <x:v>Cooking Oil</x:v>
      </x:c>
      <x:c r="F2555" s="24" t="n">
        <x:v>36.75</x:v>
      </x:c>
      <x:c r="G2555" t="str">
        <x:v>Autumn</x:v>
      </x:c>
      <x:c r="H2555" t="str">
        <x:v>Card</x:v>
      </x:c>
      <x:c r="I2555" t="n">
        <x:v>4</x:v>
      </x:c>
      <x:c r="J2555" t="n">
        <x:v>8</x:v>
      </x:c>
      <x:c r="K2555" t="n">
        <x:v>4</x:v>
      </x:c>
      <x:c r="L2555" t="str">
        <x:v>STORE-001</x:v>
      </x:c>
      <x:c r="M2555" s="22" t="n">
        <x:v>46150</x:v>
      </x:c>
      <x:c r="N2555" t="str">
        <x:v>SKU-002</x:v>
      </x:c>
      <x:c r="O2555" t="n">
        <x:v>1</x:v>
      </x:c>
      <x:c r="P2555" s="26" t="n">
        <x:f>F2555/O2555</x:f>
        <x:v>36.75</x:v>
      </x:c>
    </x:row>
    <x:row r="2556">
      <x:c r="A2556" t="n">
        <x:v>2555</x:v>
      </x:c>
      <x:c r="B2556" t="n">
        <x:v>41</x:v>
      </x:c>
      <x:c r="C2556" t="str">
        <x:v>Female</x:v>
      </x:c>
      <x:c r="D2556" t="str">
        <x:v>Accessories</x:v>
      </x:c>
      <x:c r="E2556" t="str">
        <x:v>Sunglasses</x:v>
      </x:c>
      <x:c r="F2556" s="24" t="n">
        <x:v>101.23</x:v>
      </x:c>
      <x:c r="G2556" t="str">
        <x:v>Spring</x:v>
      </x:c>
      <x:c r="H2556" t="str">
        <x:v>Card</x:v>
      </x:c>
      <x:c r="I2556" t="n">
        <x:v>2.8</x:v>
      </x:c>
      <x:c r="J2556" t="n">
        <x:v>15</x:v>
      </x:c>
      <x:c r="K2556" t="n">
        <x:v>5</x:v>
      </x:c>
      <x:c r="L2556" t="str">
        <x:v>STORE-001</x:v>
      </x:c>
      <x:c r="M2556" s="22" t="n">
        <x:v>46268</x:v>
      </x:c>
      <x:c r="N2556" t="str">
        <x:v>SKU-026</x:v>
      </x:c>
      <x:c r="O2556" t="n">
        <x:v>2</x:v>
      </x:c>
      <x:c r="P2556" s="26" t="n">
        <x:f>F2556/O2556</x:f>
        <x:v>50.615</x:v>
      </x:c>
    </x:row>
    <x:row r="2557">
      <x:c r="A2557" t="n">
        <x:v>2556</x:v>
      </x:c>
      <x:c r="B2557" t="n">
        <x:v>63</x:v>
      </x:c>
      <x:c r="C2557" t="str">
        <x:v>Female</x:v>
      </x:c>
      <x:c r="D2557" t="str">
        <x:v>Groceries</x:v>
      </x:c>
      <x:c r="E2557" t="str">
        <x:v>Beverages</x:v>
      </x:c>
      <x:c r="F2557" s="24" t="n">
        <x:v>69.8</x:v>
      </x:c>
      <x:c r="G2557" t="str">
        <x:v>Autumn</x:v>
      </x:c>
      <x:c r="H2557" t="str">
        <x:v>Cash on Delivery</x:v>
      </x:c>
      <x:c r="I2557" t="n">
        <x:v>5</x:v>
      </x:c>
      <x:c r="J2557" t="n">
        <x:v>10</x:v>
      </x:c>
      <x:c r="K2557" t="n">
        <x:v>5</x:v>
      </x:c>
      <x:c r="L2557" t="str">
        <x:v>STORE-001</x:v>
      </x:c>
      <x:c r="M2557" s="22" t="n">
        <x:v>46089</x:v>
      </x:c>
      <x:c r="N2557" t="str">
        <x:v>SKU-001</x:v>
      </x:c>
      <x:c r="O2557" t="n">
        <x:v>2</x:v>
      </x:c>
      <x:c r="P2557" s="26" t="n">
        <x:f>F2557/O2557</x:f>
        <x:v>34.9</x:v>
      </x:c>
    </x:row>
    <x:row r="2558">
      <x:c r="A2558" t="n">
        <x:v>2557</x:v>
      </x:c>
      <x:c r="B2558" t="n">
        <x:v>57</x:v>
      </x:c>
      <x:c r="C2558" t="str">
        <x:v>Female</x:v>
      </x:c>
      <x:c r="D2558" t="str">
        <x:v>Groceries</x:v>
      </x:c>
      <x:c r="E2558" t="str">
        <x:v>Beverages</x:v>
      </x:c>
      <x:c r="F2558" s="24" t="n">
        <x:v>56.76</x:v>
      </x:c>
      <x:c r="G2558" t="str">
        <x:v>Summer</x:v>
      </x:c>
      <x:c r="H2558" t="str">
        <x:v>Card</x:v>
      </x:c>
      <x:c r="I2558" t="n">
        <x:v>3.9</x:v>
      </x:c>
      <x:c r="J2558" t="n">
        <x:v>22</x:v>
      </x:c>
      <x:c r="K2558" t="n">
        <x:v>6</x:v>
      </x:c>
      <x:c r="L2558" t="str">
        <x:v>STORE-001</x:v>
      </x:c>
      <x:c r="M2558" s="22" t="n">
        <x:v>46045</x:v>
      </x:c>
      <x:c r="N2558" t="str">
        <x:v>SKU-001</x:v>
      </x:c>
      <x:c r="O2558" t="n">
        <x:v>5</x:v>
      </x:c>
      <x:c r="P2558" s="26" t="n">
        <x:f>F2558/O2558</x:f>
        <x:v>11.352</x:v>
      </x:c>
    </x:row>
    <x:row r="2559">
      <x:c r="A2559" t="n">
        <x:v>2558</x:v>
      </x:c>
      <x:c r="B2559" t="n">
        <x:v>44</x:v>
      </x:c>
      <x:c r="C2559" t="str">
        <x:v>Female</x:v>
      </x:c>
      <x:c r="D2559" t="str">
        <x:v>Sports</x:v>
      </x:c>
      <x:c r="E2559" t="str">
        <x:v>Dumbbells</x:v>
      </x:c>
      <x:c r="F2559" s="24" t="n">
        <x:v>192.76</x:v>
      </x:c>
      <x:c r="G2559" t="str">
        <x:v>Autumn</x:v>
      </x:c>
      <x:c r="H2559" t="str">
        <x:v>Card</x:v>
      </x:c>
      <x:c r="I2559" t="n">
        <x:v>3.5</x:v>
      </x:c>
      <x:c r="J2559" t="n">
        <x:v>15</x:v>
      </x:c>
      <x:c r="K2559" t="n">
        <x:v>5</x:v>
      </x:c>
      <x:c r="L2559" t="str">
        <x:v>STORE-001</x:v>
      </x:c>
      <x:c r="M2559" s="22" t="n">
        <x:v>46112</x:v>
      </x:c>
      <x:c r="N2559" t="str">
        <x:v>SKU-005</x:v>
      </x:c>
      <x:c r="O2559" t="n">
        <x:v>1</x:v>
      </x:c>
      <x:c r="P2559" s="26" t="n">
        <x:f>F2559/O2559</x:f>
        <x:v>192.76</x:v>
      </x:c>
    </x:row>
    <x:row r="2560">
      <x:c r="A2560" t="n">
        <x:v>2559</x:v>
      </x:c>
      <x:c r="B2560" t="n">
        <x:v>47</x:v>
      </x:c>
      <x:c r="C2560" t="str">
        <x:v>Male</x:v>
      </x:c>
      <x:c r="D2560" t="str">
        <x:v>Sports</x:v>
      </x:c>
      <x:c r="E2560" t="str">
        <x:v>Dumbbells</x:v>
      </x:c>
      <x:c r="F2560" s="24" t="n">
        <x:v>133.84</x:v>
      </x:c>
      <x:c r="G2560" t="str">
        <x:v>Summer</x:v>
      </x:c>
      <x:c r="H2560" t="str">
        <x:v>Card</x:v>
      </x:c>
      <x:c r="I2560" t="n">
        <x:v>5</x:v>
      </x:c>
      <x:c r="J2560" t="n">
        <x:v>14</x:v>
      </x:c>
      <x:c r="K2560" t="n">
        <x:v>7</x:v>
      </x:c>
      <x:c r="L2560" t="str">
        <x:v>STORE-001</x:v>
      </x:c>
      <x:c r="M2560" s="22" t="n">
        <x:v>46008</x:v>
      </x:c>
      <x:c r="N2560" t="str">
        <x:v>SKU-005</x:v>
      </x:c>
      <x:c r="O2560" t="n">
        <x:v>1</x:v>
      </x:c>
      <x:c r="P2560" s="26" t="n">
        <x:f>F2560/O2560</x:f>
        <x:v>133.84</x:v>
      </x:c>
    </x:row>
    <x:row r="2561">
      <x:c r="A2561" t="n">
        <x:v>2560</x:v>
      </x:c>
      <x:c r="B2561" t="n">
        <x:v>66</x:v>
      </x:c>
      <x:c r="C2561" t="str">
        <x:v>Female</x:v>
      </x:c>
      <x:c r="D2561" t="str">
        <x:v>Accessories</x:v>
      </x:c>
      <x:c r="E2561" t="str">
        <x:v>Sunglasses</x:v>
      </x:c>
      <x:c r="F2561" s="24" t="n">
        <x:v>48.53</x:v>
      </x:c>
      <x:c r="G2561" t="str">
        <x:v>Summer</x:v>
      </x:c>
      <x:c r="H2561" t="str">
        <x:v>Card</x:v>
      </x:c>
      <x:c r="I2561" t="n">
        <x:v>2.9</x:v>
      </x:c>
      <x:c r="J2561" t="n">
        <x:v>11</x:v>
      </x:c>
      <x:c r="K2561" t="n">
        <x:v>3</x:v>
      </x:c>
      <x:c r="L2561" t="str">
        <x:v>STORE-001</x:v>
      </x:c>
      <x:c r="M2561" s="22" t="n">
        <x:v>46044</x:v>
      </x:c>
      <x:c r="N2561" t="str">
        <x:v>SKU-026</x:v>
      </x:c>
      <x:c r="O2561" t="n">
        <x:v>2</x:v>
      </x:c>
      <x:c r="P2561" s="26" t="n">
        <x:f>F2561/O2561</x:f>
        <x:v>24.265</x:v>
      </x:c>
    </x:row>
    <x:row r="2562">
      <x:c r="A2562" t="n">
        <x:v>2561</x:v>
      </x:c>
      <x:c r="B2562" t="n">
        <x:v>65</x:v>
      </x:c>
      <x:c r="C2562" t="str">
        <x:v>Female</x:v>
      </x:c>
      <x:c r="D2562" t="str">
        <x:v>Home</x:v>
      </x:c>
      <x:c r="E2562" t="str">
        <x:v>Kitchen Set</x:v>
      </x:c>
      <x:c r="F2562" s="24" t="n">
        <x:v>157.49</x:v>
      </x:c>
      <x:c r="G2562" t="str">
        <x:v>Spring</x:v>
      </x:c>
      <x:c r="H2562" t="str">
        <x:v>Card</x:v>
      </x:c>
      <x:c r="I2562" t="n">
        <x:v>3.8</x:v>
      </x:c>
      <x:c r="J2562" t="n">
        <x:v>17</x:v>
      </x:c>
      <x:c r="K2562" t="n">
        <x:v>6</x:v>
      </x:c>
      <x:c r="L2562" t="str">
        <x:v>STORE-001</x:v>
      </x:c>
      <x:c r="M2562" s="22" t="n">
        <x:v>46280</x:v>
      </x:c>
      <x:c r="N2562" t="str">
        <x:v>SKU-012</x:v>
      </x:c>
      <x:c r="O2562" t="n">
        <x:v>1</x:v>
      </x:c>
      <x:c r="P2562" s="26" t="n">
        <x:f>F2562/O2562</x:f>
        <x:v>157.49</x:v>
      </x:c>
    </x:row>
    <x:row r="2563">
      <x:c r="A2563" t="n">
        <x:v>2562</x:v>
      </x:c>
      <x:c r="B2563" t="n">
        <x:v>69</x:v>
      </x:c>
      <x:c r="C2563" t="str">
        <x:v>Male</x:v>
      </x:c>
      <x:c r="D2563" t="str">
        <x:v>Footwear</x:v>
      </x:c>
      <x:c r="E2563" t="str">
        <x:v>Formal Shoes</x:v>
      </x:c>
      <x:c r="F2563" s="24" t="n">
        <x:v>157.2</x:v>
      </x:c>
      <x:c r="G2563" t="str">
        <x:v>Winter</x:v>
      </x:c>
      <x:c r="H2563" t="str">
        <x:v>Card</x:v>
      </x:c>
      <x:c r="I2563" t="n">
        <x:v>4.4</x:v>
      </x:c>
      <x:c r="J2563" t="n">
        <x:v>11</x:v>
      </x:c>
      <x:c r="K2563" t="n">
        <x:v>3</x:v>
      </x:c>
      <x:c r="L2563" t="str">
        <x:v>STORE-001</x:v>
      </x:c>
      <x:c r="M2563" s="22" t="n">
        <x:v>46178</x:v>
      </x:c>
      <x:c r="N2563" t="str">
        <x:v>SKU-007</x:v>
      </x:c>
      <x:c r="O2563" t="n">
        <x:v>1</x:v>
      </x:c>
      <x:c r="P2563" s="26" t="n">
        <x:f>F2563/O2563</x:f>
        <x:v>157.2</x:v>
      </x:c>
    </x:row>
    <x:row r="2564">
      <x:c r="A2564" t="n">
        <x:v>2563</x:v>
      </x:c>
      <x:c r="B2564" t="n">
        <x:v>45</x:v>
      </x:c>
      <x:c r="C2564" t="str">
        <x:v>Female</x:v>
      </x:c>
      <x:c r="D2564" t="str">
        <x:v>Beauty</x:v>
      </x:c>
      <x:c r="E2564" t="str">
        <x:v>Skincare Kit</x:v>
      </x:c>
      <x:c r="F2564" s="24" t="n">
        <x:v>59.66</x:v>
      </x:c>
      <x:c r="G2564" t="str">
        <x:v>Autumn</x:v>
      </x:c>
      <x:c r="H2564" t="str">
        <x:v>Card</x:v>
      </x:c>
      <x:c r="I2564" t="n">
        <x:v>3.8</x:v>
      </x:c>
      <x:c r="J2564" t="n">
        <x:v>11</x:v>
      </x:c>
      <x:c r="K2564" t="n">
        <x:v>3</x:v>
      </x:c>
      <x:c r="L2564" t="str">
        <x:v>STORE-001</x:v>
      </x:c>
      <x:c r="M2564" s="22" t="n">
        <x:v>46140</x:v>
      </x:c>
      <x:c r="N2564" t="str">
        <x:v>SKU-021</x:v>
      </x:c>
      <x:c r="O2564" t="n">
        <x:v>1</x:v>
      </x:c>
      <x:c r="P2564" s="26" t="n">
        <x:f>F2564/O2564</x:f>
        <x:v>59.66</x:v>
      </x:c>
    </x:row>
    <x:row r="2565">
      <x:c r="A2565" t="n">
        <x:v>2564</x:v>
      </x:c>
      <x:c r="B2565" t="n">
        <x:v>37</x:v>
      </x:c>
      <x:c r="C2565" t="str">
        <x:v>Female</x:v>
      </x:c>
      <x:c r="D2565" t="str">
        <x:v>Womens Clothing</x:v>
      </x:c>
      <x:c r="E2565" t="str">
        <x:v>Jeans</x:v>
      </x:c>
      <x:c r="F2565" s="24" t="n">
        <x:v>181.19</x:v>
      </x:c>
      <x:c r="G2565" t="str">
        <x:v>Summer</x:v>
      </x:c>
      <x:c r="H2565" t="str">
        <x:v>Card</x:v>
      </x:c>
      <x:c r="I2565" t="n">
        <x:v>4.3</x:v>
      </x:c>
      <x:c r="J2565" t="n">
        <x:v>22</x:v>
      </x:c>
      <x:c r="K2565" t="n">
        <x:v>6</x:v>
      </x:c>
      <x:c r="L2565" t="str">
        <x:v>STORE-001</x:v>
      </x:c>
      <x:c r="M2565" s="22" t="n">
        <x:v>45998</x:v>
      </x:c>
      <x:c r="N2565" t="str">
        <x:v>SKU-011</x:v>
      </x:c>
      <x:c r="O2565" t="n">
        <x:v>1</x:v>
      </x:c>
      <x:c r="P2565" s="26" t="n">
        <x:f>F2565/O2565</x:f>
        <x:v>181.19</x:v>
      </x:c>
    </x:row>
    <x:row r="2566">
      <x:c r="A2566" t="n">
        <x:v>2565</x:v>
      </x:c>
      <x:c r="B2566" t="n">
        <x:v>47</x:v>
      </x:c>
      <x:c r="C2566" t="str">
        <x:v>Female</x:v>
      </x:c>
      <x:c r="D2566" t="str">
        <x:v>Womens Clothing</x:v>
      </x:c>
      <x:c r="E2566" t="str">
        <x:v>Dress</x:v>
      </x:c>
      <x:c r="F2566" s="24" t="n">
        <x:v>123.24</x:v>
      </x:c>
      <x:c r="G2566" t="str">
        <x:v>Spring</x:v>
      </x:c>
      <x:c r="H2566" t="str">
        <x:v>Card</x:v>
      </x:c>
      <x:c r="I2566" t="n">
        <x:v>3.6</x:v>
      </x:c>
      <x:c r="J2566" t="n">
        <x:v>10</x:v>
      </x:c>
      <x:c r="K2566" t="n">
        <x:v>5</x:v>
      </x:c>
      <x:c r="L2566" t="str">
        <x:v>STORE-001</x:v>
      </x:c>
      <x:c r="M2566" s="22" t="n">
        <x:v>46275</x:v>
      </x:c>
      <x:c r="N2566" t="str">
        <x:v>SKU-004</x:v>
      </x:c>
      <x:c r="O2566" t="n">
        <x:v>1</x:v>
      </x:c>
      <x:c r="P2566" s="26" t="n">
        <x:f>F2566/O2566</x:f>
        <x:v>123.24</x:v>
      </x:c>
    </x:row>
    <x:row r="2567">
      <x:c r="A2567" t="n">
        <x:v>2566</x:v>
      </x:c>
      <x:c r="B2567" t="n">
        <x:v>33</x:v>
      </x:c>
      <x:c r="C2567" t="str">
        <x:v>Female</x:v>
      </x:c>
      <x:c r="D2567" t="str">
        <x:v>Womens Clothing</x:v>
      </x:c>
      <x:c r="E2567" t="str">
        <x:v>Dress</x:v>
      </x:c>
      <x:c r="F2567" s="24" t="n">
        <x:v>53.56</x:v>
      </x:c>
      <x:c r="G2567" t="str">
        <x:v>Spring</x:v>
      </x:c>
      <x:c r="H2567" t="str">
        <x:v>Card</x:v>
      </x:c>
      <x:c r="I2567" t="n">
        <x:v>3.1</x:v>
      </x:c>
      <x:c r="J2567" t="n">
        <x:v>10</x:v>
      </x:c>
      <x:c r="K2567" t="n">
        <x:v>5</x:v>
      </x:c>
      <x:c r="L2567" t="str">
        <x:v>STORE-001</x:v>
      </x:c>
      <x:c r="M2567" s="22" t="n">
        <x:v>46294</x:v>
      </x:c>
      <x:c r="N2567" t="str">
        <x:v>SKU-004</x:v>
      </x:c>
      <x:c r="O2567" t="n">
        <x:v>1</x:v>
      </x:c>
      <x:c r="P2567" s="26" t="n">
        <x:f>F2567/O2567</x:f>
        <x:v>53.56</x:v>
      </x:c>
    </x:row>
    <x:row r="2568">
      <x:c r="A2568" t="n">
        <x:v>2567</x:v>
      </x:c>
      <x:c r="B2568" t="n">
        <x:v>44</x:v>
      </x:c>
      <x:c r="C2568" t="str">
        <x:v>Female</x:v>
      </x:c>
      <x:c r="D2568" t="str">
        <x:v>Accessories</x:v>
      </x:c>
      <x:c r="E2568" t="str">
        <x:v>Handbag</x:v>
      </x:c>
      <x:c r="F2568" s="24" t="n">
        <x:v>153.45</x:v>
      </x:c>
      <x:c r="G2568" t="str">
        <x:v>Spring</x:v>
      </x:c>
      <x:c r="H2568" t="str">
        <x:v>Card</x:v>
      </x:c>
      <x:c r="I2568" t="n">
        <x:v>4.1</x:v>
      </x:c>
      <x:c r="J2568" t="n">
        <x:v>13</x:v>
      </x:c>
      <x:c r="K2568" t="n">
        <x:v>4</x:v>
      </x:c>
      <x:c r="L2568" t="str">
        <x:v>STORE-001</x:v>
      </x:c>
      <x:c r="M2568" s="22" t="n">
        <x:v>45942</x:v>
      </x:c>
      <x:c r="N2568" t="str">
        <x:v>SKU-008</x:v>
      </x:c>
      <x:c r="O2568" t="n">
        <x:v>1</x:v>
      </x:c>
      <x:c r="P2568" s="26" t="n">
        <x:f>F2568/O2568</x:f>
        <x:v>153.45</x:v>
      </x:c>
    </x:row>
    <x:row r="2569">
      <x:c r="A2569" t="n">
        <x:v>2568</x:v>
      </x:c>
      <x:c r="B2569" t="n">
        <x:v>30</x:v>
      </x:c>
      <x:c r="C2569" t="str">
        <x:v>Female</x:v>
      </x:c>
      <x:c r="D2569" t="str">
        <x:v>Footwear</x:v>
      </x:c>
      <x:c r="E2569" t="str">
        <x:v>Sneakers</x:v>
      </x:c>
      <x:c r="F2569" s="24" t="n">
        <x:v>136.93</x:v>
      </x:c>
      <x:c r="G2569" t="str">
        <x:v>Summer</x:v>
      </x:c>
      <x:c r="H2569" t="str">
        <x:v>Card</x:v>
      </x:c>
      <x:c r="I2569" t="n">
        <x:v>5</x:v>
      </x:c>
      <x:c r="J2569" t="n">
        <x:v>9</x:v>
      </x:c>
      <x:c r="K2569" t="n">
        <x:v>2</x:v>
      </x:c>
      <x:c r="L2569" t="str">
        <x:v>STORE-001</x:v>
      </x:c>
      <x:c r="M2569" s="22" t="n">
        <x:v>46021</x:v>
      </x:c>
      <x:c r="N2569" t="str">
        <x:v>SKU-025</x:v>
      </x:c>
      <x:c r="O2569" t="n">
        <x:v>1</x:v>
      </x:c>
      <x:c r="P2569" s="26" t="n">
        <x:f>F2569/O2569</x:f>
        <x:v>136.93</x:v>
      </x:c>
    </x:row>
    <x:row r="2570">
      <x:c r="A2570" t="n">
        <x:v>2569</x:v>
      </x:c>
      <x:c r="B2570" t="n">
        <x:v>70</x:v>
      </x:c>
      <x:c r="C2570" t="str">
        <x:v>Male</x:v>
      </x:c>
      <x:c r="D2570" t="str">
        <x:v>Mens Clothing</x:v>
      </x:c>
      <x:c r="E2570" t="str">
        <x:v>Jeans</x:v>
      </x:c>
      <x:c r="F2570" s="24" t="n">
        <x:v>198.86</x:v>
      </x:c>
      <x:c r="G2570" t="str">
        <x:v>Spring</x:v>
      </x:c>
      <x:c r="H2570" t="str">
        <x:v>Card</x:v>
      </x:c>
      <x:c r="I2570" t="n">
        <x:v>4.1</x:v>
      </x:c>
      <x:c r="J2570" t="n">
        <x:v>8</x:v>
      </x:c>
      <x:c r="K2570" t="n">
        <x:v>4</x:v>
      </x:c>
      <x:c r="L2570" t="str">
        <x:v>STORE-001</x:v>
      </x:c>
      <x:c r="M2570" s="22" t="n">
        <x:v>46290</x:v>
      </x:c>
      <x:c r="N2570" t="str">
        <x:v>SKU-011</x:v>
      </x:c>
      <x:c r="O2570" t="n">
        <x:v>1</x:v>
      </x:c>
      <x:c r="P2570" s="26" t="n">
        <x:f>F2570/O2570</x:f>
        <x:v>198.86</x:v>
      </x:c>
    </x:row>
    <x:row r="2571">
      <x:c r="A2571" t="n">
        <x:v>2570</x:v>
      </x:c>
      <x:c r="B2571" t="n">
        <x:v>44</x:v>
      </x:c>
      <x:c r="C2571" t="str">
        <x:v>Male</x:v>
      </x:c>
      <x:c r="D2571" t="str">
        <x:v>Sports</x:v>
      </x:c>
      <x:c r="E2571" t="str">
        <x:v>Yoga Mat</x:v>
      </x:c>
      <x:c r="F2571" s="24" t="n">
        <x:v>154.32</x:v>
      </x:c>
      <x:c r="G2571" t="str">
        <x:v>Winter</x:v>
      </x:c>
      <x:c r="H2571" t="str">
        <x:v>Card</x:v>
      </x:c>
      <x:c r="I2571" t="n">
        <x:v>4.6</x:v>
      </x:c>
      <x:c r="J2571" t="n">
        <x:v>10</x:v>
      </x:c>
      <x:c r="K2571" t="n">
        <x:v>5</x:v>
      </x:c>
      <x:c r="L2571" t="str">
        <x:v>STORE-001</x:v>
      </x:c>
      <x:c r="M2571" s="22" t="n">
        <x:v>46194</x:v>
      </x:c>
      <x:c r="N2571" t="str">
        <x:v>SKU-030</x:v>
      </x:c>
      <x:c r="O2571" t="n">
        <x:v>1</x:v>
      </x:c>
      <x:c r="P2571" s="26" t="n">
        <x:f>F2571/O2571</x:f>
        <x:v>154.32</x:v>
      </x:c>
    </x:row>
    <x:row r="2572">
      <x:c r="A2572" t="n">
        <x:v>2571</x:v>
      </x:c>
      <x:c r="B2572" t="n">
        <x:v>69</x:v>
      </x:c>
      <x:c r="C2572" t="str">
        <x:v>Male</x:v>
      </x:c>
      <x:c r="D2572" t="str">
        <x:v>Mens Clothing</x:v>
      </x:c>
      <x:c r="E2572" t="str">
        <x:v>Jacket</x:v>
      </x:c>
      <x:c r="F2572" s="24" t="n">
        <x:v>176.88</x:v>
      </x:c>
      <x:c r="G2572" t="str">
        <x:v>Spring</x:v>
      </x:c>
      <x:c r="H2572" t="str">
        <x:v>Card</x:v>
      </x:c>
      <x:c r="I2572" t="n">
        <x:v>4.3</x:v>
      </x:c>
      <x:c r="J2572" t="n">
        <x:v>9</x:v>
      </x:c>
      <x:c r="K2572" t="n">
        <x:v>2</x:v>
      </x:c>
      <x:c r="L2572" t="str">
        <x:v>STORE-001</x:v>
      </x:c>
      <x:c r="M2572" s="22" t="n">
        <x:v>46270</x:v>
      </x:c>
      <x:c r="N2572" t="str">
        <x:v>SKU-010</x:v>
      </x:c>
      <x:c r="O2572" t="n">
        <x:v>1</x:v>
      </x:c>
      <x:c r="P2572" s="26" t="n">
        <x:f>F2572/O2572</x:f>
        <x:v>176.88</x:v>
      </x:c>
    </x:row>
    <x:row r="2573">
      <x:c r="A2573" t="n">
        <x:v>2572</x:v>
      </x:c>
      <x:c r="B2573" t="n">
        <x:v>48</x:v>
      </x:c>
      <x:c r="C2573" t="str">
        <x:v>Female</x:v>
      </x:c>
      <x:c r="D2573" t="str">
        <x:v>Sports</x:v>
      </x:c>
      <x:c r="E2573" t="str">
        <x:v>Yoga Mat</x:v>
      </x:c>
      <x:c r="F2573" s="24" t="n">
        <x:v>91.06</x:v>
      </x:c>
      <x:c r="G2573" t="str">
        <x:v>Summer</x:v>
      </x:c>
      <x:c r="H2573" t="str">
        <x:v>Card</x:v>
      </x:c>
      <x:c r="I2573" t="n">
        <x:v>4.2</x:v>
      </x:c>
      <x:c r="J2573" t="n">
        <x:v>11</x:v>
      </x:c>
      <x:c r="K2573" t="n">
        <x:v>3</x:v>
      </x:c>
      <x:c r="L2573" t="str">
        <x:v>STORE-001</x:v>
      </x:c>
      <x:c r="M2573" s="22" t="n">
        <x:v>46004</x:v>
      </x:c>
      <x:c r="N2573" t="str">
        <x:v>SKU-030</x:v>
      </x:c>
      <x:c r="O2573" t="n">
        <x:v>3</x:v>
      </x:c>
      <x:c r="P2573" s="26" t="n">
        <x:f>F2573/O2573</x:f>
        <x:v>30.353333333333335</x:v>
      </x:c>
    </x:row>
    <x:row r="2574">
      <x:c r="A2574" t="n">
        <x:v>2573</x:v>
      </x:c>
      <x:c r="B2574" t="n">
        <x:v>33</x:v>
      </x:c>
      <x:c r="C2574" t="str">
        <x:v>Female</x:v>
      </x:c>
      <x:c r="D2574" t="str">
        <x:v>Footwear</x:v>
      </x:c>
      <x:c r="E2574" t="str">
        <x:v>Sandals</x:v>
      </x:c>
      <x:c r="F2574" s="24" t="n">
        <x:v>76.06</x:v>
      </x:c>
      <x:c r="G2574" t="str">
        <x:v>Autumn</x:v>
      </x:c>
      <x:c r="H2574" t="str">
        <x:v>Card</x:v>
      </x:c>
      <x:c r="I2574" t="n">
        <x:v>4</x:v>
      </x:c>
      <x:c r="J2574" t="n">
        <x:v>15</x:v>
      </x:c>
      <x:c r="K2574" t="n">
        <x:v>5</x:v>
      </x:c>
      <x:c r="L2574" t="str">
        <x:v>STORE-001</x:v>
      </x:c>
      <x:c r="M2574" s="22" t="n">
        <x:v>46098</x:v>
      </x:c>
      <x:c r="N2574" t="str">
        <x:v>SKU-019</x:v>
      </x:c>
      <x:c r="O2574" t="n">
        <x:v>1</x:v>
      </x:c>
      <x:c r="P2574" s="26" t="n">
        <x:f>F2574/O2574</x:f>
        <x:v>76.06</x:v>
      </x:c>
    </x:row>
    <x:row r="2575">
      <x:c r="A2575" t="n">
        <x:v>2574</x:v>
      </x:c>
      <x:c r="B2575" t="n">
        <x:v>52</x:v>
      </x:c>
      <x:c r="C2575" t="str">
        <x:v>Female</x:v>
      </x:c>
      <x:c r="D2575" t="str">
        <x:v>Accessories</x:v>
      </x:c>
      <x:c r="E2575" t="str">
        <x:v>Wallet</x:v>
      </x:c>
      <x:c r="F2575" s="24" t="n">
        <x:v>65.97</x:v>
      </x:c>
      <x:c r="G2575" t="str">
        <x:v>Spring</x:v>
      </x:c>
      <x:c r="H2575" t="str">
        <x:v>Card</x:v>
      </x:c>
      <x:c r="I2575" t="n">
        <x:v>2.9</x:v>
      </x:c>
      <x:c r="J2575" t="n">
        <x:v>6</x:v>
      </x:c>
      <x:c r="K2575" t="n">
        <x:v>3</x:v>
      </x:c>
      <x:c r="L2575" t="str">
        <x:v>STORE-001</x:v>
      </x:c>
      <x:c r="M2575" s="22" t="n">
        <x:v>46287</x:v>
      </x:c>
      <x:c r="N2575" t="str">
        <x:v>SKU-029</x:v>
      </x:c>
      <x:c r="O2575" t="n">
        <x:v>1</x:v>
      </x:c>
      <x:c r="P2575" s="26" t="n">
        <x:f>F2575/O2575</x:f>
        <x:v>65.97</x:v>
      </x:c>
    </x:row>
    <x:row r="2576">
      <x:c r="A2576" t="n">
        <x:v>2575</x:v>
      </x:c>
      <x:c r="B2576" t="n">
        <x:v>65</x:v>
      </x:c>
      <x:c r="C2576" t="str">
        <x:v>Male</x:v>
      </x:c>
      <x:c r="D2576" t="str">
        <x:v>Mens Clothing</x:v>
      </x:c>
      <x:c r="E2576" t="str">
        <x:v>Jeans</x:v>
      </x:c>
      <x:c r="F2576" s="24" t="n">
        <x:v>119.34</x:v>
      </x:c>
      <x:c r="G2576" t="str">
        <x:v>Winter</x:v>
      </x:c>
      <x:c r="H2576" t="str">
        <x:v>Card</x:v>
      </x:c>
      <x:c r="I2576" t="n">
        <x:v>4.1</x:v>
      </x:c>
      <x:c r="J2576" t="n">
        <x:v>8</x:v>
      </x:c>
      <x:c r="K2576" t="n">
        <x:v>4</x:v>
      </x:c>
      <x:c r="L2576" t="str">
        <x:v>STORE-001</x:v>
      </x:c>
      <x:c r="M2576" s="22" t="n">
        <x:v>46188</x:v>
      </x:c>
      <x:c r="N2576" t="str">
        <x:v>SKU-011</x:v>
      </x:c>
      <x:c r="O2576" t="n">
        <x:v>1</x:v>
      </x:c>
      <x:c r="P2576" s="26" t="n">
        <x:f>F2576/O2576</x:f>
        <x:v>119.34</x:v>
      </x:c>
    </x:row>
    <x:row r="2577">
      <x:c r="A2577" t="n">
        <x:v>2576</x:v>
      </x:c>
      <x:c r="B2577" t="n">
        <x:v>70</x:v>
      </x:c>
      <x:c r="C2577" t="str">
        <x:v>Female</x:v>
      </x:c>
      <x:c r="D2577" t="str">
        <x:v>Womens Clothing</x:v>
      </x:c>
      <x:c r="E2577" t="str">
        <x:v>Jeans</x:v>
      </x:c>
      <x:c r="F2577" s="24" t="n">
        <x:v>140.91</x:v>
      </x:c>
      <x:c r="G2577" t="str">
        <x:v>Spring</x:v>
      </x:c>
      <x:c r="H2577" t="str">
        <x:v>Card</x:v>
      </x:c>
      <x:c r="I2577" t="n">
        <x:v>3.1</x:v>
      </x:c>
      <x:c r="J2577" t="n">
        <x:v>10</x:v>
      </x:c>
      <x:c r="K2577" t="n">
        <x:v>5</x:v>
      </x:c>
      <x:c r="L2577" t="str">
        <x:v>STORE-001</x:v>
      </x:c>
      <x:c r="M2577" s="22" t="n">
        <x:v>46289</x:v>
      </x:c>
      <x:c r="N2577" t="str">
        <x:v>SKU-011</x:v>
      </x:c>
      <x:c r="O2577" t="n">
        <x:v>2</x:v>
      </x:c>
      <x:c r="P2577" s="26" t="n">
        <x:f>F2577/O2577</x:f>
        <x:v>70.455</x:v>
      </x:c>
    </x:row>
    <x:row r="2578">
      <x:c r="A2578" t="n">
        <x:v>2577</x:v>
      </x:c>
      <x:c r="B2578" t="n">
        <x:v>29</x:v>
      </x:c>
      <x:c r="C2578" t="str">
        <x:v>Male</x:v>
      </x:c>
      <x:c r="D2578" t="str">
        <x:v>Groceries</x:v>
      </x:c>
      <x:c r="E2578" t="str">
        <x:v>Snacks</x:v>
      </x:c>
      <x:c r="F2578" s="24" t="n">
        <x:v>51.55</x:v>
      </x:c>
      <x:c r="G2578" t="str">
        <x:v>Autumn</x:v>
      </x:c>
      <x:c r="H2578" t="str">
        <x:v>Card</x:v>
      </x:c>
      <x:c r="I2578" t="n">
        <x:v>4.2</x:v>
      </x:c>
      <x:c r="J2578" t="n">
        <x:v>7</x:v>
      </x:c>
      <x:c r="K2578" t="n">
        <x:v>1</x:v>
      </x:c>
      <x:c r="L2578" t="str">
        <x:v>STORE-001</x:v>
      </x:c>
      <x:c r="M2578" s="22" t="n">
        <x:v>46168</x:v>
      </x:c>
      <x:c r="N2578" t="str">
        <x:v>SKU-024</x:v>
      </x:c>
      <x:c r="O2578" t="n">
        <x:v>4</x:v>
      </x:c>
      <x:c r="P2578" s="26" t="n">
        <x:f>F2578/O2578</x:f>
        <x:v>12.8875</x:v>
      </x:c>
    </x:row>
    <x:row r="2579">
      <x:c r="A2579" t="n">
        <x:v>2578</x:v>
      </x:c>
      <x:c r="B2579" t="n">
        <x:v>47</x:v>
      </x:c>
      <x:c r="C2579" t="str">
        <x:v>Male</x:v>
      </x:c>
      <x:c r="D2579" t="str">
        <x:v>Footwear</x:v>
      </x:c>
      <x:c r="E2579" t="str">
        <x:v>Sandals</x:v>
      </x:c>
      <x:c r="F2579" s="24" t="n">
        <x:v>45.39</x:v>
      </x:c>
      <x:c r="G2579" t="str">
        <x:v>Autumn</x:v>
      </x:c>
      <x:c r="H2579" t="str">
        <x:v>Card</x:v>
      </x:c>
      <x:c r="I2579" t="n">
        <x:v>4.1</x:v>
      </x:c>
      <x:c r="J2579" t="n">
        <x:v>19</x:v>
      </x:c>
      <x:c r="K2579" t="n">
        <x:v>7</x:v>
      </x:c>
      <x:c r="L2579" t="str">
        <x:v>STORE-001</x:v>
      </x:c>
      <x:c r="M2579" s="22" t="n">
        <x:v>46171</x:v>
      </x:c>
      <x:c r="N2579" t="str">
        <x:v>SKU-019</x:v>
      </x:c>
      <x:c r="O2579" t="n">
        <x:v>1</x:v>
      </x:c>
      <x:c r="P2579" s="26" t="n">
        <x:f>F2579/O2579</x:f>
        <x:v>45.39</x:v>
      </x:c>
    </x:row>
    <x:row r="2580">
      <x:c r="A2580" t="n">
        <x:v>2579</x:v>
      </x:c>
      <x:c r="B2580" t="n">
        <x:v>69</x:v>
      </x:c>
      <x:c r="C2580" t="str">
        <x:v>Female</x:v>
      </x:c>
      <x:c r="D2580" t="str">
        <x:v>Sports</x:v>
      </x:c>
      <x:c r="E2580" t="str">
        <x:v>Football</x:v>
      </x:c>
      <x:c r="F2580" s="24" t="n">
        <x:v>116.25</x:v>
      </x:c>
      <x:c r="G2580" t="str">
        <x:v>Winter</x:v>
      </x:c>
      <x:c r="H2580" t="str">
        <x:v>Card</x:v>
      </x:c>
      <x:c r="I2580" t="n">
        <x:v>4.6</x:v>
      </x:c>
      <x:c r="J2580" t="n">
        <x:v>24</x:v>
      </x:c>
      <x:c r="K2580" t="n">
        <x:v>7</x:v>
      </x:c>
      <x:c r="L2580" t="str">
        <x:v>STORE-001</x:v>
      </x:c>
      <x:c r="M2580" s="22" t="n">
        <x:v>46233</x:v>
      </x:c>
      <x:c r="N2580" t="str">
        <x:v>SKU-006</x:v>
      </x:c>
      <x:c r="O2580" t="n">
        <x:v>1</x:v>
      </x:c>
      <x:c r="P2580" s="26" t="n">
        <x:f>F2580/O2580</x:f>
        <x:v>116.25</x:v>
      </x:c>
    </x:row>
    <x:row r="2581">
      <x:c r="A2581" t="n">
        <x:v>2580</x:v>
      </x:c>
      <x:c r="B2581" t="n">
        <x:v>43</x:v>
      </x:c>
      <x:c r="C2581" t="str">
        <x:v>Female</x:v>
      </x:c>
      <x:c r="D2581" t="str">
        <x:v>Groceries</x:v>
      </x:c>
      <x:c r="E2581" t="str">
        <x:v>Rice Pack</x:v>
      </x:c>
      <x:c r="F2581" s="24" t="n">
        <x:v>65.16</x:v>
      </x:c>
      <x:c r="G2581" t="str">
        <x:v>Winter</x:v>
      </x:c>
      <x:c r="H2581" t="str">
        <x:v>Cash on Delivery</x:v>
      </x:c>
      <x:c r="I2581" t="n">
        <x:v>4.7</x:v>
      </x:c>
      <x:c r="J2581" t="n">
        <x:v>18</x:v>
      </x:c>
      <x:c r="K2581" t="n">
        <x:v>4</x:v>
      </x:c>
      <x:c r="L2581" t="str">
        <x:v>STORE-001</x:v>
      </x:c>
      <x:c r="M2581" s="22" t="n">
        <x:v>46209</x:v>
      </x:c>
      <x:c r="N2581" t="str">
        <x:v>SKU-018</x:v>
      </x:c>
      <x:c r="O2581" t="n">
        <x:v>2</x:v>
      </x:c>
      <x:c r="P2581" s="26" t="n">
        <x:f>F2581/O2581</x:f>
        <x:v>32.58</x:v>
      </x:c>
    </x:row>
    <x:row r="2582">
      <x:c r="A2582" t="n">
        <x:v>2581</x:v>
      </x:c>
      <x:c r="B2582" t="n">
        <x:v>33</x:v>
      </x:c>
      <x:c r="C2582" t="str">
        <x:v>Female</x:v>
      </x:c>
      <x:c r="D2582" t="str">
        <x:v>Womens Clothing</x:v>
      </x:c>
      <x:c r="E2582" t="str">
        <x:v>Top</x:v>
      </x:c>
      <x:c r="F2582" s="24" t="n">
        <x:v>123.96</x:v>
      </x:c>
      <x:c r="G2582" t="str">
        <x:v>Spring</x:v>
      </x:c>
      <x:c r="H2582" t="str">
        <x:v>Card</x:v>
      </x:c>
      <x:c r="I2582" t="n">
        <x:v>3.1</x:v>
      </x:c>
      <x:c r="J2582" t="n">
        <x:v>15</x:v>
      </x:c>
      <x:c r="K2582" t="n">
        <x:v>5</x:v>
      </x:c>
      <x:c r="L2582" t="str">
        <x:v>STORE-001</x:v>
      </x:c>
      <x:c r="M2582" s="22" t="n">
        <x:v>45957</x:v>
      </x:c>
      <x:c r="N2582" t="str">
        <x:v>SKU-028</x:v>
      </x:c>
      <x:c r="O2582" t="n">
        <x:v>1</x:v>
      </x:c>
      <x:c r="P2582" s="26" t="n">
        <x:f>F2582/O2582</x:f>
        <x:v>123.96</x:v>
      </x:c>
    </x:row>
    <x:row r="2583">
      <x:c r="A2583" t="n">
        <x:v>2582</x:v>
      </x:c>
      <x:c r="B2583" t="n">
        <x:v>66</x:v>
      </x:c>
      <x:c r="C2583" t="str">
        <x:v>Male</x:v>
      </x:c>
      <x:c r="D2583" t="str">
        <x:v>Footwear</x:v>
      </x:c>
      <x:c r="E2583" t="str">
        <x:v>Sandals</x:v>
      </x:c>
      <x:c r="F2583" s="24" t="n">
        <x:v>58.45</x:v>
      </x:c>
      <x:c r="G2583" t="str">
        <x:v>Winter</x:v>
      </x:c>
      <x:c r="H2583" t="str">
        <x:v>Card</x:v>
      </x:c>
      <x:c r="I2583" t="n">
        <x:v>3.5</x:v>
      </x:c>
      <x:c r="J2583" t="n">
        <x:v>20</x:v>
      </x:c>
      <x:c r="K2583" t="n">
        <x:v>5</x:v>
      </x:c>
      <x:c r="L2583" t="str">
        <x:v>STORE-001</x:v>
      </x:c>
      <x:c r="M2583" s="22" t="n">
        <x:v>46212</x:v>
      </x:c>
      <x:c r="N2583" t="str">
        <x:v>SKU-019</x:v>
      </x:c>
      <x:c r="O2583" t="n">
        <x:v>1</x:v>
      </x:c>
      <x:c r="P2583" s="26" t="n">
        <x:f>F2583/O2583</x:f>
        <x:v>58.45</x:v>
      </x:c>
    </x:row>
    <x:row r="2584">
      <x:c r="A2584" t="n">
        <x:v>2583</x:v>
      </x:c>
      <x:c r="B2584" t="n">
        <x:v>59</x:v>
      </x:c>
      <x:c r="C2584" t="str">
        <x:v>Female</x:v>
      </x:c>
      <x:c r="D2584" t="str">
        <x:v>Footwear</x:v>
      </x:c>
      <x:c r="E2584" t="str">
        <x:v>Formal Shoes</x:v>
      </x:c>
      <x:c r="F2584" s="24" t="n">
        <x:v>183.81</x:v>
      </x:c>
      <x:c r="G2584" t="str">
        <x:v>Spring</x:v>
      </x:c>
      <x:c r="H2584" t="str">
        <x:v>Card</x:v>
      </x:c>
      <x:c r="I2584" t="n">
        <x:v>4.1</x:v>
      </x:c>
      <x:c r="J2584" t="n">
        <x:v>22</x:v>
      </x:c>
      <x:c r="K2584" t="n">
        <x:v>6</x:v>
      </x:c>
      <x:c r="L2584" t="str">
        <x:v>STORE-001</x:v>
      </x:c>
      <x:c r="M2584" s="22" t="n">
        <x:v>45976</x:v>
      </x:c>
      <x:c r="N2584" t="str">
        <x:v>SKU-007</x:v>
      </x:c>
      <x:c r="O2584" t="n">
        <x:v>1</x:v>
      </x:c>
      <x:c r="P2584" s="26" t="n">
        <x:f>F2584/O2584</x:f>
        <x:v>183.81</x:v>
      </x:c>
    </x:row>
    <x:row r="2585">
      <x:c r="A2585" t="n">
        <x:v>2584</x:v>
      </x:c>
      <x:c r="B2585" t="n">
        <x:v>30</x:v>
      </x:c>
      <x:c r="C2585" t="str">
        <x:v>Female</x:v>
      </x:c>
      <x:c r="D2585" t="str">
        <x:v>Beauty</x:v>
      </x:c>
      <x:c r="E2585" t="str">
        <x:v>Skincare Kit</x:v>
      </x:c>
      <x:c r="F2585" s="24" t="n">
        <x:v>129.89</x:v>
      </x:c>
      <x:c r="G2585" t="str">
        <x:v>Summer</x:v>
      </x:c>
      <x:c r="H2585" t="str">
        <x:v>Card</x:v>
      </x:c>
      <x:c r="I2585" t="n">
        <x:v>4.2</x:v>
      </x:c>
      <x:c r="J2585" t="n">
        <x:v>17</x:v>
      </x:c>
      <x:c r="K2585" t="n">
        <x:v>6</x:v>
      </x:c>
      <x:c r="L2585" t="str">
        <x:v>STORE-001</x:v>
      </x:c>
      <x:c r="M2585" s="22" t="n">
        <x:v>46018</x:v>
      </x:c>
      <x:c r="N2585" t="str">
        <x:v>SKU-021</x:v>
      </x:c>
      <x:c r="O2585" t="n">
        <x:v>2</x:v>
      </x:c>
      <x:c r="P2585" s="26" t="n">
        <x:f>F2585/O2585</x:f>
        <x:v>64.945</x:v>
      </x:c>
    </x:row>
    <x:row r="2586">
      <x:c r="A2586" t="n">
        <x:v>2585</x:v>
      </x:c>
      <x:c r="B2586" t="n">
        <x:v>47</x:v>
      </x:c>
      <x:c r="C2586" t="str">
        <x:v>Male</x:v>
      </x:c>
      <x:c r="D2586" t="str">
        <x:v>Mens Clothing</x:v>
      </x:c>
      <x:c r="E2586" t="str">
        <x:v>Jacket</x:v>
      </x:c>
      <x:c r="F2586" s="24" t="n">
        <x:v>97.5</x:v>
      </x:c>
      <x:c r="G2586" t="str">
        <x:v>Spring</x:v>
      </x:c>
      <x:c r="H2586" t="str">
        <x:v>Cash on Delivery</x:v>
      </x:c>
      <x:c r="I2586" t="n">
        <x:v>4.7</x:v>
      </x:c>
      <x:c r="J2586" t="n">
        <x:v>12</x:v>
      </x:c>
      <x:c r="K2586" t="n">
        <x:v>6</x:v>
      </x:c>
      <x:c r="L2586" t="str">
        <x:v>STORE-001</x:v>
      </x:c>
      <x:c r="M2586" s="22" t="n">
        <x:v>45932</x:v>
      </x:c>
      <x:c r="N2586" t="str">
        <x:v>SKU-010</x:v>
      </x:c>
      <x:c r="O2586" t="n">
        <x:v>3</x:v>
      </x:c>
      <x:c r="P2586" s="26" t="n">
        <x:f>F2586/O2586</x:f>
        <x:v>32.5</x:v>
      </x:c>
    </x:row>
    <x:row r="2587">
      <x:c r="A2587" t="n">
        <x:v>2586</x:v>
      </x:c>
      <x:c r="B2587" t="n">
        <x:v>68</x:v>
      </x:c>
      <x:c r="C2587" t="str">
        <x:v>Male</x:v>
      </x:c>
      <x:c r="D2587" t="str">
        <x:v>Sports</x:v>
      </x:c>
      <x:c r="E2587" t="str">
        <x:v>Dumbbells</x:v>
      </x:c>
      <x:c r="F2587" s="24" t="n">
        <x:v>123.53</x:v>
      </x:c>
      <x:c r="G2587" t="str">
        <x:v>Spring</x:v>
      </x:c>
      <x:c r="H2587" t="str">
        <x:v>Card</x:v>
      </x:c>
      <x:c r="I2587" t="n">
        <x:v>4.4</x:v>
      </x:c>
      <x:c r="J2587" t="n">
        <x:v>14</x:v>
      </x:c>
      <x:c r="K2587" t="n">
        <x:v>2</x:v>
      </x:c>
      <x:c r="L2587" t="str">
        <x:v>STORE-001</x:v>
      </x:c>
      <x:c r="M2587" s="22" t="n">
        <x:v>45978</x:v>
      </x:c>
      <x:c r="N2587" t="str">
        <x:v>SKU-005</x:v>
      </x:c>
      <x:c r="O2587" t="n">
        <x:v>3</x:v>
      </x:c>
      <x:c r="P2587" s="26" t="n">
        <x:f>F2587/O2587</x:f>
        <x:v>41.17666666666667</x:v>
      </x:c>
    </x:row>
    <x:row r="2588">
      <x:c r="A2588" t="n">
        <x:v>2587</x:v>
      </x:c>
      <x:c r="B2588" t="n">
        <x:v>53</x:v>
      </x:c>
      <x:c r="C2588" t="str">
        <x:v>Male</x:v>
      </x:c>
      <x:c r="D2588" t="str">
        <x:v>Sports</x:v>
      </x:c>
      <x:c r="E2588" t="str">
        <x:v>Yoga Mat</x:v>
      </x:c>
      <x:c r="F2588" s="24" t="n">
        <x:v>152.45</x:v>
      </x:c>
      <x:c r="G2588" t="str">
        <x:v>Spring</x:v>
      </x:c>
      <x:c r="H2588" t="str">
        <x:v>Card</x:v>
      </x:c>
      <x:c r="I2588" t="n">
        <x:v>3</x:v>
      </x:c>
      <x:c r="J2588" t="n">
        <x:v>19</x:v>
      </x:c>
      <x:c r="K2588" t="n">
        <x:v>7</x:v>
      </x:c>
      <x:c r="L2588" t="str">
        <x:v>STORE-001</x:v>
      </x:c>
      <x:c r="M2588" s="22" t="n">
        <x:v>45936</x:v>
      </x:c>
      <x:c r="N2588" t="str">
        <x:v>SKU-030</x:v>
      </x:c>
      <x:c r="O2588" t="n">
        <x:v>1</x:v>
      </x:c>
      <x:c r="P2588" s="26" t="n">
        <x:f>F2588/O2588</x:f>
        <x:v>152.45</x:v>
      </x:c>
    </x:row>
    <x:row r="2589">
      <x:c r="A2589" t="n">
        <x:v>2588</x:v>
      </x:c>
      <x:c r="B2589" t="n">
        <x:v>30</x:v>
      </x:c>
      <x:c r="C2589" t="str">
        <x:v>Female</x:v>
      </x:c>
      <x:c r="D2589" t="str">
        <x:v>Womens Clothing</x:v>
      </x:c>
      <x:c r="E2589" t="str">
        <x:v>Top</x:v>
      </x:c>
      <x:c r="F2589" s="24" t="n">
        <x:v>148.18</x:v>
      </x:c>
      <x:c r="G2589" t="str">
        <x:v>Winter</x:v>
      </x:c>
      <x:c r="H2589" t="str">
        <x:v>Card</x:v>
      </x:c>
      <x:c r="I2589" t="n">
        <x:v>4.7</x:v>
      </x:c>
      <x:c r="J2589" t="n">
        <x:v>24</x:v>
      </x:c>
      <x:c r="K2589" t="n">
        <x:v>7</x:v>
      </x:c>
      <x:c r="L2589" t="str">
        <x:v>STORE-001</x:v>
      </x:c>
      <x:c r="M2589" s="22" t="n">
        <x:v>46223</x:v>
      </x:c>
      <x:c r="N2589" t="str">
        <x:v>SKU-028</x:v>
      </x:c>
      <x:c r="O2589" t="n">
        <x:v>1</x:v>
      </x:c>
      <x:c r="P2589" s="26" t="n">
        <x:f>F2589/O2589</x:f>
        <x:v>148.18</x:v>
      </x:c>
    </x:row>
    <x:row r="2590">
      <x:c r="A2590" t="n">
        <x:v>2589</x:v>
      </x:c>
      <x:c r="B2590" t="n">
        <x:v>52</x:v>
      </x:c>
      <x:c r="C2590" t="str">
        <x:v>Female</x:v>
      </x:c>
      <x:c r="D2590" t="str">
        <x:v>Groceries</x:v>
      </x:c>
      <x:c r="E2590" t="str">
        <x:v>Beverages</x:v>
      </x:c>
      <x:c r="F2590" s="24" t="n">
        <x:v>69.49</x:v>
      </x:c>
      <x:c r="G2590" t="str">
        <x:v>Spring</x:v>
      </x:c>
      <x:c r="H2590" t="str">
        <x:v>Cash on Delivery</x:v>
      </x:c>
      <x:c r="I2590" t="n">
        <x:v>3.9</x:v>
      </x:c>
      <x:c r="J2590" t="n">
        <x:v>12</x:v>
      </x:c>
      <x:c r="K2590" t="n">
        <x:v>6</x:v>
      </x:c>
      <x:c r="L2590" t="str">
        <x:v>STORE-001</x:v>
      </x:c>
      <x:c r="M2590" s="22" t="n">
        <x:v>45968</x:v>
      </x:c>
      <x:c r="N2590" t="str">
        <x:v>SKU-001</x:v>
      </x:c>
      <x:c r="O2590" t="n">
        <x:v>2</x:v>
      </x:c>
      <x:c r="P2590" s="26" t="n">
        <x:f>F2590/O2590</x:f>
        <x:v>34.745</x:v>
      </x:c>
    </x:row>
    <x:row r="2591">
      <x:c r="A2591" t="n">
        <x:v>2590</x:v>
      </x:c>
      <x:c r="B2591" t="n">
        <x:v>28</x:v>
      </x:c>
      <x:c r="C2591" t="str">
        <x:v>Female</x:v>
      </x:c>
      <x:c r="D2591" t="str">
        <x:v>Footwear</x:v>
      </x:c>
      <x:c r="E2591" t="str">
        <x:v>Sandals</x:v>
      </x:c>
      <x:c r="F2591" s="24" t="n">
        <x:v>221.51</x:v>
      </x:c>
      <x:c r="G2591" t="str">
        <x:v>Spring</x:v>
      </x:c>
      <x:c r="H2591" t="str">
        <x:v>Card</x:v>
      </x:c>
      <x:c r="I2591" t="n">
        <x:v>3</x:v>
      </x:c>
      <x:c r="J2591" t="n">
        <x:v>8</x:v>
      </x:c>
      <x:c r="K2591" t="n">
        <x:v>4</x:v>
      </x:c>
      <x:c r="L2591" t="str">
        <x:v>STORE-001</x:v>
      </x:c>
      <x:c r="M2591" s="22" t="n">
        <x:v>45954</x:v>
      </x:c>
      <x:c r="N2591" t="str">
        <x:v>SKU-019</x:v>
      </x:c>
      <x:c r="O2591" t="n">
        <x:v>1</x:v>
      </x:c>
      <x:c r="P2591" s="26" t="n">
        <x:f>F2591/O2591</x:f>
        <x:v>221.51</x:v>
      </x:c>
    </x:row>
    <x:row r="2592">
      <x:c r="A2592" t="n">
        <x:v>2591</x:v>
      </x:c>
      <x:c r="B2592" t="n">
        <x:v>40</x:v>
      </x:c>
      <x:c r="C2592" t="str">
        <x:v>Female</x:v>
      </x:c>
      <x:c r="D2592" t="str">
        <x:v>Sports</x:v>
      </x:c>
      <x:c r="E2592" t="str">
        <x:v>Yoga Mat</x:v>
      </x:c>
      <x:c r="F2592" s="24" t="n">
        <x:v>129.22</x:v>
      </x:c>
      <x:c r="G2592" t="str">
        <x:v>Autumn</x:v>
      </x:c>
      <x:c r="H2592" t="str">
        <x:v>Card</x:v>
      </x:c>
      <x:c r="I2592" t="n">
        <x:v>4.3</x:v>
      </x:c>
      <x:c r="J2592" t="n">
        <x:v>12</x:v>
      </x:c>
      <x:c r="K2592" t="n">
        <x:v>6</x:v>
      </x:c>
      <x:c r="L2592" t="str">
        <x:v>STORE-001</x:v>
      </x:c>
      <x:c r="M2592" s="22" t="n">
        <x:v>46090</x:v>
      </x:c>
      <x:c r="N2592" t="str">
        <x:v>SKU-030</x:v>
      </x:c>
      <x:c r="O2592" t="n">
        <x:v>1</x:v>
      </x:c>
      <x:c r="P2592" s="26" t="n">
        <x:f>F2592/O2592</x:f>
        <x:v>129.22</x:v>
      </x:c>
    </x:row>
    <x:row r="2593">
      <x:c r="A2593" t="n">
        <x:v>2592</x:v>
      </x:c>
      <x:c r="B2593" t="n">
        <x:v>46</x:v>
      </x:c>
      <x:c r="C2593" t="str">
        <x:v>Male</x:v>
      </x:c>
      <x:c r="D2593" t="str">
        <x:v>Sports</x:v>
      </x:c>
      <x:c r="E2593" t="str">
        <x:v>Dumbbells</x:v>
      </x:c>
      <x:c r="F2593" s="24" t="n">
        <x:v>67.89</x:v>
      </x:c>
      <x:c r="G2593" t="str">
        <x:v>Summer</x:v>
      </x:c>
      <x:c r="H2593" t="str">
        <x:v>Card</x:v>
      </x:c>
      <x:c r="I2593" t="n">
        <x:v>3.3</x:v>
      </x:c>
      <x:c r="J2593" t="n">
        <x:v>8</x:v>
      </x:c>
      <x:c r="K2593" t="n">
        <x:v>4</x:v>
      </x:c>
      <x:c r="L2593" t="str">
        <x:v>STORE-001</x:v>
      </x:c>
      <x:c r="M2593" s="22" t="n">
        <x:v>46070</x:v>
      </x:c>
      <x:c r="N2593" t="str">
        <x:v>SKU-005</x:v>
      </x:c>
      <x:c r="O2593" t="n">
        <x:v>2</x:v>
      </x:c>
      <x:c r="P2593" s="26" t="n">
        <x:f>F2593/O2593</x:f>
        <x:v>33.945</x:v>
      </x:c>
    </x:row>
    <x:row r="2594">
      <x:c r="A2594" t="n">
        <x:v>2593</x:v>
      </x:c>
      <x:c r="B2594" t="n">
        <x:v>26</x:v>
      </x:c>
      <x:c r="C2594" t="str">
        <x:v>Male</x:v>
      </x:c>
      <x:c r="D2594" t="str">
        <x:v>Groceries</x:v>
      </x:c>
      <x:c r="E2594" t="str">
        <x:v>Rice Pack</x:v>
      </x:c>
      <x:c r="F2594" s="24" t="n">
        <x:v>31.17</x:v>
      </x:c>
      <x:c r="G2594" t="str">
        <x:v>Autumn</x:v>
      </x:c>
      <x:c r="H2594" t="str">
        <x:v>Cash on Delivery</x:v>
      </x:c>
      <x:c r="I2594" t="n">
        <x:v>3.4</x:v>
      </x:c>
      <x:c r="J2594" t="n">
        <x:v>11</x:v>
      </x:c>
      <x:c r="K2594" t="n">
        <x:v>3</x:v>
      </x:c>
      <x:c r="L2594" t="str">
        <x:v>STORE-001</x:v>
      </x:c>
      <x:c r="M2594" s="22" t="n">
        <x:v>46106</x:v>
      </x:c>
      <x:c r="N2594" t="str">
        <x:v>SKU-018</x:v>
      </x:c>
      <x:c r="O2594" t="n">
        <x:v>1</x:v>
      </x:c>
      <x:c r="P2594" s="26" t="n">
        <x:f>F2594/O2594</x:f>
        <x:v>31.17</x:v>
      </x:c>
    </x:row>
    <x:row r="2595">
      <x:c r="A2595" t="n">
        <x:v>2594</x:v>
      </x:c>
      <x:c r="B2595" t="n">
        <x:v>54</x:v>
      </x:c>
      <x:c r="C2595" t="str">
        <x:v>Female</x:v>
      </x:c>
      <x:c r="D2595" t="str">
        <x:v>Accessories</x:v>
      </x:c>
      <x:c r="E2595" t="str">
        <x:v>Sunglasses</x:v>
      </x:c>
      <x:c r="F2595" s="24" t="n">
        <x:v>90.54</x:v>
      </x:c>
      <x:c r="G2595" t="str">
        <x:v>Summer</x:v>
      </x:c>
      <x:c r="H2595" t="str">
        <x:v>Cash on Delivery</x:v>
      </x:c>
      <x:c r="I2595" t="n">
        <x:v>3.4</x:v>
      </x:c>
      <x:c r="J2595" t="n">
        <x:v>18</x:v>
      </x:c>
      <x:c r="K2595" t="n">
        <x:v>4</x:v>
      </x:c>
      <x:c r="L2595" t="str">
        <x:v>STORE-001</x:v>
      </x:c>
      <x:c r="M2595" s="22" t="n">
        <x:v>45998</x:v>
      </x:c>
      <x:c r="N2595" t="str">
        <x:v>SKU-026</x:v>
      </x:c>
      <x:c r="O2595" t="n">
        <x:v>1</x:v>
      </x:c>
      <x:c r="P2595" s="26" t="n">
        <x:f>F2595/O2595</x:f>
        <x:v>90.54</x:v>
      </x:c>
    </x:row>
    <x:row r="2596">
      <x:c r="A2596" t="n">
        <x:v>2595</x:v>
      </x:c>
      <x:c r="B2596" t="n">
        <x:v>34</x:v>
      </x:c>
      <x:c r="C2596" t="str">
        <x:v>Male</x:v>
      </x:c>
      <x:c r="D2596" t="str">
        <x:v>Mens Clothing</x:v>
      </x:c>
      <x:c r="E2596" t="str">
        <x:v>Shirt</x:v>
      </x:c>
      <x:c r="F2596" s="24" t="n">
        <x:v>62.19</x:v>
      </x:c>
      <x:c r="G2596" t="str">
        <x:v>Winter</x:v>
      </x:c>
      <x:c r="H2596" t="str">
        <x:v>Cash on Delivery</x:v>
      </x:c>
      <x:c r="I2596" t="n">
        <x:v>4.1</x:v>
      </x:c>
      <x:c r="J2596" t="n">
        <x:v>18</x:v>
      </x:c>
      <x:c r="K2596" t="n">
        <x:v>4</x:v>
      </x:c>
      <x:c r="L2596" t="str">
        <x:v>STORE-001</x:v>
      </x:c>
      <x:c r="M2596" s="22" t="n">
        <x:v>46212</x:v>
      </x:c>
      <x:c r="N2596" t="str">
        <x:v>SKU-020</x:v>
      </x:c>
      <x:c r="O2596" t="n">
        <x:v>1</x:v>
      </x:c>
      <x:c r="P2596" s="26" t="n">
        <x:f>F2596/O2596</x:f>
        <x:v>62.19</x:v>
      </x:c>
    </x:row>
    <x:row r="2597">
      <x:c r="A2597" t="n">
        <x:v>2596</x:v>
      </x:c>
      <x:c r="B2597" t="n">
        <x:v>53</x:v>
      </x:c>
      <x:c r="C2597" t="str">
        <x:v>Female</x:v>
      </x:c>
      <x:c r="D2597" t="str">
        <x:v>Footwear</x:v>
      </x:c>
      <x:c r="E2597" t="str">
        <x:v>Sneakers</x:v>
      </x:c>
      <x:c r="F2597" s="24" t="n">
        <x:v>160.62</x:v>
      </x:c>
      <x:c r="G2597" t="str">
        <x:v>Summer</x:v>
      </x:c>
      <x:c r="H2597" t="str">
        <x:v>Card</x:v>
      </x:c>
      <x:c r="I2597" t="n">
        <x:v>3.4</x:v>
      </x:c>
      <x:c r="J2597" t="n">
        <x:v>21</x:v>
      </x:c>
      <x:c r="K2597" t="n">
        <x:v>8</x:v>
      </x:c>
      <x:c r="L2597" t="str">
        <x:v>STORE-001</x:v>
      </x:c>
      <x:c r="M2597" s="22" t="n">
        <x:v>46060</x:v>
      </x:c>
      <x:c r="N2597" t="str">
        <x:v>SKU-025</x:v>
      </x:c>
      <x:c r="O2597" t="n">
        <x:v>1</x:v>
      </x:c>
      <x:c r="P2597" s="26" t="n">
        <x:f>F2597/O2597</x:f>
        <x:v>160.62</x:v>
      </x:c>
    </x:row>
    <x:row r="2598">
      <x:c r="A2598" t="n">
        <x:v>2597</x:v>
      </x:c>
      <x:c r="B2598" t="n">
        <x:v>53</x:v>
      </x:c>
      <x:c r="C2598" t="str">
        <x:v>Male</x:v>
      </x:c>
      <x:c r="D2598" t="str">
        <x:v>Electronics</x:v>
      </x:c>
      <x:c r="E2598" t="str">
        <x:v>Laptop</x:v>
      </x:c>
      <x:c r="F2598" s="24" t="n">
        <x:v>2661.25</x:v>
      </x:c>
      <x:c r="G2598" t="str">
        <x:v>Spring</x:v>
      </x:c>
      <x:c r="H2598" t="str">
        <x:v>Card</x:v>
      </x:c>
      <x:c r="I2598" t="n">
        <x:v>4.5</x:v>
      </x:c>
      <x:c r="J2598" t="n">
        <x:v>24</x:v>
      </x:c>
      <x:c r="K2598" t="n">
        <x:v>7</x:v>
      </x:c>
      <x:c r="L2598" t="str">
        <x:v>STORE-001</x:v>
      </x:c>
      <x:c r="M2598" s="22" t="n">
        <x:v>46291</x:v>
      </x:c>
      <x:c r="N2598" t="str">
        <x:v>SKU-014</x:v>
      </x:c>
      <x:c r="O2598" t="n">
        <x:v>1</x:v>
      </x:c>
      <x:c r="P2598" s="26" t="n">
        <x:f>F2598/O2598</x:f>
        <x:v>2661.25</x:v>
      </x:c>
    </x:row>
    <x:row r="2599">
      <x:c r="A2599" t="n">
        <x:v>2598</x:v>
      </x:c>
      <x:c r="B2599" t="n">
        <x:v>60</x:v>
      </x:c>
      <x:c r="C2599" t="str">
        <x:v>Female</x:v>
      </x:c>
      <x:c r="D2599" t="str">
        <x:v>Womens Clothing</x:v>
      </x:c>
      <x:c r="E2599" t="str">
        <x:v>Top</x:v>
      </x:c>
      <x:c r="F2599" s="24" t="n">
        <x:v>57.4</x:v>
      </x:c>
      <x:c r="G2599" t="str">
        <x:v>Winter</x:v>
      </x:c>
      <x:c r="H2599" t="str">
        <x:v>Cash on Delivery</x:v>
      </x:c>
      <x:c r="I2599" t="n">
        <x:v>3.3</x:v>
      </x:c>
      <x:c r="J2599" t="n">
        <x:v>17</x:v>
      </x:c>
      <x:c r="K2599" t="n">
        <x:v>6</x:v>
      </x:c>
      <x:c r="L2599" t="str">
        <x:v>STORE-001</x:v>
      </x:c>
      <x:c r="M2599" s="22" t="n">
        <x:v>46174</x:v>
      </x:c>
      <x:c r="N2599" t="str">
        <x:v>SKU-028</x:v>
      </x:c>
      <x:c r="O2599" t="n">
        <x:v>1</x:v>
      </x:c>
      <x:c r="P2599" s="26" t="n">
        <x:f>F2599/O2599</x:f>
        <x:v>57.4</x:v>
      </x:c>
    </x:row>
    <x:row r="2600">
      <x:c r="A2600" t="n">
        <x:v>2599</x:v>
      </x:c>
      <x:c r="B2600" t="n">
        <x:v>24</x:v>
      </x:c>
      <x:c r="C2600" t="str">
        <x:v>Male</x:v>
      </x:c>
      <x:c r="D2600" t="str">
        <x:v>Mens Clothing</x:v>
      </x:c>
      <x:c r="E2600" t="str">
        <x:v>Jacket</x:v>
      </x:c>
      <x:c r="F2600" s="24" t="n">
        <x:v>38.57</x:v>
      </x:c>
      <x:c r="G2600" t="str">
        <x:v>Summer</x:v>
      </x:c>
      <x:c r="H2600" t="str">
        <x:v>Card</x:v>
      </x:c>
      <x:c r="I2600" t="n">
        <x:v>3.5</x:v>
      </x:c>
      <x:c r="J2600" t="n">
        <x:v>6</x:v>
      </x:c>
      <x:c r="K2600" t="n">
        <x:v>3</x:v>
      </x:c>
      <x:c r="L2600" t="str">
        <x:v>STORE-001</x:v>
      </x:c>
      <x:c r="M2600" s="22" t="n">
        <x:v>46037</x:v>
      </x:c>
      <x:c r="N2600" t="str">
        <x:v>SKU-010</x:v>
      </x:c>
      <x:c r="O2600" t="n">
        <x:v>1</x:v>
      </x:c>
      <x:c r="P2600" s="26" t="n">
        <x:f>F2600/O2600</x:f>
        <x:v>38.57</x:v>
      </x:c>
    </x:row>
    <x:row r="2601">
      <x:c r="A2601" t="n">
        <x:v>2600</x:v>
      </x:c>
      <x:c r="B2601" t="n">
        <x:v>29</x:v>
      </x:c>
      <x:c r="C2601" t="str">
        <x:v>Female</x:v>
      </x:c>
      <x:c r="D2601" t="str">
        <x:v>Footwear</x:v>
      </x:c>
      <x:c r="E2601" t="str">
        <x:v>Sandals</x:v>
      </x:c>
      <x:c r="F2601" s="24" t="n">
        <x:v>57.06</x:v>
      </x:c>
      <x:c r="G2601" t="str">
        <x:v>Autumn</x:v>
      </x:c>
      <x:c r="H2601" t="str">
        <x:v>Card</x:v>
      </x:c>
      <x:c r="I2601" t="n">
        <x:v>4.1</x:v>
      </x:c>
      <x:c r="J2601" t="n">
        <x:v>12</x:v>
      </x:c>
      <x:c r="K2601" t="n">
        <x:v>6</x:v>
      </x:c>
      <x:c r="L2601" t="str">
        <x:v>STORE-001</x:v>
      </x:c>
      <x:c r="M2601" s="22" t="n">
        <x:v>46082</x:v>
      </x:c>
      <x:c r="N2601" t="str">
        <x:v>SKU-019</x:v>
      </x:c>
      <x:c r="O2601" t="n">
        <x:v>1</x:v>
      </x:c>
      <x:c r="P2601" s="26" t="n">
        <x:f>F2601/O2601</x:f>
        <x:v>57.06</x:v>
      </x:c>
    </x:row>
    <x:row r="2602">
      <x:c r="A2602" t="n">
        <x:v>2601</x:v>
      </x:c>
      <x:c r="B2602" t="n">
        <x:v>64</x:v>
      </x:c>
      <x:c r="C2602" t="str">
        <x:v>Male</x:v>
      </x:c>
      <x:c r="D2602" t="str">
        <x:v>Groceries</x:v>
      </x:c>
      <x:c r="E2602" t="str">
        <x:v>Rice Pack</x:v>
      </x:c>
      <x:c r="F2602" s="24" t="n">
        <x:v>49.9</x:v>
      </x:c>
      <x:c r="G2602" t="str">
        <x:v>Summer</x:v>
      </x:c>
      <x:c r="H2602" t="str">
        <x:v>Card</x:v>
      </x:c>
      <x:c r="I2602" t="n">
        <x:v>4.2</x:v>
      </x:c>
      <x:c r="J2602" t="n">
        <x:v>14</x:v>
      </x:c>
      <x:c r="K2602" t="n">
        <x:v>7</x:v>
      </x:c>
      <x:c r="L2602" t="str">
        <x:v>STORE-001</x:v>
      </x:c>
      <x:c r="M2602" s="22" t="n">
        <x:v>46047</x:v>
      </x:c>
      <x:c r="N2602" t="str">
        <x:v>SKU-018</x:v>
      </x:c>
      <x:c r="O2602" t="n">
        <x:v>2</x:v>
      </x:c>
      <x:c r="P2602" s="26" t="n">
        <x:f>F2602/O2602</x:f>
        <x:v>24.95</x:v>
      </x:c>
    </x:row>
    <x:row r="2603">
      <x:c r="A2603" t="n">
        <x:v>2602</x:v>
      </x:c>
      <x:c r="B2603" t="n">
        <x:v>48</x:v>
      </x:c>
      <x:c r="C2603" t="str">
        <x:v>Female</x:v>
      </x:c>
      <x:c r="D2603" t="str">
        <x:v>Accessories</x:v>
      </x:c>
      <x:c r="E2603" t="str">
        <x:v>Handbag</x:v>
      </x:c>
      <x:c r="F2603" s="24" t="n">
        <x:v>142.62</x:v>
      </x:c>
      <x:c r="G2603" t="str">
        <x:v>Autumn</x:v>
      </x:c>
      <x:c r="H2603" t="str">
        <x:v>Card</x:v>
      </x:c>
      <x:c r="I2603" t="n">
        <x:v>3.6</x:v>
      </x:c>
      <x:c r="J2603" t="n">
        <x:v>18</x:v>
      </x:c>
      <x:c r="K2603" t="n">
        <x:v>9</x:v>
      </x:c>
      <x:c r="L2603" t="str">
        <x:v>STORE-001</x:v>
      </x:c>
      <x:c r="M2603" s="22" t="n">
        <x:v>46116</x:v>
      </x:c>
      <x:c r="N2603" t="str">
        <x:v>SKU-008</x:v>
      </x:c>
      <x:c r="O2603" t="n">
        <x:v>2</x:v>
      </x:c>
      <x:c r="P2603" s="26" t="n">
        <x:f>F2603/O2603</x:f>
        <x:v>71.31</x:v>
      </x:c>
    </x:row>
    <x:row r="2604">
      <x:c r="A2604" t="n">
        <x:v>2603</x:v>
      </x:c>
      <x:c r="B2604" t="n">
        <x:v>55</x:v>
      </x:c>
      <x:c r="C2604" t="str">
        <x:v>Male</x:v>
      </x:c>
      <x:c r="D2604" t="str">
        <x:v>Mens Clothing</x:v>
      </x:c>
      <x:c r="E2604" t="str">
        <x:v>Jeans</x:v>
      </x:c>
      <x:c r="F2604" s="24" t="n">
        <x:v>90.45</x:v>
      </x:c>
      <x:c r="G2604" t="str">
        <x:v>Spring</x:v>
      </x:c>
      <x:c r="H2604" t="str">
        <x:v>Cash on Delivery</x:v>
      </x:c>
      <x:c r="I2604" t="n">
        <x:v>3.3</x:v>
      </x:c>
      <x:c r="J2604" t="n">
        <x:v>8</x:v>
      </x:c>
      <x:c r="K2604" t="n">
        <x:v>4</x:v>
      </x:c>
      <x:c r="L2604" t="str">
        <x:v>STORE-001</x:v>
      </x:c>
      <x:c r="M2604" s="22" t="n">
        <x:v>46287</x:v>
      </x:c>
      <x:c r="N2604" t="str">
        <x:v>SKU-011</x:v>
      </x:c>
      <x:c r="O2604" t="n">
        <x:v>2</x:v>
      </x:c>
      <x:c r="P2604" s="26" t="n">
        <x:f>F2604/O2604</x:f>
        <x:v>45.225</x:v>
      </x:c>
    </x:row>
    <x:row r="2605">
      <x:c r="A2605" t="n">
        <x:v>2604</x:v>
      </x:c>
      <x:c r="B2605" t="n">
        <x:v>59</x:v>
      </x:c>
      <x:c r="C2605" t="str">
        <x:v>Male</x:v>
      </x:c>
      <x:c r="D2605" t="str">
        <x:v>Sports</x:v>
      </x:c>
      <x:c r="E2605" t="str">
        <x:v>Yoga Mat</x:v>
      </x:c>
      <x:c r="F2605" s="24" t="n">
        <x:v>207.97</x:v>
      </x:c>
      <x:c r="G2605" t="str">
        <x:v>Spring</x:v>
      </x:c>
      <x:c r="H2605" t="str">
        <x:v>Card</x:v>
      </x:c>
      <x:c r="I2605" t="n">
        <x:v>4.5</x:v>
      </x:c>
      <x:c r="J2605" t="n">
        <x:v>13</x:v>
      </x:c>
      <x:c r="K2605" t="n">
        <x:v>4</x:v>
      </x:c>
      <x:c r="L2605" t="str">
        <x:v>STORE-001</x:v>
      </x:c>
      <x:c r="M2605" s="22" t="n">
        <x:v>45943</x:v>
      </x:c>
      <x:c r="N2605" t="str">
        <x:v>SKU-030</x:v>
      </x:c>
      <x:c r="O2605" t="n">
        <x:v>1</x:v>
      </x:c>
      <x:c r="P2605" s="26" t="n">
        <x:f>F2605/O2605</x:f>
        <x:v>207.97</x:v>
      </x:c>
    </x:row>
    <x:row r="2606">
      <x:c r="A2606" t="n">
        <x:v>2605</x:v>
      </x:c>
      <x:c r="B2606" t="n">
        <x:v>29</x:v>
      </x:c>
      <x:c r="C2606" t="str">
        <x:v>Male</x:v>
      </x:c>
      <x:c r="D2606" t="str">
        <x:v>Sports</x:v>
      </x:c>
      <x:c r="E2606" t="str">
        <x:v>Dumbbells</x:v>
      </x:c>
      <x:c r="F2606" s="24" t="n">
        <x:v>78.87</x:v>
      </x:c>
      <x:c r="G2606" t="str">
        <x:v>Summer</x:v>
      </x:c>
      <x:c r="H2606" t="str">
        <x:v>Cash on Delivery</x:v>
      </x:c>
      <x:c r="I2606" t="n">
        <x:v>3.9</x:v>
      </x:c>
      <x:c r="J2606" t="n">
        <x:v>17</x:v>
      </x:c>
      <x:c r="K2606" t="n">
        <x:v>6</x:v>
      </x:c>
      <x:c r="L2606" t="str">
        <x:v>STORE-001</x:v>
      </x:c>
      <x:c r="M2606" s="22" t="n">
        <x:v>46067</x:v>
      </x:c>
      <x:c r="N2606" t="str">
        <x:v>SKU-005</x:v>
      </x:c>
      <x:c r="O2606" t="n">
        <x:v>1</x:v>
      </x:c>
      <x:c r="P2606" s="26" t="n">
        <x:f>F2606/O2606</x:f>
        <x:v>78.87</x:v>
      </x:c>
    </x:row>
    <x:row r="2607">
      <x:c r="A2607" t="n">
        <x:v>2606</x:v>
      </x:c>
      <x:c r="B2607" t="n">
        <x:v>47</x:v>
      </x:c>
      <x:c r="C2607" t="str">
        <x:v>Male</x:v>
      </x:c>
      <x:c r="D2607" t="str">
        <x:v>Mens Clothing</x:v>
      </x:c>
      <x:c r="E2607" t="str">
        <x:v>T-Shirt</x:v>
      </x:c>
      <x:c r="F2607" s="24" t="n">
        <x:v>160.26</x:v>
      </x:c>
      <x:c r="G2607" t="str">
        <x:v>Summer</x:v>
      </x:c>
      <x:c r="H2607" t="str">
        <x:v>Card</x:v>
      </x:c>
      <x:c r="I2607" t="n">
        <x:v>3.7</x:v>
      </x:c>
      <x:c r="J2607" t="n">
        <x:v>20</x:v>
      </x:c>
      <x:c r="K2607" t="n">
        <x:v>5</x:v>
      </x:c>
      <x:c r="L2607" t="str">
        <x:v>STORE-001</x:v>
      </x:c>
      <x:c r="M2607" s="22" t="n">
        <x:v>46080</x:v>
      </x:c>
      <x:c r="N2607" t="str">
        <x:v>SKU-027</x:v>
      </x:c>
      <x:c r="O2607" t="n">
        <x:v>2</x:v>
      </x:c>
      <x:c r="P2607" s="26" t="n">
        <x:f>F2607/O2607</x:f>
        <x:v>80.13</x:v>
      </x:c>
    </x:row>
    <x:row r="2608">
      <x:c r="A2608" t="n">
        <x:v>2607</x:v>
      </x:c>
      <x:c r="B2608" t="n">
        <x:v>27</x:v>
      </x:c>
      <x:c r="C2608" t="str">
        <x:v>Male</x:v>
      </x:c>
      <x:c r="D2608" t="str">
        <x:v>Sports</x:v>
      </x:c>
      <x:c r="E2608" t="str">
        <x:v>Football</x:v>
      </x:c>
      <x:c r="F2608" s="24" t="n">
        <x:v>227.6</x:v>
      </x:c>
      <x:c r="G2608" t="str">
        <x:v>Winter</x:v>
      </x:c>
      <x:c r="H2608" t="str">
        <x:v>Card</x:v>
      </x:c>
      <x:c r="I2608" t="n">
        <x:v>4.9</x:v>
      </x:c>
      <x:c r="J2608" t="n">
        <x:v>14</x:v>
      </x:c>
      <x:c r="K2608" t="n">
        <x:v>2</x:v>
      </x:c>
      <x:c r="L2608" t="str">
        <x:v>STORE-001</x:v>
      </x:c>
      <x:c r="M2608" s="22" t="n">
        <x:v>46196</x:v>
      </x:c>
      <x:c r="N2608" t="str">
        <x:v>SKU-006</x:v>
      </x:c>
      <x:c r="O2608" t="n">
        <x:v>2</x:v>
      </x:c>
      <x:c r="P2608" s="26" t="n">
        <x:f>F2608/O2608</x:f>
        <x:v>113.8</x:v>
      </x:c>
    </x:row>
    <x:row r="2609">
      <x:c r="A2609" t="n">
        <x:v>2608</x:v>
      </x:c>
      <x:c r="B2609" t="n">
        <x:v>37</x:v>
      </x:c>
      <x:c r="C2609" t="str">
        <x:v>Female</x:v>
      </x:c>
      <x:c r="D2609" t="str">
        <x:v>Footwear</x:v>
      </x:c>
      <x:c r="E2609" t="str">
        <x:v>Sandals</x:v>
      </x:c>
      <x:c r="F2609" s="24" t="n">
        <x:v>62.2</x:v>
      </x:c>
      <x:c r="G2609" t="str">
        <x:v>Summer</x:v>
      </x:c>
      <x:c r="H2609" t="str">
        <x:v>Cash on Delivery</x:v>
      </x:c>
      <x:c r="I2609" t="n">
        <x:v>4</x:v>
      </x:c>
      <x:c r="J2609" t="n">
        <x:v>18</x:v>
      </x:c>
      <x:c r="K2609" t="n">
        <x:v>9</x:v>
      </x:c>
      <x:c r="L2609" t="str">
        <x:v>STORE-001</x:v>
      </x:c>
      <x:c r="M2609" s="22" t="n">
        <x:v>45992</x:v>
      </x:c>
      <x:c r="N2609" t="str">
        <x:v>SKU-019</x:v>
      </x:c>
      <x:c r="O2609" t="n">
        <x:v>1</x:v>
      </x:c>
      <x:c r="P2609" s="26" t="n">
        <x:f>F2609/O2609</x:f>
        <x:v>62.2</x:v>
      </x:c>
    </x:row>
    <x:row r="2610">
      <x:c r="A2610" t="n">
        <x:v>2609</x:v>
      </x:c>
      <x:c r="B2610" t="n">
        <x:v>30</x:v>
      </x:c>
      <x:c r="C2610" t="str">
        <x:v>Male</x:v>
      </x:c>
      <x:c r="D2610" t="str">
        <x:v>Mens Clothing</x:v>
      </x:c>
      <x:c r="E2610" t="str">
        <x:v>Shirt</x:v>
      </x:c>
      <x:c r="F2610" s="24" t="n">
        <x:v>111.07</x:v>
      </x:c>
      <x:c r="G2610" t="str">
        <x:v>Spring</x:v>
      </x:c>
      <x:c r="H2610" t="str">
        <x:v>Card</x:v>
      </x:c>
      <x:c r="I2610" t="n">
        <x:v>3.9</x:v>
      </x:c>
      <x:c r="J2610" t="n">
        <x:v>23</x:v>
      </x:c>
      <x:c r="K2610" t="n">
        <x:v>9</x:v>
      </x:c>
      <x:c r="L2610" t="str">
        <x:v>STORE-001</x:v>
      </x:c>
      <x:c r="M2610" s="22" t="n">
        <x:v>45939</x:v>
      </x:c>
      <x:c r="N2610" t="str">
        <x:v>SKU-020</x:v>
      </x:c>
      <x:c r="O2610" t="n">
        <x:v>1</x:v>
      </x:c>
      <x:c r="P2610" s="26" t="n">
        <x:f>F2610/O2610</x:f>
        <x:v>111.07</x:v>
      </x:c>
    </x:row>
    <x:row r="2611">
      <x:c r="A2611" t="n">
        <x:v>2610</x:v>
      </x:c>
      <x:c r="B2611" t="n">
        <x:v>44</x:v>
      </x:c>
      <x:c r="C2611" t="str">
        <x:v>Male</x:v>
      </x:c>
      <x:c r="D2611" t="str">
        <x:v>Home</x:v>
      </x:c>
      <x:c r="E2611" t="str">
        <x:v>Lamp</x:v>
      </x:c>
      <x:c r="F2611" s="24" t="n">
        <x:v>136.96</x:v>
      </x:c>
      <x:c r="G2611" t="str">
        <x:v>Summer</x:v>
      </x:c>
      <x:c r="H2611" t="str">
        <x:v>Card</x:v>
      </x:c>
      <x:c r="I2611" t="n">
        <x:v>2.5</x:v>
      </x:c>
      <x:c r="J2611" t="n">
        <x:v>19</x:v>
      </x:c>
      <x:c r="K2611" t="n">
        <x:v>7</x:v>
      </x:c>
      <x:c r="L2611" t="str">
        <x:v>STORE-001</x:v>
      </x:c>
      <x:c r="M2611" s="22" t="n">
        <x:v>46016</x:v>
      </x:c>
      <x:c r="N2611" t="str">
        <x:v>SKU-013</x:v>
      </x:c>
      <x:c r="O2611" t="n">
        <x:v>1</x:v>
      </x:c>
      <x:c r="P2611" s="26" t="n">
        <x:f>F2611/O2611</x:f>
        <x:v>136.96</x:v>
      </x:c>
    </x:row>
    <x:row r="2612">
      <x:c r="A2612" t="n">
        <x:v>2611</x:v>
      </x:c>
      <x:c r="B2612" t="n">
        <x:v>28</x:v>
      </x:c>
      <x:c r="C2612" t="str">
        <x:v>Female</x:v>
      </x:c>
      <x:c r="D2612" t="str">
        <x:v>Sports</x:v>
      </x:c>
      <x:c r="E2612" t="str">
        <x:v>Dumbbells</x:v>
      </x:c>
      <x:c r="F2612" s="24" t="n">
        <x:v>99.34</x:v>
      </x:c>
      <x:c r="G2612" t="str">
        <x:v>Winter</x:v>
      </x:c>
      <x:c r="H2612" t="str">
        <x:v>Cash on Delivery</x:v>
      </x:c>
      <x:c r="I2612" t="n">
        <x:v>4.1</x:v>
      </x:c>
      <x:c r="J2612" t="n">
        <x:v>15</x:v>
      </x:c>
      <x:c r="K2612" t="n">
        <x:v>5</x:v>
      </x:c>
      <x:c r="L2612" t="str">
        <x:v>STORE-001</x:v>
      </x:c>
      <x:c r="M2612" s="22" t="n">
        <x:v>46236</x:v>
      </x:c>
      <x:c r="N2612" t="str">
        <x:v>SKU-005</x:v>
      </x:c>
      <x:c r="O2612" t="n">
        <x:v>2</x:v>
      </x:c>
      <x:c r="P2612" s="26" t="n">
        <x:f>F2612/O2612</x:f>
        <x:v>49.67</x:v>
      </x:c>
    </x:row>
    <x:row r="2613">
      <x:c r="A2613" t="n">
        <x:v>2612</x:v>
      </x:c>
      <x:c r="B2613" t="n">
        <x:v>58</x:v>
      </x:c>
      <x:c r="C2613" t="str">
        <x:v>Female</x:v>
      </x:c>
      <x:c r="D2613" t="str">
        <x:v>Beauty</x:v>
      </x:c>
      <x:c r="E2613" t="str">
        <x:v>Skincare Kit</x:v>
      </x:c>
      <x:c r="F2613" s="24" t="n">
        <x:v>59.64</x:v>
      </x:c>
      <x:c r="G2613" t="str">
        <x:v>Spring</x:v>
      </x:c>
      <x:c r="H2613" t="str">
        <x:v>Cash on Delivery</x:v>
      </x:c>
      <x:c r="I2613" t="n">
        <x:v>3.1</x:v>
      </x:c>
      <x:c r="J2613" t="n">
        <x:v>15</x:v>
      </x:c>
      <x:c r="K2613" t="n">
        <x:v>5</x:v>
      </x:c>
      <x:c r="L2613" t="str">
        <x:v>STORE-001</x:v>
      </x:c>
      <x:c r="M2613" s="22" t="n">
        <x:v>46270</x:v>
      </x:c>
      <x:c r="N2613" t="str">
        <x:v>SKU-021</x:v>
      </x:c>
      <x:c r="O2613" t="n">
        <x:v>1</x:v>
      </x:c>
      <x:c r="P2613" s="26" t="n">
        <x:f>F2613/O2613</x:f>
        <x:v>59.64</x:v>
      </x:c>
    </x:row>
    <x:row r="2614">
      <x:c r="A2614" t="n">
        <x:v>2613</x:v>
      </x:c>
      <x:c r="B2614" t="n">
        <x:v>67</x:v>
      </x:c>
      <x:c r="C2614" t="str">
        <x:v>Female</x:v>
      </x:c>
      <x:c r="D2614" t="str">
        <x:v>Womens Clothing</x:v>
      </x:c>
      <x:c r="E2614" t="str">
        <x:v>Dress</x:v>
      </x:c>
      <x:c r="F2614" s="24" t="n">
        <x:v>44.95</x:v>
      </x:c>
      <x:c r="G2614" t="str">
        <x:v>Winter</x:v>
      </x:c>
      <x:c r="H2614" t="str">
        <x:v>Card</x:v>
      </x:c>
      <x:c r="I2614" t="n">
        <x:v>2.8</x:v>
      </x:c>
      <x:c r="J2614" t="n">
        <x:v>12</x:v>
      </x:c>
      <x:c r="K2614" t="n">
        <x:v>6</x:v>
      </x:c>
      <x:c r="L2614" t="str">
        <x:v>STORE-001</x:v>
      </x:c>
      <x:c r="M2614" s="22" t="n">
        <x:v>46205</x:v>
      </x:c>
      <x:c r="N2614" t="str">
        <x:v>SKU-004</x:v>
      </x:c>
      <x:c r="O2614" t="n">
        <x:v>1</x:v>
      </x:c>
      <x:c r="P2614" s="26" t="n">
        <x:f>F2614/O2614</x:f>
        <x:v>44.95</x:v>
      </x:c>
    </x:row>
    <x:row r="2615">
      <x:c r="A2615" t="n">
        <x:v>2614</x:v>
      </x:c>
      <x:c r="B2615" t="n">
        <x:v>58</x:v>
      </x:c>
      <x:c r="C2615" t="str">
        <x:v>Male</x:v>
      </x:c>
      <x:c r="D2615" t="str">
        <x:v>Electronics</x:v>
      </x:c>
      <x:c r="E2615" t="str">
        <x:v>Mobile Phone</x:v>
      </x:c>
      <x:c r="F2615" s="24" t="n">
        <x:v>926.5</x:v>
      </x:c>
      <x:c r="G2615" t="str">
        <x:v>Summer</x:v>
      </x:c>
      <x:c r="H2615" t="str">
        <x:v>Card</x:v>
      </x:c>
      <x:c r="I2615" t="n">
        <x:v>4.3</x:v>
      </x:c>
      <x:c r="J2615" t="n">
        <x:v>6</x:v>
      </x:c>
      <x:c r="K2615" t="n">
        <x:v>3</x:v>
      </x:c>
      <x:c r="L2615" t="str">
        <x:v>STORE-001</x:v>
      </x:c>
      <x:c r="M2615" s="22" t="n">
        <x:v>46077</x:v>
      </x:c>
      <x:c r="N2615" t="str">
        <x:v>SKU-016</x:v>
      </x:c>
      <x:c r="O2615" t="n">
        <x:v>1</x:v>
      </x:c>
      <x:c r="P2615" s="26" t="n">
        <x:f>F2615/O2615</x:f>
        <x:v>926.5</x:v>
      </x:c>
    </x:row>
    <x:row r="2616">
      <x:c r="A2616" t="n">
        <x:v>2615</x:v>
      </x:c>
      <x:c r="B2616" t="n">
        <x:v>45</x:v>
      </x:c>
      <x:c r="C2616" t="str">
        <x:v>Female</x:v>
      </x:c>
      <x:c r="D2616" t="str">
        <x:v>Groceries</x:v>
      </x:c>
      <x:c r="E2616" t="str">
        <x:v>Beverages</x:v>
      </x:c>
      <x:c r="F2616" s="24" t="n">
        <x:v>59.98</x:v>
      </x:c>
      <x:c r="G2616" t="str">
        <x:v>Summer</x:v>
      </x:c>
      <x:c r="H2616" t="str">
        <x:v>Card</x:v>
      </x:c>
      <x:c r="I2616" t="n">
        <x:v>4</x:v>
      </x:c>
      <x:c r="J2616" t="n">
        <x:v>6</x:v>
      </x:c>
      <x:c r="K2616" t="n">
        <x:v>3</x:v>
      </x:c>
      <x:c r="L2616" t="str">
        <x:v>STORE-001</x:v>
      </x:c>
      <x:c r="M2616" s="22" t="n">
        <x:v>46078</x:v>
      </x:c>
      <x:c r="N2616" t="str">
        <x:v>SKU-001</x:v>
      </x:c>
      <x:c r="O2616" t="n">
        <x:v>2</x:v>
      </x:c>
      <x:c r="P2616" s="26" t="n">
        <x:f>F2616/O2616</x:f>
        <x:v>29.99</x:v>
      </x:c>
    </x:row>
    <x:row r="2617">
      <x:c r="A2617" t="n">
        <x:v>2616</x:v>
      </x:c>
      <x:c r="B2617" t="n">
        <x:v>26</x:v>
      </x:c>
      <x:c r="C2617" t="str">
        <x:v>Male</x:v>
      </x:c>
      <x:c r="D2617" t="str">
        <x:v>Sports</x:v>
      </x:c>
      <x:c r="E2617" t="str">
        <x:v>Yoga Mat</x:v>
      </x:c>
      <x:c r="F2617" s="24" t="n">
        <x:v>188.94</x:v>
      </x:c>
      <x:c r="G2617" t="str">
        <x:v>Winter</x:v>
      </x:c>
      <x:c r="H2617" t="str">
        <x:v>Card</x:v>
      </x:c>
      <x:c r="I2617" t="n">
        <x:v>4.3</x:v>
      </x:c>
      <x:c r="J2617" t="n">
        <x:v>18</x:v>
      </x:c>
      <x:c r="K2617" t="n">
        <x:v>4</x:v>
      </x:c>
      <x:c r="L2617" t="str">
        <x:v>STORE-001</x:v>
      </x:c>
      <x:c r="M2617" s="22" t="n">
        <x:v>46242</x:v>
      </x:c>
      <x:c r="N2617" t="str">
        <x:v>SKU-030</x:v>
      </x:c>
      <x:c r="O2617" t="n">
        <x:v>1</x:v>
      </x:c>
      <x:c r="P2617" s="26" t="n">
        <x:f>F2617/O2617</x:f>
        <x:v>188.94</x:v>
      </x:c>
    </x:row>
    <x:row r="2618">
      <x:c r="A2618" t="n">
        <x:v>2617</x:v>
      </x:c>
      <x:c r="B2618" t="n">
        <x:v>56</x:v>
      </x:c>
      <x:c r="C2618" t="str">
        <x:v>Female</x:v>
      </x:c>
      <x:c r="D2618" t="str">
        <x:v>Footwear</x:v>
      </x:c>
      <x:c r="E2618" t="str">
        <x:v>Sneakers</x:v>
      </x:c>
      <x:c r="F2618" s="24" t="n">
        <x:v>177.97</x:v>
      </x:c>
      <x:c r="G2618" t="str">
        <x:v>Spring</x:v>
      </x:c>
      <x:c r="H2618" t="str">
        <x:v>Card</x:v>
      </x:c>
      <x:c r="I2618" t="n">
        <x:v>4</x:v>
      </x:c>
      <x:c r="J2618" t="n">
        <x:v>20</x:v>
      </x:c>
      <x:c r="K2618" t="n">
        <x:v>10</x:v>
      </x:c>
      <x:c r="L2618" t="str">
        <x:v>STORE-001</x:v>
      </x:c>
      <x:c r="M2618" s="22" t="n">
        <x:v>46287</x:v>
      </x:c>
      <x:c r="N2618" t="str">
        <x:v>SKU-025</x:v>
      </x:c>
      <x:c r="O2618" t="n">
        <x:v>1</x:v>
      </x:c>
      <x:c r="P2618" s="26" t="n">
        <x:f>F2618/O2618</x:f>
        <x:v>177.97</x:v>
      </x:c>
    </x:row>
    <x:row r="2619">
      <x:c r="A2619" t="n">
        <x:v>2618</x:v>
      </x:c>
      <x:c r="B2619" t="n">
        <x:v>50</x:v>
      </x:c>
      <x:c r="C2619" t="str">
        <x:v>Female</x:v>
      </x:c>
      <x:c r="D2619" t="str">
        <x:v>Accessories</x:v>
      </x:c>
      <x:c r="E2619" t="str">
        <x:v>Wallet</x:v>
      </x:c>
      <x:c r="F2619" s="24" t="n">
        <x:v>128.68</x:v>
      </x:c>
      <x:c r="G2619" t="str">
        <x:v>Spring</x:v>
      </x:c>
      <x:c r="H2619" t="str">
        <x:v>Card</x:v>
      </x:c>
      <x:c r="I2619" t="n">
        <x:v>3.7</x:v>
      </x:c>
      <x:c r="J2619" t="n">
        <x:v>11</x:v>
      </x:c>
      <x:c r="K2619" t="n">
        <x:v>3</x:v>
      </x:c>
      <x:c r="L2619" t="str">
        <x:v>STORE-001</x:v>
      </x:c>
      <x:c r="M2619" s="22" t="n">
        <x:v>45971</x:v>
      </x:c>
      <x:c r="N2619" t="str">
        <x:v>SKU-029</x:v>
      </x:c>
      <x:c r="O2619" t="n">
        <x:v>3</x:v>
      </x:c>
      <x:c r="P2619" s="26" t="n">
        <x:f>F2619/O2619</x:f>
        <x:v>42.89333333333334</x:v>
      </x:c>
    </x:row>
    <x:row r="2620">
      <x:c r="A2620" t="n">
        <x:v>2619</x:v>
      </x:c>
      <x:c r="B2620" t="n">
        <x:v>48</x:v>
      </x:c>
      <x:c r="C2620" t="str">
        <x:v>Male</x:v>
      </x:c>
      <x:c r="D2620" t="str">
        <x:v>Sports</x:v>
      </x:c>
      <x:c r="E2620" t="str">
        <x:v>Football</x:v>
      </x:c>
      <x:c r="F2620" s="24" t="n">
        <x:v>137.67</x:v>
      </x:c>
      <x:c r="G2620" t="str">
        <x:v>Spring</x:v>
      </x:c>
      <x:c r="H2620" t="str">
        <x:v>Card</x:v>
      </x:c>
      <x:c r="I2620" t="n">
        <x:v>3.7</x:v>
      </x:c>
      <x:c r="J2620" t="n">
        <x:v>4</x:v>
      </x:c>
      <x:c r="K2620" t="n">
        <x:v>2</x:v>
      </x:c>
      <x:c r="L2620" t="str">
        <x:v>STORE-001</x:v>
      </x:c>
      <x:c r="M2620" s="22" t="n">
        <x:v>45947</x:v>
      </x:c>
      <x:c r="N2620" t="str">
        <x:v>SKU-006</x:v>
      </x:c>
      <x:c r="O2620" t="n">
        <x:v>1</x:v>
      </x:c>
      <x:c r="P2620" s="26" t="n">
        <x:f>F2620/O2620</x:f>
        <x:v>137.67</x:v>
      </x:c>
    </x:row>
    <x:row r="2621">
      <x:c r="A2621" t="n">
        <x:v>2620</x:v>
      </x:c>
      <x:c r="B2621" t="n">
        <x:v>28</x:v>
      </x:c>
      <x:c r="C2621" t="str">
        <x:v>Male</x:v>
      </x:c>
      <x:c r="D2621" t="str">
        <x:v>Mens Clothing</x:v>
      </x:c>
      <x:c r="E2621" t="str">
        <x:v>Jeans</x:v>
      </x:c>
      <x:c r="F2621" s="24" t="n">
        <x:v>138.24</x:v>
      </x:c>
      <x:c r="G2621" t="str">
        <x:v>Autumn</x:v>
      </x:c>
      <x:c r="H2621" t="str">
        <x:v>Card</x:v>
      </x:c>
      <x:c r="I2621" t="n">
        <x:v>3.1</x:v>
      </x:c>
      <x:c r="J2621" t="n">
        <x:v>11</x:v>
      </x:c>
      <x:c r="K2621" t="n">
        <x:v>3</x:v>
      </x:c>
      <x:c r="L2621" t="str">
        <x:v>STORE-001</x:v>
      </x:c>
      <x:c r="M2621" s="22" t="n">
        <x:v>46133</x:v>
      </x:c>
      <x:c r="N2621" t="str">
        <x:v>SKU-011</x:v>
      </x:c>
      <x:c r="O2621" t="n">
        <x:v>2</x:v>
      </x:c>
      <x:c r="P2621" s="26" t="n">
        <x:f>F2621/O2621</x:f>
        <x:v>69.12</x:v>
      </x:c>
    </x:row>
    <x:row r="2622">
      <x:c r="A2622" t="n">
        <x:v>2621</x:v>
      </x:c>
      <x:c r="B2622" t="n">
        <x:v>60</x:v>
      </x:c>
      <x:c r="C2622" t="str">
        <x:v>Male</x:v>
      </x:c>
      <x:c r="D2622" t="str">
        <x:v>Sports</x:v>
      </x:c>
      <x:c r="E2622" t="str">
        <x:v>Yoga Mat</x:v>
      </x:c>
      <x:c r="F2622" s="24" t="n">
        <x:v>26.82</x:v>
      </x:c>
      <x:c r="G2622" t="str">
        <x:v>Winter</x:v>
      </x:c>
      <x:c r="H2622" t="str">
        <x:v>Card</x:v>
      </x:c>
      <x:c r="I2622" t="n">
        <x:v>4.5</x:v>
      </x:c>
      <x:c r="J2622" t="n">
        <x:v>11</x:v>
      </x:c>
      <x:c r="K2622" t="n">
        <x:v>3</x:v>
      </x:c>
      <x:c r="L2622" t="str">
        <x:v>STORE-001</x:v>
      </x:c>
      <x:c r="M2622" s="22" t="n">
        <x:v>46242</x:v>
      </x:c>
      <x:c r="N2622" t="str">
        <x:v>SKU-030</x:v>
      </x:c>
      <x:c r="O2622" t="n">
        <x:v>2</x:v>
      </x:c>
      <x:c r="P2622" s="26" t="n">
        <x:f>F2622/O2622</x:f>
        <x:v>13.41</x:v>
      </x:c>
    </x:row>
    <x:row r="2623">
      <x:c r="A2623" t="n">
        <x:v>2622</x:v>
      </x:c>
      <x:c r="B2623" t="n">
        <x:v>64</x:v>
      </x:c>
      <x:c r="C2623" t="str">
        <x:v>Female</x:v>
      </x:c>
      <x:c r="D2623" t="str">
        <x:v>Womens Clothing</x:v>
      </x:c>
      <x:c r="E2623" t="str">
        <x:v>Skirt</x:v>
      </x:c>
      <x:c r="F2623" s="24" t="n">
        <x:v>83.11</x:v>
      </x:c>
      <x:c r="G2623" t="str">
        <x:v>Spring</x:v>
      </x:c>
      <x:c r="H2623" t="str">
        <x:v>Cash on Delivery</x:v>
      </x:c>
      <x:c r="I2623" t="n">
        <x:v>2.9</x:v>
      </x:c>
      <x:c r="J2623" t="n">
        <x:v>11</x:v>
      </x:c>
      <x:c r="K2623" t="n">
        <x:v>3</x:v>
      </x:c>
      <x:c r="L2623" t="str">
        <x:v>STORE-001</x:v>
      </x:c>
      <x:c r="M2623" s="22" t="n">
        <x:v>45989</x:v>
      </x:c>
      <x:c r="N2623" t="str">
        <x:v>SKU-022</x:v>
      </x:c>
      <x:c r="O2623" t="n">
        <x:v>1</x:v>
      </x:c>
      <x:c r="P2623" s="26" t="n">
        <x:f>F2623/O2623</x:f>
        <x:v>83.11</x:v>
      </x:c>
    </x:row>
    <x:row r="2624">
      <x:c r="A2624" t="n">
        <x:v>2623</x:v>
      </x:c>
      <x:c r="B2624" t="n">
        <x:v>47</x:v>
      </x:c>
      <x:c r="C2624" t="str">
        <x:v>Male</x:v>
      </x:c>
      <x:c r="D2624" t="str">
        <x:v>Sports</x:v>
      </x:c>
      <x:c r="E2624" t="str">
        <x:v>Yoga Mat</x:v>
      </x:c>
      <x:c r="F2624" s="24" t="n">
        <x:v>126.93</x:v>
      </x:c>
      <x:c r="G2624" t="str">
        <x:v>Summer</x:v>
      </x:c>
      <x:c r="H2624" t="str">
        <x:v>Card</x:v>
      </x:c>
      <x:c r="I2624" t="n">
        <x:v>3.6</x:v>
      </x:c>
      <x:c r="J2624" t="n">
        <x:v>20</x:v>
      </x:c>
      <x:c r="K2624" t="n">
        <x:v>10</x:v>
      </x:c>
      <x:c r="L2624" t="str">
        <x:v>STORE-001</x:v>
      </x:c>
      <x:c r="M2624" s="22" t="n">
        <x:v>46024</x:v>
      </x:c>
      <x:c r="N2624" t="str">
        <x:v>SKU-030</x:v>
      </x:c>
      <x:c r="O2624" t="n">
        <x:v>1</x:v>
      </x:c>
      <x:c r="P2624" s="26" t="n">
        <x:f>F2624/O2624</x:f>
        <x:v>126.93</x:v>
      </x:c>
    </x:row>
    <x:row r="2625">
      <x:c r="A2625" t="n">
        <x:v>2624</x:v>
      </x:c>
      <x:c r="B2625" t="n">
        <x:v>28</x:v>
      </x:c>
      <x:c r="C2625" t="str">
        <x:v>Male</x:v>
      </x:c>
      <x:c r="D2625" t="str">
        <x:v>Home</x:v>
      </x:c>
      <x:c r="E2625" t="str">
        <x:v>Kitchen Set</x:v>
      </x:c>
      <x:c r="F2625" s="24" t="n">
        <x:v>241.39</x:v>
      </x:c>
      <x:c r="G2625" t="str">
        <x:v>Spring</x:v>
      </x:c>
      <x:c r="H2625" t="str">
        <x:v>Card</x:v>
      </x:c>
      <x:c r="I2625" t="n">
        <x:v>3.2</x:v>
      </x:c>
      <x:c r="J2625" t="n">
        <x:v>17</x:v>
      </x:c>
      <x:c r="K2625" t="n">
        <x:v>6</x:v>
      </x:c>
      <x:c r="L2625" t="str">
        <x:v>STORE-001</x:v>
      </x:c>
      <x:c r="M2625" s="22" t="n">
        <x:v>45984</x:v>
      </x:c>
      <x:c r="N2625" t="str">
        <x:v>SKU-012</x:v>
      </x:c>
      <x:c r="O2625" t="n">
        <x:v>2</x:v>
      </x:c>
      <x:c r="P2625" s="26" t="n">
        <x:f>F2625/O2625</x:f>
        <x:v>120.695</x:v>
      </x:c>
    </x:row>
    <x:row r="2626">
      <x:c r="A2626" t="n">
        <x:v>2625</x:v>
      </x:c>
      <x:c r="B2626" t="n">
        <x:v>48</x:v>
      </x:c>
      <x:c r="C2626" t="str">
        <x:v>Female</x:v>
      </x:c>
      <x:c r="D2626" t="str">
        <x:v>Beauty</x:v>
      </x:c>
      <x:c r="E2626" t="str">
        <x:v>Skincare Kit</x:v>
      </x:c>
      <x:c r="F2626" s="24" t="n">
        <x:v>128.09</x:v>
      </x:c>
      <x:c r="G2626" t="str">
        <x:v>Winter</x:v>
      </x:c>
      <x:c r="H2626" t="str">
        <x:v>Card</x:v>
      </x:c>
      <x:c r="I2626" t="n">
        <x:v>4.2</x:v>
      </x:c>
      <x:c r="J2626" t="n">
        <x:v>14</x:v>
      </x:c>
      <x:c r="K2626" t="n">
        <x:v>7</x:v>
      </x:c>
      <x:c r="L2626" t="str">
        <x:v>STORE-001</x:v>
      </x:c>
      <x:c r="M2626" s="22" t="n">
        <x:v>46180</x:v>
      </x:c>
      <x:c r="N2626" t="str">
        <x:v>SKU-021</x:v>
      </x:c>
      <x:c r="O2626" t="n">
        <x:v>1</x:v>
      </x:c>
      <x:c r="P2626" s="26" t="n">
        <x:f>F2626/O2626</x:f>
        <x:v>128.09</x:v>
      </x:c>
    </x:row>
    <x:row r="2627">
      <x:c r="A2627" t="n">
        <x:v>2626</x:v>
      </x:c>
      <x:c r="B2627" t="n">
        <x:v>29</x:v>
      </x:c>
      <x:c r="C2627" t="str">
        <x:v>Male</x:v>
      </x:c>
      <x:c r="D2627" t="str">
        <x:v>Footwear</x:v>
      </x:c>
      <x:c r="E2627" t="str">
        <x:v>Formal Shoes</x:v>
      </x:c>
      <x:c r="F2627" s="24" t="n">
        <x:v>184.29</x:v>
      </x:c>
      <x:c r="G2627" t="str">
        <x:v>Spring</x:v>
      </x:c>
      <x:c r="H2627" t="str">
        <x:v>Card</x:v>
      </x:c>
      <x:c r="I2627" t="n">
        <x:v>2.8</x:v>
      </x:c>
      <x:c r="J2627" t="n">
        <x:v>24</x:v>
      </x:c>
      <x:c r="K2627" t="n">
        <x:v>7</x:v>
      </x:c>
      <x:c r="L2627" t="str">
        <x:v>STORE-001</x:v>
      </x:c>
      <x:c r="M2627" s="22" t="n">
        <x:v>45966</x:v>
      </x:c>
      <x:c r="N2627" t="str">
        <x:v>SKU-007</x:v>
      </x:c>
      <x:c r="O2627" t="n">
        <x:v>1</x:v>
      </x:c>
      <x:c r="P2627" s="26" t="n">
        <x:f>F2627/O2627</x:f>
        <x:v>184.29</x:v>
      </x:c>
    </x:row>
    <x:row r="2628">
      <x:c r="A2628" t="n">
        <x:v>2627</x:v>
      </x:c>
      <x:c r="B2628" t="n">
        <x:v>60</x:v>
      </x:c>
      <x:c r="C2628" t="str">
        <x:v>Female</x:v>
      </x:c>
      <x:c r="D2628" t="str">
        <x:v>Beauty</x:v>
      </x:c>
      <x:c r="E2628" t="str">
        <x:v>Skincare Kit</x:v>
      </x:c>
      <x:c r="F2628" s="24" t="n">
        <x:v>144.08</x:v>
      </x:c>
      <x:c r="G2628" t="str">
        <x:v>Autumn</x:v>
      </x:c>
      <x:c r="H2628" t="str">
        <x:v>Card</x:v>
      </x:c>
      <x:c r="I2628" t="n">
        <x:v>2.5</x:v>
      </x:c>
      <x:c r="J2628" t="n">
        <x:v>6</x:v>
      </x:c>
      <x:c r="K2628" t="n">
        <x:v>3</x:v>
      </x:c>
      <x:c r="L2628" t="str">
        <x:v>STORE-001</x:v>
      </x:c>
      <x:c r="M2628" s="22" t="n">
        <x:v>46128</x:v>
      </x:c>
      <x:c r="N2628" t="str">
        <x:v>SKU-021</x:v>
      </x:c>
      <x:c r="O2628" t="n">
        <x:v>3</x:v>
      </x:c>
      <x:c r="P2628" s="26" t="n">
        <x:f>F2628/O2628</x:f>
        <x:v>48.02666666666667</x:v>
      </x:c>
    </x:row>
    <x:row r="2629">
      <x:c r="A2629" t="n">
        <x:v>2628</x:v>
      </x:c>
      <x:c r="B2629" t="n">
        <x:v>48</x:v>
      </x:c>
      <x:c r="C2629" t="str">
        <x:v>Female</x:v>
      </x:c>
      <x:c r="D2629" t="str">
        <x:v>Womens Clothing</x:v>
      </x:c>
      <x:c r="E2629" t="str">
        <x:v>Skirt</x:v>
      </x:c>
      <x:c r="F2629" s="24" t="n">
        <x:v>74.56</x:v>
      </x:c>
      <x:c r="G2629" t="str">
        <x:v>Autumn</x:v>
      </x:c>
      <x:c r="H2629" t="str">
        <x:v>Cash on Delivery</x:v>
      </x:c>
      <x:c r="I2629" t="n">
        <x:v>3.3</x:v>
      </x:c>
      <x:c r="J2629" t="n">
        <x:v>8</x:v>
      </x:c>
      <x:c r="K2629" t="n">
        <x:v>4</x:v>
      </x:c>
      <x:c r="L2629" t="str">
        <x:v>STORE-001</x:v>
      </x:c>
      <x:c r="M2629" s="22" t="n">
        <x:v>46127</x:v>
      </x:c>
      <x:c r="N2629" t="str">
        <x:v>SKU-022</x:v>
      </x:c>
      <x:c r="O2629" t="n">
        <x:v>1</x:v>
      </x:c>
      <x:c r="P2629" s="26" t="n">
        <x:f>F2629/O2629</x:f>
        <x:v>74.56</x:v>
      </x:c>
    </x:row>
    <x:row r="2630">
      <x:c r="A2630" t="n">
        <x:v>2629</x:v>
      </x:c>
      <x:c r="B2630" t="n">
        <x:v>66</x:v>
      </x:c>
      <x:c r="C2630" t="str">
        <x:v>Male</x:v>
      </x:c>
      <x:c r="D2630" t="str">
        <x:v>Footwear</x:v>
      </x:c>
      <x:c r="E2630" t="str">
        <x:v>Formal Shoes</x:v>
      </x:c>
      <x:c r="F2630" s="24" t="n">
        <x:v>127.67</x:v>
      </x:c>
      <x:c r="G2630" t="str">
        <x:v>Autumn</x:v>
      </x:c>
      <x:c r="H2630" t="str">
        <x:v>Card</x:v>
      </x:c>
      <x:c r="I2630" t="n">
        <x:v>3.4</x:v>
      </x:c>
      <x:c r="J2630" t="n">
        <x:v>0</x:v>
      </x:c>
      <x:c r="K2630" t="n">
        <x:v>0</x:v>
      </x:c>
      <x:c r="L2630" t="str">
        <x:v>STORE-001</x:v>
      </x:c>
      <x:c r="M2630" s="22" t="n">
        <x:v>46143</x:v>
      </x:c>
      <x:c r="N2630" t="str">
        <x:v>SKU-007</x:v>
      </x:c>
      <x:c r="O2630" t="n">
        <x:v>1</x:v>
      </x:c>
      <x:c r="P2630" s="26" t="n">
        <x:f>F2630/O2630</x:f>
        <x:v>127.67</x:v>
      </x:c>
    </x:row>
    <x:row r="2631">
      <x:c r="A2631" t="n">
        <x:v>2630</x:v>
      </x:c>
      <x:c r="B2631" t="n">
        <x:v>49</x:v>
      </x:c>
      <x:c r="C2631" t="str">
        <x:v>Female</x:v>
      </x:c>
      <x:c r="D2631" t="str">
        <x:v>Footwear</x:v>
      </x:c>
      <x:c r="E2631" t="str">
        <x:v>Formal Shoes</x:v>
      </x:c>
      <x:c r="F2631" s="24" t="n">
        <x:v>73.3</x:v>
      </x:c>
      <x:c r="G2631" t="str">
        <x:v>Summer</x:v>
      </x:c>
      <x:c r="H2631" t="str">
        <x:v>Cash on Delivery</x:v>
      </x:c>
      <x:c r="I2631" t="n">
        <x:v>3.3</x:v>
      </x:c>
      <x:c r="J2631" t="n">
        <x:v>8</x:v>
      </x:c>
      <x:c r="K2631" t="n">
        <x:v>4</x:v>
      </x:c>
      <x:c r="L2631" t="str">
        <x:v>STORE-001</x:v>
      </x:c>
      <x:c r="M2631" s="22" t="n">
        <x:v>46028</x:v>
      </x:c>
      <x:c r="N2631" t="str">
        <x:v>SKU-007</x:v>
      </x:c>
      <x:c r="O2631" t="n">
        <x:v>2</x:v>
      </x:c>
      <x:c r="P2631" s="26" t="n">
        <x:f>F2631/O2631</x:f>
        <x:v>36.65</x:v>
      </x:c>
    </x:row>
    <x:row r="2632">
      <x:c r="A2632" t="n">
        <x:v>2631</x:v>
      </x:c>
      <x:c r="B2632" t="n">
        <x:v>25</x:v>
      </x:c>
      <x:c r="C2632" t="str">
        <x:v>Male</x:v>
      </x:c>
      <x:c r="D2632" t="str">
        <x:v>Sports</x:v>
      </x:c>
      <x:c r="E2632" t="str">
        <x:v>Football</x:v>
      </x:c>
      <x:c r="F2632" s="24" t="n">
        <x:v>106.6</x:v>
      </x:c>
      <x:c r="G2632" t="str">
        <x:v>Autumn</x:v>
      </x:c>
      <x:c r="H2632" t="str">
        <x:v>Card</x:v>
      </x:c>
      <x:c r="I2632" t="n">
        <x:v>3.8</x:v>
      </x:c>
      <x:c r="J2632" t="n">
        <x:v>17</x:v>
      </x:c>
      <x:c r="K2632" t="n">
        <x:v>6</x:v>
      </x:c>
      <x:c r="L2632" t="str">
        <x:v>STORE-001</x:v>
      </x:c>
      <x:c r="M2632" s="22" t="n">
        <x:v>46146</x:v>
      </x:c>
      <x:c r="N2632" t="str">
        <x:v>SKU-006</x:v>
      </x:c>
      <x:c r="O2632" t="n">
        <x:v>1</x:v>
      </x:c>
      <x:c r="P2632" s="26" t="n">
        <x:f>F2632/O2632</x:f>
        <x:v>106.6</x:v>
      </x:c>
    </x:row>
    <x:row r="2633">
      <x:c r="A2633" t="n">
        <x:v>2632</x:v>
      </x:c>
      <x:c r="B2633" t="n">
        <x:v>52</x:v>
      </x:c>
      <x:c r="C2633" t="str">
        <x:v>Male</x:v>
      </x:c>
      <x:c r="D2633" t="str">
        <x:v>Electronics</x:v>
      </x:c>
      <x:c r="E2633" t="str">
        <x:v>Mobile Phone</x:v>
      </x:c>
      <x:c r="F2633" s="24" t="n">
        <x:v>1302.45</x:v>
      </x:c>
      <x:c r="G2633" t="str">
        <x:v>Autumn</x:v>
      </x:c>
      <x:c r="H2633" t="str">
        <x:v>Card</x:v>
      </x:c>
      <x:c r="I2633" t="n">
        <x:v>4.5</x:v>
      </x:c>
      <x:c r="J2633" t="n">
        <x:v>18</x:v>
      </x:c>
      <x:c r="K2633" t="n">
        <x:v>9</x:v>
      </x:c>
      <x:c r="L2633" t="str">
        <x:v>STORE-001</x:v>
      </x:c>
      <x:c r="M2633" s="22" t="n">
        <x:v>46167</x:v>
      </x:c>
      <x:c r="N2633" t="str">
        <x:v>SKU-016</x:v>
      </x:c>
      <x:c r="O2633" t="n">
        <x:v>1</x:v>
      </x:c>
      <x:c r="P2633" s="26" t="n">
        <x:f>F2633/O2633</x:f>
        <x:v>1302.45</x:v>
      </x:c>
    </x:row>
    <x:row r="2634">
      <x:c r="A2634" t="n">
        <x:v>2633</x:v>
      </x:c>
      <x:c r="B2634" t="n">
        <x:v>65</x:v>
      </x:c>
      <x:c r="C2634" t="str">
        <x:v>Male</x:v>
      </x:c>
      <x:c r="D2634" t="str">
        <x:v>Home</x:v>
      </x:c>
      <x:c r="E2634" t="str">
        <x:v>Kitchen Set</x:v>
      </x:c>
      <x:c r="F2634" s="24" t="n">
        <x:v>275.34</x:v>
      </x:c>
      <x:c r="G2634" t="str">
        <x:v>Autumn</x:v>
      </x:c>
      <x:c r="H2634" t="str">
        <x:v>Card</x:v>
      </x:c>
      <x:c r="I2634" t="n">
        <x:v>3</x:v>
      </x:c>
      <x:c r="J2634" t="n">
        <x:v>14</x:v>
      </x:c>
      <x:c r="K2634" t="n">
        <x:v>7</x:v>
      </x:c>
      <x:c r="L2634" t="str">
        <x:v>STORE-001</x:v>
      </x:c>
      <x:c r="M2634" s="22" t="n">
        <x:v>46153</x:v>
      </x:c>
      <x:c r="N2634" t="str">
        <x:v>SKU-012</x:v>
      </x:c>
      <x:c r="O2634" t="n">
        <x:v>1</x:v>
      </x:c>
      <x:c r="P2634" s="26" t="n">
        <x:f>F2634/O2634</x:f>
        <x:v>275.34</x:v>
      </x:c>
    </x:row>
    <x:row r="2635">
      <x:c r="A2635" t="n">
        <x:v>2634</x:v>
      </x:c>
      <x:c r="B2635" t="n">
        <x:v>62</x:v>
      </x:c>
      <x:c r="C2635" t="str">
        <x:v>Female</x:v>
      </x:c>
      <x:c r="D2635" t="str">
        <x:v>Womens Clothing</x:v>
      </x:c>
      <x:c r="E2635" t="str">
        <x:v>Jeans</x:v>
      </x:c>
      <x:c r="F2635" s="24" t="n">
        <x:v>167.27</x:v>
      </x:c>
      <x:c r="G2635" t="str">
        <x:v>Summer</x:v>
      </x:c>
      <x:c r="H2635" t="str">
        <x:v>Card</x:v>
      </x:c>
      <x:c r="I2635" t="n">
        <x:v>3.3</x:v>
      </x:c>
      <x:c r="J2635" t="n">
        <x:v>18</x:v>
      </x:c>
      <x:c r="K2635" t="n">
        <x:v>4</x:v>
      </x:c>
      <x:c r="L2635" t="str">
        <x:v>STORE-001</x:v>
      </x:c>
      <x:c r="M2635" s="22" t="n">
        <x:v>46007</x:v>
      </x:c>
      <x:c r="N2635" t="str">
        <x:v>SKU-011</x:v>
      </x:c>
      <x:c r="O2635" t="n">
        <x:v>1</x:v>
      </x:c>
      <x:c r="P2635" s="26" t="n">
        <x:f>F2635/O2635</x:f>
        <x:v>167.27</x:v>
      </x:c>
    </x:row>
    <x:row r="2636">
      <x:c r="A2636" t="n">
        <x:v>2635</x:v>
      </x:c>
      <x:c r="B2636" t="n">
        <x:v>70</x:v>
      </x:c>
      <x:c r="C2636" t="str">
        <x:v>Male</x:v>
      </x:c>
      <x:c r="D2636" t="str">
        <x:v>Mens Clothing</x:v>
      </x:c>
      <x:c r="E2636" t="str">
        <x:v>Shirt</x:v>
      </x:c>
      <x:c r="F2636" s="24" t="n">
        <x:v>191.8</x:v>
      </x:c>
      <x:c r="G2636" t="str">
        <x:v>Autumn</x:v>
      </x:c>
      <x:c r="H2636" t="str">
        <x:v>Card</x:v>
      </x:c>
      <x:c r="I2636" t="n">
        <x:v>2.4</x:v>
      </x:c>
      <x:c r="J2636" t="n">
        <x:v>13</x:v>
      </x:c>
      <x:c r="K2636" t="n">
        <x:v>4</x:v>
      </x:c>
      <x:c r="L2636" t="str">
        <x:v>STORE-001</x:v>
      </x:c>
      <x:c r="M2636" s="22" t="n">
        <x:v>46140</x:v>
      </x:c>
      <x:c r="N2636" t="str">
        <x:v>SKU-020</x:v>
      </x:c>
      <x:c r="O2636" t="n">
        <x:v>3</x:v>
      </x:c>
      <x:c r="P2636" s="26" t="n">
        <x:f>F2636/O2636</x:f>
        <x:v>63.93333333333334</x:v>
      </x:c>
    </x:row>
    <x:row r="2637">
      <x:c r="A2637" t="n">
        <x:v>2636</x:v>
      </x:c>
      <x:c r="B2637" t="n">
        <x:v>64</x:v>
      </x:c>
      <x:c r="C2637" t="str">
        <x:v>Male</x:v>
      </x:c>
      <x:c r="D2637" t="str">
        <x:v>Footwear</x:v>
      </x:c>
      <x:c r="E2637" t="str">
        <x:v>Sneakers</x:v>
      </x:c>
      <x:c r="F2637" s="24" t="n">
        <x:v>62.44</x:v>
      </x:c>
      <x:c r="G2637" t="str">
        <x:v>Autumn</x:v>
      </x:c>
      <x:c r="H2637" t="str">
        <x:v>Card</x:v>
      </x:c>
      <x:c r="I2637" t="n">
        <x:v>5</x:v>
      </x:c>
      <x:c r="J2637" t="n">
        <x:v>16</x:v>
      </x:c>
      <x:c r="K2637" t="n">
        <x:v>8</x:v>
      </x:c>
      <x:c r="L2637" t="str">
        <x:v>STORE-001</x:v>
      </x:c>
      <x:c r="M2637" s="22" t="n">
        <x:v>46138</x:v>
      </x:c>
      <x:c r="N2637" t="str">
        <x:v>SKU-025</x:v>
      </x:c>
      <x:c r="O2637" t="n">
        <x:v>2</x:v>
      </x:c>
      <x:c r="P2637" s="26" t="n">
        <x:f>F2637/O2637</x:f>
        <x:v>31.22</x:v>
      </x:c>
    </x:row>
    <x:row r="2638">
      <x:c r="A2638" t="n">
        <x:v>2637</x:v>
      </x:c>
      <x:c r="B2638" t="n">
        <x:v>22</x:v>
      </x:c>
      <x:c r="C2638" t="str">
        <x:v>Female</x:v>
      </x:c>
      <x:c r="D2638" t="str">
        <x:v>Footwear</x:v>
      </x:c>
      <x:c r="E2638" t="str">
        <x:v>Sneakers</x:v>
      </x:c>
      <x:c r="F2638" s="24" t="n">
        <x:v>146.36</x:v>
      </x:c>
      <x:c r="G2638" t="str">
        <x:v>Summer</x:v>
      </x:c>
      <x:c r="H2638" t="str">
        <x:v>Card</x:v>
      </x:c>
      <x:c r="I2638" t="n">
        <x:v>4.6</x:v>
      </x:c>
      <x:c r="J2638" t="n">
        <x:v>10</x:v>
      </x:c>
      <x:c r="K2638" t="n">
        <x:v>5</x:v>
      </x:c>
      <x:c r="L2638" t="str">
        <x:v>STORE-001</x:v>
      </x:c>
      <x:c r="M2638" s="22" t="n">
        <x:v>46008</x:v>
      </x:c>
      <x:c r="N2638" t="str">
        <x:v>SKU-025</x:v>
      </x:c>
      <x:c r="O2638" t="n">
        <x:v>1</x:v>
      </x:c>
      <x:c r="P2638" s="26" t="n">
        <x:f>F2638/O2638</x:f>
        <x:v>146.36</x:v>
      </x:c>
    </x:row>
    <x:row r="2639">
      <x:c r="A2639" t="n">
        <x:v>2638</x:v>
      </x:c>
      <x:c r="B2639" t="n">
        <x:v>61</x:v>
      </x:c>
      <x:c r="C2639" t="str">
        <x:v>Male</x:v>
      </x:c>
      <x:c r="D2639" t="str">
        <x:v>Sports</x:v>
      </x:c>
      <x:c r="E2639" t="str">
        <x:v>Yoga Mat</x:v>
      </x:c>
      <x:c r="F2639" s="24" t="n">
        <x:v>237.45</x:v>
      </x:c>
      <x:c r="G2639" t="str">
        <x:v>Summer</x:v>
      </x:c>
      <x:c r="H2639" t="str">
        <x:v>Card</x:v>
      </x:c>
      <x:c r="I2639" t="n">
        <x:v>5</x:v>
      </x:c>
      <x:c r="J2639" t="n">
        <x:v>24</x:v>
      </x:c>
      <x:c r="K2639" t="n">
        <x:v>7</x:v>
      </x:c>
      <x:c r="L2639" t="str">
        <x:v>STORE-001</x:v>
      </x:c>
      <x:c r="M2639" s="22" t="n">
        <x:v>46073</x:v>
      </x:c>
      <x:c r="N2639" t="str">
        <x:v>SKU-030</x:v>
      </x:c>
      <x:c r="O2639" t="n">
        <x:v>1</x:v>
      </x:c>
      <x:c r="P2639" s="26" t="n">
        <x:f>F2639/O2639</x:f>
        <x:v>237.45</x:v>
      </x:c>
    </x:row>
    <x:row r="2640">
      <x:c r="A2640" t="n">
        <x:v>2639</x:v>
      </x:c>
      <x:c r="B2640" t="n">
        <x:v>63</x:v>
      </x:c>
      <x:c r="C2640" t="str">
        <x:v>Female</x:v>
      </x:c>
      <x:c r="D2640" t="str">
        <x:v>Beauty</x:v>
      </x:c>
      <x:c r="E2640" t="str">
        <x:v>Perfume</x:v>
      </x:c>
      <x:c r="F2640" s="24" t="n">
        <x:v>85.28</x:v>
      </x:c>
      <x:c r="G2640" t="str">
        <x:v>Summer</x:v>
      </x:c>
      <x:c r="H2640" t="str">
        <x:v>Card</x:v>
      </x:c>
      <x:c r="I2640" t="n">
        <x:v>4.9</x:v>
      </x:c>
      <x:c r="J2640" t="n">
        <x:v>20</x:v>
      </x:c>
      <x:c r="K2640" t="n">
        <x:v>10</x:v>
      </x:c>
      <x:c r="L2640" t="str">
        <x:v>STORE-001</x:v>
      </x:c>
      <x:c r="M2640" s="22" t="n">
        <x:v>46039</x:v>
      </x:c>
      <x:c r="N2640" t="str">
        <x:v>SKU-017</x:v>
      </x:c>
      <x:c r="O2640" t="n">
        <x:v>2</x:v>
      </x:c>
      <x:c r="P2640" s="26" t="n">
        <x:f>F2640/O2640</x:f>
        <x:v>42.64</x:v>
      </x:c>
    </x:row>
    <x:row r="2641">
      <x:c r="A2641" t="n">
        <x:v>2640</x:v>
      </x:c>
      <x:c r="B2641" t="n">
        <x:v>45</x:v>
      </x:c>
      <x:c r="C2641" t="str">
        <x:v>Male</x:v>
      </x:c>
      <x:c r="D2641" t="str">
        <x:v>Electronics</x:v>
      </x:c>
      <x:c r="E2641" t="str">
        <x:v>Laptop</x:v>
      </x:c>
      <x:c r="F2641" s="24" t="n">
        <x:v>1766.89</x:v>
      </x:c>
      <x:c r="G2641" t="str">
        <x:v>Autumn</x:v>
      </x:c>
      <x:c r="H2641" t="str">
        <x:v>Card</x:v>
      </x:c>
      <x:c r="I2641" t="n">
        <x:v>4.5</x:v>
      </x:c>
      <x:c r="J2641" t="n">
        <x:v>20</x:v>
      </x:c>
      <x:c r="K2641" t="n">
        <x:v>5</x:v>
      </x:c>
      <x:c r="L2641" t="str">
        <x:v>STORE-001</x:v>
      </x:c>
      <x:c r="M2641" s="22" t="n">
        <x:v>46121</x:v>
      </x:c>
      <x:c r="N2641" t="str">
        <x:v>SKU-014</x:v>
      </x:c>
      <x:c r="O2641" t="n">
        <x:v>1</x:v>
      </x:c>
      <x:c r="P2641" s="26" t="n">
        <x:f>F2641/O2641</x:f>
        <x:v>1766.89</x:v>
      </x:c>
    </x:row>
    <x:row r="2642">
      <x:c r="A2642" t="n">
        <x:v>2641</x:v>
      </x:c>
      <x:c r="B2642" t="n">
        <x:v>26</x:v>
      </x:c>
      <x:c r="C2642" t="str">
        <x:v>Female</x:v>
      </x:c>
      <x:c r="D2642" t="str">
        <x:v>Womens Clothing</x:v>
      </x:c>
      <x:c r="E2642" t="str">
        <x:v>Skirt</x:v>
      </x:c>
      <x:c r="F2642" s="24" t="n">
        <x:v>56.74</x:v>
      </x:c>
      <x:c r="G2642" t="str">
        <x:v>Summer</x:v>
      </x:c>
      <x:c r="H2642" t="str">
        <x:v>Cash on Delivery</x:v>
      </x:c>
      <x:c r="I2642" t="n">
        <x:v>3.8</x:v>
      </x:c>
      <x:c r="J2642" t="n">
        <x:v>19</x:v>
      </x:c>
      <x:c r="K2642" t="n">
        <x:v>7</x:v>
      </x:c>
      <x:c r="L2642" t="str">
        <x:v>STORE-001</x:v>
      </x:c>
      <x:c r="M2642" s="22" t="n">
        <x:v>46022</x:v>
      </x:c>
      <x:c r="N2642" t="str">
        <x:v>SKU-022</x:v>
      </x:c>
      <x:c r="O2642" t="n">
        <x:v>1</x:v>
      </x:c>
      <x:c r="P2642" s="26" t="n">
        <x:f>F2642/O2642</x:f>
        <x:v>56.74</x:v>
      </x:c>
    </x:row>
    <x:row r="2643">
      <x:c r="A2643" t="n">
        <x:v>2642</x:v>
      </x:c>
      <x:c r="B2643" t="n">
        <x:v>48</x:v>
      </x:c>
      <x:c r="C2643" t="str">
        <x:v>Female</x:v>
      </x:c>
      <x:c r="D2643" t="str">
        <x:v>Beauty</x:v>
      </x:c>
      <x:c r="E2643" t="str">
        <x:v>Makeup Set</x:v>
      </x:c>
      <x:c r="F2643" s="24" t="n">
        <x:v>39.32</x:v>
      </x:c>
      <x:c r="G2643" t="str">
        <x:v>Winter</x:v>
      </x:c>
      <x:c r="H2643" t="str">
        <x:v>Cash on Delivery</x:v>
      </x:c>
      <x:c r="I2643" t="n">
        <x:v>4.2</x:v>
      </x:c>
      <x:c r="J2643" t="n">
        <x:v>13</x:v>
      </x:c>
      <x:c r="K2643" t="n">
        <x:v>4</x:v>
      </x:c>
      <x:c r="L2643" t="str">
        <x:v>STORE-001</x:v>
      </x:c>
      <x:c r="M2643" s="22" t="n">
        <x:v>46204</x:v>
      </x:c>
      <x:c r="N2643" t="str">
        <x:v>SKU-015</x:v>
      </x:c>
      <x:c r="O2643" t="n">
        <x:v>2</x:v>
      </x:c>
      <x:c r="P2643" s="26" t="n">
        <x:f>F2643/O2643</x:f>
        <x:v>19.66</x:v>
      </x:c>
    </x:row>
    <x:row r="2644">
      <x:c r="A2644" t="n">
        <x:v>2643</x:v>
      </x:c>
      <x:c r="B2644" t="n">
        <x:v>64</x:v>
      </x:c>
      <x:c r="C2644" t="str">
        <x:v>Female</x:v>
      </x:c>
      <x:c r="D2644" t="str">
        <x:v>Accessories</x:v>
      </x:c>
      <x:c r="E2644" t="str">
        <x:v>Handbag</x:v>
      </x:c>
      <x:c r="F2644" s="24" t="n">
        <x:v>98.93</x:v>
      </x:c>
      <x:c r="G2644" t="str">
        <x:v>Spring</x:v>
      </x:c>
      <x:c r="H2644" t="str">
        <x:v>Cash on Delivery</x:v>
      </x:c>
      <x:c r="I2644" t="n">
        <x:v>3.9</x:v>
      </x:c>
      <x:c r="J2644" t="n">
        <x:v>16</x:v>
      </x:c>
      <x:c r="K2644" t="n">
        <x:v>3</x:v>
      </x:c>
      <x:c r="L2644" t="str">
        <x:v>STORE-001</x:v>
      </x:c>
      <x:c r="M2644" s="22" t="n">
        <x:v>46266</x:v>
      </x:c>
      <x:c r="N2644" t="str">
        <x:v>SKU-008</x:v>
      </x:c>
      <x:c r="O2644" t="n">
        <x:v>2</x:v>
      </x:c>
      <x:c r="P2644" s="26" t="n">
        <x:f>F2644/O2644</x:f>
        <x:v>49.465</x:v>
      </x:c>
    </x:row>
    <x:row r="2645">
      <x:c r="A2645" t="n">
        <x:v>2644</x:v>
      </x:c>
      <x:c r="B2645" t="n">
        <x:v>61</x:v>
      </x:c>
      <x:c r="C2645" t="str">
        <x:v>Male</x:v>
      </x:c>
      <x:c r="D2645" t="str">
        <x:v>Groceries</x:v>
      </x:c>
      <x:c r="E2645" t="str">
        <x:v>Cooking Oil</x:v>
      </x:c>
      <x:c r="F2645" s="24" t="n">
        <x:v>57.47</x:v>
      </x:c>
      <x:c r="G2645" t="str">
        <x:v>Summer</x:v>
      </x:c>
      <x:c r="H2645" t="str">
        <x:v>Cash on Delivery</x:v>
      </x:c>
      <x:c r="I2645" t="n">
        <x:v>3.4</x:v>
      </x:c>
      <x:c r="J2645" t="n">
        <x:v>18</x:v>
      </x:c>
      <x:c r="K2645" t="n">
        <x:v>4</x:v>
      </x:c>
      <x:c r="L2645" t="str">
        <x:v>STORE-001</x:v>
      </x:c>
      <x:c r="M2645" s="22" t="n">
        <x:v>46057</x:v>
      </x:c>
      <x:c r="N2645" t="str">
        <x:v>SKU-002</x:v>
      </x:c>
      <x:c r="O2645" t="n">
        <x:v>2</x:v>
      </x:c>
      <x:c r="P2645" s="26" t="n">
        <x:f>F2645/O2645</x:f>
        <x:v>28.735</x:v>
      </x:c>
    </x:row>
    <x:row r="2646">
      <x:c r="A2646" t="n">
        <x:v>2645</x:v>
      </x:c>
      <x:c r="B2646" t="n">
        <x:v>36</x:v>
      </x:c>
      <x:c r="C2646" t="str">
        <x:v>Female</x:v>
      </x:c>
      <x:c r="D2646" t="str">
        <x:v>Groceries</x:v>
      </x:c>
      <x:c r="E2646" t="str">
        <x:v>Rice Pack</x:v>
      </x:c>
      <x:c r="F2646" s="24" t="n">
        <x:v>57.01</x:v>
      </x:c>
      <x:c r="G2646" t="str">
        <x:v>Autumn</x:v>
      </x:c>
      <x:c r="H2646" t="str">
        <x:v>Card</x:v>
      </x:c>
      <x:c r="I2646" t="n">
        <x:v>3.9</x:v>
      </x:c>
      <x:c r="J2646" t="n">
        <x:v>6</x:v>
      </x:c>
      <x:c r="K2646" t="n">
        <x:v>3</x:v>
      </x:c>
      <x:c r="L2646" t="str">
        <x:v>STORE-001</x:v>
      </x:c>
      <x:c r="M2646" s="22" t="n">
        <x:v>46083</x:v>
      </x:c>
      <x:c r="N2646" t="str">
        <x:v>SKU-018</x:v>
      </x:c>
      <x:c r="O2646" t="n">
        <x:v>5</x:v>
      </x:c>
      <x:c r="P2646" s="26" t="n">
        <x:f>F2646/O2646</x:f>
        <x:v>11.402</x:v>
      </x:c>
    </x:row>
    <x:row r="2647">
      <x:c r="A2647" t="n">
        <x:v>2646</x:v>
      </x:c>
      <x:c r="B2647" t="n">
        <x:v>64</x:v>
      </x:c>
      <x:c r="C2647" t="str">
        <x:v>Male</x:v>
      </x:c>
      <x:c r="D2647" t="str">
        <x:v>Mens Clothing</x:v>
      </x:c>
      <x:c r="E2647" t="str">
        <x:v>T-Shirt</x:v>
      </x:c>
      <x:c r="F2647" s="24" t="n">
        <x:v>150.52</x:v>
      </x:c>
      <x:c r="G2647" t="str">
        <x:v>Winter</x:v>
      </x:c>
      <x:c r="H2647" t="str">
        <x:v>Card</x:v>
      </x:c>
      <x:c r="I2647" t="n">
        <x:v>4.3</x:v>
      </x:c>
      <x:c r="J2647" t="n">
        <x:v>18</x:v>
      </x:c>
      <x:c r="K2647" t="n">
        <x:v>4</x:v>
      </x:c>
      <x:c r="L2647" t="str">
        <x:v>STORE-001</x:v>
      </x:c>
      <x:c r="M2647" s="22" t="n">
        <x:v>46191</x:v>
      </x:c>
      <x:c r="N2647" t="str">
        <x:v>SKU-027</x:v>
      </x:c>
      <x:c r="O2647" t="n">
        <x:v>1</x:v>
      </x:c>
      <x:c r="P2647" s="26" t="n">
        <x:f>F2647/O2647</x:f>
        <x:v>150.52</x:v>
      </x:c>
    </x:row>
    <x:row r="2648">
      <x:c r="A2648" t="n">
        <x:v>2647</x:v>
      </x:c>
      <x:c r="B2648" t="n">
        <x:v>50</x:v>
      </x:c>
      <x:c r="C2648" t="str">
        <x:v>Female</x:v>
      </x:c>
      <x:c r="D2648" t="str">
        <x:v>Beauty</x:v>
      </x:c>
      <x:c r="E2648" t="str">
        <x:v>Perfume</x:v>
      </x:c>
      <x:c r="F2648" s="24" t="n">
        <x:v>58.55</x:v>
      </x:c>
      <x:c r="G2648" t="str">
        <x:v>Spring</x:v>
      </x:c>
      <x:c r="H2648" t="str">
        <x:v>Card</x:v>
      </x:c>
      <x:c r="I2648" t="n">
        <x:v>3.4</x:v>
      </x:c>
      <x:c r="J2648" t="n">
        <x:v>19</x:v>
      </x:c>
      <x:c r="K2648" t="n">
        <x:v>7</x:v>
      </x:c>
      <x:c r="L2648" t="str">
        <x:v>STORE-001</x:v>
      </x:c>
      <x:c r="M2648" s="22" t="n">
        <x:v>46276</x:v>
      </x:c>
      <x:c r="N2648" t="str">
        <x:v>SKU-017</x:v>
      </x:c>
      <x:c r="O2648" t="n">
        <x:v>1</x:v>
      </x:c>
      <x:c r="P2648" s="26" t="n">
        <x:f>F2648/O2648</x:f>
        <x:v>58.55</x:v>
      </x:c>
    </x:row>
    <x:row r="2649">
      <x:c r="A2649" t="n">
        <x:v>2648</x:v>
      </x:c>
      <x:c r="B2649" t="n">
        <x:v>64</x:v>
      </x:c>
      <x:c r="C2649" t="str">
        <x:v>Female</x:v>
      </x:c>
      <x:c r="D2649" t="str">
        <x:v>Womens Clothing</x:v>
      </x:c>
      <x:c r="E2649" t="str">
        <x:v>Skirt</x:v>
      </x:c>
      <x:c r="F2649" s="24" t="n">
        <x:v>32.29</x:v>
      </x:c>
      <x:c r="G2649" t="str">
        <x:v>Winter</x:v>
      </x:c>
      <x:c r="H2649" t="str">
        <x:v>Cash on Delivery</x:v>
      </x:c>
      <x:c r="I2649" t="n">
        <x:v>4.2</x:v>
      </x:c>
      <x:c r="J2649" t="n">
        <x:v>12</x:v>
      </x:c>
      <x:c r="K2649" t="n">
        <x:v>6</x:v>
      </x:c>
      <x:c r="L2649" t="str">
        <x:v>STORE-001</x:v>
      </x:c>
      <x:c r="M2649" s="22" t="n">
        <x:v>46251</x:v>
      </x:c>
      <x:c r="N2649" t="str">
        <x:v>SKU-022</x:v>
      </x:c>
      <x:c r="O2649" t="n">
        <x:v>2</x:v>
      </x:c>
      <x:c r="P2649" s="26" t="n">
        <x:f>F2649/O2649</x:f>
        <x:v>16.145</x:v>
      </x:c>
    </x:row>
    <x:row r="2650">
      <x:c r="A2650" t="n">
        <x:v>2649</x:v>
      </x:c>
      <x:c r="B2650" t="n">
        <x:v>65</x:v>
      </x:c>
      <x:c r="C2650" t="str">
        <x:v>Male</x:v>
      </x:c>
      <x:c r="D2650" t="str">
        <x:v>Electronics</x:v>
      </x:c>
      <x:c r="E2650" t="str">
        <x:v>Mobile Phone</x:v>
      </x:c>
      <x:c r="F2650" s="24" t="n">
        <x:v>1042.54</x:v>
      </x:c>
      <x:c r="G2650" t="str">
        <x:v>Autumn</x:v>
      </x:c>
      <x:c r="H2650" t="str">
        <x:v>Card</x:v>
      </x:c>
      <x:c r="I2650" t="n">
        <x:v>3.7</x:v>
      </x:c>
      <x:c r="J2650" t="n">
        <x:v>12</x:v>
      </x:c>
      <x:c r="K2650" t="n">
        <x:v>6</x:v>
      </x:c>
      <x:c r="L2650" t="str">
        <x:v>STORE-001</x:v>
      </x:c>
      <x:c r="M2650" s="22" t="n">
        <x:v>46138</x:v>
      </x:c>
      <x:c r="N2650" t="str">
        <x:v>SKU-016</x:v>
      </x:c>
      <x:c r="O2650" t="n">
        <x:v>1</x:v>
      </x:c>
      <x:c r="P2650" s="26" t="n">
        <x:f>F2650/O2650</x:f>
        <x:v>1042.54</x:v>
      </x:c>
    </x:row>
    <x:row r="2651">
      <x:c r="A2651" t="n">
        <x:v>2650</x:v>
      </x:c>
      <x:c r="B2651" t="n">
        <x:v>69</x:v>
      </x:c>
      <x:c r="C2651" t="str">
        <x:v>Female</x:v>
      </x:c>
      <x:c r="D2651" t="str">
        <x:v>Groceries</x:v>
      </x:c>
      <x:c r="E2651" t="str">
        <x:v>Beverages</x:v>
      </x:c>
      <x:c r="F2651" s="24" t="n">
        <x:v>26.45</x:v>
      </x:c>
      <x:c r="G2651" t="str">
        <x:v>Summer</x:v>
      </x:c>
      <x:c r="H2651" t="str">
        <x:v>Cash on Delivery</x:v>
      </x:c>
      <x:c r="I2651" t="n">
        <x:v>4.5</x:v>
      </x:c>
      <x:c r="J2651" t="n">
        <x:v>20</x:v>
      </x:c>
      <x:c r="K2651" t="n">
        <x:v>5</x:v>
      </x:c>
      <x:c r="L2651" t="str">
        <x:v>STORE-001</x:v>
      </x:c>
      <x:c r="M2651" s="22" t="n">
        <x:v>46045</x:v>
      </x:c>
      <x:c r="N2651" t="str">
        <x:v>SKU-001</x:v>
      </x:c>
      <x:c r="O2651" t="n">
        <x:v>2</x:v>
      </x:c>
      <x:c r="P2651" s="26" t="n">
        <x:f>F2651/O2651</x:f>
        <x:v>13.225</x:v>
      </x:c>
    </x:row>
    <x:row r="2652">
      <x:c r="A2652" t="n">
        <x:v>2651</x:v>
      </x:c>
      <x:c r="B2652" t="n">
        <x:v>32</x:v>
      </x:c>
      <x:c r="C2652" t="str">
        <x:v>Female</x:v>
      </x:c>
      <x:c r="D2652" t="str">
        <x:v>Footwear</x:v>
      </x:c>
      <x:c r="E2652" t="str">
        <x:v>Sandals</x:v>
      </x:c>
      <x:c r="F2652" s="24" t="n">
        <x:v>90.64</x:v>
      </x:c>
      <x:c r="G2652" t="str">
        <x:v>Summer</x:v>
      </x:c>
      <x:c r="H2652" t="str">
        <x:v>Cash on Delivery</x:v>
      </x:c>
      <x:c r="I2652" t="n">
        <x:v>3.7</x:v>
      </x:c>
      <x:c r="J2652" t="n">
        <x:v>17</x:v>
      </x:c>
      <x:c r="K2652" t="n">
        <x:v>6</x:v>
      </x:c>
      <x:c r="L2652" t="str">
        <x:v>STORE-001</x:v>
      </x:c>
      <x:c r="M2652" s="22" t="n">
        <x:v>46035</x:v>
      </x:c>
      <x:c r="N2652" t="str">
        <x:v>SKU-019</x:v>
      </x:c>
      <x:c r="O2652" t="n">
        <x:v>2</x:v>
      </x:c>
      <x:c r="P2652" s="26" t="n">
        <x:f>F2652/O2652</x:f>
        <x:v>45.32</x:v>
      </x:c>
    </x:row>
    <x:row r="2653">
      <x:c r="A2653" t="n">
        <x:v>2652</x:v>
      </x:c>
      <x:c r="B2653" t="n">
        <x:v>33</x:v>
      </x:c>
      <x:c r="C2653" t="str">
        <x:v>Male</x:v>
      </x:c>
      <x:c r="D2653" t="str">
        <x:v>Footwear</x:v>
      </x:c>
      <x:c r="E2653" t="str">
        <x:v>Formal Shoes</x:v>
      </x:c>
      <x:c r="F2653" s="24" t="n">
        <x:v>44.23</x:v>
      </x:c>
      <x:c r="G2653" t="str">
        <x:v>Spring</x:v>
      </x:c>
      <x:c r="H2653" t="str">
        <x:v>Cash on Delivery</x:v>
      </x:c>
      <x:c r="I2653" t="n">
        <x:v>2.4</x:v>
      </x:c>
      <x:c r="J2653" t="n">
        <x:v>8</x:v>
      </x:c>
      <x:c r="K2653" t="n">
        <x:v>4</x:v>
      </x:c>
      <x:c r="L2653" t="str">
        <x:v>STORE-001</x:v>
      </x:c>
      <x:c r="M2653" s="22" t="n">
        <x:v>45967</x:v>
      </x:c>
      <x:c r="N2653" t="str">
        <x:v>SKU-007</x:v>
      </x:c>
      <x:c r="O2653" t="n">
        <x:v>1</x:v>
      </x:c>
      <x:c r="P2653" s="26" t="n">
        <x:f>F2653/O2653</x:f>
        <x:v>44.23</x:v>
      </x:c>
    </x:row>
    <x:row r="2654">
      <x:c r="A2654" t="n">
        <x:v>2653</x:v>
      </x:c>
      <x:c r="B2654" t="n">
        <x:v>58</x:v>
      </x:c>
      <x:c r="C2654" t="str">
        <x:v>Male</x:v>
      </x:c>
      <x:c r="D2654" t="str">
        <x:v>Footwear</x:v>
      </x:c>
      <x:c r="E2654" t="str">
        <x:v>Formal Shoes</x:v>
      </x:c>
      <x:c r="F2654" s="24" t="n">
        <x:v>54.47</x:v>
      </x:c>
      <x:c r="G2654" t="str">
        <x:v>Autumn</x:v>
      </x:c>
      <x:c r="H2654" t="str">
        <x:v>Card</x:v>
      </x:c>
      <x:c r="I2654" t="n">
        <x:v>3.1</x:v>
      </x:c>
      <x:c r="J2654" t="n">
        <x:v>12</x:v>
      </x:c>
      <x:c r="K2654" t="n">
        <x:v>6</x:v>
      </x:c>
      <x:c r="L2654" t="str">
        <x:v>STORE-001</x:v>
      </x:c>
      <x:c r="M2654" s="22" t="n">
        <x:v>46138</x:v>
      </x:c>
      <x:c r="N2654" t="str">
        <x:v>SKU-007</x:v>
      </x:c>
      <x:c r="O2654" t="n">
        <x:v>1</x:v>
      </x:c>
      <x:c r="P2654" s="26" t="n">
        <x:f>F2654/O2654</x:f>
        <x:v>54.47</x:v>
      </x:c>
    </x:row>
    <x:row r="2655">
      <x:c r="A2655" t="n">
        <x:v>2654</x:v>
      </x:c>
      <x:c r="B2655" t="n">
        <x:v>51</x:v>
      </x:c>
      <x:c r="C2655" t="str">
        <x:v>Female</x:v>
      </x:c>
      <x:c r="D2655" t="str">
        <x:v>Accessories</x:v>
      </x:c>
      <x:c r="E2655" t="str">
        <x:v>Wallet</x:v>
      </x:c>
      <x:c r="F2655" s="24" t="n">
        <x:v>121.74</x:v>
      </x:c>
      <x:c r="G2655" t="str">
        <x:v>Winter</x:v>
      </x:c>
      <x:c r="H2655" t="str">
        <x:v>Card</x:v>
      </x:c>
      <x:c r="I2655" t="n">
        <x:v>4.6</x:v>
      </x:c>
      <x:c r="J2655" t="n">
        <x:v>4</x:v>
      </x:c>
      <x:c r="K2655" t="n">
        <x:v>2</x:v>
      </x:c>
      <x:c r="L2655" t="str">
        <x:v>STORE-001</x:v>
      </x:c>
      <x:c r="M2655" s="22" t="n">
        <x:v>46197</x:v>
      </x:c>
      <x:c r="N2655" t="str">
        <x:v>SKU-029</x:v>
      </x:c>
      <x:c r="O2655" t="n">
        <x:v>1</x:v>
      </x:c>
      <x:c r="P2655" s="26" t="n">
        <x:f>F2655/O2655</x:f>
        <x:v>121.74</x:v>
      </x:c>
    </x:row>
    <x:row r="2656">
      <x:c r="A2656" t="n">
        <x:v>2655</x:v>
      </x:c>
      <x:c r="B2656" t="n">
        <x:v>69</x:v>
      </x:c>
      <x:c r="C2656" t="str">
        <x:v>Female</x:v>
      </x:c>
      <x:c r="D2656" t="str">
        <x:v>Home</x:v>
      </x:c>
      <x:c r="E2656" t="str">
        <x:v>Kitchen Set</x:v>
      </x:c>
      <x:c r="F2656" s="24" t="n">
        <x:v>51.27</x:v>
      </x:c>
      <x:c r="G2656" t="str">
        <x:v>Summer</x:v>
      </x:c>
      <x:c r="H2656" t="str">
        <x:v>Card</x:v>
      </x:c>
      <x:c r="I2656" t="n">
        <x:v>3.9</x:v>
      </x:c>
      <x:c r="J2656" t="n">
        <x:v>16</x:v>
      </x:c>
      <x:c r="K2656" t="n">
        <x:v>3</x:v>
      </x:c>
      <x:c r="L2656" t="str">
        <x:v>STORE-001</x:v>
      </x:c>
      <x:c r="M2656" s="22" t="n">
        <x:v>46077</x:v>
      </x:c>
      <x:c r="N2656" t="str">
        <x:v>SKU-012</x:v>
      </x:c>
      <x:c r="O2656" t="n">
        <x:v>1</x:v>
      </x:c>
      <x:c r="P2656" s="26" t="n">
        <x:f>F2656/O2656</x:f>
        <x:v>51.27</x:v>
      </x:c>
    </x:row>
    <x:row r="2657">
      <x:c r="A2657" t="n">
        <x:v>2656</x:v>
      </x:c>
      <x:c r="B2657" t="n">
        <x:v>39</x:v>
      </x:c>
      <x:c r="C2657" t="str">
        <x:v>Male</x:v>
      </x:c>
      <x:c r="D2657" t="str">
        <x:v>Home</x:v>
      </x:c>
      <x:c r="E2657" t="str">
        <x:v>Lamp</x:v>
      </x:c>
      <x:c r="F2657" s="24" t="n">
        <x:v>188.31</x:v>
      </x:c>
      <x:c r="G2657" t="str">
        <x:v>Autumn</x:v>
      </x:c>
      <x:c r="H2657" t="str">
        <x:v>Card</x:v>
      </x:c>
      <x:c r="I2657" t="n">
        <x:v>2.8</x:v>
      </x:c>
      <x:c r="J2657" t="n">
        <x:v>8</x:v>
      </x:c>
      <x:c r="K2657" t="n">
        <x:v>4</x:v>
      </x:c>
      <x:c r="L2657" t="str">
        <x:v>STORE-001</x:v>
      </x:c>
      <x:c r="M2657" s="22" t="n">
        <x:v>46120</x:v>
      </x:c>
      <x:c r="N2657" t="str">
        <x:v>SKU-013</x:v>
      </x:c>
      <x:c r="O2657" t="n">
        <x:v>1</x:v>
      </x:c>
      <x:c r="P2657" s="26" t="n">
        <x:f>F2657/O2657</x:f>
        <x:v>188.31</x:v>
      </x:c>
    </x:row>
    <x:row r="2658">
      <x:c r="A2658" t="n">
        <x:v>2657</x:v>
      </x:c>
      <x:c r="B2658" t="n">
        <x:v>63</x:v>
      </x:c>
      <x:c r="C2658" t="str">
        <x:v>Female</x:v>
      </x:c>
      <x:c r="D2658" t="str">
        <x:v>Footwear</x:v>
      </x:c>
      <x:c r="E2658" t="str">
        <x:v>Sandals</x:v>
      </x:c>
      <x:c r="F2658" s="24" t="n">
        <x:v>230.43</x:v>
      </x:c>
      <x:c r="G2658" t="str">
        <x:v>Winter</x:v>
      </x:c>
      <x:c r="H2658" t="str">
        <x:v>Card</x:v>
      </x:c>
      <x:c r="I2658" t="n">
        <x:v>3.8</x:v>
      </x:c>
      <x:c r="J2658" t="n">
        <x:v>8</x:v>
      </x:c>
      <x:c r="K2658" t="n">
        <x:v>4</x:v>
      </x:c>
      <x:c r="L2658" t="str">
        <x:v>STORE-001</x:v>
      </x:c>
      <x:c r="M2658" s="22" t="n">
        <x:v>46218</x:v>
      </x:c>
      <x:c r="N2658" t="str">
        <x:v>SKU-019</x:v>
      </x:c>
      <x:c r="O2658" t="n">
        <x:v>2</x:v>
      </x:c>
      <x:c r="P2658" s="26" t="n">
        <x:f>F2658/O2658</x:f>
        <x:v>115.215</x:v>
      </x:c>
    </x:row>
    <x:row r="2659">
      <x:c r="A2659" t="n">
        <x:v>2658</x:v>
      </x:c>
      <x:c r="B2659" t="n">
        <x:v>56</x:v>
      </x:c>
      <x:c r="C2659" t="str">
        <x:v>Male</x:v>
      </x:c>
      <x:c r="D2659" t="str">
        <x:v>Mens Clothing</x:v>
      </x:c>
      <x:c r="E2659" t="str">
        <x:v>T-Shirt</x:v>
      </x:c>
      <x:c r="F2659" s="24" t="n">
        <x:v>47.11</x:v>
      </x:c>
      <x:c r="G2659" t="str">
        <x:v>Spring</x:v>
      </x:c>
      <x:c r="H2659" t="str">
        <x:v>Cash on Delivery</x:v>
      </x:c>
      <x:c r="I2659" t="n">
        <x:v>4.4</x:v>
      </x:c>
      <x:c r="J2659" t="n">
        <x:v>8</x:v>
      </x:c>
      <x:c r="K2659" t="n">
        <x:v>4</x:v>
      </x:c>
      <x:c r="L2659" t="str">
        <x:v>STORE-001</x:v>
      </x:c>
      <x:c r="M2659" s="22" t="n">
        <x:v>45990</x:v>
      </x:c>
      <x:c r="N2659" t="str">
        <x:v>SKU-027</x:v>
      </x:c>
      <x:c r="O2659" t="n">
        <x:v>1</x:v>
      </x:c>
      <x:c r="P2659" s="26" t="n">
        <x:f>F2659/O2659</x:f>
        <x:v>47.11</x:v>
      </x:c>
    </x:row>
    <x:row r="2660">
      <x:c r="A2660" t="n">
        <x:v>2659</x:v>
      </x:c>
      <x:c r="B2660" t="n">
        <x:v>70</x:v>
      </x:c>
      <x:c r="C2660" t="str">
        <x:v>Female</x:v>
      </x:c>
      <x:c r="D2660" t="str">
        <x:v>Womens Clothing</x:v>
      </x:c>
      <x:c r="E2660" t="str">
        <x:v>Jeans</x:v>
      </x:c>
      <x:c r="F2660" s="24" t="n">
        <x:v>30.45</x:v>
      </x:c>
      <x:c r="G2660" t="str">
        <x:v>Winter</x:v>
      </x:c>
      <x:c r="H2660" t="str">
        <x:v>Card</x:v>
      </x:c>
      <x:c r="I2660" t="n">
        <x:v>3.8</x:v>
      </x:c>
      <x:c r="J2660" t="n">
        <x:v>12</x:v>
      </x:c>
      <x:c r="K2660" t="n">
        <x:v>6</x:v>
      </x:c>
      <x:c r="L2660" t="str">
        <x:v>STORE-001</x:v>
      </x:c>
      <x:c r="M2660" s="22" t="n">
        <x:v>46211</x:v>
      </x:c>
      <x:c r="N2660" t="str">
        <x:v>SKU-011</x:v>
      </x:c>
      <x:c r="O2660" t="n">
        <x:v>1</x:v>
      </x:c>
      <x:c r="P2660" s="26" t="n">
        <x:f>F2660/O2660</x:f>
        <x:v>30.45</x:v>
      </x:c>
    </x:row>
    <x:row r="2661">
      <x:c r="A2661" t="n">
        <x:v>2660</x:v>
      </x:c>
      <x:c r="B2661" t="n">
        <x:v>50</x:v>
      </x:c>
      <x:c r="C2661" t="str">
        <x:v>Female</x:v>
      </x:c>
      <x:c r="D2661" t="str">
        <x:v>Beauty</x:v>
      </x:c>
      <x:c r="E2661" t="str">
        <x:v>Skincare Kit</x:v>
      </x:c>
      <x:c r="F2661" s="24" t="n">
        <x:v>54.62</x:v>
      </x:c>
      <x:c r="G2661" t="str">
        <x:v>Spring</x:v>
      </x:c>
      <x:c r="H2661" t="str">
        <x:v>Cash on Delivery</x:v>
      </x:c>
      <x:c r="I2661" t="n">
        <x:v>4.1</x:v>
      </x:c>
      <x:c r="J2661" t="n">
        <x:v>16</x:v>
      </x:c>
      <x:c r="K2661" t="n">
        <x:v>3</x:v>
      </x:c>
      <x:c r="L2661" t="str">
        <x:v>STORE-001</x:v>
      </x:c>
      <x:c r="M2661" s="22" t="n">
        <x:v>45954</x:v>
      </x:c>
      <x:c r="N2661" t="str">
        <x:v>SKU-021</x:v>
      </x:c>
      <x:c r="O2661" t="n">
        <x:v>1</x:v>
      </x:c>
      <x:c r="P2661" s="26" t="n">
        <x:f>F2661/O2661</x:f>
        <x:v>54.62</x:v>
      </x:c>
    </x:row>
    <x:row r="2662">
      <x:c r="A2662" t="n">
        <x:v>2661</x:v>
      </x:c>
      <x:c r="B2662" t="n">
        <x:v>45</x:v>
      </x:c>
      <x:c r="C2662" t="str">
        <x:v>Male</x:v>
      </x:c>
      <x:c r="D2662" t="str">
        <x:v>Groceries</x:v>
      </x:c>
      <x:c r="E2662" t="str">
        <x:v>Cooking Oil</x:v>
      </x:c>
      <x:c r="F2662" s="24" t="n">
        <x:v>5.85</x:v>
      </x:c>
      <x:c r="G2662" t="str">
        <x:v>Winter</x:v>
      </x:c>
      <x:c r="H2662" t="str">
        <x:v>Card</x:v>
      </x:c>
      <x:c r="I2662" t="n">
        <x:v>4.5</x:v>
      </x:c>
      <x:c r="J2662" t="n">
        <x:v>13</x:v>
      </x:c>
      <x:c r="K2662" t="n">
        <x:v>4</x:v>
      </x:c>
      <x:c r="L2662" t="str">
        <x:v>STORE-001</x:v>
      </x:c>
      <x:c r="M2662" s="22" t="n">
        <x:v>46207</x:v>
      </x:c>
      <x:c r="N2662" t="str">
        <x:v>SKU-002</x:v>
      </x:c>
      <x:c r="O2662" t="n">
        <x:v>5</x:v>
      </x:c>
      <x:c r="P2662" s="26" t="n">
        <x:f>F2662/O2662</x:f>
        <x:v>1.17</x:v>
      </x:c>
    </x:row>
    <x:row r="2663">
      <x:c r="A2663" t="n">
        <x:v>2662</x:v>
      </x:c>
      <x:c r="B2663" t="n">
        <x:v>55</x:v>
      </x:c>
      <x:c r="C2663" t="str">
        <x:v>Male</x:v>
      </x:c>
      <x:c r="D2663" t="str">
        <x:v>Sports</x:v>
      </x:c>
      <x:c r="E2663" t="str">
        <x:v>Dumbbells</x:v>
      </x:c>
      <x:c r="F2663" s="24" t="n">
        <x:v>175.82</x:v>
      </x:c>
      <x:c r="G2663" t="str">
        <x:v>Summer</x:v>
      </x:c>
      <x:c r="H2663" t="str">
        <x:v>Card</x:v>
      </x:c>
      <x:c r="I2663" t="n">
        <x:v>4.6</x:v>
      </x:c>
      <x:c r="J2663" t="n">
        <x:v>7</x:v>
      </x:c>
      <x:c r="K2663" t="n">
        <x:v>1</x:v>
      </x:c>
      <x:c r="L2663" t="str">
        <x:v>STORE-001</x:v>
      </x:c>
      <x:c r="M2663" s="22" t="n">
        <x:v>46031</x:v>
      </x:c>
      <x:c r="N2663" t="str">
        <x:v>SKU-005</x:v>
      </x:c>
      <x:c r="O2663" t="n">
        <x:v>1</x:v>
      </x:c>
      <x:c r="P2663" s="26" t="n">
        <x:f>F2663/O2663</x:f>
        <x:v>175.82</x:v>
      </x:c>
    </x:row>
    <x:row r="2664">
      <x:c r="A2664" t="n">
        <x:v>2663</x:v>
      </x:c>
      <x:c r="B2664" t="n">
        <x:v>26</x:v>
      </x:c>
      <x:c r="C2664" t="str">
        <x:v>Male</x:v>
      </x:c>
      <x:c r="D2664" t="str">
        <x:v>Sports</x:v>
      </x:c>
      <x:c r="E2664" t="str">
        <x:v>Dumbbells</x:v>
      </x:c>
      <x:c r="F2664" s="24" t="n">
        <x:v>34.48</x:v>
      </x:c>
      <x:c r="G2664" t="str">
        <x:v>Autumn</x:v>
      </x:c>
      <x:c r="H2664" t="str">
        <x:v>Cash on Delivery</x:v>
      </x:c>
      <x:c r="I2664" t="n">
        <x:v>4</x:v>
      </x:c>
      <x:c r="J2664" t="n">
        <x:v>17</x:v>
      </x:c>
      <x:c r="K2664" t="n">
        <x:v>6</x:v>
      </x:c>
      <x:c r="L2664" t="str">
        <x:v>STORE-001</x:v>
      </x:c>
      <x:c r="M2664" s="22" t="n">
        <x:v>46173</x:v>
      </x:c>
      <x:c r="N2664" t="str">
        <x:v>SKU-005</x:v>
      </x:c>
      <x:c r="O2664" t="n">
        <x:v>2</x:v>
      </x:c>
      <x:c r="P2664" s="26" t="n">
        <x:f>F2664/O2664</x:f>
        <x:v>17.24</x:v>
      </x:c>
    </x:row>
    <x:row r="2665">
      <x:c r="A2665" t="n">
        <x:v>2664</x:v>
      </x:c>
      <x:c r="B2665" t="n">
        <x:v>69</x:v>
      </x:c>
      <x:c r="C2665" t="str">
        <x:v>Male</x:v>
      </x:c>
      <x:c r="D2665" t="str">
        <x:v>Electronics</x:v>
      </x:c>
      <x:c r="E2665" t="str">
        <x:v>Mobile Phone</x:v>
      </x:c>
      <x:c r="F2665" s="24" t="n">
        <x:v>2410.79</x:v>
      </x:c>
      <x:c r="G2665" t="str">
        <x:v>Winter</x:v>
      </x:c>
      <x:c r="H2665" t="str">
        <x:v>Card</x:v>
      </x:c>
      <x:c r="I2665" t="n">
        <x:v>4.3</x:v>
      </x:c>
      <x:c r="J2665" t="n">
        <x:v>16</x:v>
      </x:c>
      <x:c r="K2665" t="n">
        <x:v>8</x:v>
      </x:c>
      <x:c r="L2665" t="str">
        <x:v>STORE-001</x:v>
      </x:c>
      <x:c r="M2665" s="22" t="n">
        <x:v>46214</x:v>
      </x:c>
      <x:c r="N2665" t="str">
        <x:v>SKU-016</x:v>
      </x:c>
      <x:c r="O2665" t="n">
        <x:v>1</x:v>
      </x:c>
      <x:c r="P2665" s="26" t="n">
        <x:f>F2665/O2665</x:f>
        <x:v>2410.79</x:v>
      </x:c>
    </x:row>
    <x:row r="2666">
      <x:c r="A2666" t="n">
        <x:v>2665</x:v>
      </x:c>
      <x:c r="B2666" t="n">
        <x:v>64</x:v>
      </x:c>
      <x:c r="C2666" t="str">
        <x:v>Male</x:v>
      </x:c>
      <x:c r="D2666" t="str">
        <x:v>Sports</x:v>
      </x:c>
      <x:c r="E2666" t="str">
        <x:v>Football</x:v>
      </x:c>
      <x:c r="F2666" s="24" t="n">
        <x:v>232.53</x:v>
      </x:c>
      <x:c r="G2666" t="str">
        <x:v>Autumn</x:v>
      </x:c>
      <x:c r="H2666" t="str">
        <x:v>Card</x:v>
      </x:c>
      <x:c r="I2666" t="n">
        <x:v>4.3</x:v>
      </x:c>
      <x:c r="J2666" t="n">
        <x:v>19</x:v>
      </x:c>
      <x:c r="K2666" t="n">
        <x:v>7</x:v>
      </x:c>
      <x:c r="L2666" t="str">
        <x:v>STORE-001</x:v>
      </x:c>
      <x:c r="M2666" s="22" t="n">
        <x:v>46122</x:v>
      </x:c>
      <x:c r="N2666" t="str">
        <x:v>SKU-006</x:v>
      </x:c>
      <x:c r="O2666" t="n">
        <x:v>1</x:v>
      </x:c>
      <x:c r="P2666" s="26" t="n">
        <x:f>F2666/O2666</x:f>
        <x:v>232.53</x:v>
      </x:c>
    </x:row>
    <x:row r="2667">
      <x:c r="A2667" t="n">
        <x:v>2666</x:v>
      </x:c>
      <x:c r="B2667" t="n">
        <x:v>31</x:v>
      </x:c>
      <x:c r="C2667" t="str">
        <x:v>Male</x:v>
      </x:c>
      <x:c r="D2667" t="str">
        <x:v>Footwear</x:v>
      </x:c>
      <x:c r="E2667" t="str">
        <x:v>Sandals</x:v>
      </x:c>
      <x:c r="F2667" s="24" t="n">
        <x:v>112.63</x:v>
      </x:c>
      <x:c r="G2667" t="str">
        <x:v>Autumn</x:v>
      </x:c>
      <x:c r="H2667" t="str">
        <x:v>Card</x:v>
      </x:c>
      <x:c r="I2667" t="n">
        <x:v>2.7</x:v>
      </x:c>
      <x:c r="J2667" t="n">
        <x:v>8</x:v>
      </x:c>
      <x:c r="K2667" t="n">
        <x:v>4</x:v>
      </x:c>
      <x:c r="L2667" t="str">
        <x:v>STORE-001</x:v>
      </x:c>
      <x:c r="M2667" s="22" t="n">
        <x:v>46149</x:v>
      </x:c>
      <x:c r="N2667" t="str">
        <x:v>SKU-019</x:v>
      </x:c>
      <x:c r="O2667" t="n">
        <x:v>1</x:v>
      </x:c>
      <x:c r="P2667" s="26" t="n">
        <x:f>F2667/O2667</x:f>
        <x:v>112.63</x:v>
      </x:c>
    </x:row>
    <x:row r="2668">
      <x:c r="A2668" t="n">
        <x:v>2667</x:v>
      </x:c>
      <x:c r="B2668" t="n">
        <x:v>60</x:v>
      </x:c>
      <x:c r="C2668" t="str">
        <x:v>Female</x:v>
      </x:c>
      <x:c r="D2668" t="str">
        <x:v>Accessories</x:v>
      </x:c>
      <x:c r="E2668" t="str">
        <x:v>Handbag</x:v>
      </x:c>
      <x:c r="F2668" s="24" t="n">
        <x:v>138.91</x:v>
      </x:c>
      <x:c r="G2668" t="str">
        <x:v>Autumn</x:v>
      </x:c>
      <x:c r="H2668" t="str">
        <x:v>Card</x:v>
      </x:c>
      <x:c r="I2668" t="n">
        <x:v>4.4</x:v>
      </x:c>
      <x:c r="J2668" t="n">
        <x:v>13</x:v>
      </x:c>
      <x:c r="K2668" t="n">
        <x:v>4</x:v>
      </x:c>
      <x:c r="L2668" t="str">
        <x:v>STORE-001</x:v>
      </x:c>
      <x:c r="M2668" s="22" t="n">
        <x:v>46134</x:v>
      </x:c>
      <x:c r="N2668" t="str">
        <x:v>SKU-008</x:v>
      </x:c>
      <x:c r="O2668" t="n">
        <x:v>1</x:v>
      </x:c>
      <x:c r="P2668" s="26" t="n">
        <x:f>F2668/O2668</x:f>
        <x:v>138.91</x:v>
      </x:c>
    </x:row>
    <x:row r="2669">
      <x:c r="A2669" t="n">
        <x:v>2668</x:v>
      </x:c>
      <x:c r="B2669" t="n">
        <x:v>26</x:v>
      </x:c>
      <x:c r="C2669" t="str">
        <x:v>Male</x:v>
      </x:c>
      <x:c r="D2669" t="str">
        <x:v>Footwear</x:v>
      </x:c>
      <x:c r="E2669" t="str">
        <x:v>Sandals</x:v>
      </x:c>
      <x:c r="F2669" s="24" t="n">
        <x:v>221.47</x:v>
      </x:c>
      <x:c r="G2669" t="str">
        <x:v>Autumn</x:v>
      </x:c>
      <x:c r="H2669" t="str">
        <x:v>Card</x:v>
      </x:c>
      <x:c r="I2669" t="n">
        <x:v>3.1</x:v>
      </x:c>
      <x:c r="J2669" t="n">
        <x:v>12</x:v>
      </x:c>
      <x:c r="K2669" t="n">
        <x:v>6</x:v>
      </x:c>
      <x:c r="L2669" t="str">
        <x:v>STORE-001</x:v>
      </x:c>
      <x:c r="M2669" s="22" t="n">
        <x:v>46127</x:v>
      </x:c>
      <x:c r="N2669" t="str">
        <x:v>SKU-019</x:v>
      </x:c>
      <x:c r="O2669" t="n">
        <x:v>1</x:v>
      </x:c>
      <x:c r="P2669" s="26" t="n">
        <x:f>F2669/O2669</x:f>
        <x:v>221.47</x:v>
      </x:c>
    </x:row>
    <x:row r="2670">
      <x:c r="A2670" t="n">
        <x:v>2669</x:v>
      </x:c>
      <x:c r="B2670" t="n">
        <x:v>21</x:v>
      </x:c>
      <x:c r="C2670" t="str">
        <x:v>Female</x:v>
      </x:c>
      <x:c r="D2670" t="str">
        <x:v>Womens Clothing</x:v>
      </x:c>
      <x:c r="E2670" t="str">
        <x:v>Jeans</x:v>
      </x:c>
      <x:c r="F2670" s="24" t="n">
        <x:v>52.43</x:v>
      </x:c>
      <x:c r="G2670" t="str">
        <x:v>Autumn</x:v>
      </x:c>
      <x:c r="H2670" t="str">
        <x:v>Cash on Delivery</x:v>
      </x:c>
      <x:c r="I2670" t="n">
        <x:v>3.6</x:v>
      </x:c>
      <x:c r="J2670" t="n">
        <x:v>25</x:v>
      </x:c>
      <x:c r="K2670" t="n">
        <x:v>10</x:v>
      </x:c>
      <x:c r="L2670" t="str">
        <x:v>STORE-001</x:v>
      </x:c>
      <x:c r="M2670" s="22" t="n">
        <x:v>46114</x:v>
      </x:c>
      <x:c r="N2670" t="str">
        <x:v>SKU-011</x:v>
      </x:c>
      <x:c r="O2670" t="n">
        <x:v>2</x:v>
      </x:c>
      <x:c r="P2670" s="26" t="n">
        <x:f>F2670/O2670</x:f>
        <x:v>26.215</x:v>
      </x:c>
    </x:row>
    <x:row r="2671">
      <x:c r="A2671" t="n">
        <x:v>2670</x:v>
      </x:c>
      <x:c r="B2671" t="n">
        <x:v>37</x:v>
      </x:c>
      <x:c r="C2671" t="str">
        <x:v>Male</x:v>
      </x:c>
      <x:c r="D2671" t="str">
        <x:v>Sports</x:v>
      </x:c>
      <x:c r="E2671" t="str">
        <x:v>Dumbbells</x:v>
      </x:c>
      <x:c r="F2671" s="24" t="n">
        <x:v>172.83</x:v>
      </x:c>
      <x:c r="G2671" t="str">
        <x:v>Spring</x:v>
      </x:c>
      <x:c r="H2671" t="str">
        <x:v>Card</x:v>
      </x:c>
      <x:c r="I2671" t="n">
        <x:v>3.1</x:v>
      </x:c>
      <x:c r="J2671" t="n">
        <x:v>22</x:v>
      </x:c>
      <x:c r="K2671" t="n">
        <x:v>6</x:v>
      </x:c>
      <x:c r="L2671" t="str">
        <x:v>STORE-001</x:v>
      </x:c>
      <x:c r="M2671" s="22" t="n">
        <x:v>45946</x:v>
      </x:c>
      <x:c r="N2671" t="str">
        <x:v>SKU-005</x:v>
      </x:c>
      <x:c r="O2671" t="n">
        <x:v>1</x:v>
      </x:c>
      <x:c r="P2671" s="26" t="n">
        <x:f>F2671/O2671</x:f>
        <x:v>172.83</x:v>
      </x:c>
    </x:row>
    <x:row r="2672">
      <x:c r="A2672" t="n">
        <x:v>2671</x:v>
      </x:c>
      <x:c r="B2672" t="n">
        <x:v>35</x:v>
      </x:c>
      <x:c r="C2672" t="str">
        <x:v>Female</x:v>
      </x:c>
      <x:c r="D2672" t="str">
        <x:v>Home</x:v>
      </x:c>
      <x:c r="E2672" t="str">
        <x:v>Curtains</x:v>
      </x:c>
      <x:c r="F2672" s="24" t="n">
        <x:v>217.67</x:v>
      </x:c>
      <x:c r="G2672" t="str">
        <x:v>Winter</x:v>
      </x:c>
      <x:c r="H2672" t="str">
        <x:v>Card</x:v>
      </x:c>
      <x:c r="I2672" t="n">
        <x:v>3.5</x:v>
      </x:c>
      <x:c r="J2672" t="n">
        <x:v>10</x:v>
      </x:c>
      <x:c r="K2672" t="n">
        <x:v>5</x:v>
      </x:c>
      <x:c r="L2672" t="str">
        <x:v>STORE-001</x:v>
      </x:c>
      <x:c r="M2672" s="22" t="n">
        <x:v>46183</x:v>
      </x:c>
      <x:c r="N2672" t="str">
        <x:v>SKU-003</x:v>
      </x:c>
      <x:c r="O2672" t="n">
        <x:v>2</x:v>
      </x:c>
      <x:c r="P2672" s="26" t="n">
        <x:f>F2672/O2672</x:f>
        <x:v>108.835</x:v>
      </x:c>
    </x:row>
    <x:row r="2673">
      <x:c r="A2673" t="n">
        <x:v>2672</x:v>
      </x:c>
      <x:c r="B2673" t="n">
        <x:v>29</x:v>
      </x:c>
      <x:c r="C2673" t="str">
        <x:v>Male</x:v>
      </x:c>
      <x:c r="D2673" t="str">
        <x:v>Footwear</x:v>
      </x:c>
      <x:c r="E2673" t="str">
        <x:v>Sneakers</x:v>
      </x:c>
      <x:c r="F2673" s="24" t="n">
        <x:v>217.41</x:v>
      </x:c>
      <x:c r="G2673" t="str">
        <x:v>Autumn</x:v>
      </x:c>
      <x:c r="H2673" t="str">
        <x:v>Card</x:v>
      </x:c>
      <x:c r="I2673" t="n">
        <x:v>4.3</x:v>
      </x:c>
      <x:c r="J2673" t="n">
        <x:v>14</x:v>
      </x:c>
      <x:c r="K2673" t="n">
        <x:v>7</x:v>
      </x:c>
      <x:c r="L2673" t="str">
        <x:v>STORE-001</x:v>
      </x:c>
      <x:c r="M2673" s="22" t="n">
        <x:v>46095</x:v>
      </x:c>
      <x:c r="N2673" t="str">
        <x:v>SKU-025</x:v>
      </x:c>
      <x:c r="O2673" t="n">
        <x:v>1</x:v>
      </x:c>
      <x:c r="P2673" s="26" t="n">
        <x:f>F2673/O2673</x:f>
        <x:v>217.41</x:v>
      </x:c>
    </x:row>
    <x:row r="2674">
      <x:c r="A2674" t="n">
        <x:v>2673</x:v>
      </x:c>
      <x:c r="B2674" t="n">
        <x:v>41</x:v>
      </x:c>
      <x:c r="C2674" t="str">
        <x:v>Male</x:v>
      </x:c>
      <x:c r="D2674" t="str">
        <x:v>Footwear</x:v>
      </x:c>
      <x:c r="E2674" t="str">
        <x:v>Sneakers</x:v>
      </x:c>
      <x:c r="F2674" s="24" t="n">
        <x:v>171.5</x:v>
      </x:c>
      <x:c r="G2674" t="str">
        <x:v>Winter</x:v>
      </x:c>
      <x:c r="H2674" t="str">
        <x:v>Card</x:v>
      </x:c>
      <x:c r="I2674" t="n">
        <x:v>3.3</x:v>
      </x:c>
      <x:c r="J2674" t="n">
        <x:v>19</x:v>
      </x:c>
      <x:c r="K2674" t="n">
        <x:v>7</x:v>
      </x:c>
      <x:c r="L2674" t="str">
        <x:v>STORE-001</x:v>
      </x:c>
      <x:c r="M2674" s="22" t="n">
        <x:v>46189</x:v>
      </x:c>
      <x:c r="N2674" t="str">
        <x:v>SKU-025</x:v>
      </x:c>
      <x:c r="O2674" t="n">
        <x:v>2</x:v>
      </x:c>
      <x:c r="P2674" s="26" t="n">
        <x:f>F2674/O2674</x:f>
        <x:v>85.75</x:v>
      </x:c>
    </x:row>
    <x:row r="2675">
      <x:c r="A2675" t="n">
        <x:v>2674</x:v>
      </x:c>
      <x:c r="B2675" t="n">
        <x:v>35</x:v>
      </x:c>
      <x:c r="C2675" t="str">
        <x:v>Male</x:v>
      </x:c>
      <x:c r="D2675" t="str">
        <x:v>Electronics</x:v>
      </x:c>
      <x:c r="E2675" t="str">
        <x:v>Laptop</x:v>
      </x:c>
      <x:c r="F2675" s="24" t="n">
        <x:v>2366.84</x:v>
      </x:c>
      <x:c r="G2675" t="str">
        <x:v>Winter</x:v>
      </x:c>
      <x:c r="H2675" t="str">
        <x:v>Card</x:v>
      </x:c>
      <x:c r="I2675" t="n">
        <x:v>3.6</x:v>
      </x:c>
      <x:c r="J2675" t="n">
        <x:v>26</x:v>
      </x:c>
      <x:c r="K2675" t="n">
        <x:v>8</x:v>
      </x:c>
      <x:c r="L2675" t="str">
        <x:v>STORE-001</x:v>
      </x:c>
      <x:c r="M2675" s="22" t="n">
        <x:v>46226</x:v>
      </x:c>
      <x:c r="N2675" t="str">
        <x:v>SKU-014</x:v>
      </x:c>
      <x:c r="O2675" t="n">
        <x:v>1</x:v>
      </x:c>
      <x:c r="P2675" s="26" t="n">
        <x:f>F2675/O2675</x:f>
        <x:v>2366.84</x:v>
      </x:c>
    </x:row>
    <x:row r="2676">
      <x:c r="A2676" t="n">
        <x:v>2675</x:v>
      </x:c>
      <x:c r="B2676" t="n">
        <x:v>70</x:v>
      </x:c>
      <x:c r="C2676" t="str">
        <x:v>Female</x:v>
      </x:c>
      <x:c r="D2676" t="str">
        <x:v>Accessories</x:v>
      </x:c>
      <x:c r="E2676" t="str">
        <x:v>Wallet</x:v>
      </x:c>
      <x:c r="F2676" s="24" t="n">
        <x:v>169.45</x:v>
      </x:c>
      <x:c r="G2676" t="str">
        <x:v>Spring</x:v>
      </x:c>
      <x:c r="H2676" t="str">
        <x:v>Card</x:v>
      </x:c>
      <x:c r="I2676" t="n">
        <x:v>3.1</x:v>
      </x:c>
      <x:c r="J2676" t="n">
        <x:v>15</x:v>
      </x:c>
      <x:c r="K2676" t="n">
        <x:v>5</x:v>
      </x:c>
      <x:c r="L2676" t="str">
        <x:v>STORE-001</x:v>
      </x:c>
      <x:c r="M2676" s="22" t="n">
        <x:v>45934</x:v>
      </x:c>
      <x:c r="N2676" t="str">
        <x:v>SKU-029</x:v>
      </x:c>
      <x:c r="O2676" t="n">
        <x:v>2</x:v>
      </x:c>
      <x:c r="P2676" s="26" t="n">
        <x:f>F2676/O2676</x:f>
        <x:v>84.725</x:v>
      </x:c>
    </x:row>
    <x:row r="2677">
      <x:c r="A2677" t="n">
        <x:v>2676</x:v>
      </x:c>
      <x:c r="B2677" t="n">
        <x:v>50</x:v>
      </x:c>
      <x:c r="C2677" t="str">
        <x:v>Female</x:v>
      </x:c>
      <x:c r="D2677" t="str">
        <x:v>Accessories</x:v>
      </x:c>
      <x:c r="E2677" t="str">
        <x:v>Handbag</x:v>
      </x:c>
      <x:c r="F2677" s="24" t="n">
        <x:v>51.73</x:v>
      </x:c>
      <x:c r="G2677" t="str">
        <x:v>Autumn</x:v>
      </x:c>
      <x:c r="H2677" t="str">
        <x:v>Cash on Delivery</x:v>
      </x:c>
      <x:c r="I2677" t="n">
        <x:v>3.4</x:v>
      </x:c>
      <x:c r="J2677" t="n">
        <x:v>10</x:v>
      </x:c>
      <x:c r="K2677" t="n">
        <x:v>5</x:v>
      </x:c>
      <x:c r="L2677" t="str">
        <x:v>STORE-001</x:v>
      </x:c>
      <x:c r="M2677" s="22" t="n">
        <x:v>46097</x:v>
      </x:c>
      <x:c r="N2677" t="str">
        <x:v>SKU-008</x:v>
      </x:c>
      <x:c r="O2677" t="n">
        <x:v>2</x:v>
      </x:c>
      <x:c r="P2677" s="26" t="n">
        <x:f>F2677/O2677</x:f>
        <x:v>25.865</x:v>
      </x:c>
    </x:row>
    <x:row r="2678">
      <x:c r="A2678" t="n">
        <x:v>2677</x:v>
      </x:c>
      <x:c r="B2678" t="n">
        <x:v>43</x:v>
      </x:c>
      <x:c r="C2678" t="str">
        <x:v>Female</x:v>
      </x:c>
      <x:c r="D2678" t="str">
        <x:v>Footwear</x:v>
      </x:c>
      <x:c r="E2678" t="str">
        <x:v>Formal Shoes</x:v>
      </x:c>
      <x:c r="F2678" s="24" t="n">
        <x:v>111.39</x:v>
      </x:c>
      <x:c r="G2678" t="str">
        <x:v>Autumn</x:v>
      </x:c>
      <x:c r="H2678" t="str">
        <x:v>Card</x:v>
      </x:c>
      <x:c r="I2678" t="n">
        <x:v>2.8</x:v>
      </x:c>
      <x:c r="J2678" t="n">
        <x:v>6</x:v>
      </x:c>
      <x:c r="K2678" t="n">
        <x:v>3</x:v>
      </x:c>
      <x:c r="L2678" t="str">
        <x:v>STORE-001</x:v>
      </x:c>
      <x:c r="M2678" s="22" t="n">
        <x:v>46144</x:v>
      </x:c>
      <x:c r="N2678" t="str">
        <x:v>SKU-007</x:v>
      </x:c>
      <x:c r="O2678" t="n">
        <x:v>1</x:v>
      </x:c>
      <x:c r="P2678" s="26" t="n">
        <x:f>F2678/O2678</x:f>
        <x:v>111.39</x:v>
      </x:c>
    </x:row>
    <x:row r="2679">
      <x:c r="A2679" t="n">
        <x:v>2678</x:v>
      </x:c>
      <x:c r="B2679" t="n">
        <x:v>40</x:v>
      </x:c>
      <x:c r="C2679" t="str">
        <x:v>Female</x:v>
      </x:c>
      <x:c r="D2679" t="str">
        <x:v>Footwear</x:v>
      </x:c>
      <x:c r="E2679" t="str">
        <x:v>Sneakers</x:v>
      </x:c>
      <x:c r="F2679" s="24" t="n">
        <x:v>184.33</x:v>
      </x:c>
      <x:c r="G2679" t="str">
        <x:v>Summer</x:v>
      </x:c>
      <x:c r="H2679" t="str">
        <x:v>Card</x:v>
      </x:c>
      <x:c r="I2679" t="n">
        <x:v>4.3</x:v>
      </x:c>
      <x:c r="J2679" t="n">
        <x:v>26</x:v>
      </x:c>
      <x:c r="K2679" t="n">
        <x:v>8</x:v>
      </x:c>
      <x:c r="L2679" t="str">
        <x:v>STORE-001</x:v>
      </x:c>
      <x:c r="M2679" s="22" t="n">
        <x:v>45999</x:v>
      </x:c>
      <x:c r="N2679" t="str">
        <x:v>SKU-025</x:v>
      </x:c>
      <x:c r="O2679" t="n">
        <x:v>2</x:v>
      </x:c>
      <x:c r="P2679" s="26" t="n">
        <x:f>F2679/O2679</x:f>
        <x:v>92.165</x:v>
      </x:c>
    </x:row>
    <x:row r="2680">
      <x:c r="A2680" t="n">
        <x:v>2679</x:v>
      </x:c>
      <x:c r="B2680" t="n">
        <x:v>32</x:v>
      </x:c>
      <x:c r="C2680" t="str">
        <x:v>Female</x:v>
      </x:c>
      <x:c r="D2680" t="str">
        <x:v>Womens Clothing</x:v>
      </x:c>
      <x:c r="E2680" t="str">
        <x:v>Dress</x:v>
      </x:c>
      <x:c r="F2680" s="24" t="n">
        <x:v>110.27</x:v>
      </x:c>
      <x:c r="G2680" t="str">
        <x:v>Winter</x:v>
      </x:c>
      <x:c r="H2680" t="str">
        <x:v>Card</x:v>
      </x:c>
      <x:c r="I2680" t="n">
        <x:v>4.4</x:v>
      </x:c>
      <x:c r="J2680" t="n">
        <x:v>18</x:v>
      </x:c>
      <x:c r="K2680" t="n">
        <x:v>4</x:v>
      </x:c>
      <x:c r="L2680" t="str">
        <x:v>STORE-001</x:v>
      </x:c>
      <x:c r="M2680" s="22" t="n">
        <x:v>46241</x:v>
      </x:c>
      <x:c r="N2680" t="str">
        <x:v>SKU-004</x:v>
      </x:c>
      <x:c r="O2680" t="n">
        <x:v>1</x:v>
      </x:c>
      <x:c r="P2680" s="26" t="n">
        <x:f>F2680/O2680</x:f>
        <x:v>110.27</x:v>
      </x:c>
    </x:row>
    <x:row r="2681">
      <x:c r="A2681" t="n">
        <x:v>2680</x:v>
      </x:c>
      <x:c r="B2681" t="n">
        <x:v>61</x:v>
      </x:c>
      <x:c r="C2681" t="str">
        <x:v>Female</x:v>
      </x:c>
      <x:c r="D2681" t="str">
        <x:v>Womens Clothing</x:v>
      </x:c>
      <x:c r="E2681" t="str">
        <x:v>Top</x:v>
      </x:c>
      <x:c r="F2681" s="24" t="n">
        <x:v>79.69</x:v>
      </x:c>
      <x:c r="G2681" t="str">
        <x:v>Autumn</x:v>
      </x:c>
      <x:c r="H2681" t="str">
        <x:v>Cash on Delivery</x:v>
      </x:c>
      <x:c r="I2681" t="n">
        <x:v>3.3</x:v>
      </x:c>
      <x:c r="J2681" t="n">
        <x:v>18</x:v>
      </x:c>
      <x:c r="K2681" t="n">
        <x:v>4</x:v>
      </x:c>
      <x:c r="L2681" t="str">
        <x:v>STORE-001</x:v>
      </x:c>
      <x:c r="M2681" s="22" t="n">
        <x:v>46102</x:v>
      </x:c>
      <x:c r="N2681" t="str">
        <x:v>SKU-028</x:v>
      </x:c>
      <x:c r="O2681" t="n">
        <x:v>1</x:v>
      </x:c>
      <x:c r="P2681" s="26" t="n">
        <x:f>F2681/O2681</x:f>
        <x:v>79.69</x:v>
      </x:c>
    </x:row>
    <x:row r="2682">
      <x:c r="A2682" t="n">
        <x:v>2681</x:v>
      </x:c>
      <x:c r="B2682" t="n">
        <x:v>54</x:v>
      </x:c>
      <x:c r="C2682" t="str">
        <x:v>Female</x:v>
      </x:c>
      <x:c r="D2682" t="str">
        <x:v>Beauty</x:v>
      </x:c>
      <x:c r="E2682" t="str">
        <x:v>Perfume</x:v>
      </x:c>
      <x:c r="F2682" s="24" t="n">
        <x:v>125.21</x:v>
      </x:c>
      <x:c r="G2682" t="str">
        <x:v>Autumn</x:v>
      </x:c>
      <x:c r="H2682" t="str">
        <x:v>Card</x:v>
      </x:c>
      <x:c r="I2682" t="n">
        <x:v>4.1</x:v>
      </x:c>
      <x:c r="J2682" t="n">
        <x:v>8</x:v>
      </x:c>
      <x:c r="K2682" t="n">
        <x:v>4</x:v>
      </x:c>
      <x:c r="L2682" t="str">
        <x:v>STORE-001</x:v>
      </x:c>
      <x:c r="M2682" s="22" t="n">
        <x:v>46163</x:v>
      </x:c>
      <x:c r="N2682" t="str">
        <x:v>SKU-017</x:v>
      </x:c>
      <x:c r="O2682" t="n">
        <x:v>2</x:v>
      </x:c>
      <x:c r="P2682" s="26" t="n">
        <x:f>F2682/O2682</x:f>
        <x:v>62.605</x:v>
      </x:c>
    </x:row>
    <x:row r="2683">
      <x:c r="A2683" t="n">
        <x:v>2682</x:v>
      </x:c>
      <x:c r="B2683" t="n">
        <x:v>66</x:v>
      </x:c>
      <x:c r="C2683" t="str">
        <x:v>Male</x:v>
      </x:c>
      <x:c r="D2683" t="str">
        <x:v>Groceries</x:v>
      </x:c>
      <x:c r="E2683" t="str">
        <x:v>Beverages</x:v>
      </x:c>
      <x:c r="F2683" s="24" t="n">
        <x:v>5.08</x:v>
      </x:c>
      <x:c r="G2683" t="str">
        <x:v>Winter</x:v>
      </x:c>
      <x:c r="H2683" t="str">
        <x:v>Cash on Delivery</x:v>
      </x:c>
      <x:c r="I2683" t="n">
        <x:v>4.9</x:v>
      </x:c>
      <x:c r="J2683" t="n">
        <x:v>17</x:v>
      </x:c>
      <x:c r="K2683" t="n">
        <x:v>6</x:v>
      </x:c>
      <x:c r="L2683" t="str">
        <x:v>STORE-001</x:v>
      </x:c>
      <x:c r="M2683" s="22" t="n">
        <x:v>46252</x:v>
      </x:c>
      <x:c r="N2683" t="str">
        <x:v>SKU-001</x:v>
      </x:c>
      <x:c r="O2683" t="n">
        <x:v>2</x:v>
      </x:c>
      <x:c r="P2683" s="26" t="n">
        <x:f>F2683/O2683</x:f>
        <x:v>2.54</x:v>
      </x:c>
    </x:row>
    <x:row r="2684">
      <x:c r="A2684" t="n">
        <x:v>2683</x:v>
      </x:c>
      <x:c r="B2684" t="n">
        <x:v>69</x:v>
      </x:c>
      <x:c r="C2684" t="str">
        <x:v>Female</x:v>
      </x:c>
      <x:c r="D2684" t="str">
        <x:v>Footwear</x:v>
      </x:c>
      <x:c r="E2684" t="str">
        <x:v>Sneakers</x:v>
      </x:c>
      <x:c r="F2684" s="24" t="n">
        <x:v>228.38</x:v>
      </x:c>
      <x:c r="G2684" t="str">
        <x:v>Autumn</x:v>
      </x:c>
      <x:c r="H2684" t="str">
        <x:v>Card</x:v>
      </x:c>
      <x:c r="I2684" t="n">
        <x:v>4</x:v>
      </x:c>
      <x:c r="J2684" t="n">
        <x:v>14</x:v>
      </x:c>
      <x:c r="K2684" t="n">
        <x:v>7</x:v>
      </x:c>
      <x:c r="L2684" t="str">
        <x:v>STORE-001</x:v>
      </x:c>
      <x:c r="M2684" s="22" t="n">
        <x:v>46128</x:v>
      </x:c>
      <x:c r="N2684" t="str">
        <x:v>SKU-025</x:v>
      </x:c>
      <x:c r="O2684" t="n">
        <x:v>1</x:v>
      </x:c>
      <x:c r="P2684" s="26" t="n">
        <x:f>F2684/O2684</x:f>
        <x:v>228.38</x:v>
      </x:c>
    </x:row>
    <x:row r="2685">
      <x:c r="A2685" t="n">
        <x:v>2684</x:v>
      </x:c>
      <x:c r="B2685" t="n">
        <x:v>27</x:v>
      </x:c>
      <x:c r="C2685" t="str">
        <x:v>Male</x:v>
      </x:c>
      <x:c r="D2685" t="str">
        <x:v>Footwear</x:v>
      </x:c>
      <x:c r="E2685" t="str">
        <x:v>Sandals</x:v>
      </x:c>
      <x:c r="F2685" s="24" t="n">
        <x:v>146.57</x:v>
      </x:c>
      <x:c r="G2685" t="str">
        <x:v>Winter</x:v>
      </x:c>
      <x:c r="H2685" t="str">
        <x:v>Card</x:v>
      </x:c>
      <x:c r="I2685" t="n">
        <x:v>3.2</x:v>
      </x:c>
      <x:c r="J2685" t="n">
        <x:v>15</x:v>
      </x:c>
      <x:c r="K2685" t="n">
        <x:v>5</x:v>
      </x:c>
      <x:c r="L2685" t="str">
        <x:v>STORE-001</x:v>
      </x:c>
      <x:c r="M2685" s="22" t="n">
        <x:v>46204</x:v>
      </x:c>
      <x:c r="N2685" t="str">
        <x:v>SKU-019</x:v>
      </x:c>
      <x:c r="O2685" t="n">
        <x:v>2</x:v>
      </x:c>
      <x:c r="P2685" s="26" t="n">
        <x:f>F2685/O2685</x:f>
        <x:v>73.285</x:v>
      </x:c>
    </x:row>
    <x:row r="2686">
      <x:c r="A2686" t="n">
        <x:v>2685</x:v>
      </x:c>
      <x:c r="B2686" t="n">
        <x:v>64</x:v>
      </x:c>
      <x:c r="C2686" t="str">
        <x:v>Female</x:v>
      </x:c>
      <x:c r="D2686" t="str">
        <x:v>Footwear</x:v>
      </x:c>
      <x:c r="E2686" t="str">
        <x:v>Sandals</x:v>
      </x:c>
      <x:c r="F2686" s="24" t="n">
        <x:v>90.12</x:v>
      </x:c>
      <x:c r="G2686" t="str">
        <x:v>Winter</x:v>
      </x:c>
      <x:c r="H2686" t="str">
        <x:v>Card</x:v>
      </x:c>
      <x:c r="I2686" t="n">
        <x:v>5</x:v>
      </x:c>
      <x:c r="J2686" t="n">
        <x:v>13</x:v>
      </x:c>
      <x:c r="K2686" t="n">
        <x:v>4</x:v>
      </x:c>
      <x:c r="L2686" t="str">
        <x:v>STORE-001</x:v>
      </x:c>
      <x:c r="M2686" s="22" t="n">
        <x:v>46259</x:v>
      </x:c>
      <x:c r="N2686" t="str">
        <x:v>SKU-019</x:v>
      </x:c>
      <x:c r="O2686" t="n">
        <x:v>1</x:v>
      </x:c>
      <x:c r="P2686" s="26" t="n">
        <x:f>F2686/O2686</x:f>
        <x:v>90.12</x:v>
      </x:c>
    </x:row>
    <x:row r="2687">
      <x:c r="A2687" t="n">
        <x:v>2686</x:v>
      </x:c>
      <x:c r="B2687" t="n">
        <x:v>46</x:v>
      </x:c>
      <x:c r="C2687" t="str">
        <x:v>Male</x:v>
      </x:c>
      <x:c r="D2687" t="str">
        <x:v>Sports</x:v>
      </x:c>
      <x:c r="E2687" t="str">
        <x:v>Dumbbells</x:v>
      </x:c>
      <x:c r="F2687" s="24" t="n">
        <x:v>180.39</x:v>
      </x:c>
      <x:c r="G2687" t="str">
        <x:v>Winter</x:v>
      </x:c>
      <x:c r="H2687" t="str">
        <x:v>Card</x:v>
      </x:c>
      <x:c r="I2687" t="n">
        <x:v>5</x:v>
      </x:c>
      <x:c r="J2687" t="n">
        <x:v>11</x:v>
      </x:c>
      <x:c r="K2687" t="n">
        <x:v>3</x:v>
      </x:c>
      <x:c r="L2687" t="str">
        <x:v>STORE-001</x:v>
      </x:c>
      <x:c r="M2687" s="22" t="n">
        <x:v>46200</x:v>
      </x:c>
      <x:c r="N2687" t="str">
        <x:v>SKU-005</x:v>
      </x:c>
      <x:c r="O2687" t="n">
        <x:v>1</x:v>
      </x:c>
      <x:c r="P2687" s="26" t="n">
        <x:f>F2687/O2687</x:f>
        <x:v>180.39</x:v>
      </x:c>
    </x:row>
    <x:row r="2688">
      <x:c r="A2688" t="n">
        <x:v>2687</x:v>
      </x:c>
      <x:c r="B2688" t="n">
        <x:v>21</x:v>
      </x:c>
      <x:c r="C2688" t="str">
        <x:v>Female</x:v>
      </x:c>
      <x:c r="D2688" t="str">
        <x:v>Footwear</x:v>
      </x:c>
      <x:c r="E2688" t="str">
        <x:v>Sandals</x:v>
      </x:c>
      <x:c r="F2688" s="24" t="n">
        <x:v>234.56</x:v>
      </x:c>
      <x:c r="G2688" t="str">
        <x:v>Summer</x:v>
      </x:c>
      <x:c r="H2688" t="str">
        <x:v>Card</x:v>
      </x:c>
      <x:c r="I2688" t="n">
        <x:v>4.1</x:v>
      </x:c>
      <x:c r="J2688" t="n">
        <x:v>15</x:v>
      </x:c>
      <x:c r="K2688" t="n">
        <x:v>5</x:v>
      </x:c>
      <x:c r="L2688" t="str">
        <x:v>STORE-001</x:v>
      </x:c>
      <x:c r="M2688" s="22" t="n">
        <x:v>46078</x:v>
      </x:c>
      <x:c r="N2688" t="str">
        <x:v>SKU-019</x:v>
      </x:c>
      <x:c r="O2688" t="n">
        <x:v>1</x:v>
      </x:c>
      <x:c r="P2688" s="26" t="n">
        <x:f>F2688/O2688</x:f>
        <x:v>234.56</x:v>
      </x:c>
    </x:row>
    <x:row r="2689">
      <x:c r="A2689" t="n">
        <x:v>2688</x:v>
      </x:c>
      <x:c r="B2689" t="n">
        <x:v>31</x:v>
      </x:c>
      <x:c r="C2689" t="str">
        <x:v>Male</x:v>
      </x:c>
      <x:c r="D2689" t="str">
        <x:v>Mens Clothing</x:v>
      </x:c>
      <x:c r="E2689" t="str">
        <x:v>Jeans</x:v>
      </x:c>
      <x:c r="F2689" s="24" t="n">
        <x:v>172.58</x:v>
      </x:c>
      <x:c r="G2689" t="str">
        <x:v>Autumn</x:v>
      </x:c>
      <x:c r="H2689" t="str">
        <x:v>Card</x:v>
      </x:c>
      <x:c r="I2689" t="n">
        <x:v>2.4</x:v>
      </x:c>
      <x:c r="J2689" t="n">
        <x:v>18</x:v>
      </x:c>
      <x:c r="K2689" t="n">
        <x:v>4</x:v>
      </x:c>
      <x:c r="L2689" t="str">
        <x:v>STORE-001</x:v>
      </x:c>
      <x:c r="M2689" s="22" t="n">
        <x:v>46121</x:v>
      </x:c>
      <x:c r="N2689" t="str">
        <x:v>SKU-011</x:v>
      </x:c>
      <x:c r="O2689" t="n">
        <x:v>1</x:v>
      </x:c>
      <x:c r="P2689" s="26" t="n">
        <x:f>F2689/O2689</x:f>
        <x:v>172.58</x:v>
      </x:c>
    </x:row>
    <x:row r="2690">
      <x:c r="A2690" t="n">
        <x:v>2689</x:v>
      </x:c>
      <x:c r="B2690" t="n">
        <x:v>69</x:v>
      </x:c>
      <x:c r="C2690" t="str">
        <x:v>Female</x:v>
      </x:c>
      <x:c r="D2690" t="str">
        <x:v>Footwear</x:v>
      </x:c>
      <x:c r="E2690" t="str">
        <x:v>Formal Shoes</x:v>
      </x:c>
      <x:c r="F2690" s="24" t="n">
        <x:v>90.11</x:v>
      </x:c>
      <x:c r="G2690" t="str">
        <x:v>Autumn</x:v>
      </x:c>
      <x:c r="H2690" t="str">
        <x:v>Cash on Delivery</x:v>
      </x:c>
      <x:c r="I2690" t="n">
        <x:v>3.3</x:v>
      </x:c>
      <x:c r="J2690" t="n">
        <x:v>15</x:v>
      </x:c>
      <x:c r="K2690" t="n">
        <x:v>5</x:v>
      </x:c>
      <x:c r="L2690" t="str">
        <x:v>STORE-001</x:v>
      </x:c>
      <x:c r="M2690" s="22" t="n">
        <x:v>46145</x:v>
      </x:c>
      <x:c r="N2690" t="str">
        <x:v>SKU-007</x:v>
      </x:c>
      <x:c r="O2690" t="n">
        <x:v>2</x:v>
      </x:c>
      <x:c r="P2690" s="26" t="n">
        <x:f>F2690/O2690</x:f>
        <x:v>45.055</x:v>
      </x:c>
    </x:row>
    <x:row r="2691">
      <x:c r="A2691" t="n">
        <x:v>2690</x:v>
      </x:c>
      <x:c r="B2691" t="n">
        <x:v>55</x:v>
      </x:c>
      <x:c r="C2691" t="str">
        <x:v>Female</x:v>
      </x:c>
      <x:c r="D2691" t="str">
        <x:v>Womens Clothing</x:v>
      </x:c>
      <x:c r="E2691" t="str">
        <x:v>Skirt</x:v>
      </x:c>
      <x:c r="F2691" s="24" t="n">
        <x:v>159.87</x:v>
      </x:c>
      <x:c r="G2691" t="str">
        <x:v>Winter</x:v>
      </x:c>
      <x:c r="H2691" t="str">
        <x:v>Card</x:v>
      </x:c>
      <x:c r="I2691" t="n">
        <x:v>3.6</x:v>
      </x:c>
      <x:c r="J2691" t="n">
        <x:v>8</x:v>
      </x:c>
      <x:c r="K2691" t="n">
        <x:v>4</x:v>
      </x:c>
      <x:c r="L2691" t="str">
        <x:v>STORE-001</x:v>
      </x:c>
      <x:c r="M2691" s="22" t="n">
        <x:v>46238</x:v>
      </x:c>
      <x:c r="N2691" t="str">
        <x:v>SKU-022</x:v>
      </x:c>
      <x:c r="O2691" t="n">
        <x:v>1</x:v>
      </x:c>
      <x:c r="P2691" s="26" t="n">
        <x:f>F2691/O2691</x:f>
        <x:v>159.87</x:v>
      </x:c>
    </x:row>
    <x:row r="2692">
      <x:c r="A2692" t="n">
        <x:v>2691</x:v>
      </x:c>
      <x:c r="B2692" t="n">
        <x:v>50</x:v>
      </x:c>
      <x:c r="C2692" t="str">
        <x:v>Female</x:v>
      </x:c>
      <x:c r="D2692" t="str">
        <x:v>Footwear</x:v>
      </x:c>
      <x:c r="E2692" t="str">
        <x:v>Sandals</x:v>
      </x:c>
      <x:c r="F2692" s="24" t="n">
        <x:v>95.51</x:v>
      </x:c>
      <x:c r="G2692" t="str">
        <x:v>Spring</x:v>
      </x:c>
      <x:c r="H2692" t="str">
        <x:v>Card</x:v>
      </x:c>
      <x:c r="I2692" t="n">
        <x:v>5</x:v>
      </x:c>
      <x:c r="J2692" t="n">
        <x:v>20</x:v>
      </x:c>
      <x:c r="K2692" t="n">
        <x:v>5</x:v>
      </x:c>
      <x:c r="L2692" t="str">
        <x:v>STORE-001</x:v>
      </x:c>
      <x:c r="M2692" s="22" t="n">
        <x:v>45948</x:v>
      </x:c>
      <x:c r="N2692" t="str">
        <x:v>SKU-019</x:v>
      </x:c>
      <x:c r="O2692" t="n">
        <x:v>3</x:v>
      </x:c>
      <x:c r="P2692" s="26" t="n">
        <x:f>F2692/O2692</x:f>
        <x:v>31.83666666666667</x:v>
      </x:c>
    </x:row>
    <x:row r="2693">
      <x:c r="A2693" t="n">
        <x:v>2692</x:v>
      </x:c>
      <x:c r="B2693" t="n">
        <x:v>68</x:v>
      </x:c>
      <x:c r="C2693" t="str">
        <x:v>Male</x:v>
      </x:c>
      <x:c r="D2693" t="str">
        <x:v>Sports</x:v>
      </x:c>
      <x:c r="E2693" t="str">
        <x:v>Dumbbells</x:v>
      </x:c>
      <x:c r="F2693" s="24" t="n">
        <x:v>84.67</x:v>
      </x:c>
      <x:c r="G2693" t="str">
        <x:v>Autumn</x:v>
      </x:c>
      <x:c r="H2693" t="str">
        <x:v>Card</x:v>
      </x:c>
      <x:c r="I2693" t="n">
        <x:v>3</x:v>
      </x:c>
      <x:c r="J2693" t="n">
        <x:v>13</x:v>
      </x:c>
      <x:c r="K2693" t="n">
        <x:v>4</x:v>
      </x:c>
      <x:c r="L2693" t="str">
        <x:v>STORE-001</x:v>
      </x:c>
      <x:c r="M2693" s="22" t="n">
        <x:v>46154</x:v>
      </x:c>
      <x:c r="N2693" t="str">
        <x:v>SKU-005</x:v>
      </x:c>
      <x:c r="O2693" t="n">
        <x:v>1</x:v>
      </x:c>
      <x:c r="P2693" s="26" t="n">
        <x:f>F2693/O2693</x:f>
        <x:v>84.67</x:v>
      </x:c>
    </x:row>
    <x:row r="2694">
      <x:c r="A2694" t="n">
        <x:v>2693</x:v>
      </x:c>
      <x:c r="B2694" t="n">
        <x:v>64</x:v>
      </x:c>
      <x:c r="C2694" t="str">
        <x:v>Male</x:v>
      </x:c>
      <x:c r="D2694" t="str">
        <x:v>Sports</x:v>
      </x:c>
      <x:c r="E2694" t="str">
        <x:v>Dumbbells</x:v>
      </x:c>
      <x:c r="F2694" s="24" t="n">
        <x:v>25.56</x:v>
      </x:c>
      <x:c r="G2694" t="str">
        <x:v>Winter</x:v>
      </x:c>
      <x:c r="H2694" t="str">
        <x:v>Cash on Delivery</x:v>
      </x:c>
      <x:c r="I2694" t="n">
        <x:v>3.2</x:v>
      </x:c>
      <x:c r="J2694" t="n">
        <x:v>11</x:v>
      </x:c>
      <x:c r="K2694" t="n">
        <x:v>3</x:v>
      </x:c>
      <x:c r="L2694" t="str">
        <x:v>STORE-001</x:v>
      </x:c>
      <x:c r="M2694" s="22" t="n">
        <x:v>46184</x:v>
      </x:c>
      <x:c r="N2694" t="str">
        <x:v>SKU-005</x:v>
      </x:c>
      <x:c r="O2694" t="n">
        <x:v>1</x:v>
      </x:c>
      <x:c r="P2694" s="26" t="n">
        <x:f>F2694/O2694</x:f>
        <x:v>25.56</x:v>
      </x:c>
    </x:row>
    <x:row r="2695">
      <x:c r="A2695" t="n">
        <x:v>2694</x:v>
      </x:c>
      <x:c r="B2695" t="n">
        <x:v>63</x:v>
      </x:c>
      <x:c r="C2695" t="str">
        <x:v>Female</x:v>
      </x:c>
      <x:c r="D2695" t="str">
        <x:v>Beauty</x:v>
      </x:c>
      <x:c r="E2695" t="str">
        <x:v>Perfume</x:v>
      </x:c>
      <x:c r="F2695" s="24" t="n">
        <x:v>49.07</x:v>
      </x:c>
      <x:c r="G2695" t="str">
        <x:v>Autumn</x:v>
      </x:c>
      <x:c r="H2695" t="str">
        <x:v>Card</x:v>
      </x:c>
      <x:c r="I2695" t="n">
        <x:v>4.6</x:v>
      </x:c>
      <x:c r="J2695" t="n">
        <x:v>6</x:v>
      </x:c>
      <x:c r="K2695" t="n">
        <x:v>3</x:v>
      </x:c>
      <x:c r="L2695" t="str">
        <x:v>STORE-001</x:v>
      </x:c>
      <x:c r="M2695" s="22" t="n">
        <x:v>46100</x:v>
      </x:c>
      <x:c r="N2695" t="str">
        <x:v>SKU-017</x:v>
      </x:c>
      <x:c r="O2695" t="n">
        <x:v>1</x:v>
      </x:c>
      <x:c r="P2695" s="26" t="n">
        <x:f>F2695/O2695</x:f>
        <x:v>49.07</x:v>
      </x:c>
    </x:row>
    <x:row r="2696">
      <x:c r="A2696" t="n">
        <x:v>2695</x:v>
      </x:c>
      <x:c r="B2696" t="n">
        <x:v>32</x:v>
      </x:c>
      <x:c r="C2696" t="str">
        <x:v>Male</x:v>
      </x:c>
      <x:c r="D2696" t="str">
        <x:v>Mens Clothing</x:v>
      </x:c>
      <x:c r="E2696" t="str">
        <x:v>Shirt</x:v>
      </x:c>
      <x:c r="F2696" s="24" t="n">
        <x:v>73.68</x:v>
      </x:c>
      <x:c r="G2696" t="str">
        <x:v>Spring</x:v>
      </x:c>
      <x:c r="H2696" t="str">
        <x:v>Cash on Delivery</x:v>
      </x:c>
      <x:c r="I2696" t="n">
        <x:v>4.5</x:v>
      </x:c>
      <x:c r="J2696" t="n">
        <x:v>22</x:v>
      </x:c>
      <x:c r="K2696" t="n">
        <x:v>6</x:v>
      </x:c>
      <x:c r="L2696" t="str">
        <x:v>STORE-001</x:v>
      </x:c>
      <x:c r="M2696" s="22" t="n">
        <x:v>45978</x:v>
      </x:c>
      <x:c r="N2696" t="str">
        <x:v>SKU-020</x:v>
      </x:c>
      <x:c r="O2696" t="n">
        <x:v>2</x:v>
      </x:c>
      <x:c r="P2696" s="26" t="n">
        <x:f>F2696/O2696</x:f>
        <x:v>36.84</x:v>
      </x:c>
    </x:row>
    <x:row r="2697">
      <x:c r="A2697" t="n">
        <x:v>2696</x:v>
      </x:c>
      <x:c r="B2697" t="n">
        <x:v>36</x:v>
      </x:c>
      <x:c r="C2697" t="str">
        <x:v>Male</x:v>
      </x:c>
      <x:c r="D2697" t="str">
        <x:v>Sports</x:v>
      </x:c>
      <x:c r="E2697" t="str">
        <x:v>Dumbbells</x:v>
      </x:c>
      <x:c r="F2697" s="24" t="n">
        <x:v>116.83</x:v>
      </x:c>
      <x:c r="G2697" t="str">
        <x:v>Autumn</x:v>
      </x:c>
      <x:c r="H2697" t="str">
        <x:v>Card</x:v>
      </x:c>
      <x:c r="I2697" t="n">
        <x:v>4</x:v>
      </x:c>
      <x:c r="J2697" t="n">
        <x:v>14</x:v>
      </x:c>
      <x:c r="K2697" t="n">
        <x:v>7</x:v>
      </x:c>
      <x:c r="L2697" t="str">
        <x:v>STORE-001</x:v>
      </x:c>
      <x:c r="M2697" s="22" t="n">
        <x:v>46134</x:v>
      </x:c>
      <x:c r="N2697" t="str">
        <x:v>SKU-005</x:v>
      </x:c>
      <x:c r="O2697" t="n">
        <x:v>3</x:v>
      </x:c>
      <x:c r="P2697" s="26" t="n">
        <x:f>F2697/O2697</x:f>
        <x:v>38.943333333333335</x:v>
      </x:c>
    </x:row>
    <x:row r="2698">
      <x:c r="A2698" t="n">
        <x:v>2697</x:v>
      </x:c>
      <x:c r="B2698" t="n">
        <x:v>49</x:v>
      </x:c>
      <x:c r="C2698" t="str">
        <x:v>Male</x:v>
      </x:c>
      <x:c r="D2698" t="str">
        <x:v>Electronics</x:v>
      </x:c>
      <x:c r="E2698" t="str">
        <x:v>Mobile Phone</x:v>
      </x:c>
      <x:c r="F2698" s="24" t="n">
        <x:v>1896.33</x:v>
      </x:c>
      <x:c r="G2698" t="str">
        <x:v>Autumn</x:v>
      </x:c>
      <x:c r="H2698" t="str">
        <x:v>Card</x:v>
      </x:c>
      <x:c r="I2698" t="n">
        <x:v>3.7</x:v>
      </x:c>
      <x:c r="J2698" t="n">
        <x:v>14</x:v>
      </x:c>
      <x:c r="K2698" t="n">
        <x:v>7</x:v>
      </x:c>
      <x:c r="L2698" t="str">
        <x:v>STORE-001</x:v>
      </x:c>
      <x:c r="M2698" s="22" t="n">
        <x:v>46103</x:v>
      </x:c>
      <x:c r="N2698" t="str">
        <x:v>SKU-016</x:v>
      </x:c>
      <x:c r="O2698" t="n">
        <x:v>1</x:v>
      </x:c>
      <x:c r="P2698" s="26" t="n">
        <x:f>F2698/O2698</x:f>
        <x:v>1896.33</x:v>
      </x:c>
    </x:row>
    <x:row r="2699">
      <x:c r="A2699" t="n">
        <x:v>2698</x:v>
      </x:c>
      <x:c r="B2699" t="n">
        <x:v>48</x:v>
      </x:c>
      <x:c r="C2699" t="str">
        <x:v>Female</x:v>
      </x:c>
      <x:c r="D2699" t="str">
        <x:v>Beauty</x:v>
      </x:c>
      <x:c r="E2699" t="str">
        <x:v>Skincare Kit</x:v>
      </x:c>
      <x:c r="F2699" s="24" t="n">
        <x:v>27.41</x:v>
      </x:c>
      <x:c r="G2699" t="str">
        <x:v>Spring</x:v>
      </x:c>
      <x:c r="H2699" t="str">
        <x:v>Card</x:v>
      </x:c>
      <x:c r="I2699" t="n">
        <x:v>5</x:v>
      </x:c>
      <x:c r="J2699" t="n">
        <x:v>14</x:v>
      </x:c>
      <x:c r="K2699" t="n">
        <x:v>2</x:v>
      </x:c>
      <x:c r="L2699" t="str">
        <x:v>STORE-001</x:v>
      </x:c>
      <x:c r="M2699" s="22" t="n">
        <x:v>46286</x:v>
      </x:c>
      <x:c r="N2699" t="str">
        <x:v>SKU-021</x:v>
      </x:c>
      <x:c r="O2699" t="n">
        <x:v>4</x:v>
      </x:c>
      <x:c r="P2699" s="26" t="n">
        <x:f>F2699/O2699</x:f>
        <x:v>6.8525</x:v>
      </x:c>
    </x:row>
    <x:row r="2700">
      <x:c r="A2700" t="n">
        <x:v>2699</x:v>
      </x:c>
      <x:c r="B2700" t="n">
        <x:v>57</x:v>
      </x:c>
      <x:c r="C2700" t="str">
        <x:v>Male</x:v>
      </x:c>
      <x:c r="D2700" t="str">
        <x:v>Mens Clothing</x:v>
      </x:c>
      <x:c r="E2700" t="str">
        <x:v>Jeans</x:v>
      </x:c>
      <x:c r="F2700" s="24" t="n">
        <x:v>160.88</x:v>
      </x:c>
      <x:c r="G2700" t="str">
        <x:v>Summer</x:v>
      </x:c>
      <x:c r="H2700" t="str">
        <x:v>Card</x:v>
      </x:c>
      <x:c r="I2700" t="n">
        <x:v>2.9</x:v>
      </x:c>
      <x:c r="J2700" t="n">
        <x:v>20</x:v>
      </x:c>
      <x:c r="K2700" t="n">
        <x:v>5</x:v>
      </x:c>
      <x:c r="L2700" t="str">
        <x:v>STORE-001</x:v>
      </x:c>
      <x:c r="M2700" s="22" t="n">
        <x:v>46028</x:v>
      </x:c>
      <x:c r="N2700" t="str">
        <x:v>SKU-011</x:v>
      </x:c>
      <x:c r="O2700" t="n">
        <x:v>1</x:v>
      </x:c>
      <x:c r="P2700" s="26" t="n">
        <x:f>F2700/O2700</x:f>
        <x:v>160.88</x:v>
      </x:c>
    </x:row>
    <x:row r="2701">
      <x:c r="A2701" t="n">
        <x:v>2700</x:v>
      </x:c>
      <x:c r="B2701" t="n">
        <x:v>47</x:v>
      </x:c>
      <x:c r="C2701" t="str">
        <x:v>Female</x:v>
      </x:c>
      <x:c r="D2701" t="str">
        <x:v>Beauty</x:v>
      </x:c>
      <x:c r="E2701" t="str">
        <x:v>Skincare Kit</x:v>
      </x:c>
      <x:c r="F2701" s="24" t="n">
        <x:v>133.68</x:v>
      </x:c>
      <x:c r="G2701" t="str">
        <x:v>Summer</x:v>
      </x:c>
      <x:c r="H2701" t="str">
        <x:v>Card</x:v>
      </x:c>
      <x:c r="I2701" t="n">
        <x:v>4.9</x:v>
      </x:c>
      <x:c r="J2701" t="n">
        <x:v>12</x:v>
      </x:c>
      <x:c r="K2701" t="n">
        <x:v>1</x:v>
      </x:c>
      <x:c r="L2701" t="str">
        <x:v>STORE-001</x:v>
      </x:c>
      <x:c r="M2701" s="22" t="n">
        <x:v>46014</x:v>
      </x:c>
      <x:c r="N2701" t="str">
        <x:v>SKU-021</x:v>
      </x:c>
      <x:c r="O2701" t="n">
        <x:v>1</x:v>
      </x:c>
      <x:c r="P2701" s="26" t="n">
        <x:f>F2701/O2701</x:f>
        <x:v>133.68</x:v>
      </x:c>
    </x:row>
    <x:row r="2702">
      <x:c r="A2702" t="n">
        <x:v>2701</x:v>
      </x:c>
      <x:c r="B2702" t="n">
        <x:v>64</x:v>
      </x:c>
      <x:c r="C2702" t="str">
        <x:v>Male</x:v>
      </x:c>
      <x:c r="D2702" t="str">
        <x:v>Electronics</x:v>
      </x:c>
      <x:c r="E2702" t="str">
        <x:v>Laptop</x:v>
      </x:c>
      <x:c r="F2702" s="24" t="n">
        <x:v>2526.33</x:v>
      </x:c>
      <x:c r="G2702" t="str">
        <x:v>Spring</x:v>
      </x:c>
      <x:c r="H2702" t="str">
        <x:v>Card</x:v>
      </x:c>
      <x:c r="I2702" t="n">
        <x:v>4.7</x:v>
      </x:c>
      <x:c r="J2702" t="n">
        <x:v>11</x:v>
      </x:c>
      <x:c r="K2702" t="n">
        <x:v>3</x:v>
      </x:c>
      <x:c r="L2702" t="str">
        <x:v>STORE-001</x:v>
      </x:c>
      <x:c r="M2702" s="22" t="n">
        <x:v>45934</x:v>
      </x:c>
      <x:c r="N2702" t="str">
        <x:v>SKU-014</x:v>
      </x:c>
      <x:c r="O2702" t="n">
        <x:v>2</x:v>
      </x:c>
      <x:c r="P2702" s="26" t="n">
        <x:f>F2702/O2702</x:f>
        <x:v>1263.165</x:v>
      </x:c>
    </x:row>
    <x:row r="2703">
      <x:c r="A2703" t="n">
        <x:v>2702</x:v>
      </x:c>
      <x:c r="B2703" t="n">
        <x:v>43</x:v>
      </x:c>
      <x:c r="C2703" t="str">
        <x:v>Female</x:v>
      </x:c>
      <x:c r="D2703" t="str">
        <x:v>Beauty</x:v>
      </x:c>
      <x:c r="E2703" t="str">
        <x:v>Perfume</x:v>
      </x:c>
      <x:c r="F2703" s="24" t="n">
        <x:v>52.38</x:v>
      </x:c>
      <x:c r="G2703" t="str">
        <x:v>Spring</x:v>
      </x:c>
      <x:c r="H2703" t="str">
        <x:v>Cash on Delivery</x:v>
      </x:c>
      <x:c r="I2703" t="n">
        <x:v>4.5</x:v>
      </x:c>
      <x:c r="J2703" t="n">
        <x:v>13</x:v>
      </x:c>
      <x:c r="K2703" t="n">
        <x:v>4</x:v>
      </x:c>
      <x:c r="L2703" t="str">
        <x:v>STORE-001</x:v>
      </x:c>
      <x:c r="M2703" s="22" t="n">
        <x:v>45940</x:v>
      </x:c>
      <x:c r="N2703" t="str">
        <x:v>SKU-017</x:v>
      </x:c>
      <x:c r="O2703" t="n">
        <x:v>1</x:v>
      </x:c>
      <x:c r="P2703" s="26" t="n">
        <x:f>F2703/O2703</x:f>
        <x:v>52.38</x:v>
      </x:c>
    </x:row>
    <x:row r="2704">
      <x:c r="A2704" t="n">
        <x:v>2703</x:v>
      </x:c>
      <x:c r="B2704" t="n">
        <x:v>46</x:v>
      </x:c>
      <x:c r="C2704" t="str">
        <x:v>Male</x:v>
      </x:c>
      <x:c r="D2704" t="str">
        <x:v>Footwear</x:v>
      </x:c>
      <x:c r="E2704" t="str">
        <x:v>Sandals</x:v>
      </x:c>
      <x:c r="F2704" s="24" t="n">
        <x:v>172.43</x:v>
      </x:c>
      <x:c r="G2704" t="str">
        <x:v>Autumn</x:v>
      </x:c>
      <x:c r="H2704" t="str">
        <x:v>Card</x:v>
      </x:c>
      <x:c r="I2704" t="n">
        <x:v>3.7</x:v>
      </x:c>
      <x:c r="J2704" t="n">
        <x:v>28</x:v>
      </x:c>
      <x:c r="K2704" t="n">
        <x:v>9</x:v>
      </x:c>
      <x:c r="L2704" t="str">
        <x:v>STORE-001</x:v>
      </x:c>
      <x:c r="M2704" s="22" t="n">
        <x:v>46128</x:v>
      </x:c>
      <x:c r="N2704" t="str">
        <x:v>SKU-019</x:v>
      </x:c>
      <x:c r="O2704" t="n">
        <x:v>1</x:v>
      </x:c>
      <x:c r="P2704" s="26" t="n">
        <x:f>F2704/O2704</x:f>
        <x:v>172.43</x:v>
      </x:c>
    </x:row>
    <x:row r="2705">
      <x:c r="A2705" t="n">
        <x:v>2704</x:v>
      </x:c>
      <x:c r="B2705" t="n">
        <x:v>31</x:v>
      </x:c>
      <x:c r="C2705" t="str">
        <x:v>Female</x:v>
      </x:c>
      <x:c r="D2705" t="str">
        <x:v>Beauty</x:v>
      </x:c>
      <x:c r="E2705" t="str">
        <x:v>Perfume</x:v>
      </x:c>
      <x:c r="F2705" s="24" t="n">
        <x:v>22.43</x:v>
      </x:c>
      <x:c r="G2705" t="str">
        <x:v>Spring</x:v>
      </x:c>
      <x:c r="H2705" t="str">
        <x:v>Cash on Delivery</x:v>
      </x:c>
      <x:c r="I2705" t="n">
        <x:v>5</x:v>
      </x:c>
      <x:c r="J2705" t="n">
        <x:v>20</x:v>
      </x:c>
      <x:c r="K2705" t="n">
        <x:v>5</x:v>
      </x:c>
      <x:c r="L2705" t="str">
        <x:v>STORE-001</x:v>
      </x:c>
      <x:c r="M2705" s="22" t="n">
        <x:v>46291</x:v>
      </x:c>
      <x:c r="N2705" t="str">
        <x:v>SKU-017</x:v>
      </x:c>
      <x:c r="O2705" t="n">
        <x:v>1</x:v>
      </x:c>
      <x:c r="P2705" s="26" t="n">
        <x:f>F2705/O2705</x:f>
        <x:v>22.43</x:v>
      </x:c>
    </x:row>
    <x:row r="2706">
      <x:c r="A2706" t="n">
        <x:v>2705</x:v>
      </x:c>
      <x:c r="B2706" t="n">
        <x:v>57</x:v>
      </x:c>
      <x:c r="C2706" t="str">
        <x:v>Female</x:v>
      </x:c>
      <x:c r="D2706" t="str">
        <x:v>Beauty</x:v>
      </x:c>
      <x:c r="E2706" t="str">
        <x:v>Makeup Set</x:v>
      </x:c>
      <x:c r="F2706" s="24" t="n">
        <x:v>134.93</x:v>
      </x:c>
      <x:c r="G2706" t="str">
        <x:v>Spring</x:v>
      </x:c>
      <x:c r="H2706" t="str">
        <x:v>Card</x:v>
      </x:c>
      <x:c r="I2706" t="n">
        <x:v>4.5</x:v>
      </x:c>
      <x:c r="J2706" t="n">
        <x:v>16</x:v>
      </x:c>
      <x:c r="K2706" t="n">
        <x:v>3</x:v>
      </x:c>
      <x:c r="L2706" t="str">
        <x:v>STORE-001</x:v>
      </x:c>
      <x:c r="M2706" s="22" t="n">
        <x:v>46272</x:v>
      </x:c>
      <x:c r="N2706" t="str">
        <x:v>SKU-015</x:v>
      </x:c>
      <x:c r="O2706" t="n">
        <x:v>1</x:v>
      </x:c>
      <x:c r="P2706" s="26" t="n">
        <x:f>F2706/O2706</x:f>
        <x:v>134.93</x:v>
      </x:c>
    </x:row>
    <x:row r="2707">
      <x:c r="A2707" t="n">
        <x:v>2706</x:v>
      </x:c>
      <x:c r="B2707" t="n">
        <x:v>28</x:v>
      </x:c>
      <x:c r="C2707" t="str">
        <x:v>Female</x:v>
      </x:c>
      <x:c r="D2707" t="str">
        <x:v>Beauty</x:v>
      </x:c>
      <x:c r="E2707" t="str">
        <x:v>Perfume</x:v>
      </x:c>
      <x:c r="F2707" s="24" t="n">
        <x:v>29.51</x:v>
      </x:c>
      <x:c r="G2707" t="str">
        <x:v>Summer</x:v>
      </x:c>
      <x:c r="H2707" t="str">
        <x:v>Card</x:v>
      </x:c>
      <x:c r="I2707" t="n">
        <x:v>4.4</x:v>
      </x:c>
      <x:c r="J2707" t="n">
        <x:v>16</x:v>
      </x:c>
      <x:c r="K2707" t="n">
        <x:v>8</x:v>
      </x:c>
      <x:c r="L2707" t="str">
        <x:v>STORE-001</x:v>
      </x:c>
      <x:c r="M2707" s="22" t="n">
        <x:v>45993</x:v>
      </x:c>
      <x:c r="N2707" t="str">
        <x:v>SKU-017</x:v>
      </x:c>
      <x:c r="O2707" t="n">
        <x:v>1</x:v>
      </x:c>
      <x:c r="P2707" s="26" t="n">
        <x:f>F2707/O2707</x:f>
        <x:v>29.51</x:v>
      </x:c>
    </x:row>
    <x:row r="2708">
      <x:c r="A2708" t="n">
        <x:v>2707</x:v>
      </x:c>
      <x:c r="B2708" t="n">
        <x:v>21</x:v>
      </x:c>
      <x:c r="C2708" t="str">
        <x:v>Male</x:v>
      </x:c>
      <x:c r="D2708" t="str">
        <x:v>Mens Clothing</x:v>
      </x:c>
      <x:c r="E2708" t="str">
        <x:v>Shirt</x:v>
      </x:c>
      <x:c r="F2708" s="24" t="n">
        <x:v>58.68</x:v>
      </x:c>
      <x:c r="G2708" t="str">
        <x:v>Autumn</x:v>
      </x:c>
      <x:c r="H2708" t="str">
        <x:v>Card</x:v>
      </x:c>
      <x:c r="I2708" t="n">
        <x:v>3.6</x:v>
      </x:c>
      <x:c r="J2708" t="n">
        <x:v>20</x:v>
      </x:c>
      <x:c r="K2708" t="n">
        <x:v>5</x:v>
      </x:c>
      <x:c r="L2708" t="str">
        <x:v>STORE-001</x:v>
      </x:c>
      <x:c r="M2708" s="22" t="n">
        <x:v>46153</x:v>
      </x:c>
      <x:c r="N2708" t="str">
        <x:v>SKU-020</x:v>
      </x:c>
      <x:c r="O2708" t="n">
        <x:v>1</x:v>
      </x:c>
      <x:c r="P2708" s="26" t="n">
        <x:f>F2708/O2708</x:f>
        <x:v>58.68</x:v>
      </x:c>
    </x:row>
    <x:row r="2709">
      <x:c r="A2709" t="n">
        <x:v>2708</x:v>
      </x:c>
      <x:c r="B2709" t="n">
        <x:v>31</x:v>
      </x:c>
      <x:c r="C2709" t="str">
        <x:v>Male</x:v>
      </x:c>
      <x:c r="D2709" t="str">
        <x:v>Electronics</x:v>
      </x:c>
      <x:c r="E2709" t="str">
        <x:v>Laptop</x:v>
      </x:c>
      <x:c r="F2709" s="24" t="n">
        <x:v>2023.48</x:v>
      </x:c>
      <x:c r="G2709" t="str">
        <x:v>Autumn</x:v>
      </x:c>
      <x:c r="H2709" t="str">
        <x:v>Card</x:v>
      </x:c>
      <x:c r="I2709" t="n">
        <x:v>2.6</x:v>
      </x:c>
      <x:c r="J2709" t="n">
        <x:v>9</x:v>
      </x:c>
      <x:c r="K2709" t="n">
        <x:v>2</x:v>
      </x:c>
      <x:c r="L2709" t="str">
        <x:v>STORE-001</x:v>
      </x:c>
      <x:c r="M2709" s="22" t="n">
        <x:v>46113</x:v>
      </x:c>
      <x:c r="N2709" t="str">
        <x:v>SKU-014</x:v>
      </x:c>
      <x:c r="O2709" t="n">
        <x:v>1</x:v>
      </x:c>
      <x:c r="P2709" s="26" t="n">
        <x:f>F2709/O2709</x:f>
        <x:v>2023.48</x:v>
      </x:c>
    </x:row>
    <x:row r="2710">
      <x:c r="A2710" t="n">
        <x:v>2709</x:v>
      </x:c>
      <x:c r="B2710" t="n">
        <x:v>57</x:v>
      </x:c>
      <x:c r="C2710" t="str">
        <x:v>Female</x:v>
      </x:c>
      <x:c r="D2710" t="str">
        <x:v>Beauty</x:v>
      </x:c>
      <x:c r="E2710" t="str">
        <x:v>Skincare Kit</x:v>
      </x:c>
      <x:c r="F2710" s="24" t="n">
        <x:v>66.39</x:v>
      </x:c>
      <x:c r="G2710" t="str">
        <x:v>Summer</x:v>
      </x:c>
      <x:c r="H2710" t="str">
        <x:v>Cash on Delivery</x:v>
      </x:c>
      <x:c r="I2710" t="n">
        <x:v>3.1</x:v>
      </x:c>
      <x:c r="J2710" t="n">
        <x:v>8</x:v>
      </x:c>
      <x:c r="K2710" t="n">
        <x:v>4</x:v>
      </x:c>
      <x:c r="L2710" t="str">
        <x:v>STORE-001</x:v>
      </x:c>
      <x:c r="M2710" s="22" t="n">
        <x:v>45997</x:v>
      </x:c>
      <x:c r="N2710" t="str">
        <x:v>SKU-021</x:v>
      </x:c>
      <x:c r="O2710" t="n">
        <x:v>1</x:v>
      </x:c>
      <x:c r="P2710" s="26" t="n">
        <x:f>F2710/O2710</x:f>
        <x:v>66.39</x:v>
      </x:c>
    </x:row>
    <x:row r="2711">
      <x:c r="A2711" t="n">
        <x:v>2710</x:v>
      </x:c>
      <x:c r="B2711" t="n">
        <x:v>59</x:v>
      </x:c>
      <x:c r="C2711" t="str">
        <x:v>Male</x:v>
      </x:c>
      <x:c r="D2711" t="str">
        <x:v>Mens Clothing</x:v>
      </x:c>
      <x:c r="E2711" t="str">
        <x:v>Jacket</x:v>
      </x:c>
      <x:c r="F2711" s="24" t="n">
        <x:v>141.61</x:v>
      </x:c>
      <x:c r="G2711" t="str">
        <x:v>Summer</x:v>
      </x:c>
      <x:c r="H2711" t="str">
        <x:v>Card</x:v>
      </x:c>
      <x:c r="I2711" t="n">
        <x:v>4.1</x:v>
      </x:c>
      <x:c r="J2711" t="n">
        <x:v>8</x:v>
      </x:c>
      <x:c r="K2711" t="n">
        <x:v>4</x:v>
      </x:c>
      <x:c r="L2711" t="str">
        <x:v>STORE-001</x:v>
      </x:c>
      <x:c r="M2711" s="22" t="n">
        <x:v>46020</x:v>
      </x:c>
      <x:c r="N2711" t="str">
        <x:v>SKU-010</x:v>
      </x:c>
      <x:c r="O2711" t="n">
        <x:v>1</x:v>
      </x:c>
      <x:c r="P2711" s="26" t="n">
        <x:f>F2711/O2711</x:f>
        <x:v>141.61</x:v>
      </x:c>
    </x:row>
    <x:row r="2712">
      <x:c r="A2712" t="n">
        <x:v>2711</x:v>
      </x:c>
      <x:c r="B2712" t="n">
        <x:v>21</x:v>
      </x:c>
      <x:c r="C2712" t="str">
        <x:v>Male</x:v>
      </x:c>
      <x:c r="D2712" t="str">
        <x:v>Electronics</x:v>
      </x:c>
      <x:c r="E2712" t="str">
        <x:v>Laptop</x:v>
      </x:c>
      <x:c r="F2712" s="24" t="n">
        <x:v>2109.68</x:v>
      </x:c>
      <x:c r="G2712" t="str">
        <x:v>Winter</x:v>
      </x:c>
      <x:c r="H2712" t="str">
        <x:v>Card</x:v>
      </x:c>
      <x:c r="I2712" t="n">
        <x:v>3.2</x:v>
      </x:c>
      <x:c r="J2712" t="n">
        <x:v>12</x:v>
      </x:c>
      <x:c r="K2712" t="n">
        <x:v>6</x:v>
      </x:c>
      <x:c r="L2712" t="str">
        <x:v>STORE-001</x:v>
      </x:c>
      <x:c r="M2712" s="22" t="n">
        <x:v>46265</x:v>
      </x:c>
      <x:c r="N2712" t="str">
        <x:v>SKU-014</x:v>
      </x:c>
      <x:c r="O2712" t="n">
        <x:v>1</x:v>
      </x:c>
      <x:c r="P2712" s="26" t="n">
        <x:f>F2712/O2712</x:f>
        <x:v>2109.68</x:v>
      </x:c>
    </x:row>
    <x:row r="2713">
      <x:c r="A2713" t="n">
        <x:v>2712</x:v>
      </x:c>
      <x:c r="B2713" t="n">
        <x:v>25</x:v>
      </x:c>
      <x:c r="C2713" t="str">
        <x:v>Female</x:v>
      </x:c>
      <x:c r="D2713" t="str">
        <x:v>Groceries</x:v>
      </x:c>
      <x:c r="E2713" t="str">
        <x:v>Snacks</x:v>
      </x:c>
      <x:c r="F2713" s="24" t="n">
        <x:v>41.72</x:v>
      </x:c>
      <x:c r="G2713" t="str">
        <x:v>Autumn</x:v>
      </x:c>
      <x:c r="H2713" t="str">
        <x:v>Cash on Delivery</x:v>
      </x:c>
      <x:c r="I2713" t="n">
        <x:v>5</x:v>
      </x:c>
      <x:c r="J2713" t="n">
        <x:v>2</x:v>
      </x:c>
      <x:c r="K2713" t="n">
        <x:v>1</x:v>
      </x:c>
      <x:c r="L2713" t="str">
        <x:v>STORE-001</x:v>
      </x:c>
      <x:c r="M2713" s="22" t="n">
        <x:v>46105</x:v>
      </x:c>
      <x:c r="N2713" t="str">
        <x:v>SKU-024</x:v>
      </x:c>
      <x:c r="O2713" t="n">
        <x:v>3</x:v>
      </x:c>
      <x:c r="P2713" s="26" t="n">
        <x:f>F2713/O2713</x:f>
        <x:v>13.906666666666666</x:v>
      </x:c>
    </x:row>
    <x:row r="2714">
      <x:c r="A2714" t="n">
        <x:v>2713</x:v>
      </x:c>
      <x:c r="B2714" t="n">
        <x:v>41</x:v>
      </x:c>
      <x:c r="C2714" t="str">
        <x:v>Female</x:v>
      </x:c>
      <x:c r="D2714" t="str">
        <x:v>Beauty</x:v>
      </x:c>
      <x:c r="E2714" t="str">
        <x:v>Perfume</x:v>
      </x:c>
      <x:c r="F2714" s="24" t="n">
        <x:v>139.88</x:v>
      </x:c>
      <x:c r="G2714" t="str">
        <x:v>Spring</x:v>
      </x:c>
      <x:c r="H2714" t="str">
        <x:v>Card</x:v>
      </x:c>
      <x:c r="I2714" t="n">
        <x:v>4.3</x:v>
      </x:c>
      <x:c r="J2714" t="n">
        <x:v>6</x:v>
      </x:c>
      <x:c r="K2714" t="n">
        <x:v>3</x:v>
      </x:c>
      <x:c r="L2714" t="str">
        <x:v>STORE-001</x:v>
      </x:c>
      <x:c r="M2714" s="22" t="n">
        <x:v>46281</x:v>
      </x:c>
      <x:c r="N2714" t="str">
        <x:v>SKU-017</x:v>
      </x:c>
      <x:c r="O2714" t="n">
        <x:v>1</x:v>
      </x:c>
      <x:c r="P2714" s="26" t="n">
        <x:f>F2714/O2714</x:f>
        <x:v>139.88</x:v>
      </x:c>
    </x:row>
    <x:row r="2715">
      <x:c r="A2715" t="n">
        <x:v>2714</x:v>
      </x:c>
      <x:c r="B2715" t="n">
        <x:v>46</x:v>
      </x:c>
      <x:c r="C2715" t="str">
        <x:v>Female</x:v>
      </x:c>
      <x:c r="D2715" t="str">
        <x:v>Accessories</x:v>
      </x:c>
      <x:c r="E2715" t="str">
        <x:v>Sunglasses</x:v>
      </x:c>
      <x:c r="F2715" s="24" t="n">
        <x:v>39.06</x:v>
      </x:c>
      <x:c r="G2715" t="str">
        <x:v>Winter</x:v>
      </x:c>
      <x:c r="H2715" t="str">
        <x:v>Cash on Delivery</x:v>
      </x:c>
      <x:c r="I2715" t="n">
        <x:v>3.2</x:v>
      </x:c>
      <x:c r="J2715" t="n">
        <x:v>12</x:v>
      </x:c>
      <x:c r="K2715" t="n">
        <x:v>6</x:v>
      </x:c>
      <x:c r="L2715" t="str">
        <x:v>STORE-001</x:v>
      </x:c>
      <x:c r="M2715" s="22" t="n">
        <x:v>46223</x:v>
      </x:c>
      <x:c r="N2715" t="str">
        <x:v>SKU-026</x:v>
      </x:c>
      <x:c r="O2715" t="n">
        <x:v>1</x:v>
      </x:c>
      <x:c r="P2715" s="26" t="n">
        <x:f>F2715/O2715</x:f>
        <x:v>39.06</x:v>
      </x:c>
    </x:row>
    <x:row r="2716">
      <x:c r="A2716" t="n">
        <x:v>2715</x:v>
      </x:c>
      <x:c r="B2716" t="n">
        <x:v>40</x:v>
      </x:c>
      <x:c r="C2716" t="str">
        <x:v>Female</x:v>
      </x:c>
      <x:c r="D2716" t="str">
        <x:v>Beauty</x:v>
      </x:c>
      <x:c r="E2716" t="str">
        <x:v>Makeup Set</x:v>
      </x:c>
      <x:c r="F2716" s="24" t="n">
        <x:v>104.69</x:v>
      </x:c>
      <x:c r="G2716" t="str">
        <x:v>Winter</x:v>
      </x:c>
      <x:c r="H2716" t="str">
        <x:v>Card</x:v>
      </x:c>
      <x:c r="I2716" t="n">
        <x:v>2.2</x:v>
      </x:c>
      <x:c r="J2716" t="n">
        <x:v>17</x:v>
      </x:c>
      <x:c r="K2716" t="n">
        <x:v>6</x:v>
      </x:c>
      <x:c r="L2716" t="str">
        <x:v>STORE-001</x:v>
      </x:c>
      <x:c r="M2716" s="22" t="n">
        <x:v>46183</x:v>
      </x:c>
      <x:c r="N2716" t="str">
        <x:v>SKU-015</x:v>
      </x:c>
      <x:c r="O2716" t="n">
        <x:v>1</x:v>
      </x:c>
      <x:c r="P2716" s="26" t="n">
        <x:f>F2716/O2716</x:f>
        <x:v>104.69</x:v>
      </x:c>
    </x:row>
    <x:row r="2717">
      <x:c r="A2717" t="n">
        <x:v>2716</x:v>
      </x:c>
      <x:c r="B2717" t="n">
        <x:v>47</x:v>
      </x:c>
      <x:c r="C2717" t="str">
        <x:v>Male</x:v>
      </x:c>
      <x:c r="D2717" t="str">
        <x:v>Mens Clothing</x:v>
      </x:c>
      <x:c r="E2717" t="str">
        <x:v>Jacket</x:v>
      </x:c>
      <x:c r="F2717" s="24" t="n">
        <x:v>119.05</x:v>
      </x:c>
      <x:c r="G2717" t="str">
        <x:v>Winter</x:v>
      </x:c>
      <x:c r="H2717" t="str">
        <x:v>Card</x:v>
      </x:c>
      <x:c r="I2717" t="n">
        <x:v>2.5</x:v>
      </x:c>
      <x:c r="J2717" t="n">
        <x:v>9</x:v>
      </x:c>
      <x:c r="K2717" t="n">
        <x:v>2</x:v>
      </x:c>
      <x:c r="L2717" t="str">
        <x:v>STORE-001</x:v>
      </x:c>
      <x:c r="M2717" s="22" t="n">
        <x:v>46262</x:v>
      </x:c>
      <x:c r="N2717" t="str">
        <x:v>SKU-010</x:v>
      </x:c>
      <x:c r="O2717" t="n">
        <x:v>1</x:v>
      </x:c>
      <x:c r="P2717" s="26" t="n">
        <x:f>F2717/O2717</x:f>
        <x:v>119.05</x:v>
      </x:c>
    </x:row>
    <x:row r="2718">
      <x:c r="A2718" t="n">
        <x:v>2717</x:v>
      </x:c>
      <x:c r="B2718" t="n">
        <x:v>53</x:v>
      </x:c>
      <x:c r="C2718" t="str">
        <x:v>Female</x:v>
      </x:c>
      <x:c r="D2718" t="str">
        <x:v>Accessories</x:v>
      </x:c>
      <x:c r="E2718" t="str">
        <x:v>Sunglasses</x:v>
      </x:c>
      <x:c r="F2718" s="24" t="n">
        <x:v>158.47</x:v>
      </x:c>
      <x:c r="G2718" t="str">
        <x:v>Summer</x:v>
      </x:c>
      <x:c r="H2718" t="str">
        <x:v>Card</x:v>
      </x:c>
      <x:c r="I2718" t="n">
        <x:v>4.4</x:v>
      </x:c>
      <x:c r="J2718" t="n">
        <x:v>22</x:v>
      </x:c>
      <x:c r="K2718" t="n">
        <x:v>6</x:v>
      </x:c>
      <x:c r="L2718" t="str">
        <x:v>STORE-001</x:v>
      </x:c>
      <x:c r="M2718" s="22" t="n">
        <x:v>46020</x:v>
      </x:c>
      <x:c r="N2718" t="str">
        <x:v>SKU-026</x:v>
      </x:c>
      <x:c r="O2718" t="n">
        <x:v>2</x:v>
      </x:c>
      <x:c r="P2718" s="26" t="n">
        <x:f>F2718/O2718</x:f>
        <x:v>79.235</x:v>
      </x:c>
    </x:row>
    <x:row r="2719">
      <x:c r="A2719" t="n">
        <x:v>2718</x:v>
      </x:c>
      <x:c r="B2719" t="n">
        <x:v>34</x:v>
      </x:c>
      <x:c r="C2719" t="str">
        <x:v>Male</x:v>
      </x:c>
      <x:c r="D2719" t="str">
        <x:v>Mens Clothing</x:v>
      </x:c>
      <x:c r="E2719" t="str">
        <x:v>Jeans</x:v>
      </x:c>
      <x:c r="F2719" s="24" t="n">
        <x:v>111.49</x:v>
      </x:c>
      <x:c r="G2719" t="str">
        <x:v>Spring</x:v>
      </x:c>
      <x:c r="H2719" t="str">
        <x:v>Card</x:v>
      </x:c>
      <x:c r="I2719" t="n">
        <x:v>4.5</x:v>
      </x:c>
      <x:c r="J2719" t="n">
        <x:v>18</x:v>
      </x:c>
      <x:c r="K2719" t="n">
        <x:v>4</x:v>
      </x:c>
      <x:c r="L2719" t="str">
        <x:v>STORE-001</x:v>
      </x:c>
      <x:c r="M2719" s="22" t="n">
        <x:v>45936</x:v>
      </x:c>
      <x:c r="N2719" t="str">
        <x:v>SKU-011</x:v>
      </x:c>
      <x:c r="O2719" t="n">
        <x:v>1</x:v>
      </x:c>
      <x:c r="P2719" s="26" t="n">
        <x:f>F2719/O2719</x:f>
        <x:v>111.49</x:v>
      </x:c>
    </x:row>
    <x:row r="2720">
      <x:c r="A2720" t="n">
        <x:v>2719</x:v>
      </x:c>
      <x:c r="B2720" t="n">
        <x:v>34</x:v>
      </x:c>
      <x:c r="C2720" t="str">
        <x:v>Female</x:v>
      </x:c>
      <x:c r="D2720" t="str">
        <x:v>Footwear</x:v>
      </x:c>
      <x:c r="E2720" t="str">
        <x:v>Sneakers</x:v>
      </x:c>
      <x:c r="F2720" s="24" t="n">
        <x:v>171.91</x:v>
      </x:c>
      <x:c r="G2720" t="str">
        <x:v>Spring</x:v>
      </x:c>
      <x:c r="H2720" t="str">
        <x:v>Card</x:v>
      </x:c>
      <x:c r="I2720" t="n">
        <x:v>3.3</x:v>
      </x:c>
      <x:c r="J2720" t="n">
        <x:v>20</x:v>
      </x:c>
      <x:c r="K2720" t="n">
        <x:v>5</x:v>
      </x:c>
      <x:c r="L2720" t="str">
        <x:v>STORE-001</x:v>
      </x:c>
      <x:c r="M2720" s="22" t="n">
        <x:v>45945</x:v>
      </x:c>
      <x:c r="N2720" t="str">
        <x:v>SKU-025</x:v>
      </x:c>
      <x:c r="O2720" t="n">
        <x:v>1</x:v>
      </x:c>
      <x:c r="P2720" s="26" t="n">
        <x:f>F2720/O2720</x:f>
        <x:v>171.91</x:v>
      </x:c>
    </x:row>
    <x:row r="2721">
      <x:c r="A2721" t="n">
        <x:v>2720</x:v>
      </x:c>
      <x:c r="B2721" t="n">
        <x:v>61</x:v>
      </x:c>
      <x:c r="C2721" t="str">
        <x:v>Female</x:v>
      </x:c>
      <x:c r="D2721" t="str">
        <x:v>Womens Clothing</x:v>
      </x:c>
      <x:c r="E2721" t="str">
        <x:v>Jeans</x:v>
      </x:c>
      <x:c r="F2721" s="24" t="n">
        <x:v>199.45</x:v>
      </x:c>
      <x:c r="G2721" t="str">
        <x:v>Spring</x:v>
      </x:c>
      <x:c r="H2721" t="str">
        <x:v>Card</x:v>
      </x:c>
      <x:c r="I2721" t="n">
        <x:v>3.2</x:v>
      </x:c>
      <x:c r="J2721" t="n">
        <x:v>24</x:v>
      </x:c>
      <x:c r="K2721" t="n">
        <x:v>7</x:v>
      </x:c>
      <x:c r="L2721" t="str">
        <x:v>STORE-001</x:v>
      </x:c>
      <x:c r="M2721" s="22" t="n">
        <x:v>46273</x:v>
      </x:c>
      <x:c r="N2721" t="str">
        <x:v>SKU-011</x:v>
      </x:c>
      <x:c r="O2721" t="n">
        <x:v>1</x:v>
      </x:c>
      <x:c r="P2721" s="26" t="n">
        <x:f>F2721/O2721</x:f>
        <x:v>199.45</x:v>
      </x:c>
    </x:row>
    <x:row r="2722">
      <x:c r="A2722" t="n">
        <x:v>2721</x:v>
      </x:c>
      <x:c r="B2722" t="n">
        <x:v>29</x:v>
      </x:c>
      <x:c r="C2722" t="str">
        <x:v>Male</x:v>
      </x:c>
      <x:c r="D2722" t="str">
        <x:v>Footwear</x:v>
      </x:c>
      <x:c r="E2722" t="str">
        <x:v>Sneakers</x:v>
      </x:c>
      <x:c r="F2722" s="24" t="n">
        <x:v>201.67</x:v>
      </x:c>
      <x:c r="G2722" t="str">
        <x:v>Summer</x:v>
      </x:c>
      <x:c r="H2722" t="str">
        <x:v>Card</x:v>
      </x:c>
      <x:c r="I2722" t="n">
        <x:v>4.1</x:v>
      </x:c>
      <x:c r="J2722" t="n">
        <x:v>11</x:v>
      </x:c>
      <x:c r="K2722" t="n">
        <x:v>3</x:v>
      </x:c>
      <x:c r="L2722" t="str">
        <x:v>STORE-001</x:v>
      </x:c>
      <x:c r="M2722" s="22" t="n">
        <x:v>46054</x:v>
      </x:c>
      <x:c r="N2722" t="str">
        <x:v>SKU-025</x:v>
      </x:c>
      <x:c r="O2722" t="n">
        <x:v>2</x:v>
      </x:c>
      <x:c r="P2722" s="26" t="n">
        <x:f>F2722/O2722</x:f>
        <x:v>100.835</x:v>
      </x:c>
    </x:row>
    <x:row r="2723">
      <x:c r="A2723" t="n">
        <x:v>2722</x:v>
      </x:c>
      <x:c r="B2723" t="n">
        <x:v>33</x:v>
      </x:c>
      <x:c r="C2723" t="str">
        <x:v>Male</x:v>
      </x:c>
      <x:c r="D2723" t="str">
        <x:v>Groceries</x:v>
      </x:c>
      <x:c r="E2723" t="str">
        <x:v>Beverages</x:v>
      </x:c>
      <x:c r="F2723" s="24" t="n">
        <x:v>30.08</x:v>
      </x:c>
      <x:c r="G2723" t="str">
        <x:v>Spring</x:v>
      </x:c>
      <x:c r="H2723" t="str">
        <x:v>Card</x:v>
      </x:c>
      <x:c r="I2723" t="n">
        <x:v>4.2</x:v>
      </x:c>
      <x:c r="J2723" t="n">
        <x:v>10</x:v>
      </x:c>
      <x:c r="K2723" t="n">
        <x:v>5</x:v>
      </x:c>
      <x:c r="L2723" t="str">
        <x:v>STORE-001</x:v>
      </x:c>
      <x:c r="M2723" s="22" t="n">
        <x:v>46271</x:v>
      </x:c>
      <x:c r="N2723" t="str">
        <x:v>SKU-001</x:v>
      </x:c>
      <x:c r="O2723" t="n">
        <x:v>2</x:v>
      </x:c>
      <x:c r="P2723" s="26" t="n">
        <x:f>F2723/O2723</x:f>
        <x:v>15.04</x:v>
      </x:c>
    </x:row>
    <x:row r="2724">
      <x:c r="A2724" t="n">
        <x:v>2723</x:v>
      </x:c>
      <x:c r="B2724" t="n">
        <x:v>70</x:v>
      </x:c>
      <x:c r="C2724" t="str">
        <x:v>Female</x:v>
      </x:c>
      <x:c r="D2724" t="str">
        <x:v>Footwear</x:v>
      </x:c>
      <x:c r="E2724" t="str">
        <x:v>Sandals</x:v>
      </x:c>
      <x:c r="F2724" s="24" t="n">
        <x:v>173.77</x:v>
      </x:c>
      <x:c r="G2724" t="str">
        <x:v>Spring</x:v>
      </x:c>
      <x:c r="H2724" t="str">
        <x:v>Card</x:v>
      </x:c>
      <x:c r="I2724" t="n">
        <x:v>4</x:v>
      </x:c>
      <x:c r="J2724" t="n">
        <x:v>12</x:v>
      </x:c>
      <x:c r="K2724" t="n">
        <x:v>6</x:v>
      </x:c>
      <x:c r="L2724" t="str">
        <x:v>STORE-001</x:v>
      </x:c>
      <x:c r="M2724" s="22" t="n">
        <x:v>45953</x:v>
      </x:c>
      <x:c r="N2724" t="str">
        <x:v>SKU-019</x:v>
      </x:c>
      <x:c r="O2724" t="n">
        <x:v>1</x:v>
      </x:c>
      <x:c r="P2724" s="26" t="n">
        <x:f>F2724/O2724</x:f>
        <x:v>173.77</x:v>
      </x:c>
    </x:row>
    <x:row r="2725">
      <x:c r="A2725" t="n">
        <x:v>2724</x:v>
      </x:c>
      <x:c r="B2725" t="n">
        <x:v>51</x:v>
      </x:c>
      <x:c r="C2725" t="str">
        <x:v>Male</x:v>
      </x:c>
      <x:c r="D2725" t="str">
        <x:v>Sports</x:v>
      </x:c>
      <x:c r="E2725" t="str">
        <x:v>Dumbbells</x:v>
      </x:c>
      <x:c r="F2725" s="24" t="n">
        <x:v>26.65</x:v>
      </x:c>
      <x:c r="G2725" t="str">
        <x:v>Winter</x:v>
      </x:c>
      <x:c r="H2725" t="str">
        <x:v>Card</x:v>
      </x:c>
      <x:c r="I2725" t="n">
        <x:v>3.5</x:v>
      </x:c>
      <x:c r="J2725" t="n">
        <x:v>12</x:v>
      </x:c>
      <x:c r="K2725" t="n">
        <x:v>6</x:v>
      </x:c>
      <x:c r="L2725" t="str">
        <x:v>STORE-001</x:v>
      </x:c>
      <x:c r="M2725" s="22" t="n">
        <x:v>46245</x:v>
      </x:c>
      <x:c r="N2725" t="str">
        <x:v>SKU-005</x:v>
      </x:c>
      <x:c r="O2725" t="n">
        <x:v>1</x:v>
      </x:c>
      <x:c r="P2725" s="26" t="n">
        <x:f>F2725/O2725</x:f>
        <x:v>26.65</x:v>
      </x:c>
    </x:row>
    <x:row r="2726">
      <x:c r="A2726" t="n">
        <x:v>2725</x:v>
      </x:c>
      <x:c r="B2726" t="n">
        <x:v>57</x:v>
      </x:c>
      <x:c r="C2726" t="str">
        <x:v>Male</x:v>
      </x:c>
      <x:c r="D2726" t="str">
        <x:v>Electronics</x:v>
      </x:c>
      <x:c r="E2726" t="str">
        <x:v>Mobile Phone</x:v>
      </x:c>
      <x:c r="F2726" s="24" t="n">
        <x:v>800.36</x:v>
      </x:c>
      <x:c r="G2726" t="str">
        <x:v>Autumn</x:v>
      </x:c>
      <x:c r="H2726" t="str">
        <x:v>Card</x:v>
      </x:c>
      <x:c r="I2726" t="n">
        <x:v>4</x:v>
      </x:c>
      <x:c r="J2726" t="n">
        <x:v>22</x:v>
      </x:c>
      <x:c r="K2726" t="n">
        <x:v>6</x:v>
      </x:c>
      <x:c r="L2726" t="str">
        <x:v>STORE-001</x:v>
      </x:c>
      <x:c r="M2726" s="22" t="n">
        <x:v>46160</x:v>
      </x:c>
      <x:c r="N2726" t="str">
        <x:v>SKU-016</x:v>
      </x:c>
      <x:c r="O2726" t="n">
        <x:v>1</x:v>
      </x:c>
      <x:c r="P2726" s="26" t="n">
        <x:f>F2726/O2726</x:f>
        <x:v>800.36</x:v>
      </x:c>
    </x:row>
    <x:row r="2727">
      <x:c r="A2727" t="n">
        <x:v>2726</x:v>
      </x:c>
      <x:c r="B2727" t="n">
        <x:v>45</x:v>
      </x:c>
      <x:c r="C2727" t="str">
        <x:v>Male</x:v>
      </x:c>
      <x:c r="D2727" t="str">
        <x:v>Mens Clothing</x:v>
      </x:c>
      <x:c r="E2727" t="str">
        <x:v>Shirt</x:v>
      </x:c>
      <x:c r="F2727" s="24" t="n">
        <x:v>94.82</x:v>
      </x:c>
      <x:c r="G2727" t="str">
        <x:v>Spring</x:v>
      </x:c>
      <x:c r="H2727" t="str">
        <x:v>Card</x:v>
      </x:c>
      <x:c r="I2727" t="n">
        <x:v>4.4</x:v>
      </x:c>
      <x:c r="J2727" t="n">
        <x:v>19</x:v>
      </x:c>
      <x:c r="K2727" t="n">
        <x:v>7</x:v>
      </x:c>
      <x:c r="L2727" t="str">
        <x:v>STORE-001</x:v>
      </x:c>
      <x:c r="M2727" s="22" t="n">
        <x:v>46268</x:v>
      </x:c>
      <x:c r="N2727" t="str">
        <x:v>SKU-020</x:v>
      </x:c>
      <x:c r="O2727" t="n">
        <x:v>1</x:v>
      </x:c>
      <x:c r="P2727" s="26" t="n">
        <x:f>F2727/O2727</x:f>
        <x:v>94.82</x:v>
      </x:c>
    </x:row>
    <x:row r="2728">
      <x:c r="A2728" t="n">
        <x:v>2727</x:v>
      </x:c>
      <x:c r="B2728" t="n">
        <x:v>67</x:v>
      </x:c>
      <x:c r="C2728" t="str">
        <x:v>Female</x:v>
      </x:c>
      <x:c r="D2728" t="str">
        <x:v>Home</x:v>
      </x:c>
      <x:c r="E2728" t="str">
        <x:v>Lamp</x:v>
      </x:c>
      <x:c r="F2728" s="24" t="n">
        <x:v>248.77</x:v>
      </x:c>
      <x:c r="G2728" t="str">
        <x:v>Summer</x:v>
      </x:c>
      <x:c r="H2728" t="str">
        <x:v>Card</x:v>
      </x:c>
      <x:c r="I2728" t="n">
        <x:v>3.9</x:v>
      </x:c>
      <x:c r="J2728" t="n">
        <x:v>8</x:v>
      </x:c>
      <x:c r="K2728" t="n">
        <x:v>4</x:v>
      </x:c>
      <x:c r="L2728" t="str">
        <x:v>STORE-001</x:v>
      </x:c>
      <x:c r="M2728" s="22" t="n">
        <x:v>46018</x:v>
      </x:c>
      <x:c r="N2728" t="str">
        <x:v>SKU-013</x:v>
      </x:c>
      <x:c r="O2728" t="n">
        <x:v>1</x:v>
      </x:c>
      <x:c r="P2728" s="26" t="n">
        <x:f>F2728/O2728</x:f>
        <x:v>248.77</x:v>
      </x:c>
    </x:row>
    <x:row r="2729">
      <x:c r="A2729" t="n">
        <x:v>2728</x:v>
      </x:c>
      <x:c r="B2729" t="n">
        <x:v>45</x:v>
      </x:c>
      <x:c r="C2729" t="str">
        <x:v>Female</x:v>
      </x:c>
      <x:c r="D2729" t="str">
        <x:v>Accessories</x:v>
      </x:c>
      <x:c r="E2729" t="str">
        <x:v>Sunglasses</x:v>
      </x:c>
      <x:c r="F2729" s="24" t="n">
        <x:v>30.71</x:v>
      </x:c>
      <x:c r="G2729" t="str">
        <x:v>Winter</x:v>
      </x:c>
      <x:c r="H2729" t="str">
        <x:v>Cash on Delivery</x:v>
      </x:c>
      <x:c r="I2729" t="n">
        <x:v>3.5</x:v>
      </x:c>
      <x:c r="J2729" t="n">
        <x:v>12</x:v>
      </x:c>
      <x:c r="K2729" t="n">
        <x:v>1</x:v>
      </x:c>
      <x:c r="L2729" t="str">
        <x:v>STORE-001</x:v>
      </x:c>
      <x:c r="M2729" s="22" t="n">
        <x:v>46219</x:v>
      </x:c>
      <x:c r="N2729" t="str">
        <x:v>SKU-026</x:v>
      </x:c>
      <x:c r="O2729" t="n">
        <x:v>1</x:v>
      </x:c>
      <x:c r="P2729" s="26" t="n">
        <x:f>F2729/O2729</x:f>
        <x:v>30.71</x:v>
      </x:c>
    </x:row>
    <x:row r="2730">
      <x:c r="A2730" t="n">
        <x:v>2729</x:v>
      </x:c>
      <x:c r="B2730" t="n">
        <x:v>60</x:v>
      </x:c>
      <x:c r="C2730" t="str">
        <x:v>Male</x:v>
      </x:c>
      <x:c r="D2730" t="str">
        <x:v>Sports</x:v>
      </x:c>
      <x:c r="E2730" t="str">
        <x:v>Dumbbells</x:v>
      </x:c>
      <x:c r="F2730" s="24" t="n">
        <x:v>165.51</x:v>
      </x:c>
      <x:c r="G2730" t="str">
        <x:v>Winter</x:v>
      </x:c>
      <x:c r="H2730" t="str">
        <x:v>Card</x:v>
      </x:c>
      <x:c r="I2730" t="n">
        <x:v>2.6</x:v>
      </x:c>
      <x:c r="J2730" t="n">
        <x:v>8</x:v>
      </x:c>
      <x:c r="K2730" t="n">
        <x:v>4</x:v>
      </x:c>
      <x:c r="L2730" t="str">
        <x:v>STORE-001</x:v>
      </x:c>
      <x:c r="M2730" s="22" t="n">
        <x:v>46245</x:v>
      </x:c>
      <x:c r="N2730" t="str">
        <x:v>SKU-005</x:v>
      </x:c>
      <x:c r="O2730" t="n">
        <x:v>1</x:v>
      </x:c>
      <x:c r="P2730" s="26" t="n">
        <x:f>F2730/O2730</x:f>
        <x:v>165.51</x:v>
      </x:c>
    </x:row>
    <x:row r="2731">
      <x:c r="A2731" t="n">
        <x:v>2730</x:v>
      </x:c>
      <x:c r="B2731" t="n">
        <x:v>70</x:v>
      </x:c>
      <x:c r="C2731" t="str">
        <x:v>Female</x:v>
      </x:c>
      <x:c r="D2731" t="str">
        <x:v>Womens Clothing</x:v>
      </x:c>
      <x:c r="E2731" t="str">
        <x:v>Dress</x:v>
      </x:c>
      <x:c r="F2731" s="24" t="n">
        <x:v>68.49</x:v>
      </x:c>
      <x:c r="G2731" t="str">
        <x:v>Autumn</x:v>
      </x:c>
      <x:c r="H2731" t="str">
        <x:v>Cash on Delivery</x:v>
      </x:c>
      <x:c r="I2731" t="n">
        <x:v>4.7</x:v>
      </x:c>
      <x:c r="J2731" t="n">
        <x:v>14</x:v>
      </x:c>
      <x:c r="K2731" t="n">
        <x:v>2</x:v>
      </x:c>
      <x:c r="L2731" t="str">
        <x:v>STORE-001</x:v>
      </x:c>
      <x:c r="M2731" s="22" t="n">
        <x:v>46171</x:v>
      </x:c>
      <x:c r="N2731" t="str">
        <x:v>SKU-004</x:v>
      </x:c>
      <x:c r="O2731" t="n">
        <x:v>1</x:v>
      </x:c>
      <x:c r="P2731" s="26" t="n">
        <x:f>F2731/O2731</x:f>
        <x:v>68.49</x:v>
      </x:c>
    </x:row>
    <x:row r="2732">
      <x:c r="A2732" t="n">
        <x:v>2731</x:v>
      </x:c>
      <x:c r="B2732" t="n">
        <x:v>21</x:v>
      </x:c>
      <x:c r="C2732" t="str">
        <x:v>Male</x:v>
      </x:c>
      <x:c r="D2732" t="str">
        <x:v>Electronics</x:v>
      </x:c>
      <x:c r="E2732" t="str">
        <x:v>Laptop</x:v>
      </x:c>
      <x:c r="F2732" s="24" t="n">
        <x:v>2061.36</x:v>
      </x:c>
      <x:c r="G2732" t="str">
        <x:v>Spring</x:v>
      </x:c>
      <x:c r="H2732" t="str">
        <x:v>Card</x:v>
      </x:c>
      <x:c r="I2732" t="n">
        <x:v>4</x:v>
      </x:c>
      <x:c r="J2732" t="n">
        <x:v>20</x:v>
      </x:c>
      <x:c r="K2732" t="n">
        <x:v>5</x:v>
      </x:c>
      <x:c r="L2732" t="str">
        <x:v>STORE-001</x:v>
      </x:c>
      <x:c r="M2732" s="22" t="n">
        <x:v>45954</x:v>
      </x:c>
      <x:c r="N2732" t="str">
        <x:v>SKU-014</x:v>
      </x:c>
      <x:c r="O2732" t="n">
        <x:v>1</x:v>
      </x:c>
      <x:c r="P2732" s="26" t="n">
        <x:f>F2732/O2732</x:f>
        <x:v>2061.36</x:v>
      </x:c>
    </x:row>
    <x:row r="2733">
      <x:c r="A2733" t="n">
        <x:v>2732</x:v>
      </x:c>
      <x:c r="B2733" t="n">
        <x:v>42</x:v>
      </x:c>
      <x:c r="C2733" t="str">
        <x:v>Female</x:v>
      </x:c>
      <x:c r="D2733" t="str">
        <x:v>Footwear</x:v>
      </x:c>
      <x:c r="E2733" t="str">
        <x:v>Sandals</x:v>
      </x:c>
      <x:c r="F2733" s="24" t="n">
        <x:v>45.4</x:v>
      </x:c>
      <x:c r="G2733" t="str">
        <x:v>Winter</x:v>
      </x:c>
      <x:c r="H2733" t="str">
        <x:v>Card</x:v>
      </x:c>
      <x:c r="I2733" t="n">
        <x:v>3.5</x:v>
      </x:c>
      <x:c r="J2733" t="n">
        <x:v>19</x:v>
      </x:c>
      <x:c r="K2733" t="n">
        <x:v>7</x:v>
      </x:c>
      <x:c r="L2733" t="str">
        <x:v>STORE-001</x:v>
      </x:c>
      <x:c r="M2733" s="22" t="n">
        <x:v>46236</x:v>
      </x:c>
      <x:c r="N2733" t="str">
        <x:v>SKU-019</x:v>
      </x:c>
      <x:c r="O2733" t="n">
        <x:v>2</x:v>
      </x:c>
      <x:c r="P2733" s="26" t="n">
        <x:f>F2733/O2733</x:f>
        <x:v>22.7</x:v>
      </x:c>
    </x:row>
    <x:row r="2734">
      <x:c r="A2734" t="n">
        <x:v>2733</x:v>
      </x:c>
      <x:c r="B2734" t="n">
        <x:v>26</x:v>
      </x:c>
      <x:c r="C2734" t="str">
        <x:v>Female</x:v>
      </x:c>
      <x:c r="D2734" t="str">
        <x:v>Womens Clothing</x:v>
      </x:c>
      <x:c r="E2734" t="str">
        <x:v>Skirt</x:v>
      </x:c>
      <x:c r="F2734" s="24" t="n">
        <x:v>66.62</x:v>
      </x:c>
      <x:c r="G2734" t="str">
        <x:v>Autumn</x:v>
      </x:c>
      <x:c r="H2734" t="str">
        <x:v>Cash on Delivery</x:v>
      </x:c>
      <x:c r="I2734" t="n">
        <x:v>3.5</x:v>
      </x:c>
      <x:c r="J2734" t="n">
        <x:v>2</x:v>
      </x:c>
      <x:c r="K2734" t="n">
        <x:v>1</x:v>
      </x:c>
      <x:c r="L2734" t="str">
        <x:v>STORE-001</x:v>
      </x:c>
      <x:c r="M2734" s="22" t="n">
        <x:v>46127</x:v>
      </x:c>
      <x:c r="N2734" t="str">
        <x:v>SKU-022</x:v>
      </x:c>
      <x:c r="O2734" t="n">
        <x:v>2</x:v>
      </x:c>
      <x:c r="P2734" s="26" t="n">
        <x:f>F2734/O2734</x:f>
        <x:v>33.31</x:v>
      </x:c>
    </x:row>
    <x:row r="2735">
      <x:c r="A2735" t="n">
        <x:v>2734</x:v>
      </x:c>
      <x:c r="B2735" t="n">
        <x:v>69</x:v>
      </x:c>
      <x:c r="C2735" t="str">
        <x:v>Female</x:v>
      </x:c>
      <x:c r="D2735" t="str">
        <x:v>Footwear</x:v>
      </x:c>
      <x:c r="E2735" t="str">
        <x:v>Sandals</x:v>
      </x:c>
      <x:c r="F2735" s="24" t="n">
        <x:v>43.11</x:v>
      </x:c>
      <x:c r="G2735" t="str">
        <x:v>Autumn</x:v>
      </x:c>
      <x:c r="H2735" t="str">
        <x:v>Cash on Delivery</x:v>
      </x:c>
      <x:c r="I2735" t="n">
        <x:v>3.4</x:v>
      </x:c>
      <x:c r="J2735" t="n">
        <x:v>2</x:v>
      </x:c>
      <x:c r="K2735" t="n">
        <x:v>1</x:v>
      </x:c>
      <x:c r="L2735" t="str">
        <x:v>STORE-001</x:v>
      </x:c>
      <x:c r="M2735" s="22" t="n">
        <x:v>46140</x:v>
      </x:c>
      <x:c r="N2735" t="str">
        <x:v>SKU-019</x:v>
      </x:c>
      <x:c r="O2735" t="n">
        <x:v>1</x:v>
      </x:c>
      <x:c r="P2735" s="26" t="n">
        <x:f>F2735/O2735</x:f>
        <x:v>43.11</x:v>
      </x:c>
    </x:row>
    <x:row r="2736">
      <x:c r="A2736" t="n">
        <x:v>2735</x:v>
      </x:c>
      <x:c r="B2736" t="n">
        <x:v>49</x:v>
      </x:c>
      <x:c r="C2736" t="str">
        <x:v>Male</x:v>
      </x:c>
      <x:c r="D2736" t="str">
        <x:v>Electronics</x:v>
      </x:c>
      <x:c r="E2736" t="str">
        <x:v>Mobile Phone</x:v>
      </x:c>
      <x:c r="F2736" s="24" t="n">
        <x:v>519.78</x:v>
      </x:c>
      <x:c r="G2736" t="str">
        <x:v>Spring</x:v>
      </x:c>
      <x:c r="H2736" t="str">
        <x:v>Card</x:v>
      </x:c>
      <x:c r="I2736" t="n">
        <x:v>3.7</x:v>
      </x:c>
      <x:c r="J2736" t="n">
        <x:v>22</x:v>
      </x:c>
      <x:c r="K2736" t="n">
        <x:v>6</x:v>
      </x:c>
      <x:c r="L2736" t="str">
        <x:v>STORE-001</x:v>
      </x:c>
      <x:c r="M2736" s="22" t="n">
        <x:v>45984</x:v>
      </x:c>
      <x:c r="N2736" t="str">
        <x:v>SKU-016</x:v>
      </x:c>
      <x:c r="O2736" t="n">
        <x:v>1</x:v>
      </x:c>
      <x:c r="P2736" s="26" t="n">
        <x:f>F2736/O2736</x:f>
        <x:v>519.78</x:v>
      </x:c>
    </x:row>
    <x:row r="2737">
      <x:c r="A2737" t="n">
        <x:v>2736</x:v>
      </x:c>
      <x:c r="B2737" t="n">
        <x:v>28</x:v>
      </x:c>
      <x:c r="C2737" t="str">
        <x:v>Female</x:v>
      </x:c>
      <x:c r="D2737" t="str">
        <x:v>Womens Clothing</x:v>
      </x:c>
      <x:c r="E2737" t="str">
        <x:v>Jeans</x:v>
      </x:c>
      <x:c r="F2737" s="24" t="n">
        <x:v>167.8</x:v>
      </x:c>
      <x:c r="G2737" t="str">
        <x:v>Spring</x:v>
      </x:c>
      <x:c r="H2737" t="str">
        <x:v>Card</x:v>
      </x:c>
      <x:c r="I2737" t="n">
        <x:v>3.8</x:v>
      </x:c>
      <x:c r="J2737" t="n">
        <x:v>19</x:v>
      </x:c>
      <x:c r="K2737" t="n">
        <x:v>7</x:v>
      </x:c>
      <x:c r="L2737" t="str">
        <x:v>STORE-001</x:v>
      </x:c>
      <x:c r="M2737" s="22" t="n">
        <x:v>45959</x:v>
      </x:c>
      <x:c r="N2737" t="str">
        <x:v>SKU-011</x:v>
      </x:c>
      <x:c r="O2737" t="n">
        <x:v>1</x:v>
      </x:c>
      <x:c r="P2737" s="26" t="n">
        <x:f>F2737/O2737</x:f>
        <x:v>167.8</x:v>
      </x:c>
    </x:row>
    <x:row r="2738">
      <x:c r="A2738" t="n">
        <x:v>2737</x:v>
      </x:c>
      <x:c r="B2738" t="n">
        <x:v>59</x:v>
      </x:c>
      <x:c r="C2738" t="str">
        <x:v>Male</x:v>
      </x:c>
      <x:c r="D2738" t="str">
        <x:v>Home</x:v>
      </x:c>
      <x:c r="E2738" t="str">
        <x:v>Curtains</x:v>
      </x:c>
      <x:c r="F2738" s="24" t="n">
        <x:v>57.56</x:v>
      </x:c>
      <x:c r="G2738" t="str">
        <x:v>Autumn</x:v>
      </x:c>
      <x:c r="H2738" t="str">
        <x:v>Card</x:v>
      </x:c>
      <x:c r="I2738" t="n">
        <x:v>4.7</x:v>
      </x:c>
      <x:c r="J2738" t="n">
        <x:v>17</x:v>
      </x:c>
      <x:c r="K2738" t="n">
        <x:v>6</x:v>
      </x:c>
      <x:c r="L2738" t="str">
        <x:v>STORE-001</x:v>
      </x:c>
      <x:c r="M2738" s="22" t="n">
        <x:v>46172</x:v>
      </x:c>
      <x:c r="N2738" t="str">
        <x:v>SKU-003</x:v>
      </x:c>
      <x:c r="O2738" t="n">
        <x:v>1</x:v>
      </x:c>
      <x:c r="P2738" s="26" t="n">
        <x:f>F2738/O2738</x:f>
        <x:v>57.56</x:v>
      </x:c>
    </x:row>
    <x:row r="2739">
      <x:c r="A2739" t="n">
        <x:v>2738</x:v>
      </x:c>
      <x:c r="B2739" t="n">
        <x:v>41</x:v>
      </x:c>
      <x:c r="C2739" t="str">
        <x:v>Female</x:v>
      </x:c>
      <x:c r="D2739" t="str">
        <x:v>Home</x:v>
      </x:c>
      <x:c r="E2739" t="str">
        <x:v>Kitchen Set</x:v>
      </x:c>
      <x:c r="F2739" s="24" t="n">
        <x:v>82.73</x:v>
      </x:c>
      <x:c r="G2739" t="str">
        <x:v>Summer</x:v>
      </x:c>
      <x:c r="H2739" t="str">
        <x:v>Cash on Delivery</x:v>
      </x:c>
      <x:c r="I2739" t="n">
        <x:v>3.9</x:v>
      </x:c>
      <x:c r="J2739" t="n">
        <x:v>26</x:v>
      </x:c>
      <x:c r="K2739" t="n">
        <x:v>8</x:v>
      </x:c>
      <x:c r="L2739" t="str">
        <x:v>STORE-001</x:v>
      </x:c>
      <x:c r="M2739" s="22" t="n">
        <x:v>46037</x:v>
      </x:c>
      <x:c r="N2739" t="str">
        <x:v>SKU-012</x:v>
      </x:c>
      <x:c r="O2739" t="n">
        <x:v>2</x:v>
      </x:c>
      <x:c r="P2739" s="26" t="n">
        <x:f>F2739/O2739</x:f>
        <x:v>41.365</x:v>
      </x:c>
    </x:row>
    <x:row r="2740">
      <x:c r="A2740" t="n">
        <x:v>2739</x:v>
      </x:c>
      <x:c r="B2740" t="n">
        <x:v>30</x:v>
      </x:c>
      <x:c r="C2740" t="str">
        <x:v>Male</x:v>
      </x:c>
      <x:c r="D2740" t="str">
        <x:v>Electronics</x:v>
      </x:c>
      <x:c r="E2740" t="str">
        <x:v>Mobile Phone</x:v>
      </x:c>
      <x:c r="F2740" s="24" t="n">
        <x:v>578.64</x:v>
      </x:c>
      <x:c r="G2740" t="str">
        <x:v>Winter</x:v>
      </x:c>
      <x:c r="H2740" t="str">
        <x:v>Card</x:v>
      </x:c>
      <x:c r="I2740" t="n">
        <x:v>3.2</x:v>
      </x:c>
      <x:c r="J2740" t="n">
        <x:v>21</x:v>
      </x:c>
      <x:c r="K2740" t="n">
        <x:v>8</x:v>
      </x:c>
      <x:c r="L2740" t="str">
        <x:v>STORE-001</x:v>
      </x:c>
      <x:c r="M2740" s="22" t="n">
        <x:v>46180</x:v>
      </x:c>
      <x:c r="N2740" t="str">
        <x:v>SKU-016</x:v>
      </x:c>
      <x:c r="O2740" t="n">
        <x:v>2</x:v>
      </x:c>
      <x:c r="P2740" s="26" t="n">
        <x:f>F2740/O2740</x:f>
        <x:v>289.32</x:v>
      </x:c>
    </x:row>
    <x:row r="2741">
      <x:c r="A2741" t="n">
        <x:v>2740</x:v>
      </x:c>
      <x:c r="B2741" t="n">
        <x:v>69</x:v>
      </x:c>
      <x:c r="C2741" t="str">
        <x:v>Male</x:v>
      </x:c>
      <x:c r="D2741" t="str">
        <x:v>Groceries</x:v>
      </x:c>
      <x:c r="E2741" t="str">
        <x:v>Snacks</x:v>
      </x:c>
      <x:c r="F2741" s="24" t="n">
        <x:v>65.16</x:v>
      </x:c>
      <x:c r="G2741" t="str">
        <x:v>Autumn</x:v>
      </x:c>
      <x:c r="H2741" t="str">
        <x:v>Card</x:v>
      </x:c>
      <x:c r="I2741" t="n">
        <x:v>4.2</x:v>
      </x:c>
      <x:c r="J2741" t="n">
        <x:v>11</x:v>
      </x:c>
      <x:c r="K2741" t="n">
        <x:v>3</x:v>
      </x:c>
      <x:c r="L2741" t="str">
        <x:v>STORE-001</x:v>
      </x:c>
      <x:c r="M2741" s="22" t="n">
        <x:v>46103</x:v>
      </x:c>
      <x:c r="N2741" t="str">
        <x:v>SKU-024</x:v>
      </x:c>
      <x:c r="O2741" t="n">
        <x:v>5</x:v>
      </x:c>
      <x:c r="P2741" s="26" t="n">
        <x:f>F2741/O2741</x:f>
        <x:v>13.032</x:v>
      </x:c>
    </x:row>
    <x:row r="2742">
      <x:c r="A2742" t="n">
        <x:v>2741</x:v>
      </x:c>
      <x:c r="B2742" t="n">
        <x:v>62</x:v>
      </x:c>
      <x:c r="C2742" t="str">
        <x:v>Female</x:v>
      </x:c>
      <x:c r="D2742" t="str">
        <x:v>Womens Clothing</x:v>
      </x:c>
      <x:c r="E2742" t="str">
        <x:v>Jeans</x:v>
      </x:c>
      <x:c r="F2742" s="24" t="n">
        <x:v>101.41</x:v>
      </x:c>
      <x:c r="G2742" t="str">
        <x:v>Spring</x:v>
      </x:c>
      <x:c r="H2742" t="str">
        <x:v>Card</x:v>
      </x:c>
      <x:c r="I2742" t="n">
        <x:v>3.9</x:v>
      </x:c>
      <x:c r="J2742" t="n">
        <x:v>8</x:v>
      </x:c>
      <x:c r="K2742" t="n">
        <x:v>4</x:v>
      </x:c>
      <x:c r="L2742" t="str">
        <x:v>STORE-001</x:v>
      </x:c>
      <x:c r="M2742" s="22" t="n">
        <x:v>46272</x:v>
      </x:c>
      <x:c r="N2742" t="str">
        <x:v>SKU-011</x:v>
      </x:c>
      <x:c r="O2742" t="n">
        <x:v>2</x:v>
      </x:c>
      <x:c r="P2742" s="26" t="n">
        <x:f>F2742/O2742</x:f>
        <x:v>50.705</x:v>
      </x:c>
    </x:row>
    <x:row r="2743">
      <x:c r="A2743" t="n">
        <x:v>2742</x:v>
      </x:c>
      <x:c r="B2743" t="n">
        <x:v>33</x:v>
      </x:c>
      <x:c r="C2743" t="str">
        <x:v>Female</x:v>
      </x:c>
      <x:c r="D2743" t="str">
        <x:v>Beauty</x:v>
      </x:c>
      <x:c r="E2743" t="str">
        <x:v>Perfume</x:v>
      </x:c>
      <x:c r="F2743" s="24" t="n">
        <x:v>110.21</x:v>
      </x:c>
      <x:c r="G2743" t="str">
        <x:v>Winter</x:v>
      </x:c>
      <x:c r="H2743" t="str">
        <x:v>Card</x:v>
      </x:c>
      <x:c r="I2743" t="n">
        <x:v>4.1</x:v>
      </x:c>
      <x:c r="J2743" t="n">
        <x:v>14</x:v>
      </x:c>
      <x:c r="K2743" t="n">
        <x:v>2</x:v>
      </x:c>
      <x:c r="L2743" t="str">
        <x:v>STORE-001</x:v>
      </x:c>
      <x:c r="M2743" s="22" t="n">
        <x:v>46228</x:v>
      </x:c>
      <x:c r="N2743" t="str">
        <x:v>SKU-017</x:v>
      </x:c>
      <x:c r="O2743" t="n">
        <x:v>1</x:v>
      </x:c>
      <x:c r="P2743" s="26" t="n">
        <x:f>F2743/O2743</x:f>
        <x:v>110.21</x:v>
      </x:c>
    </x:row>
    <x:row r="2744">
      <x:c r="A2744" t="n">
        <x:v>2743</x:v>
      </x:c>
      <x:c r="B2744" t="n">
        <x:v>22</x:v>
      </x:c>
      <x:c r="C2744" t="str">
        <x:v>Male</x:v>
      </x:c>
      <x:c r="D2744" t="str">
        <x:v>Sports</x:v>
      </x:c>
      <x:c r="E2744" t="str">
        <x:v>Dumbbells</x:v>
      </x:c>
      <x:c r="F2744" s="24" t="n">
        <x:v>63.38</x:v>
      </x:c>
      <x:c r="G2744" t="str">
        <x:v>Autumn</x:v>
      </x:c>
      <x:c r="H2744" t="str">
        <x:v>Cash on Delivery</x:v>
      </x:c>
      <x:c r="I2744" t="n">
        <x:v>3</x:v>
      </x:c>
      <x:c r="J2744" t="n">
        <x:v>28</x:v>
      </x:c>
      <x:c r="K2744" t="n">
        <x:v>9</x:v>
      </x:c>
      <x:c r="L2744" t="str">
        <x:v>STORE-001</x:v>
      </x:c>
      <x:c r="M2744" s="22" t="n">
        <x:v>46096</x:v>
      </x:c>
      <x:c r="N2744" t="str">
        <x:v>SKU-005</x:v>
      </x:c>
      <x:c r="O2744" t="n">
        <x:v>1</x:v>
      </x:c>
      <x:c r="P2744" s="26" t="n">
        <x:f>F2744/O2744</x:f>
        <x:v>63.38</x:v>
      </x:c>
    </x:row>
    <x:row r="2745">
      <x:c r="A2745" t="n">
        <x:v>2744</x:v>
      </x:c>
      <x:c r="B2745" t="n">
        <x:v>56</x:v>
      </x:c>
      <x:c r="C2745" t="str">
        <x:v>Male</x:v>
      </x:c>
      <x:c r="D2745" t="str">
        <x:v>Mens Clothing</x:v>
      </x:c>
      <x:c r="E2745" t="str">
        <x:v>Jacket</x:v>
      </x:c>
      <x:c r="F2745" s="24" t="n">
        <x:v>144.24</x:v>
      </x:c>
      <x:c r="G2745" t="str">
        <x:v>Autumn</x:v>
      </x:c>
      <x:c r="H2745" t="str">
        <x:v>Card</x:v>
      </x:c>
      <x:c r="I2745" t="n">
        <x:v>3.8</x:v>
      </x:c>
      <x:c r="J2745" t="n">
        <x:v>28</x:v>
      </x:c>
      <x:c r="K2745" t="n">
        <x:v>9</x:v>
      </x:c>
      <x:c r="L2745" t="str">
        <x:v>STORE-001</x:v>
      </x:c>
      <x:c r="M2745" s="22" t="n">
        <x:v>46117</x:v>
      </x:c>
      <x:c r="N2745" t="str">
        <x:v>SKU-010</x:v>
      </x:c>
      <x:c r="O2745" t="n">
        <x:v>3</x:v>
      </x:c>
      <x:c r="P2745" s="26" t="n">
        <x:f>F2745/O2745</x:f>
        <x:v>48.080000000000005</x:v>
      </x:c>
    </x:row>
    <x:row r="2746">
      <x:c r="A2746" t="n">
        <x:v>2745</x:v>
      </x:c>
      <x:c r="B2746" t="n">
        <x:v>37</x:v>
      </x:c>
      <x:c r="C2746" t="str">
        <x:v>Male</x:v>
      </x:c>
      <x:c r="D2746" t="str">
        <x:v>Footwear</x:v>
      </x:c>
      <x:c r="E2746" t="str">
        <x:v>Sandals</x:v>
      </x:c>
      <x:c r="F2746" s="24" t="n">
        <x:v>235.76</x:v>
      </x:c>
      <x:c r="G2746" t="str">
        <x:v>Winter</x:v>
      </x:c>
      <x:c r="H2746" t="str">
        <x:v>Card</x:v>
      </x:c>
      <x:c r="I2746" t="n">
        <x:v>4.5</x:v>
      </x:c>
      <x:c r="J2746" t="n">
        <x:v>28</x:v>
      </x:c>
      <x:c r="K2746" t="n">
        <x:v>9</x:v>
      </x:c>
      <x:c r="L2746" t="str">
        <x:v>STORE-001</x:v>
      </x:c>
      <x:c r="M2746" s="22" t="n">
        <x:v>46214</x:v>
      </x:c>
      <x:c r="N2746" t="str">
        <x:v>SKU-019</x:v>
      </x:c>
      <x:c r="O2746" t="n">
        <x:v>1</x:v>
      </x:c>
      <x:c r="P2746" s="26" t="n">
        <x:f>F2746/O2746</x:f>
        <x:v>235.76</x:v>
      </x:c>
    </x:row>
    <x:row r="2747">
      <x:c r="A2747" t="n">
        <x:v>2746</x:v>
      </x:c>
      <x:c r="B2747" t="n">
        <x:v>41</x:v>
      </x:c>
      <x:c r="C2747" t="str">
        <x:v>Female</x:v>
      </x:c>
      <x:c r="D2747" t="str">
        <x:v>Accessories</x:v>
      </x:c>
      <x:c r="E2747" t="str">
        <x:v>Wallet</x:v>
      </x:c>
      <x:c r="F2747" s="24" t="n">
        <x:v>53.22</x:v>
      </x:c>
      <x:c r="G2747" t="str">
        <x:v>Winter</x:v>
      </x:c>
      <x:c r="H2747" t="str">
        <x:v>Cash on Delivery</x:v>
      </x:c>
      <x:c r="I2747" t="n">
        <x:v>2.7</x:v>
      </x:c>
      <x:c r="J2747" t="n">
        <x:v>13</x:v>
      </x:c>
      <x:c r="K2747" t="n">
        <x:v>4</x:v>
      </x:c>
      <x:c r="L2747" t="str">
        <x:v>STORE-001</x:v>
      </x:c>
      <x:c r="M2747" s="22" t="n">
        <x:v>46265</x:v>
      </x:c>
      <x:c r="N2747" t="str">
        <x:v>SKU-029</x:v>
      </x:c>
      <x:c r="O2747" t="n">
        <x:v>1</x:v>
      </x:c>
      <x:c r="P2747" s="26" t="n">
        <x:f>F2747/O2747</x:f>
        <x:v>53.22</x:v>
      </x:c>
    </x:row>
    <x:row r="2748">
      <x:c r="A2748" t="n">
        <x:v>2747</x:v>
      </x:c>
      <x:c r="B2748" t="n">
        <x:v>66</x:v>
      </x:c>
      <x:c r="C2748" t="str">
        <x:v>Male</x:v>
      </x:c>
      <x:c r="D2748" t="str">
        <x:v>Sports</x:v>
      </x:c>
      <x:c r="E2748" t="str">
        <x:v>Yoga Mat</x:v>
      </x:c>
      <x:c r="F2748" s="24" t="n">
        <x:v>50.31</x:v>
      </x:c>
      <x:c r="G2748" t="str">
        <x:v>Spring</x:v>
      </x:c>
      <x:c r="H2748" t="str">
        <x:v>Cash on Delivery</x:v>
      </x:c>
      <x:c r="I2748" t="n">
        <x:v>2.6</x:v>
      </x:c>
      <x:c r="J2748" t="n">
        <x:v>18</x:v>
      </x:c>
      <x:c r="K2748" t="n">
        <x:v>4</x:v>
      </x:c>
      <x:c r="L2748" t="str">
        <x:v>STORE-001</x:v>
      </x:c>
      <x:c r="M2748" s="22" t="n">
        <x:v>46290</x:v>
      </x:c>
      <x:c r="N2748" t="str">
        <x:v>SKU-030</x:v>
      </x:c>
      <x:c r="O2748" t="n">
        <x:v>2</x:v>
      </x:c>
      <x:c r="P2748" s="26" t="n">
        <x:f>F2748/O2748</x:f>
        <x:v>25.155</x:v>
      </x:c>
    </x:row>
    <x:row r="2749">
      <x:c r="A2749" t="n">
        <x:v>2748</x:v>
      </x:c>
      <x:c r="B2749" t="n">
        <x:v>22</x:v>
      </x:c>
      <x:c r="C2749" t="str">
        <x:v>Male</x:v>
      </x:c>
      <x:c r="D2749" t="str">
        <x:v>Electronics</x:v>
      </x:c>
      <x:c r="E2749" t="str">
        <x:v>Smart Watch</x:v>
      </x:c>
      <x:c r="F2749" s="24" t="n">
        <x:v>1764.17</x:v>
      </x:c>
      <x:c r="G2749" t="str">
        <x:v>Winter</x:v>
      </x:c>
      <x:c r="H2749" t="str">
        <x:v>Card</x:v>
      </x:c>
      <x:c r="I2749" t="n">
        <x:v>4.1</x:v>
      </x:c>
      <x:c r="J2749" t="n">
        <x:v>16</x:v>
      </x:c>
      <x:c r="K2749" t="n">
        <x:v>8</x:v>
      </x:c>
      <x:c r="L2749" t="str">
        <x:v>STORE-001</x:v>
      </x:c>
      <x:c r="M2749" s="22" t="n">
        <x:v>46212</x:v>
      </x:c>
      <x:c r="N2749" t="str">
        <x:v>SKU-023</x:v>
      </x:c>
      <x:c r="O2749" t="n">
        <x:v>1</x:v>
      </x:c>
      <x:c r="P2749" s="26" t="n">
        <x:f>F2749/O2749</x:f>
        <x:v>1764.17</x:v>
      </x:c>
    </x:row>
    <x:row r="2750">
      <x:c r="A2750" t="n">
        <x:v>2749</x:v>
      </x:c>
      <x:c r="B2750" t="n">
        <x:v>50</x:v>
      </x:c>
      <x:c r="C2750" t="str">
        <x:v>Female</x:v>
      </x:c>
      <x:c r="D2750" t="str">
        <x:v>Beauty</x:v>
      </x:c>
      <x:c r="E2750" t="str">
        <x:v>Skincare Kit</x:v>
      </x:c>
      <x:c r="F2750" s="24" t="n">
        <x:v>78.25</x:v>
      </x:c>
      <x:c r="G2750" t="str">
        <x:v>Winter</x:v>
      </x:c>
      <x:c r="H2750" t="str">
        <x:v>Cash on Delivery</x:v>
      </x:c>
      <x:c r="I2750" t="n">
        <x:v>4.8</x:v>
      </x:c>
      <x:c r="J2750" t="n">
        <x:v>18</x:v>
      </x:c>
      <x:c r="K2750" t="n">
        <x:v>4</x:v>
      </x:c>
      <x:c r="L2750" t="str">
        <x:v>STORE-001</x:v>
      </x:c>
      <x:c r="M2750" s="22" t="n">
        <x:v>46243</x:v>
      </x:c>
      <x:c r="N2750" t="str">
        <x:v>SKU-021</x:v>
      </x:c>
      <x:c r="O2750" t="n">
        <x:v>1</x:v>
      </x:c>
      <x:c r="P2750" s="26" t="n">
        <x:f>F2750/O2750</x:f>
        <x:v>78.25</x:v>
      </x:c>
    </x:row>
    <x:row r="2751">
      <x:c r="A2751" t="n">
        <x:v>2750</x:v>
      </x:c>
      <x:c r="B2751" t="n">
        <x:v>67</x:v>
      </x:c>
      <x:c r="C2751" t="str">
        <x:v>Male</x:v>
      </x:c>
      <x:c r="D2751" t="str">
        <x:v>Groceries</x:v>
      </x:c>
      <x:c r="E2751" t="str">
        <x:v>Snacks</x:v>
      </x:c>
      <x:c r="F2751" s="24" t="n">
        <x:v>18.2</x:v>
      </x:c>
      <x:c r="G2751" t="str">
        <x:v>Spring</x:v>
      </x:c>
      <x:c r="H2751" t="str">
        <x:v>Card</x:v>
      </x:c>
      <x:c r="I2751" t="n">
        <x:v>3</x:v>
      </x:c>
      <x:c r="J2751" t="n">
        <x:v>14</x:v>
      </x:c>
      <x:c r="K2751" t="n">
        <x:v>7</x:v>
      </x:c>
      <x:c r="L2751" t="str">
        <x:v>STORE-001</x:v>
      </x:c>
      <x:c r="M2751" s="22" t="n">
        <x:v>46293</x:v>
      </x:c>
      <x:c r="N2751" t="str">
        <x:v>SKU-024</x:v>
      </x:c>
      <x:c r="O2751" t="n">
        <x:v>3</x:v>
      </x:c>
      <x:c r="P2751" s="26" t="n">
        <x:f>F2751/O2751</x:f>
        <x:v>6.066666666666666</x:v>
      </x:c>
    </x:row>
    <x:row r="2752">
      <x:c r="A2752" t="n">
        <x:v>2751</x:v>
      </x:c>
      <x:c r="B2752" t="n">
        <x:v>35</x:v>
      </x:c>
      <x:c r="C2752" t="str">
        <x:v>Male</x:v>
      </x:c>
      <x:c r="D2752" t="str">
        <x:v>Home</x:v>
      </x:c>
      <x:c r="E2752" t="str">
        <x:v>Curtains</x:v>
      </x:c>
      <x:c r="F2752" s="24" t="n">
        <x:v>244.27</x:v>
      </x:c>
      <x:c r="G2752" t="str">
        <x:v>Spring</x:v>
      </x:c>
      <x:c r="H2752" t="str">
        <x:v>Card</x:v>
      </x:c>
      <x:c r="I2752" t="n">
        <x:v>4.6</x:v>
      </x:c>
      <x:c r="J2752" t="n">
        <x:v>12</x:v>
      </x:c>
      <x:c r="K2752" t="n">
        <x:v>1</x:v>
      </x:c>
      <x:c r="L2752" t="str">
        <x:v>STORE-001</x:v>
      </x:c>
      <x:c r="M2752" s="22" t="n">
        <x:v>46295</x:v>
      </x:c>
      <x:c r="N2752" t="str">
        <x:v>SKU-003</x:v>
      </x:c>
      <x:c r="O2752" t="n">
        <x:v>2</x:v>
      </x:c>
      <x:c r="P2752" s="26" t="n">
        <x:f>F2752/O2752</x:f>
        <x:v>122.135</x:v>
      </x:c>
    </x:row>
    <x:row r="2753">
      <x:c r="A2753" t="n">
        <x:v>2752</x:v>
      </x:c>
      <x:c r="B2753" t="n">
        <x:v>36</x:v>
      </x:c>
      <x:c r="C2753" t="str">
        <x:v>Male</x:v>
      </x:c>
      <x:c r="D2753" t="str">
        <x:v>Home</x:v>
      </x:c>
      <x:c r="E2753" t="str">
        <x:v>Kitchen Set</x:v>
      </x:c>
      <x:c r="F2753" s="24" t="n">
        <x:v>112.07</x:v>
      </x:c>
      <x:c r="G2753" t="str">
        <x:v>Summer</x:v>
      </x:c>
      <x:c r="H2753" t="str">
        <x:v>Card</x:v>
      </x:c>
      <x:c r="I2753" t="n">
        <x:v>3.8</x:v>
      </x:c>
      <x:c r="J2753" t="n">
        <x:v>14</x:v>
      </x:c>
      <x:c r="K2753" t="n">
        <x:v>7</x:v>
      </x:c>
      <x:c r="L2753" t="str">
        <x:v>STORE-001</x:v>
      </x:c>
      <x:c r="M2753" s="22" t="n">
        <x:v>45995</x:v>
      </x:c>
      <x:c r="N2753" t="str">
        <x:v>SKU-012</x:v>
      </x:c>
      <x:c r="O2753" t="n">
        <x:v>1</x:v>
      </x:c>
      <x:c r="P2753" s="26" t="n">
        <x:f>F2753/O2753</x:f>
        <x:v>112.07</x:v>
      </x:c>
    </x:row>
    <x:row r="2754">
      <x:c r="A2754" t="n">
        <x:v>2753</x:v>
      </x:c>
      <x:c r="B2754" t="n">
        <x:v>22</x:v>
      </x:c>
      <x:c r="C2754" t="str">
        <x:v>Male</x:v>
      </x:c>
      <x:c r="D2754" t="str">
        <x:v>Mens Clothing</x:v>
      </x:c>
      <x:c r="E2754" t="str">
        <x:v>Jacket</x:v>
      </x:c>
      <x:c r="F2754" s="24" t="n">
        <x:v>116.68</x:v>
      </x:c>
      <x:c r="G2754" t="str">
        <x:v>Summer</x:v>
      </x:c>
      <x:c r="H2754" t="str">
        <x:v>Card</x:v>
      </x:c>
      <x:c r="I2754" t="n">
        <x:v>5</x:v>
      </x:c>
      <x:c r="J2754" t="n">
        <x:v>15</x:v>
      </x:c>
      <x:c r="K2754" t="n">
        <x:v>5</x:v>
      </x:c>
      <x:c r="L2754" t="str">
        <x:v>STORE-001</x:v>
      </x:c>
      <x:c r="M2754" s="22" t="n">
        <x:v>46068</x:v>
      </x:c>
      <x:c r="N2754" t="str">
        <x:v>SKU-010</x:v>
      </x:c>
      <x:c r="O2754" t="n">
        <x:v>1</x:v>
      </x:c>
      <x:c r="P2754" s="26" t="n">
        <x:f>F2754/O2754</x:f>
        <x:v>116.68</x:v>
      </x:c>
    </x:row>
    <x:row r="2755">
      <x:c r="A2755" t="n">
        <x:v>2754</x:v>
      </x:c>
      <x:c r="B2755" t="n">
        <x:v>30</x:v>
      </x:c>
      <x:c r="C2755" t="str">
        <x:v>Female</x:v>
      </x:c>
      <x:c r="D2755" t="str">
        <x:v>Groceries</x:v>
      </x:c>
      <x:c r="E2755" t="str">
        <x:v>Snacks</x:v>
      </x:c>
      <x:c r="F2755" s="24" t="n">
        <x:v>28.54</x:v>
      </x:c>
      <x:c r="G2755" t="str">
        <x:v>Spring</x:v>
      </x:c>
      <x:c r="H2755" t="str">
        <x:v>Card</x:v>
      </x:c>
      <x:c r="I2755" t="n">
        <x:v>3.5</x:v>
      </x:c>
      <x:c r="J2755" t="n">
        <x:v>12</x:v>
      </x:c>
      <x:c r="K2755" t="n">
        <x:v>6</x:v>
      </x:c>
      <x:c r="L2755" t="str">
        <x:v>STORE-001</x:v>
      </x:c>
      <x:c r="M2755" s="22" t="n">
        <x:v>45987</x:v>
      </x:c>
      <x:c r="N2755" t="str">
        <x:v>SKU-024</x:v>
      </x:c>
      <x:c r="O2755" t="n">
        <x:v>4</x:v>
      </x:c>
      <x:c r="P2755" s="26" t="n">
        <x:f>F2755/O2755</x:f>
        <x:v>7.135</x:v>
      </x:c>
    </x:row>
    <x:row r="2756">
      <x:c r="A2756" t="n">
        <x:v>2755</x:v>
      </x:c>
      <x:c r="B2756" t="n">
        <x:v>54</x:v>
      </x:c>
      <x:c r="C2756" t="str">
        <x:v>Male</x:v>
      </x:c>
      <x:c r="D2756" t="str">
        <x:v>Electronics</x:v>
      </x:c>
      <x:c r="E2756" t="str">
        <x:v>Headphones</x:v>
      </x:c>
      <x:c r="F2756" s="24" t="n">
        <x:v>1263.59</x:v>
      </x:c>
      <x:c r="G2756" t="str">
        <x:v>Winter</x:v>
      </x:c>
      <x:c r="H2756" t="str">
        <x:v>Card</x:v>
      </x:c>
      <x:c r="I2756" t="n">
        <x:v>3.3</x:v>
      </x:c>
      <x:c r="J2756" t="n">
        <x:v>8</x:v>
      </x:c>
      <x:c r="K2756" t="n">
        <x:v>4</x:v>
      </x:c>
      <x:c r="L2756" t="str">
        <x:v>STORE-001</x:v>
      </x:c>
      <x:c r="M2756" s="22" t="n">
        <x:v>46250</x:v>
      </x:c>
      <x:c r="N2756" t="str">
        <x:v>SKU-009</x:v>
      </x:c>
      <x:c r="O2756" t="n">
        <x:v>1</x:v>
      </x:c>
      <x:c r="P2756" s="26" t="n">
        <x:f>F2756/O2756</x:f>
        <x:v>1263.59</x:v>
      </x:c>
    </x:row>
    <x:row r="2757">
      <x:c r="A2757" t="n">
        <x:v>2756</x:v>
      </x:c>
      <x:c r="B2757" t="n">
        <x:v>35</x:v>
      </x:c>
      <x:c r="C2757" t="str">
        <x:v>Male</x:v>
      </x:c>
      <x:c r="D2757" t="str">
        <x:v>Sports</x:v>
      </x:c>
      <x:c r="E2757" t="str">
        <x:v>Football</x:v>
      </x:c>
      <x:c r="F2757" s="24" t="n">
        <x:v>137.06</x:v>
      </x:c>
      <x:c r="G2757" t="str">
        <x:v>Winter</x:v>
      </x:c>
      <x:c r="H2757" t="str">
        <x:v>Card</x:v>
      </x:c>
      <x:c r="I2757" t="n">
        <x:v>3.6</x:v>
      </x:c>
      <x:c r="J2757" t="n">
        <x:v>16</x:v>
      </x:c>
      <x:c r="K2757" t="n">
        <x:v>8</x:v>
      </x:c>
      <x:c r="L2757" t="str">
        <x:v>STORE-001</x:v>
      </x:c>
      <x:c r="M2757" s="22" t="n">
        <x:v>46200</x:v>
      </x:c>
      <x:c r="N2757" t="str">
        <x:v>SKU-006</x:v>
      </x:c>
      <x:c r="O2757" t="n">
        <x:v>2</x:v>
      </x:c>
      <x:c r="P2757" s="26" t="n">
        <x:f>F2757/O2757</x:f>
        <x:v>68.53</x:v>
      </x:c>
    </x:row>
    <x:row r="2758">
      <x:c r="A2758" t="n">
        <x:v>2757</x:v>
      </x:c>
      <x:c r="B2758" t="n">
        <x:v>21</x:v>
      </x:c>
      <x:c r="C2758" t="str">
        <x:v>Male</x:v>
      </x:c>
      <x:c r="D2758" t="str">
        <x:v>Groceries</x:v>
      </x:c>
      <x:c r="E2758" t="str">
        <x:v>Cooking Oil</x:v>
      </x:c>
      <x:c r="F2758" s="24" t="n">
        <x:v>49.98</x:v>
      </x:c>
      <x:c r="G2758" t="str">
        <x:v>Spring</x:v>
      </x:c>
      <x:c r="H2758" t="str">
        <x:v>Card</x:v>
      </x:c>
      <x:c r="I2758" t="n">
        <x:v>3.2</x:v>
      </x:c>
      <x:c r="J2758" t="n">
        <x:v>13</x:v>
      </x:c>
      <x:c r="K2758" t="n">
        <x:v>4</x:v>
      </x:c>
      <x:c r="L2758" t="str">
        <x:v>STORE-001</x:v>
      </x:c>
      <x:c r="M2758" s="22" t="n">
        <x:v>45942</x:v>
      </x:c>
      <x:c r="N2758" t="str">
        <x:v>SKU-002</x:v>
      </x:c>
      <x:c r="O2758" t="n">
        <x:v>3</x:v>
      </x:c>
      <x:c r="P2758" s="26" t="n">
        <x:f>F2758/O2758</x:f>
        <x:v>16.66</x:v>
      </x:c>
    </x:row>
    <x:row r="2759">
      <x:c r="A2759" t="n">
        <x:v>2758</x:v>
      </x:c>
      <x:c r="B2759" t="n">
        <x:v>50</x:v>
      </x:c>
      <x:c r="C2759" t="str">
        <x:v>Female</x:v>
      </x:c>
      <x:c r="D2759" t="str">
        <x:v>Footwear</x:v>
      </x:c>
      <x:c r="E2759" t="str">
        <x:v>Sneakers</x:v>
      </x:c>
      <x:c r="F2759" s="24" t="n">
        <x:v>99.11</x:v>
      </x:c>
      <x:c r="G2759" t="str">
        <x:v>Summer</x:v>
      </x:c>
      <x:c r="H2759" t="str">
        <x:v>Cash on Delivery</x:v>
      </x:c>
      <x:c r="I2759" t="n">
        <x:v>4.3</x:v>
      </x:c>
      <x:c r="J2759" t="n">
        <x:v>9</x:v>
      </x:c>
      <x:c r="K2759" t="n">
        <x:v>2</x:v>
      </x:c>
      <x:c r="L2759" t="str">
        <x:v>STORE-001</x:v>
      </x:c>
      <x:c r="M2759" s="22" t="n">
        <x:v>46040</x:v>
      </x:c>
      <x:c r="N2759" t="str">
        <x:v>SKU-025</x:v>
      </x:c>
      <x:c r="O2759" t="n">
        <x:v>1</x:v>
      </x:c>
      <x:c r="P2759" s="26" t="n">
        <x:f>F2759/O2759</x:f>
        <x:v>99.11</x:v>
      </x:c>
    </x:row>
    <x:row r="2760">
      <x:c r="A2760" t="n">
        <x:v>2759</x:v>
      </x:c>
      <x:c r="B2760" t="n">
        <x:v>30</x:v>
      </x:c>
      <x:c r="C2760" t="str">
        <x:v>Male</x:v>
      </x:c>
      <x:c r="D2760" t="str">
        <x:v>Electronics</x:v>
      </x:c>
      <x:c r="E2760" t="str">
        <x:v>Mobile Phone</x:v>
      </x:c>
      <x:c r="F2760" s="24" t="n">
        <x:v>1683.57</x:v>
      </x:c>
      <x:c r="G2760" t="str">
        <x:v>Winter</x:v>
      </x:c>
      <x:c r="H2760" t="str">
        <x:v>Card</x:v>
      </x:c>
      <x:c r="I2760" t="n">
        <x:v>3.5</x:v>
      </x:c>
      <x:c r="J2760" t="n">
        <x:v>11</x:v>
      </x:c>
      <x:c r="K2760" t="n">
        <x:v>3</x:v>
      </x:c>
      <x:c r="L2760" t="str">
        <x:v>STORE-001</x:v>
      </x:c>
      <x:c r="M2760" s="22" t="n">
        <x:v>46188</x:v>
      </x:c>
      <x:c r="N2760" t="str">
        <x:v>SKU-016</x:v>
      </x:c>
      <x:c r="O2760" t="n">
        <x:v>1</x:v>
      </x:c>
      <x:c r="P2760" s="26" t="n">
        <x:f>F2760/O2760</x:f>
        <x:v>1683.57</x:v>
      </x:c>
    </x:row>
    <x:row r="2761">
      <x:c r="A2761" t="n">
        <x:v>2760</x:v>
      </x:c>
      <x:c r="B2761" t="n">
        <x:v>48</x:v>
      </x:c>
      <x:c r="C2761" t="str">
        <x:v>Female</x:v>
      </x:c>
      <x:c r="D2761" t="str">
        <x:v>Groceries</x:v>
      </x:c>
      <x:c r="E2761" t="str">
        <x:v>Rice Pack</x:v>
      </x:c>
      <x:c r="F2761" s="24" t="n">
        <x:v>77.24</x:v>
      </x:c>
      <x:c r="G2761" t="str">
        <x:v>Summer</x:v>
      </x:c>
      <x:c r="H2761" t="str">
        <x:v>Card</x:v>
      </x:c>
      <x:c r="I2761" t="n">
        <x:v>4.7</x:v>
      </x:c>
      <x:c r="J2761" t="n">
        <x:v>28</x:v>
      </x:c>
      <x:c r="K2761" t="n">
        <x:v>9</x:v>
      </x:c>
      <x:c r="L2761" t="str">
        <x:v>STORE-001</x:v>
      </x:c>
      <x:c r="M2761" s="22" t="n">
        <x:v>46081</x:v>
      </x:c>
      <x:c r="N2761" t="str">
        <x:v>SKU-018</x:v>
      </x:c>
      <x:c r="O2761" t="n">
        <x:v>2</x:v>
      </x:c>
      <x:c r="P2761" s="26" t="n">
        <x:f>F2761/O2761</x:f>
        <x:v>38.62</x:v>
      </x:c>
    </x:row>
    <x:row r="2762">
      <x:c r="A2762" t="n">
        <x:v>2761</x:v>
      </x:c>
      <x:c r="B2762" t="n">
        <x:v>38</x:v>
      </x:c>
      <x:c r="C2762" t="str">
        <x:v>Female</x:v>
      </x:c>
      <x:c r="D2762" t="str">
        <x:v>Groceries</x:v>
      </x:c>
      <x:c r="E2762" t="str">
        <x:v>Cooking Oil</x:v>
      </x:c>
      <x:c r="F2762" s="24" t="n">
        <x:v>15.14</x:v>
      </x:c>
      <x:c r="G2762" t="str">
        <x:v>Spring</x:v>
      </x:c>
      <x:c r="H2762" t="str">
        <x:v>Card</x:v>
      </x:c>
      <x:c r="I2762" t="n">
        <x:v>3.2</x:v>
      </x:c>
      <x:c r="J2762" t="n">
        <x:v>18</x:v>
      </x:c>
      <x:c r="K2762" t="n">
        <x:v>4</x:v>
      </x:c>
      <x:c r="L2762" t="str">
        <x:v>STORE-001</x:v>
      </x:c>
      <x:c r="M2762" s="22" t="n">
        <x:v>45974</x:v>
      </x:c>
      <x:c r="N2762" t="str">
        <x:v>SKU-002</x:v>
      </x:c>
      <x:c r="O2762" t="n">
        <x:v>1</x:v>
      </x:c>
      <x:c r="P2762" s="26" t="n">
        <x:f>F2762/O2762</x:f>
        <x:v>15.14</x:v>
      </x:c>
    </x:row>
    <x:row r="2763">
      <x:c r="A2763" t="n">
        <x:v>2762</x:v>
      </x:c>
      <x:c r="B2763" t="n">
        <x:v>62</x:v>
      </x:c>
      <x:c r="C2763" t="str">
        <x:v>Male</x:v>
      </x:c>
      <x:c r="D2763" t="str">
        <x:v>Footwear</x:v>
      </x:c>
      <x:c r="E2763" t="str">
        <x:v>Sandals</x:v>
      </x:c>
      <x:c r="F2763" s="24" t="n">
        <x:v>43.56</x:v>
      </x:c>
      <x:c r="G2763" t="str">
        <x:v>Winter</x:v>
      </x:c>
      <x:c r="H2763" t="str">
        <x:v>Cash on Delivery</x:v>
      </x:c>
      <x:c r="I2763" t="n">
        <x:v>2.6</x:v>
      </x:c>
      <x:c r="J2763" t="n">
        <x:v>24</x:v>
      </x:c>
      <x:c r="K2763" t="n">
        <x:v>7</x:v>
      </x:c>
      <x:c r="L2763" t="str">
        <x:v>STORE-001</x:v>
      </x:c>
      <x:c r="M2763" s="22" t="n">
        <x:v>46235</x:v>
      </x:c>
      <x:c r="N2763" t="str">
        <x:v>SKU-019</x:v>
      </x:c>
      <x:c r="O2763" t="n">
        <x:v>1</x:v>
      </x:c>
      <x:c r="P2763" s="26" t="n">
        <x:f>F2763/O2763</x:f>
        <x:v>43.56</x:v>
      </x:c>
    </x:row>
    <x:row r="2764">
      <x:c r="A2764" t="n">
        <x:v>2763</x:v>
      </x:c>
      <x:c r="B2764" t="n">
        <x:v>30</x:v>
      </x:c>
      <x:c r="C2764" t="str">
        <x:v>Female</x:v>
      </x:c>
      <x:c r="D2764" t="str">
        <x:v>Beauty</x:v>
      </x:c>
      <x:c r="E2764" t="str">
        <x:v>Perfume</x:v>
      </x:c>
      <x:c r="F2764" s="24" t="n">
        <x:v>51</x:v>
      </x:c>
      <x:c r="G2764" t="str">
        <x:v>Summer</x:v>
      </x:c>
      <x:c r="H2764" t="str">
        <x:v>Cash on Delivery</x:v>
      </x:c>
      <x:c r="I2764" t="n">
        <x:v>4.5</x:v>
      </x:c>
      <x:c r="J2764" t="n">
        <x:v>8</x:v>
      </x:c>
      <x:c r="K2764" t="n">
        <x:v>4</x:v>
      </x:c>
      <x:c r="L2764" t="str">
        <x:v>STORE-001</x:v>
      </x:c>
      <x:c r="M2764" s="22" t="n">
        <x:v>46043</x:v>
      </x:c>
      <x:c r="N2764" t="str">
        <x:v>SKU-017</x:v>
      </x:c>
      <x:c r="O2764" t="n">
        <x:v>1</x:v>
      </x:c>
      <x:c r="P2764" s="26" t="n">
        <x:f>F2764/O2764</x:f>
        <x:v>51</x:v>
      </x:c>
    </x:row>
    <x:row r="2765">
      <x:c r="A2765" t="n">
        <x:v>2764</x:v>
      </x:c>
      <x:c r="B2765" t="n">
        <x:v>24</x:v>
      </x:c>
      <x:c r="C2765" t="str">
        <x:v>Female</x:v>
      </x:c>
      <x:c r="D2765" t="str">
        <x:v>Sports</x:v>
      </x:c>
      <x:c r="E2765" t="str">
        <x:v>Dumbbells</x:v>
      </x:c>
      <x:c r="F2765" s="24" t="n">
        <x:v>232.42</x:v>
      </x:c>
      <x:c r="G2765" t="str">
        <x:v>Summer</x:v>
      </x:c>
      <x:c r="H2765" t="str">
        <x:v>Card</x:v>
      </x:c>
      <x:c r="I2765" t="n">
        <x:v>2.7</x:v>
      </x:c>
      <x:c r="J2765" t="n">
        <x:v>9</x:v>
      </x:c>
      <x:c r="K2765" t="n">
        <x:v>2</x:v>
      </x:c>
      <x:c r="L2765" t="str">
        <x:v>STORE-001</x:v>
      </x:c>
      <x:c r="M2765" s="22" t="n">
        <x:v>46014</x:v>
      </x:c>
      <x:c r="N2765" t="str">
        <x:v>SKU-005</x:v>
      </x:c>
      <x:c r="O2765" t="n">
        <x:v>1</x:v>
      </x:c>
      <x:c r="P2765" s="26" t="n">
        <x:f>F2765/O2765</x:f>
        <x:v>232.42</x:v>
      </x:c>
    </x:row>
    <x:row r="2766">
      <x:c r="A2766" t="n">
        <x:v>2765</x:v>
      </x:c>
      <x:c r="B2766" t="n">
        <x:v>56</x:v>
      </x:c>
      <x:c r="C2766" t="str">
        <x:v>Female</x:v>
      </x:c>
      <x:c r="D2766" t="str">
        <x:v>Beauty</x:v>
      </x:c>
      <x:c r="E2766" t="str">
        <x:v>Skincare Kit</x:v>
      </x:c>
      <x:c r="F2766" s="24" t="n">
        <x:v>78.21</x:v>
      </x:c>
      <x:c r="G2766" t="str">
        <x:v>Spring</x:v>
      </x:c>
      <x:c r="H2766" t="str">
        <x:v>Cash on Delivery</x:v>
      </x:c>
      <x:c r="I2766" t="n">
        <x:v>5</x:v>
      </x:c>
      <x:c r="J2766" t="n">
        <x:v>22</x:v>
      </x:c>
      <x:c r="K2766" t="n">
        <x:v>6</x:v>
      </x:c>
      <x:c r="L2766" t="str">
        <x:v>STORE-001</x:v>
      </x:c>
      <x:c r="M2766" s="22" t="n">
        <x:v>45937</x:v>
      </x:c>
      <x:c r="N2766" t="str">
        <x:v>SKU-021</x:v>
      </x:c>
      <x:c r="O2766" t="n">
        <x:v>1</x:v>
      </x:c>
      <x:c r="P2766" s="26" t="n">
        <x:f>F2766/O2766</x:f>
        <x:v>78.21</x:v>
      </x:c>
    </x:row>
    <x:row r="2767">
      <x:c r="A2767" t="n">
        <x:v>2766</x:v>
      </x:c>
      <x:c r="B2767" t="n">
        <x:v>70</x:v>
      </x:c>
      <x:c r="C2767" t="str">
        <x:v>Female</x:v>
      </x:c>
      <x:c r="D2767" t="str">
        <x:v>Groceries</x:v>
      </x:c>
      <x:c r="E2767" t="str">
        <x:v>Beverages</x:v>
      </x:c>
      <x:c r="F2767" s="24" t="n">
        <x:v>26.36</x:v>
      </x:c>
      <x:c r="G2767" t="str">
        <x:v>Spring</x:v>
      </x:c>
      <x:c r="H2767" t="str">
        <x:v>Cash on Delivery</x:v>
      </x:c>
      <x:c r="I2767" t="n">
        <x:v>4.4</x:v>
      </x:c>
      <x:c r="J2767" t="n">
        <x:v>10</x:v>
      </x:c>
      <x:c r="K2767" t="n">
        <x:v>5</x:v>
      </x:c>
      <x:c r="L2767" t="str">
        <x:v>STORE-001</x:v>
      </x:c>
      <x:c r="M2767" s="22" t="n">
        <x:v>45954</x:v>
      </x:c>
      <x:c r="N2767" t="str">
        <x:v>SKU-001</x:v>
      </x:c>
      <x:c r="O2767" t="n">
        <x:v>2</x:v>
      </x:c>
      <x:c r="P2767" s="26" t="n">
        <x:f>F2767/O2767</x:f>
        <x:v>13.18</x:v>
      </x:c>
    </x:row>
    <x:row r="2768">
      <x:c r="A2768" t="n">
        <x:v>2767</x:v>
      </x:c>
      <x:c r="B2768" t="n">
        <x:v>22</x:v>
      </x:c>
      <x:c r="C2768" t="str">
        <x:v>Male</x:v>
      </x:c>
      <x:c r="D2768" t="str">
        <x:v>Mens Clothing</x:v>
      </x:c>
      <x:c r="E2768" t="str">
        <x:v>Jacket</x:v>
      </x:c>
      <x:c r="F2768" s="24" t="n">
        <x:v>59.51</x:v>
      </x:c>
      <x:c r="G2768" t="str">
        <x:v>Winter</x:v>
      </x:c>
      <x:c r="H2768" t="str">
        <x:v>Card</x:v>
      </x:c>
      <x:c r="I2768" t="n">
        <x:v>3.3</x:v>
      </x:c>
      <x:c r="J2768" t="n">
        <x:v>16</x:v>
      </x:c>
      <x:c r="K2768" t="n">
        <x:v>3</x:v>
      </x:c>
      <x:c r="L2768" t="str">
        <x:v>STORE-001</x:v>
      </x:c>
      <x:c r="M2768" s="22" t="n">
        <x:v>46249</x:v>
      </x:c>
      <x:c r="N2768" t="str">
        <x:v>SKU-010</x:v>
      </x:c>
      <x:c r="O2768" t="n">
        <x:v>1</x:v>
      </x:c>
      <x:c r="P2768" s="26" t="n">
        <x:f>F2768/O2768</x:f>
        <x:v>59.51</x:v>
      </x:c>
    </x:row>
    <x:row r="2769">
      <x:c r="A2769" t="n">
        <x:v>2768</x:v>
      </x:c>
      <x:c r="B2769" t="n">
        <x:v>36</x:v>
      </x:c>
      <x:c r="C2769" t="str">
        <x:v>Female</x:v>
      </x:c>
      <x:c r="D2769" t="str">
        <x:v>Womens Clothing</x:v>
      </x:c>
      <x:c r="E2769" t="str">
        <x:v>Jeans</x:v>
      </x:c>
      <x:c r="F2769" s="24" t="n">
        <x:v>150.92</x:v>
      </x:c>
      <x:c r="G2769" t="str">
        <x:v>Summer</x:v>
      </x:c>
      <x:c r="H2769" t="str">
        <x:v>Card</x:v>
      </x:c>
      <x:c r="I2769" t="n">
        <x:v>4.1</x:v>
      </x:c>
      <x:c r="J2769" t="n">
        <x:v>15</x:v>
      </x:c>
      <x:c r="K2769" t="n">
        <x:v>5</x:v>
      </x:c>
      <x:c r="L2769" t="str">
        <x:v>STORE-001</x:v>
      </x:c>
      <x:c r="M2769" s="22" t="n">
        <x:v>45999</x:v>
      </x:c>
      <x:c r="N2769" t="str">
        <x:v>SKU-011</x:v>
      </x:c>
      <x:c r="O2769" t="n">
        <x:v>1</x:v>
      </x:c>
      <x:c r="P2769" s="26" t="n">
        <x:f>F2769/O2769</x:f>
        <x:v>150.92</x:v>
      </x:c>
    </x:row>
    <x:row r="2770">
      <x:c r="A2770" t="n">
        <x:v>2769</x:v>
      </x:c>
      <x:c r="B2770" t="n">
        <x:v>47</x:v>
      </x:c>
      <x:c r="C2770" t="str">
        <x:v>Female</x:v>
      </x:c>
      <x:c r="D2770" t="str">
        <x:v>Womens Clothing</x:v>
      </x:c>
      <x:c r="E2770" t="str">
        <x:v>Top</x:v>
      </x:c>
      <x:c r="F2770" s="24" t="n">
        <x:v>148.25</x:v>
      </x:c>
      <x:c r="G2770" t="str">
        <x:v>Spring</x:v>
      </x:c>
      <x:c r="H2770" t="str">
        <x:v>Card</x:v>
      </x:c>
      <x:c r="I2770" t="n">
        <x:v>4</x:v>
      </x:c>
      <x:c r="J2770" t="n">
        <x:v>16</x:v>
      </x:c>
      <x:c r="K2770" t="n">
        <x:v>3</x:v>
      </x:c>
      <x:c r="L2770" t="str">
        <x:v>STORE-001</x:v>
      </x:c>
      <x:c r="M2770" s="22" t="n">
        <x:v>46281</x:v>
      </x:c>
      <x:c r="N2770" t="str">
        <x:v>SKU-028</x:v>
      </x:c>
      <x:c r="O2770" t="n">
        <x:v>1</x:v>
      </x:c>
      <x:c r="P2770" s="26" t="n">
        <x:f>F2770/O2770</x:f>
        <x:v>148.25</x:v>
      </x:c>
    </x:row>
    <x:row r="2771">
      <x:c r="A2771" t="n">
        <x:v>2770</x:v>
      </x:c>
      <x:c r="B2771" t="n">
        <x:v>57</x:v>
      </x:c>
      <x:c r="C2771" t="str">
        <x:v>Male</x:v>
      </x:c>
      <x:c r="D2771" t="str">
        <x:v>Footwear</x:v>
      </x:c>
      <x:c r="E2771" t="str">
        <x:v>Formal Shoes</x:v>
      </x:c>
      <x:c r="F2771" s="24" t="n">
        <x:v>196.03</x:v>
      </x:c>
      <x:c r="G2771" t="str">
        <x:v>Winter</x:v>
      </x:c>
      <x:c r="H2771" t="str">
        <x:v>Card</x:v>
      </x:c>
      <x:c r="I2771" t="n">
        <x:v>4.3</x:v>
      </x:c>
      <x:c r="J2771" t="n">
        <x:v>6</x:v>
      </x:c>
      <x:c r="K2771" t="n">
        <x:v>3</x:v>
      </x:c>
      <x:c r="L2771" t="str">
        <x:v>STORE-001</x:v>
      </x:c>
      <x:c r="M2771" s="22" t="n">
        <x:v>46180</x:v>
      </x:c>
      <x:c r="N2771" t="str">
        <x:v>SKU-007</x:v>
      </x:c>
      <x:c r="O2771" t="n">
        <x:v>2</x:v>
      </x:c>
      <x:c r="P2771" s="26" t="n">
        <x:f>F2771/O2771</x:f>
        <x:v>98.015</x:v>
      </x:c>
    </x:row>
    <x:row r="2772">
      <x:c r="A2772" t="n">
        <x:v>2771</x:v>
      </x:c>
      <x:c r="B2772" t="n">
        <x:v>46</x:v>
      </x:c>
      <x:c r="C2772" t="str">
        <x:v>Male</x:v>
      </x:c>
      <x:c r="D2772" t="str">
        <x:v>Electronics</x:v>
      </x:c>
      <x:c r="E2772" t="str">
        <x:v>Laptop</x:v>
      </x:c>
      <x:c r="F2772" s="24" t="n">
        <x:v>853.51</x:v>
      </x:c>
      <x:c r="G2772" t="str">
        <x:v>Spring</x:v>
      </x:c>
      <x:c r="H2772" t="str">
        <x:v>Card</x:v>
      </x:c>
      <x:c r="I2772" t="n">
        <x:v>2.7</x:v>
      </x:c>
      <x:c r="J2772" t="n">
        <x:v>11</x:v>
      </x:c>
      <x:c r="K2772" t="n">
        <x:v>3</x:v>
      </x:c>
      <x:c r="L2772" t="str">
        <x:v>STORE-001</x:v>
      </x:c>
      <x:c r="M2772" s="22" t="n">
        <x:v>46285</x:v>
      </x:c>
      <x:c r="N2772" t="str">
        <x:v>SKU-014</x:v>
      </x:c>
      <x:c r="O2772" t="n">
        <x:v>1</x:v>
      </x:c>
      <x:c r="P2772" s="26" t="n">
        <x:f>F2772/O2772</x:f>
        <x:v>853.51</x:v>
      </x:c>
    </x:row>
    <x:row r="2773">
      <x:c r="A2773" t="n">
        <x:v>2772</x:v>
      </x:c>
      <x:c r="B2773" t="n">
        <x:v>62</x:v>
      </x:c>
      <x:c r="C2773" t="str">
        <x:v>Male</x:v>
      </x:c>
      <x:c r="D2773" t="str">
        <x:v>Electronics</x:v>
      </x:c>
      <x:c r="E2773" t="str">
        <x:v>Headphones</x:v>
      </x:c>
      <x:c r="F2773" s="24" t="n">
        <x:v>1899.51</x:v>
      </x:c>
      <x:c r="G2773" t="str">
        <x:v>Autumn</x:v>
      </x:c>
      <x:c r="H2773" t="str">
        <x:v>Card</x:v>
      </x:c>
      <x:c r="I2773" t="n">
        <x:v>4.2</x:v>
      </x:c>
      <x:c r="J2773" t="n">
        <x:v>24</x:v>
      </x:c>
      <x:c r="K2773" t="n">
        <x:v>7</x:v>
      </x:c>
      <x:c r="L2773" t="str">
        <x:v>STORE-001</x:v>
      </x:c>
      <x:c r="M2773" s="22" t="n">
        <x:v>46151</x:v>
      </x:c>
      <x:c r="N2773" t="str">
        <x:v>SKU-009</x:v>
      </x:c>
      <x:c r="O2773" t="n">
        <x:v>1</x:v>
      </x:c>
      <x:c r="P2773" s="26" t="n">
        <x:f>F2773/O2773</x:f>
        <x:v>1899.51</x:v>
      </x:c>
    </x:row>
    <x:row r="2774">
      <x:c r="A2774" t="n">
        <x:v>2773</x:v>
      </x:c>
      <x:c r="B2774" t="n">
        <x:v>20</x:v>
      </x:c>
      <x:c r="C2774" t="str">
        <x:v>Male</x:v>
      </x:c>
      <x:c r="D2774" t="str">
        <x:v>Mens Clothing</x:v>
      </x:c>
      <x:c r="E2774" t="str">
        <x:v>T-Shirt</x:v>
      </x:c>
      <x:c r="F2774" s="24" t="n">
        <x:v>89.5</x:v>
      </x:c>
      <x:c r="G2774" t="str">
        <x:v>Autumn</x:v>
      </x:c>
      <x:c r="H2774" t="str">
        <x:v>Card</x:v>
      </x:c>
      <x:c r="I2774" t="n">
        <x:v>4.3</x:v>
      </x:c>
      <x:c r="J2774" t="n">
        <x:v>28</x:v>
      </x:c>
      <x:c r="K2774" t="n">
        <x:v>9</x:v>
      </x:c>
      <x:c r="L2774" t="str">
        <x:v>STORE-001</x:v>
      </x:c>
      <x:c r="M2774" s="22" t="n">
        <x:v>46115</x:v>
      </x:c>
      <x:c r="N2774" t="str">
        <x:v>SKU-027</x:v>
      </x:c>
      <x:c r="O2774" t="n">
        <x:v>1</x:v>
      </x:c>
      <x:c r="P2774" s="26" t="n">
        <x:f>F2774/O2774</x:f>
        <x:v>89.5</x:v>
      </x:c>
    </x:row>
    <x:row r="2775">
      <x:c r="A2775" t="n">
        <x:v>2774</x:v>
      </x:c>
      <x:c r="B2775" t="n">
        <x:v>61</x:v>
      </x:c>
      <x:c r="C2775" t="str">
        <x:v>Male</x:v>
      </x:c>
      <x:c r="D2775" t="str">
        <x:v>Sports</x:v>
      </x:c>
      <x:c r="E2775" t="str">
        <x:v>Dumbbells</x:v>
      </x:c>
      <x:c r="F2775" s="24" t="n">
        <x:v>30.95</x:v>
      </x:c>
      <x:c r="G2775" t="str">
        <x:v>Winter</x:v>
      </x:c>
      <x:c r="H2775" t="str">
        <x:v>Card</x:v>
      </x:c>
      <x:c r="I2775" t="n">
        <x:v>3.5</x:v>
      </x:c>
      <x:c r="J2775" t="n">
        <x:v>17</x:v>
      </x:c>
      <x:c r="K2775" t="n">
        <x:v>6</x:v>
      </x:c>
      <x:c r="L2775" t="str">
        <x:v>STORE-001</x:v>
      </x:c>
      <x:c r="M2775" s="22" t="n">
        <x:v>46177</x:v>
      </x:c>
      <x:c r="N2775" t="str">
        <x:v>SKU-005</x:v>
      </x:c>
      <x:c r="O2775" t="n">
        <x:v>1</x:v>
      </x:c>
      <x:c r="P2775" s="26" t="n">
        <x:f>F2775/O2775</x:f>
        <x:v>30.95</x:v>
      </x:c>
    </x:row>
    <x:row r="2776">
      <x:c r="A2776" t="n">
        <x:v>2775</x:v>
      </x:c>
      <x:c r="B2776" t="n">
        <x:v>48</x:v>
      </x:c>
      <x:c r="C2776" t="str">
        <x:v>Male</x:v>
      </x:c>
      <x:c r="D2776" t="str">
        <x:v>Home</x:v>
      </x:c>
      <x:c r="E2776" t="str">
        <x:v>Kitchen Set</x:v>
      </x:c>
      <x:c r="F2776" s="24" t="n">
        <x:v>297.56</x:v>
      </x:c>
      <x:c r="G2776" t="str">
        <x:v>Winter</x:v>
      </x:c>
      <x:c r="H2776" t="str">
        <x:v>Card</x:v>
      </x:c>
      <x:c r="I2776" t="n">
        <x:v>5</x:v>
      </x:c>
      <x:c r="J2776" t="n">
        <x:v>18</x:v>
      </x:c>
      <x:c r="K2776" t="n">
        <x:v>4</x:v>
      </x:c>
      <x:c r="L2776" t="str">
        <x:v>STORE-001</x:v>
      </x:c>
      <x:c r="M2776" s="22" t="n">
        <x:v>46228</x:v>
      </x:c>
      <x:c r="N2776" t="str">
        <x:v>SKU-012</x:v>
      </x:c>
      <x:c r="O2776" t="n">
        <x:v>1</x:v>
      </x:c>
      <x:c r="P2776" s="26" t="n">
        <x:f>F2776/O2776</x:f>
        <x:v>297.56</x:v>
      </x:c>
    </x:row>
    <x:row r="2777">
      <x:c r="A2777" t="n">
        <x:v>2776</x:v>
      </x:c>
      <x:c r="B2777" t="n">
        <x:v>52</x:v>
      </x:c>
      <x:c r="C2777" t="str">
        <x:v>Male</x:v>
      </x:c>
      <x:c r="D2777" t="str">
        <x:v>Mens Clothing</x:v>
      </x:c>
      <x:c r="E2777" t="str">
        <x:v>Jeans</x:v>
      </x:c>
      <x:c r="F2777" s="24" t="n">
        <x:v>169.71</x:v>
      </x:c>
      <x:c r="G2777" t="str">
        <x:v>Winter</x:v>
      </x:c>
      <x:c r="H2777" t="str">
        <x:v>Card</x:v>
      </x:c>
      <x:c r="I2777" t="n">
        <x:v>4.3</x:v>
      </x:c>
      <x:c r="J2777" t="n">
        <x:v>19</x:v>
      </x:c>
      <x:c r="K2777" t="n">
        <x:v>7</x:v>
      </x:c>
      <x:c r="L2777" t="str">
        <x:v>STORE-001</x:v>
      </x:c>
      <x:c r="M2777" s="22" t="n">
        <x:v>46222</x:v>
      </x:c>
      <x:c r="N2777" t="str">
        <x:v>SKU-011</x:v>
      </x:c>
      <x:c r="O2777" t="n">
        <x:v>1</x:v>
      </x:c>
      <x:c r="P2777" s="26" t="n">
        <x:f>F2777/O2777</x:f>
        <x:v>169.71</x:v>
      </x:c>
    </x:row>
    <x:row r="2778">
      <x:c r="A2778" t="n">
        <x:v>2777</x:v>
      </x:c>
      <x:c r="B2778" t="n">
        <x:v>60</x:v>
      </x:c>
      <x:c r="C2778" t="str">
        <x:v>Female</x:v>
      </x:c>
      <x:c r="D2778" t="str">
        <x:v>Womens Clothing</x:v>
      </x:c>
      <x:c r="E2778" t="str">
        <x:v>Skirt</x:v>
      </x:c>
      <x:c r="F2778" s="24" t="n">
        <x:v>97.73</x:v>
      </x:c>
      <x:c r="G2778" t="str">
        <x:v>Winter</x:v>
      </x:c>
      <x:c r="H2778" t="str">
        <x:v>Card</x:v>
      </x:c>
      <x:c r="I2778" t="n">
        <x:v>4</x:v>
      </x:c>
      <x:c r="J2778" t="n">
        <x:v>19</x:v>
      </x:c>
      <x:c r="K2778" t="n">
        <x:v>7</x:v>
      </x:c>
      <x:c r="L2778" t="str">
        <x:v>STORE-001</x:v>
      </x:c>
      <x:c r="M2778" s="22" t="n">
        <x:v>46212</x:v>
      </x:c>
      <x:c r="N2778" t="str">
        <x:v>SKU-022</x:v>
      </x:c>
      <x:c r="O2778" t="n">
        <x:v>3</x:v>
      </x:c>
      <x:c r="P2778" s="26" t="n">
        <x:f>F2778/O2778</x:f>
        <x:v>32.57666666666667</x:v>
      </x:c>
    </x:row>
    <x:row r="2779">
      <x:c r="A2779" t="n">
        <x:v>2778</x:v>
      </x:c>
      <x:c r="B2779" t="n">
        <x:v>23</x:v>
      </x:c>
      <x:c r="C2779" t="str">
        <x:v>Male</x:v>
      </x:c>
      <x:c r="D2779" t="str">
        <x:v>Home</x:v>
      </x:c>
      <x:c r="E2779" t="str">
        <x:v>Lamp</x:v>
      </x:c>
      <x:c r="F2779" s="24" t="n">
        <x:v>92.52</x:v>
      </x:c>
      <x:c r="G2779" t="str">
        <x:v>Autumn</x:v>
      </x:c>
      <x:c r="H2779" t="str">
        <x:v>Card</x:v>
      </x:c>
      <x:c r="I2779" t="n">
        <x:v>3.3</x:v>
      </x:c>
      <x:c r="J2779" t="n">
        <x:v>8</x:v>
      </x:c>
      <x:c r="K2779" t="n">
        <x:v>4</x:v>
      </x:c>
      <x:c r="L2779" t="str">
        <x:v>STORE-001</x:v>
      </x:c>
      <x:c r="M2779" s="22" t="n">
        <x:v>46119</x:v>
      </x:c>
      <x:c r="N2779" t="str">
        <x:v>SKU-013</x:v>
      </x:c>
      <x:c r="O2779" t="n">
        <x:v>1</x:v>
      </x:c>
      <x:c r="P2779" s="26" t="n">
        <x:f>F2779/O2779</x:f>
        <x:v>92.52</x:v>
      </x:c>
    </x:row>
    <x:row r="2780">
      <x:c r="A2780" t="n">
        <x:v>2779</x:v>
      </x:c>
      <x:c r="B2780" t="n">
        <x:v>43</x:v>
      </x:c>
      <x:c r="C2780" t="str">
        <x:v>Male</x:v>
      </x:c>
      <x:c r="D2780" t="str">
        <x:v>Sports</x:v>
      </x:c>
      <x:c r="E2780" t="str">
        <x:v>Dumbbells</x:v>
      </x:c>
      <x:c r="F2780" s="24" t="n">
        <x:v>217.59</x:v>
      </x:c>
      <x:c r="G2780" t="str">
        <x:v>Summer</x:v>
      </x:c>
      <x:c r="H2780" t="str">
        <x:v>Card</x:v>
      </x:c>
      <x:c r="I2780" t="n">
        <x:v>4.1</x:v>
      </x:c>
      <x:c r="J2780" t="n">
        <x:v>10</x:v>
      </x:c>
      <x:c r="K2780" t="n">
        <x:v>5</x:v>
      </x:c>
      <x:c r="L2780" t="str">
        <x:v>STORE-001</x:v>
      </x:c>
      <x:c r="M2780" s="22" t="n">
        <x:v>46025</x:v>
      </x:c>
      <x:c r="N2780" t="str">
        <x:v>SKU-005</x:v>
      </x:c>
      <x:c r="O2780" t="n">
        <x:v>1</x:v>
      </x:c>
      <x:c r="P2780" s="26" t="n">
        <x:f>F2780/O2780</x:f>
        <x:v>217.59</x:v>
      </x:c>
    </x:row>
    <x:row r="2781">
      <x:c r="A2781" t="n">
        <x:v>2780</x:v>
      </x:c>
      <x:c r="B2781" t="n">
        <x:v>27</x:v>
      </x:c>
      <x:c r="C2781" t="str">
        <x:v>Male</x:v>
      </x:c>
      <x:c r="D2781" t="str">
        <x:v>Footwear</x:v>
      </x:c>
      <x:c r="E2781" t="str">
        <x:v>Sandals</x:v>
      </x:c>
      <x:c r="F2781" s="24" t="n">
        <x:v>144.95</x:v>
      </x:c>
      <x:c r="G2781" t="str">
        <x:v>Summer</x:v>
      </x:c>
      <x:c r="H2781" t="str">
        <x:v>Card</x:v>
      </x:c>
      <x:c r="I2781" t="n">
        <x:v>4.6</x:v>
      </x:c>
      <x:c r="J2781" t="n">
        <x:v>13</x:v>
      </x:c>
      <x:c r="K2781" t="n">
        <x:v>4</x:v>
      </x:c>
      <x:c r="L2781" t="str">
        <x:v>STORE-001</x:v>
      </x:c>
      <x:c r="M2781" s="22" t="n">
        <x:v>46045</x:v>
      </x:c>
      <x:c r="N2781" t="str">
        <x:v>SKU-019</x:v>
      </x:c>
      <x:c r="O2781" t="n">
        <x:v>1</x:v>
      </x:c>
      <x:c r="P2781" s="26" t="n">
        <x:f>F2781/O2781</x:f>
        <x:v>144.95</x:v>
      </x:c>
    </x:row>
    <x:row r="2782">
      <x:c r="A2782" t="n">
        <x:v>2781</x:v>
      </x:c>
      <x:c r="B2782" t="n">
        <x:v>37</x:v>
      </x:c>
      <x:c r="C2782" t="str">
        <x:v>Female</x:v>
      </x:c>
      <x:c r="D2782" t="str">
        <x:v>Womens Clothing</x:v>
      </x:c>
      <x:c r="E2782" t="str">
        <x:v>Skirt</x:v>
      </x:c>
      <x:c r="F2782" s="24" t="n">
        <x:v>95.24</x:v>
      </x:c>
      <x:c r="G2782" t="str">
        <x:v>Winter</x:v>
      </x:c>
      <x:c r="H2782" t="str">
        <x:v>Cash on Delivery</x:v>
      </x:c>
      <x:c r="I2782" t="n">
        <x:v>4.1</x:v>
      </x:c>
      <x:c r="J2782" t="n">
        <x:v>17</x:v>
      </x:c>
      <x:c r="K2782" t="n">
        <x:v>6</x:v>
      </x:c>
      <x:c r="L2782" t="str">
        <x:v>STORE-001</x:v>
      </x:c>
      <x:c r="M2782" s="22" t="n">
        <x:v>46241</x:v>
      </x:c>
      <x:c r="N2782" t="str">
        <x:v>SKU-022</x:v>
      </x:c>
      <x:c r="O2782" t="n">
        <x:v>2</x:v>
      </x:c>
      <x:c r="P2782" s="26" t="n">
        <x:f>F2782/O2782</x:f>
        <x:v>47.62</x:v>
      </x:c>
    </x:row>
    <x:row r="2783">
      <x:c r="A2783" t="n">
        <x:v>2782</x:v>
      </x:c>
      <x:c r="B2783" t="n">
        <x:v>20</x:v>
      </x:c>
      <x:c r="C2783" t="str">
        <x:v>Female</x:v>
      </x:c>
      <x:c r="D2783" t="str">
        <x:v>Home</x:v>
      </x:c>
      <x:c r="E2783" t="str">
        <x:v>Curtains</x:v>
      </x:c>
      <x:c r="F2783" s="24" t="n">
        <x:v>291.95</x:v>
      </x:c>
      <x:c r="G2783" t="str">
        <x:v>Summer</x:v>
      </x:c>
      <x:c r="H2783" t="str">
        <x:v>Card</x:v>
      </x:c>
      <x:c r="I2783" t="n">
        <x:v>2.8</x:v>
      </x:c>
      <x:c r="J2783" t="n">
        <x:v>20</x:v>
      </x:c>
      <x:c r="K2783" t="n">
        <x:v>5</x:v>
      </x:c>
      <x:c r="L2783" t="str">
        <x:v>STORE-001</x:v>
      </x:c>
      <x:c r="M2783" s="22" t="n">
        <x:v>45993</x:v>
      </x:c>
      <x:c r="N2783" t="str">
        <x:v>SKU-003</x:v>
      </x:c>
      <x:c r="O2783" t="n">
        <x:v>2</x:v>
      </x:c>
      <x:c r="P2783" s="26" t="n">
        <x:f>F2783/O2783</x:f>
        <x:v>145.975</x:v>
      </x:c>
    </x:row>
    <x:row r="2784">
      <x:c r="A2784" t="n">
        <x:v>2783</x:v>
      </x:c>
      <x:c r="B2784" t="n">
        <x:v>44</x:v>
      </x:c>
      <x:c r="C2784" t="str">
        <x:v>Male</x:v>
      </x:c>
      <x:c r="D2784" t="str">
        <x:v>Mens Clothing</x:v>
      </x:c>
      <x:c r="E2784" t="str">
        <x:v>T-Shirt</x:v>
      </x:c>
      <x:c r="F2784" s="24" t="n">
        <x:v>154.18</x:v>
      </x:c>
      <x:c r="G2784" t="str">
        <x:v>Summer</x:v>
      </x:c>
      <x:c r="H2784" t="str">
        <x:v>Card</x:v>
      </x:c>
      <x:c r="I2784" t="n">
        <x:v>4.5</x:v>
      </x:c>
      <x:c r="J2784" t="n">
        <x:v>16</x:v>
      </x:c>
      <x:c r="K2784" t="n">
        <x:v>8</x:v>
      </x:c>
      <x:c r="L2784" t="str">
        <x:v>STORE-001</x:v>
      </x:c>
      <x:c r="M2784" s="22" t="n">
        <x:v>46060</x:v>
      </x:c>
      <x:c r="N2784" t="str">
        <x:v>SKU-027</x:v>
      </x:c>
      <x:c r="O2784" t="n">
        <x:v>1</x:v>
      </x:c>
      <x:c r="P2784" s="26" t="n">
        <x:f>F2784/O2784</x:f>
        <x:v>154.18</x:v>
      </x:c>
    </x:row>
    <x:row r="2785">
      <x:c r="A2785" t="n">
        <x:v>2784</x:v>
      </x:c>
      <x:c r="B2785" t="n">
        <x:v>20</x:v>
      </x:c>
      <x:c r="C2785" t="str">
        <x:v>Female</x:v>
      </x:c>
      <x:c r="D2785" t="str">
        <x:v>Beauty</x:v>
      </x:c>
      <x:c r="E2785" t="str">
        <x:v>Makeup Set</x:v>
      </x:c>
      <x:c r="F2785" s="24" t="n">
        <x:v>51.67</x:v>
      </x:c>
      <x:c r="G2785" t="str">
        <x:v>Spring</x:v>
      </x:c>
      <x:c r="H2785" t="str">
        <x:v>Cash on Delivery</x:v>
      </x:c>
      <x:c r="I2785" t="n">
        <x:v>3.5</x:v>
      </x:c>
      <x:c r="J2785" t="n">
        <x:v>12</x:v>
      </x:c>
      <x:c r="K2785" t="n">
        <x:v>6</x:v>
      </x:c>
      <x:c r="L2785" t="str">
        <x:v>STORE-001</x:v>
      </x:c>
      <x:c r="M2785" s="22" t="n">
        <x:v>46289</x:v>
      </x:c>
      <x:c r="N2785" t="str">
        <x:v>SKU-015</x:v>
      </x:c>
      <x:c r="O2785" t="n">
        <x:v>1</x:v>
      </x:c>
      <x:c r="P2785" s="26" t="n">
        <x:f>F2785/O2785</x:f>
        <x:v>51.67</x:v>
      </x:c>
    </x:row>
    <x:row r="2786">
      <x:c r="A2786" t="n">
        <x:v>2785</x:v>
      </x:c>
      <x:c r="B2786" t="n">
        <x:v>43</x:v>
      </x:c>
      <x:c r="C2786" t="str">
        <x:v>Female</x:v>
      </x:c>
      <x:c r="D2786" t="str">
        <x:v>Beauty</x:v>
      </x:c>
      <x:c r="E2786" t="str">
        <x:v>Skincare Kit</x:v>
      </x:c>
      <x:c r="F2786" s="24" t="n">
        <x:v>137.75</x:v>
      </x:c>
      <x:c r="G2786" t="str">
        <x:v>Spring</x:v>
      </x:c>
      <x:c r="H2786" t="str">
        <x:v>Card</x:v>
      </x:c>
      <x:c r="I2786" t="n">
        <x:v>4.1</x:v>
      </x:c>
      <x:c r="J2786" t="n">
        <x:v>20</x:v>
      </x:c>
      <x:c r="K2786" t="n">
        <x:v>5</x:v>
      </x:c>
      <x:c r="L2786" t="str">
        <x:v>STORE-001</x:v>
      </x:c>
      <x:c r="M2786" s="22" t="n">
        <x:v>45970</x:v>
      </x:c>
      <x:c r="N2786" t="str">
        <x:v>SKU-021</x:v>
      </x:c>
      <x:c r="O2786" t="n">
        <x:v>1</x:v>
      </x:c>
      <x:c r="P2786" s="26" t="n">
        <x:f>F2786/O2786</x:f>
        <x:v>137.75</x:v>
      </x:c>
    </x:row>
    <x:row r="2787">
      <x:c r="A2787" t="n">
        <x:v>2786</x:v>
      </x:c>
      <x:c r="B2787" t="n">
        <x:v>46</x:v>
      </x:c>
      <x:c r="C2787" t="str">
        <x:v>Female</x:v>
      </x:c>
      <x:c r="D2787" t="str">
        <x:v>Footwear</x:v>
      </x:c>
      <x:c r="E2787" t="str">
        <x:v>Sneakers</x:v>
      </x:c>
      <x:c r="F2787" s="24" t="n">
        <x:v>106.59</x:v>
      </x:c>
      <x:c r="G2787" t="str">
        <x:v>Winter</x:v>
      </x:c>
      <x:c r="H2787" t="str">
        <x:v>Card</x:v>
      </x:c>
      <x:c r="I2787" t="n">
        <x:v>4.9</x:v>
      </x:c>
      <x:c r="J2787" t="n">
        <x:v>26</x:v>
      </x:c>
      <x:c r="K2787" t="n">
        <x:v>8</x:v>
      </x:c>
      <x:c r="L2787" t="str">
        <x:v>STORE-001</x:v>
      </x:c>
      <x:c r="M2787" s="22" t="n">
        <x:v>46176</x:v>
      </x:c>
      <x:c r="N2787" t="str">
        <x:v>SKU-025</x:v>
      </x:c>
      <x:c r="O2787" t="n">
        <x:v>1</x:v>
      </x:c>
      <x:c r="P2787" s="26" t="n">
        <x:f>F2787/O2787</x:f>
        <x:v>106.59</x:v>
      </x:c>
    </x:row>
    <x:row r="2788">
      <x:c r="A2788" t="n">
        <x:v>2787</x:v>
      </x:c>
      <x:c r="B2788" t="n">
        <x:v>30</x:v>
      </x:c>
      <x:c r="C2788" t="str">
        <x:v>Female</x:v>
      </x:c>
      <x:c r="D2788" t="str">
        <x:v>Accessories</x:v>
      </x:c>
      <x:c r="E2788" t="str">
        <x:v>Wallet</x:v>
      </x:c>
      <x:c r="F2788" s="24" t="n">
        <x:v>119.64</x:v>
      </x:c>
      <x:c r="G2788" t="str">
        <x:v>Spring</x:v>
      </x:c>
      <x:c r="H2788" t="str">
        <x:v>Card</x:v>
      </x:c>
      <x:c r="I2788" t="n">
        <x:v>3.8</x:v>
      </x:c>
      <x:c r="J2788" t="n">
        <x:v>13</x:v>
      </x:c>
      <x:c r="K2788" t="n">
        <x:v>4</x:v>
      </x:c>
      <x:c r="L2788" t="str">
        <x:v>STORE-001</x:v>
      </x:c>
      <x:c r="M2788" s="22" t="n">
        <x:v>46283</x:v>
      </x:c>
      <x:c r="N2788" t="str">
        <x:v>SKU-029</x:v>
      </x:c>
      <x:c r="O2788" t="n">
        <x:v>1</x:v>
      </x:c>
      <x:c r="P2788" s="26" t="n">
        <x:f>F2788/O2788</x:f>
        <x:v>119.64</x:v>
      </x:c>
    </x:row>
    <x:row r="2789">
      <x:c r="A2789" t="n">
        <x:v>2788</x:v>
      </x:c>
      <x:c r="B2789" t="n">
        <x:v>22</x:v>
      </x:c>
      <x:c r="C2789" t="str">
        <x:v>Female</x:v>
      </x:c>
      <x:c r="D2789" t="str">
        <x:v>Beauty</x:v>
      </x:c>
      <x:c r="E2789" t="str">
        <x:v>Makeup Set</x:v>
      </x:c>
      <x:c r="F2789" s="24" t="n">
        <x:v>90.97</x:v>
      </x:c>
      <x:c r="G2789" t="str">
        <x:v>Spring</x:v>
      </x:c>
      <x:c r="H2789" t="str">
        <x:v>Card</x:v>
      </x:c>
      <x:c r="I2789" t="n">
        <x:v>4</x:v>
      </x:c>
      <x:c r="J2789" t="n">
        <x:v>14</x:v>
      </x:c>
      <x:c r="K2789" t="n">
        <x:v>2</x:v>
      </x:c>
      <x:c r="L2789" t="str">
        <x:v>STORE-001</x:v>
      </x:c>
      <x:c r="M2789" s="22" t="n">
        <x:v>45972</x:v>
      </x:c>
      <x:c r="N2789" t="str">
        <x:v>SKU-015</x:v>
      </x:c>
      <x:c r="O2789" t="n">
        <x:v>2</x:v>
      </x:c>
      <x:c r="P2789" s="26" t="n">
        <x:f>F2789/O2789</x:f>
        <x:v>45.485</x:v>
      </x:c>
    </x:row>
    <x:row r="2790">
      <x:c r="A2790" t="n">
        <x:v>2789</x:v>
      </x:c>
      <x:c r="B2790" t="n">
        <x:v>57</x:v>
      </x:c>
      <x:c r="C2790" t="str">
        <x:v>Female</x:v>
      </x:c>
      <x:c r="D2790" t="str">
        <x:v>Home</x:v>
      </x:c>
      <x:c r="E2790" t="str">
        <x:v>Curtains</x:v>
      </x:c>
      <x:c r="F2790" s="24" t="n">
        <x:v>106.31</x:v>
      </x:c>
      <x:c r="G2790" t="str">
        <x:v>Spring</x:v>
      </x:c>
      <x:c r="H2790" t="str">
        <x:v>Card</x:v>
      </x:c>
      <x:c r="I2790" t="n">
        <x:v>2.4</x:v>
      </x:c>
      <x:c r="J2790" t="n">
        <x:v>15</x:v>
      </x:c>
      <x:c r="K2790" t="n">
        <x:v>5</x:v>
      </x:c>
      <x:c r="L2790" t="str">
        <x:v>STORE-001</x:v>
      </x:c>
      <x:c r="M2790" s="22" t="n">
        <x:v>46277</x:v>
      </x:c>
      <x:c r="N2790" t="str">
        <x:v>SKU-003</x:v>
      </x:c>
      <x:c r="O2790" t="n">
        <x:v>1</x:v>
      </x:c>
      <x:c r="P2790" s="26" t="n">
        <x:f>F2790/O2790</x:f>
        <x:v>106.31</x:v>
      </x:c>
    </x:row>
    <x:row r="2791">
      <x:c r="A2791" t="n">
        <x:v>2790</x:v>
      </x:c>
      <x:c r="B2791" t="n">
        <x:v>50</x:v>
      </x:c>
      <x:c r="C2791" t="str">
        <x:v>Male</x:v>
      </x:c>
      <x:c r="D2791" t="str">
        <x:v>Footwear</x:v>
      </x:c>
      <x:c r="E2791" t="str">
        <x:v>Sandals</x:v>
      </x:c>
      <x:c r="F2791" s="24" t="n">
        <x:v>116.45</x:v>
      </x:c>
      <x:c r="G2791" t="str">
        <x:v>Summer</x:v>
      </x:c>
      <x:c r="H2791" t="str">
        <x:v>Card</x:v>
      </x:c>
      <x:c r="I2791" t="n">
        <x:v>3.7</x:v>
      </x:c>
      <x:c r="J2791" t="n">
        <x:v>18</x:v>
      </x:c>
      <x:c r="K2791" t="n">
        <x:v>9</x:v>
      </x:c>
      <x:c r="L2791" t="str">
        <x:v>STORE-001</x:v>
      </x:c>
      <x:c r="M2791" s="22" t="n">
        <x:v>45998</x:v>
      </x:c>
      <x:c r="N2791" t="str">
        <x:v>SKU-019</x:v>
      </x:c>
      <x:c r="O2791" t="n">
        <x:v>2</x:v>
      </x:c>
      <x:c r="P2791" s="26" t="n">
        <x:f>F2791/O2791</x:f>
        <x:v>58.225</x:v>
      </x:c>
    </x:row>
    <x:row r="2792">
      <x:c r="A2792" t="n">
        <x:v>2791</x:v>
      </x:c>
      <x:c r="B2792" t="n">
        <x:v>61</x:v>
      </x:c>
      <x:c r="C2792" t="str">
        <x:v>Male</x:v>
      </x:c>
      <x:c r="D2792" t="str">
        <x:v>Footwear</x:v>
      </x:c>
      <x:c r="E2792" t="str">
        <x:v>Sandals</x:v>
      </x:c>
      <x:c r="F2792" s="24" t="n">
        <x:v>166.25</x:v>
      </x:c>
      <x:c r="G2792" t="str">
        <x:v>Winter</x:v>
      </x:c>
      <x:c r="H2792" t="str">
        <x:v>Card</x:v>
      </x:c>
      <x:c r="I2792" t="n">
        <x:v>4.3</x:v>
      </x:c>
      <x:c r="J2792" t="n">
        <x:v>8</x:v>
      </x:c>
      <x:c r="K2792" t="n">
        <x:v>4</x:v>
      </x:c>
      <x:c r="L2792" t="str">
        <x:v>STORE-001</x:v>
      </x:c>
      <x:c r="M2792" s="22" t="n">
        <x:v>46260</x:v>
      </x:c>
      <x:c r="N2792" t="str">
        <x:v>SKU-019</x:v>
      </x:c>
      <x:c r="O2792" t="n">
        <x:v>1</x:v>
      </x:c>
      <x:c r="P2792" s="26" t="n">
        <x:f>F2792/O2792</x:f>
        <x:v>166.25</x:v>
      </x:c>
    </x:row>
    <x:row r="2793">
      <x:c r="A2793" t="n">
        <x:v>2792</x:v>
      </x:c>
      <x:c r="B2793" t="n">
        <x:v>38</x:v>
      </x:c>
      <x:c r="C2793" t="str">
        <x:v>Male</x:v>
      </x:c>
      <x:c r="D2793" t="str">
        <x:v>Footwear</x:v>
      </x:c>
      <x:c r="E2793" t="str">
        <x:v>Formal Shoes</x:v>
      </x:c>
      <x:c r="F2793" s="24" t="n">
        <x:v>204.4</x:v>
      </x:c>
      <x:c r="G2793" t="str">
        <x:v>Spring</x:v>
      </x:c>
      <x:c r="H2793" t="str">
        <x:v>Card</x:v>
      </x:c>
      <x:c r="I2793" t="n">
        <x:v>4.7</x:v>
      </x:c>
      <x:c r="J2793" t="n">
        <x:v>6</x:v>
      </x:c>
      <x:c r="K2793" t="n">
        <x:v>3</x:v>
      </x:c>
      <x:c r="L2793" t="str">
        <x:v>STORE-001</x:v>
      </x:c>
      <x:c r="M2793" s="22" t="n">
        <x:v>45960</x:v>
      </x:c>
      <x:c r="N2793" t="str">
        <x:v>SKU-007</x:v>
      </x:c>
      <x:c r="O2793" t="n">
        <x:v>1</x:v>
      </x:c>
      <x:c r="P2793" s="26" t="n">
        <x:f>F2793/O2793</x:f>
        <x:v>204.4</x:v>
      </x:c>
    </x:row>
    <x:row r="2794">
      <x:c r="A2794" t="n">
        <x:v>2793</x:v>
      </x:c>
      <x:c r="B2794" t="n">
        <x:v>37</x:v>
      </x:c>
      <x:c r="C2794" t="str">
        <x:v>Male</x:v>
      </x:c>
      <x:c r="D2794" t="str">
        <x:v>Sports</x:v>
      </x:c>
      <x:c r="E2794" t="str">
        <x:v>Dumbbells</x:v>
      </x:c>
      <x:c r="F2794" s="24" t="n">
        <x:v>239.14</x:v>
      </x:c>
      <x:c r="G2794" t="str">
        <x:v>Winter</x:v>
      </x:c>
      <x:c r="H2794" t="str">
        <x:v>Card</x:v>
      </x:c>
      <x:c r="I2794" t="n">
        <x:v>2.2</x:v>
      </x:c>
      <x:c r="J2794" t="n">
        <x:v>15</x:v>
      </x:c>
      <x:c r="K2794" t="n">
        <x:v>5</x:v>
      </x:c>
      <x:c r="L2794" t="str">
        <x:v>STORE-001</x:v>
      </x:c>
      <x:c r="M2794" s="22" t="n">
        <x:v>46201</x:v>
      </x:c>
      <x:c r="N2794" t="str">
        <x:v>SKU-005</x:v>
      </x:c>
      <x:c r="O2794" t="n">
        <x:v>1</x:v>
      </x:c>
      <x:c r="P2794" s="26" t="n">
        <x:f>F2794/O2794</x:f>
        <x:v>239.14</x:v>
      </x:c>
    </x:row>
    <x:row r="2795">
      <x:c r="A2795" t="n">
        <x:v>2794</x:v>
      </x:c>
      <x:c r="B2795" t="n">
        <x:v>37</x:v>
      </x:c>
      <x:c r="C2795" t="str">
        <x:v>Male</x:v>
      </x:c>
      <x:c r="D2795" t="str">
        <x:v>Footwear</x:v>
      </x:c>
      <x:c r="E2795" t="str">
        <x:v>Sandals</x:v>
      </x:c>
      <x:c r="F2795" s="24" t="n">
        <x:v>174.28</x:v>
      </x:c>
      <x:c r="G2795" t="str">
        <x:v>Spring</x:v>
      </x:c>
      <x:c r="H2795" t="str">
        <x:v>Card</x:v>
      </x:c>
      <x:c r="I2795" t="n">
        <x:v>3.2</x:v>
      </x:c>
      <x:c r="J2795" t="n">
        <x:v>15</x:v>
      </x:c>
      <x:c r="K2795" t="n">
        <x:v>5</x:v>
      </x:c>
      <x:c r="L2795" t="str">
        <x:v>STORE-001</x:v>
      </x:c>
      <x:c r="M2795" s="22" t="n">
        <x:v>46275</x:v>
      </x:c>
      <x:c r="N2795" t="str">
        <x:v>SKU-019</x:v>
      </x:c>
      <x:c r="O2795" t="n">
        <x:v>1</x:v>
      </x:c>
      <x:c r="P2795" s="26" t="n">
        <x:f>F2795/O2795</x:f>
        <x:v>174.28</x:v>
      </x:c>
    </x:row>
    <x:row r="2796">
      <x:c r="A2796" t="n">
        <x:v>2795</x:v>
      </x:c>
      <x:c r="B2796" t="n">
        <x:v>30</x:v>
      </x:c>
      <x:c r="C2796" t="str">
        <x:v>Male</x:v>
      </x:c>
      <x:c r="D2796" t="str">
        <x:v>Footwear</x:v>
      </x:c>
      <x:c r="E2796" t="str">
        <x:v>Formal Shoes</x:v>
      </x:c>
      <x:c r="F2796" s="24" t="n">
        <x:v>54.8</x:v>
      </x:c>
      <x:c r="G2796" t="str">
        <x:v>Summer</x:v>
      </x:c>
      <x:c r="H2796" t="str">
        <x:v>Cash on Delivery</x:v>
      </x:c>
      <x:c r="I2796" t="n">
        <x:v>3.6</x:v>
      </x:c>
      <x:c r="J2796" t="n">
        <x:v>22</x:v>
      </x:c>
      <x:c r="K2796" t="n">
        <x:v>6</x:v>
      </x:c>
      <x:c r="L2796" t="str">
        <x:v>STORE-001</x:v>
      </x:c>
      <x:c r="M2796" s="22" t="n">
        <x:v>46044</x:v>
      </x:c>
      <x:c r="N2796" t="str">
        <x:v>SKU-007</x:v>
      </x:c>
      <x:c r="O2796" t="n">
        <x:v>1</x:v>
      </x:c>
      <x:c r="P2796" s="26" t="n">
        <x:f>F2796/O2796</x:f>
        <x:v>54.8</x:v>
      </x:c>
    </x:row>
    <x:row r="2797">
      <x:c r="A2797" t="n">
        <x:v>2796</x:v>
      </x:c>
      <x:c r="B2797" t="n">
        <x:v>32</x:v>
      </x:c>
      <x:c r="C2797" t="str">
        <x:v>Female</x:v>
      </x:c>
      <x:c r="D2797" t="str">
        <x:v>Sports</x:v>
      </x:c>
      <x:c r="E2797" t="str">
        <x:v>Dumbbells</x:v>
      </x:c>
      <x:c r="F2797" s="24" t="n">
        <x:v>65.04</x:v>
      </x:c>
      <x:c r="G2797" t="str">
        <x:v>Summer</x:v>
      </x:c>
      <x:c r="H2797" t="str">
        <x:v>Cash on Delivery</x:v>
      </x:c>
      <x:c r="I2797" t="n">
        <x:v>4.9</x:v>
      </x:c>
      <x:c r="J2797" t="n">
        <x:v>15</x:v>
      </x:c>
      <x:c r="K2797" t="n">
        <x:v>5</x:v>
      </x:c>
      <x:c r="L2797" t="str">
        <x:v>STORE-001</x:v>
      </x:c>
      <x:c r="M2797" s="22" t="n">
        <x:v>46001</x:v>
      </x:c>
      <x:c r="N2797" t="str">
        <x:v>SKU-005</x:v>
      </x:c>
      <x:c r="O2797" t="n">
        <x:v>1</x:v>
      </x:c>
      <x:c r="P2797" s="26" t="n">
        <x:f>F2797/O2797</x:f>
        <x:v>65.04</x:v>
      </x:c>
    </x:row>
    <x:row r="2798">
      <x:c r="A2798" t="n">
        <x:v>2797</x:v>
      </x:c>
      <x:c r="B2798" t="n">
        <x:v>29</x:v>
      </x:c>
      <x:c r="C2798" t="str">
        <x:v>Male</x:v>
      </x:c>
      <x:c r="D2798" t="str">
        <x:v>Sports</x:v>
      </x:c>
      <x:c r="E2798" t="str">
        <x:v>Yoga Mat</x:v>
      </x:c>
      <x:c r="F2798" s="24" t="n">
        <x:v>121.15</x:v>
      </x:c>
      <x:c r="G2798" t="str">
        <x:v>Spring</x:v>
      </x:c>
      <x:c r="H2798" t="str">
        <x:v>Card</x:v>
      </x:c>
      <x:c r="I2798" t="n">
        <x:v>3.4</x:v>
      </x:c>
      <x:c r="J2798" t="n">
        <x:v>4</x:v>
      </x:c>
      <x:c r="K2798" t="n">
        <x:v>2</x:v>
      </x:c>
      <x:c r="L2798" t="str">
        <x:v>STORE-001</x:v>
      </x:c>
      <x:c r="M2798" s="22" t="n">
        <x:v>46287</x:v>
      </x:c>
      <x:c r="N2798" t="str">
        <x:v>SKU-030</x:v>
      </x:c>
      <x:c r="O2798" t="n">
        <x:v>3</x:v>
      </x:c>
      <x:c r="P2798" s="26" t="n">
        <x:f>F2798/O2798</x:f>
        <x:v>40.38333333333333</x:v>
      </x:c>
    </x:row>
    <x:row r="2799">
      <x:c r="A2799" t="n">
        <x:v>2798</x:v>
      </x:c>
      <x:c r="B2799" t="n">
        <x:v>37</x:v>
      </x:c>
      <x:c r="C2799" t="str">
        <x:v>Female</x:v>
      </x:c>
      <x:c r="D2799" t="str">
        <x:v>Beauty</x:v>
      </x:c>
      <x:c r="E2799" t="str">
        <x:v>Perfume</x:v>
      </x:c>
      <x:c r="F2799" s="24" t="n">
        <x:v>111.74</x:v>
      </x:c>
      <x:c r="G2799" t="str">
        <x:v>Spring</x:v>
      </x:c>
      <x:c r="H2799" t="str">
        <x:v>Card</x:v>
      </x:c>
      <x:c r="I2799" t="n">
        <x:v>4.6</x:v>
      </x:c>
      <x:c r="J2799" t="n">
        <x:v>11</x:v>
      </x:c>
      <x:c r="K2799" t="n">
        <x:v>3</x:v>
      </x:c>
      <x:c r="L2799" t="str">
        <x:v>STORE-001</x:v>
      </x:c>
      <x:c r="M2799" s="22" t="n">
        <x:v>46268</x:v>
      </x:c>
      <x:c r="N2799" t="str">
        <x:v>SKU-017</x:v>
      </x:c>
      <x:c r="O2799" t="n">
        <x:v>1</x:v>
      </x:c>
      <x:c r="P2799" s="26" t="n">
        <x:f>F2799/O2799</x:f>
        <x:v>111.74</x:v>
      </x:c>
    </x:row>
    <x:row r="2800">
      <x:c r="A2800" t="n">
        <x:v>2799</x:v>
      </x:c>
      <x:c r="B2800" t="n">
        <x:v>38</x:v>
      </x:c>
      <x:c r="C2800" t="str">
        <x:v>Female</x:v>
      </x:c>
      <x:c r="D2800" t="str">
        <x:v>Beauty</x:v>
      </x:c>
      <x:c r="E2800" t="str">
        <x:v>Makeup Set</x:v>
      </x:c>
      <x:c r="F2800" s="24" t="n">
        <x:v>142.9</x:v>
      </x:c>
      <x:c r="G2800" t="str">
        <x:v>Autumn</x:v>
      </x:c>
      <x:c r="H2800" t="str">
        <x:v>Card</x:v>
      </x:c>
      <x:c r="I2800" t="n">
        <x:v>3.8</x:v>
      </x:c>
      <x:c r="J2800" t="n">
        <x:v>7</x:v>
      </x:c>
      <x:c r="K2800" t="n">
        <x:v>1</x:v>
      </x:c>
      <x:c r="L2800" t="str">
        <x:v>STORE-001</x:v>
      </x:c>
      <x:c r="M2800" s="22" t="n">
        <x:v>46124</x:v>
      </x:c>
      <x:c r="N2800" t="str">
        <x:v>SKU-015</x:v>
      </x:c>
      <x:c r="O2800" t="n">
        <x:v>4</x:v>
      </x:c>
      <x:c r="P2800" s="26" t="n">
        <x:f>F2800/O2800</x:f>
        <x:v>35.725</x:v>
      </x:c>
    </x:row>
    <x:row r="2801">
      <x:c r="A2801" t="n">
        <x:v>2800</x:v>
      </x:c>
      <x:c r="B2801" t="n">
        <x:v>61</x:v>
      </x:c>
      <x:c r="C2801" t="str">
        <x:v>Male</x:v>
      </x:c>
      <x:c r="D2801" t="str">
        <x:v>Sports</x:v>
      </x:c>
      <x:c r="E2801" t="str">
        <x:v>Dumbbells</x:v>
      </x:c>
      <x:c r="F2801" s="24" t="n">
        <x:v>85.18</x:v>
      </x:c>
      <x:c r="G2801" t="str">
        <x:v>Winter</x:v>
      </x:c>
      <x:c r="H2801" t="str">
        <x:v>Cash on Delivery</x:v>
      </x:c>
      <x:c r="I2801" t="n">
        <x:v>2.7</x:v>
      </x:c>
      <x:c r="J2801" t="n">
        <x:v>4</x:v>
      </x:c>
      <x:c r="K2801" t="n">
        <x:v>2</x:v>
      </x:c>
      <x:c r="L2801" t="str">
        <x:v>STORE-001</x:v>
      </x:c>
      <x:c r="M2801" s="22" t="n">
        <x:v>46190</x:v>
      </x:c>
      <x:c r="N2801" t="str">
        <x:v>SKU-005</x:v>
      </x:c>
      <x:c r="O2801" t="n">
        <x:v>2</x:v>
      </x:c>
      <x:c r="P2801" s="26" t="n">
        <x:f>F2801/O2801</x:f>
        <x:v>42.59</x:v>
      </x:c>
    </x:row>
    <x:row r="2802">
      <x:c r="A2802" t="n">
        <x:v>2801</x:v>
      </x:c>
      <x:c r="B2802" t="n">
        <x:v>25</x:v>
      </x:c>
      <x:c r="C2802" t="str">
        <x:v>Female</x:v>
      </x:c>
      <x:c r="D2802" t="str">
        <x:v>Accessories</x:v>
      </x:c>
      <x:c r="E2802" t="str">
        <x:v>Wallet</x:v>
      </x:c>
      <x:c r="F2802" s="24" t="n">
        <x:v>137.33</x:v>
      </x:c>
      <x:c r="G2802" t="str">
        <x:v>Summer</x:v>
      </x:c>
      <x:c r="H2802" t="str">
        <x:v>Card</x:v>
      </x:c>
      <x:c r="I2802" t="n">
        <x:v>4.7</x:v>
      </x:c>
      <x:c r="J2802" t="n">
        <x:v>20</x:v>
      </x:c>
      <x:c r="K2802" t="n">
        <x:v>10</x:v>
      </x:c>
      <x:c r="L2802" t="str">
        <x:v>STORE-001</x:v>
      </x:c>
      <x:c r="M2802" s="22" t="n">
        <x:v>46013</x:v>
      </x:c>
      <x:c r="N2802" t="str">
        <x:v>SKU-029</x:v>
      </x:c>
      <x:c r="O2802" t="n">
        <x:v>1</x:v>
      </x:c>
      <x:c r="P2802" s="26" t="n">
        <x:f>F2802/O2802</x:f>
        <x:v>137.33</x:v>
      </x:c>
    </x:row>
    <x:row r="2803">
      <x:c r="A2803" t="n">
        <x:v>2802</x:v>
      </x:c>
      <x:c r="B2803" t="n">
        <x:v>60</x:v>
      </x:c>
      <x:c r="C2803" t="str">
        <x:v>Male</x:v>
      </x:c>
      <x:c r="D2803" t="str">
        <x:v>Footwear</x:v>
      </x:c>
      <x:c r="E2803" t="str">
        <x:v>Sandals</x:v>
      </x:c>
      <x:c r="F2803" s="24" t="n">
        <x:v>82.73</x:v>
      </x:c>
      <x:c r="G2803" t="str">
        <x:v>Spring</x:v>
      </x:c>
      <x:c r="H2803" t="str">
        <x:v>Cash on Delivery</x:v>
      </x:c>
      <x:c r="I2803" t="n">
        <x:v>3.6</x:v>
      </x:c>
      <x:c r="J2803" t="n">
        <x:v>8</x:v>
      </x:c>
      <x:c r="K2803" t="n">
        <x:v>4</x:v>
      </x:c>
      <x:c r="L2803" t="str">
        <x:v>STORE-001</x:v>
      </x:c>
      <x:c r="M2803" s="22" t="n">
        <x:v>45956</x:v>
      </x:c>
      <x:c r="N2803" t="str">
        <x:v>SKU-019</x:v>
      </x:c>
      <x:c r="O2803" t="n">
        <x:v>1</x:v>
      </x:c>
      <x:c r="P2803" s="26" t="n">
        <x:f>F2803/O2803</x:f>
        <x:v>82.73</x:v>
      </x:c>
    </x:row>
    <x:row r="2804">
      <x:c r="A2804" t="n">
        <x:v>2803</x:v>
      </x:c>
      <x:c r="B2804" t="n">
        <x:v>25</x:v>
      </x:c>
      <x:c r="C2804" t="str">
        <x:v>Male</x:v>
      </x:c>
      <x:c r="D2804" t="str">
        <x:v>Mens Clothing</x:v>
      </x:c>
      <x:c r="E2804" t="str">
        <x:v>Jacket</x:v>
      </x:c>
      <x:c r="F2804" s="24" t="n">
        <x:v>186.21</x:v>
      </x:c>
      <x:c r="G2804" t="str">
        <x:v>Autumn</x:v>
      </x:c>
      <x:c r="H2804" t="str">
        <x:v>Card</x:v>
      </x:c>
      <x:c r="I2804" t="n">
        <x:v>3.8</x:v>
      </x:c>
      <x:c r="J2804" t="n">
        <x:v>9</x:v>
      </x:c>
      <x:c r="K2804" t="n">
        <x:v>2</x:v>
      </x:c>
      <x:c r="L2804" t="str">
        <x:v>STORE-001</x:v>
      </x:c>
      <x:c r="M2804" s="22" t="n">
        <x:v>46130</x:v>
      </x:c>
      <x:c r="N2804" t="str">
        <x:v>SKU-010</x:v>
      </x:c>
      <x:c r="O2804" t="n">
        <x:v>1</x:v>
      </x:c>
      <x:c r="P2804" s="26" t="n">
        <x:f>F2804/O2804</x:f>
        <x:v>186.21</x:v>
      </x:c>
    </x:row>
    <x:row r="2805">
      <x:c r="A2805" t="n">
        <x:v>2804</x:v>
      </x:c>
      <x:c r="B2805" t="n">
        <x:v>23</x:v>
      </x:c>
      <x:c r="C2805" t="str">
        <x:v>Female</x:v>
      </x:c>
      <x:c r="D2805" t="str">
        <x:v>Footwear</x:v>
      </x:c>
      <x:c r="E2805" t="str">
        <x:v>Formal Shoes</x:v>
      </x:c>
      <x:c r="F2805" s="24" t="n">
        <x:v>211.98</x:v>
      </x:c>
      <x:c r="G2805" t="str">
        <x:v>Autumn</x:v>
      </x:c>
      <x:c r="H2805" t="str">
        <x:v>Card</x:v>
      </x:c>
      <x:c r="I2805" t="n">
        <x:v>3.8</x:v>
      </x:c>
      <x:c r="J2805" t="n">
        <x:v>15</x:v>
      </x:c>
      <x:c r="K2805" t="n">
        <x:v>5</x:v>
      </x:c>
      <x:c r="L2805" t="str">
        <x:v>STORE-001</x:v>
      </x:c>
      <x:c r="M2805" s="22" t="n">
        <x:v>46169</x:v>
      </x:c>
      <x:c r="N2805" t="str">
        <x:v>SKU-007</x:v>
      </x:c>
      <x:c r="O2805" t="n">
        <x:v>1</x:v>
      </x:c>
      <x:c r="P2805" s="26" t="n">
        <x:f>F2805/O2805</x:f>
        <x:v>211.98</x:v>
      </x:c>
    </x:row>
    <x:row r="2806">
      <x:c r="A2806" t="n">
        <x:v>2805</x:v>
      </x:c>
      <x:c r="B2806" t="n">
        <x:v>48</x:v>
      </x:c>
      <x:c r="C2806" t="str">
        <x:v>Female</x:v>
      </x:c>
      <x:c r="D2806" t="str">
        <x:v>Beauty</x:v>
      </x:c>
      <x:c r="E2806" t="str">
        <x:v>Perfume</x:v>
      </x:c>
      <x:c r="F2806" s="24" t="n">
        <x:v>36.46</x:v>
      </x:c>
      <x:c r="G2806" t="str">
        <x:v>Winter</x:v>
      </x:c>
      <x:c r="H2806" t="str">
        <x:v>Card</x:v>
      </x:c>
      <x:c r="I2806" t="n">
        <x:v>4.6</x:v>
      </x:c>
      <x:c r="J2806" t="n">
        <x:v>18</x:v>
      </x:c>
      <x:c r="K2806" t="n">
        <x:v>4</x:v>
      </x:c>
      <x:c r="L2806" t="str">
        <x:v>STORE-001</x:v>
      </x:c>
      <x:c r="M2806" s="22" t="n">
        <x:v>46243</x:v>
      </x:c>
      <x:c r="N2806" t="str">
        <x:v>SKU-017</x:v>
      </x:c>
      <x:c r="O2806" t="n">
        <x:v>2</x:v>
      </x:c>
      <x:c r="P2806" s="26" t="n">
        <x:f>F2806/O2806</x:f>
        <x:v>18.23</x:v>
      </x:c>
    </x:row>
    <x:row r="2807">
      <x:c r="A2807" t="n">
        <x:v>2806</x:v>
      </x:c>
      <x:c r="B2807" t="n">
        <x:v>41</x:v>
      </x:c>
      <x:c r="C2807" t="str">
        <x:v>Female</x:v>
      </x:c>
      <x:c r="D2807" t="str">
        <x:v>Beauty</x:v>
      </x:c>
      <x:c r="E2807" t="str">
        <x:v>Makeup Set</x:v>
      </x:c>
      <x:c r="F2807" s="24" t="n">
        <x:v>120.18</x:v>
      </x:c>
      <x:c r="G2807" t="str">
        <x:v>Spring</x:v>
      </x:c>
      <x:c r="H2807" t="str">
        <x:v>Card</x:v>
      </x:c>
      <x:c r="I2807" t="n">
        <x:v>4</x:v>
      </x:c>
      <x:c r="J2807" t="n">
        <x:v>14</x:v>
      </x:c>
      <x:c r="K2807" t="n">
        <x:v>7</x:v>
      </x:c>
      <x:c r="L2807" t="str">
        <x:v>STORE-001</x:v>
      </x:c>
      <x:c r="M2807" s="22" t="n">
        <x:v>46272</x:v>
      </x:c>
      <x:c r="N2807" t="str">
        <x:v>SKU-015</x:v>
      </x:c>
      <x:c r="O2807" t="n">
        <x:v>1</x:v>
      </x:c>
      <x:c r="P2807" s="26" t="n">
        <x:f>F2807/O2807</x:f>
        <x:v>120.18</x:v>
      </x:c>
    </x:row>
    <x:row r="2808">
      <x:c r="A2808" t="n">
        <x:v>2807</x:v>
      </x:c>
      <x:c r="B2808" t="n">
        <x:v>44</x:v>
      </x:c>
      <x:c r="C2808" t="str">
        <x:v>Male</x:v>
      </x:c>
      <x:c r="D2808" t="str">
        <x:v>Mens Clothing</x:v>
      </x:c>
      <x:c r="E2808" t="str">
        <x:v>Jeans</x:v>
      </x:c>
      <x:c r="F2808" s="24" t="n">
        <x:v>133.57</x:v>
      </x:c>
      <x:c r="G2808" t="str">
        <x:v>Spring</x:v>
      </x:c>
      <x:c r="H2808" t="str">
        <x:v>Card</x:v>
      </x:c>
      <x:c r="I2808" t="n">
        <x:v>4.1</x:v>
      </x:c>
      <x:c r="J2808" t="n">
        <x:v>24</x:v>
      </x:c>
      <x:c r="K2808" t="n">
        <x:v>7</x:v>
      </x:c>
      <x:c r="L2808" t="str">
        <x:v>STORE-001</x:v>
      </x:c>
      <x:c r="M2808" s="22" t="n">
        <x:v>45932</x:v>
      </x:c>
      <x:c r="N2808" t="str">
        <x:v>SKU-011</x:v>
      </x:c>
      <x:c r="O2808" t="n">
        <x:v>3</x:v>
      </x:c>
      <x:c r="P2808" s="26" t="n">
        <x:f>F2808/O2808</x:f>
        <x:v>44.52333333333333</x:v>
      </x:c>
    </x:row>
    <x:row r="2809">
      <x:c r="A2809" t="n">
        <x:v>2808</x:v>
      </x:c>
      <x:c r="B2809" t="n">
        <x:v>22</x:v>
      </x:c>
      <x:c r="C2809" t="str">
        <x:v>Male</x:v>
      </x:c>
      <x:c r="D2809" t="str">
        <x:v>Footwear</x:v>
      </x:c>
      <x:c r="E2809" t="str">
        <x:v>Sandals</x:v>
      </x:c>
      <x:c r="F2809" s="24" t="n">
        <x:v>156.66</x:v>
      </x:c>
      <x:c r="G2809" t="str">
        <x:v>Winter</x:v>
      </x:c>
      <x:c r="H2809" t="str">
        <x:v>Card</x:v>
      </x:c>
      <x:c r="I2809" t="n">
        <x:v>4</x:v>
      </x:c>
      <x:c r="J2809" t="n">
        <x:v>13</x:v>
      </x:c>
      <x:c r="K2809" t="n">
        <x:v>4</x:v>
      </x:c>
      <x:c r="L2809" t="str">
        <x:v>STORE-001</x:v>
      </x:c>
      <x:c r="M2809" s="22" t="n">
        <x:v>46233</x:v>
      </x:c>
      <x:c r="N2809" t="str">
        <x:v>SKU-019</x:v>
      </x:c>
      <x:c r="O2809" t="n">
        <x:v>2</x:v>
      </x:c>
      <x:c r="P2809" s="26" t="n">
        <x:f>F2809/O2809</x:f>
        <x:v>78.33</x:v>
      </x:c>
    </x:row>
    <x:row r="2810">
      <x:c r="A2810" t="n">
        <x:v>2809</x:v>
      </x:c>
      <x:c r="B2810" t="n">
        <x:v>28</x:v>
      </x:c>
      <x:c r="C2810" t="str">
        <x:v>Female</x:v>
      </x:c>
      <x:c r="D2810" t="str">
        <x:v>Accessories</x:v>
      </x:c>
      <x:c r="E2810" t="str">
        <x:v>Handbag</x:v>
      </x:c>
      <x:c r="F2810" s="24" t="n">
        <x:v>28.16</x:v>
      </x:c>
      <x:c r="G2810" t="str">
        <x:v>Winter</x:v>
      </x:c>
      <x:c r="H2810" t="str">
        <x:v>Cash on Delivery</x:v>
      </x:c>
      <x:c r="I2810" t="n">
        <x:v>4.4</x:v>
      </x:c>
      <x:c r="J2810" t="n">
        <x:v>22</x:v>
      </x:c>
      <x:c r="K2810" t="n">
        <x:v>6</x:v>
      </x:c>
      <x:c r="L2810" t="str">
        <x:v>STORE-001</x:v>
      </x:c>
      <x:c r="M2810" s="22" t="n">
        <x:v>46210</x:v>
      </x:c>
      <x:c r="N2810" t="str">
        <x:v>SKU-008</x:v>
      </x:c>
      <x:c r="O2810" t="n">
        <x:v>2</x:v>
      </x:c>
      <x:c r="P2810" s="26" t="n">
        <x:f>F2810/O2810</x:f>
        <x:v>14.08</x:v>
      </x:c>
    </x:row>
    <x:row r="2811">
      <x:c r="A2811" t="n">
        <x:v>2810</x:v>
      </x:c>
      <x:c r="B2811" t="n">
        <x:v>27</x:v>
      </x:c>
      <x:c r="C2811" t="str">
        <x:v>Male</x:v>
      </x:c>
      <x:c r="D2811" t="str">
        <x:v>Mens Clothing</x:v>
      </x:c>
      <x:c r="E2811" t="str">
        <x:v>Shirt</x:v>
      </x:c>
      <x:c r="F2811" s="24" t="n">
        <x:v>143.89</x:v>
      </x:c>
      <x:c r="G2811" t="str">
        <x:v>Summer</x:v>
      </x:c>
      <x:c r="H2811" t="str">
        <x:v>Card</x:v>
      </x:c>
      <x:c r="I2811" t="n">
        <x:v>3.9</x:v>
      </x:c>
      <x:c r="J2811" t="n">
        <x:v>19</x:v>
      </x:c>
      <x:c r="K2811" t="n">
        <x:v>7</x:v>
      </x:c>
      <x:c r="L2811" t="str">
        <x:v>STORE-001</x:v>
      </x:c>
      <x:c r="M2811" s="22" t="n">
        <x:v>46055</x:v>
      </x:c>
      <x:c r="N2811" t="str">
        <x:v>SKU-020</x:v>
      </x:c>
      <x:c r="O2811" t="n">
        <x:v>3</x:v>
      </x:c>
      <x:c r="P2811" s="26" t="n">
        <x:f>F2811/O2811</x:f>
        <x:v>47.96333333333333</x:v>
      </x:c>
    </x:row>
    <x:row r="2812">
      <x:c r="A2812" t="n">
        <x:v>2811</x:v>
      </x:c>
      <x:c r="B2812" t="n">
        <x:v>55</x:v>
      </x:c>
      <x:c r="C2812" t="str">
        <x:v>Male</x:v>
      </x:c>
      <x:c r="D2812" t="str">
        <x:v>Footwear</x:v>
      </x:c>
      <x:c r="E2812" t="str">
        <x:v>Sandals</x:v>
      </x:c>
      <x:c r="F2812" s="24" t="n">
        <x:v>70.59</x:v>
      </x:c>
      <x:c r="G2812" t="str">
        <x:v>Autumn</x:v>
      </x:c>
      <x:c r="H2812" t="str">
        <x:v>Card</x:v>
      </x:c>
      <x:c r="I2812" t="n">
        <x:v>4.4</x:v>
      </x:c>
      <x:c r="J2812" t="n">
        <x:v>16</x:v>
      </x:c>
      <x:c r="K2812" t="n">
        <x:v>3</x:v>
      </x:c>
      <x:c r="L2812" t="str">
        <x:v>STORE-001</x:v>
      </x:c>
      <x:c r="M2812" s="22" t="n">
        <x:v>46133</x:v>
      </x:c>
      <x:c r="N2812" t="str">
        <x:v>SKU-019</x:v>
      </x:c>
      <x:c r="O2812" t="n">
        <x:v>1</x:v>
      </x:c>
      <x:c r="P2812" s="26" t="n">
        <x:f>F2812/O2812</x:f>
        <x:v>70.59</x:v>
      </x:c>
    </x:row>
    <x:row r="2813">
      <x:c r="A2813" t="n">
        <x:v>2812</x:v>
      </x:c>
      <x:c r="B2813" t="n">
        <x:v>52</x:v>
      </x:c>
      <x:c r="C2813" t="str">
        <x:v>Female</x:v>
      </x:c>
      <x:c r="D2813" t="str">
        <x:v>Sports</x:v>
      </x:c>
      <x:c r="E2813" t="str">
        <x:v>Football</x:v>
      </x:c>
      <x:c r="F2813" s="24" t="n">
        <x:v>172.51</x:v>
      </x:c>
      <x:c r="G2813" t="str">
        <x:v>Spring</x:v>
      </x:c>
      <x:c r="H2813" t="str">
        <x:v>Card</x:v>
      </x:c>
      <x:c r="I2813" t="n">
        <x:v>3.3</x:v>
      </x:c>
      <x:c r="J2813" t="n">
        <x:v>12</x:v>
      </x:c>
      <x:c r="K2813" t="n">
        <x:v>6</x:v>
      </x:c>
      <x:c r="L2813" t="str">
        <x:v>STORE-001</x:v>
      </x:c>
      <x:c r="M2813" s="22" t="n">
        <x:v>46279</x:v>
      </x:c>
      <x:c r="N2813" t="str">
        <x:v>SKU-006</x:v>
      </x:c>
      <x:c r="O2813" t="n">
        <x:v>2</x:v>
      </x:c>
      <x:c r="P2813" s="26" t="n">
        <x:f>F2813/O2813</x:f>
        <x:v>86.255</x:v>
      </x:c>
    </x:row>
    <x:row r="2814">
      <x:c r="A2814" t="n">
        <x:v>2813</x:v>
      </x:c>
      <x:c r="B2814" t="n">
        <x:v>49</x:v>
      </x:c>
      <x:c r="C2814" t="str">
        <x:v>Female</x:v>
      </x:c>
      <x:c r="D2814" t="str">
        <x:v>Beauty</x:v>
      </x:c>
      <x:c r="E2814" t="str">
        <x:v>Makeup Set</x:v>
      </x:c>
      <x:c r="F2814" s="24" t="n">
        <x:v>67.35</x:v>
      </x:c>
      <x:c r="G2814" t="str">
        <x:v>Winter</x:v>
      </x:c>
      <x:c r="H2814" t="str">
        <x:v>Cash on Delivery</x:v>
      </x:c>
      <x:c r="I2814" t="n">
        <x:v>4.1</x:v>
      </x:c>
      <x:c r="J2814" t="n">
        <x:v>4</x:v>
      </x:c>
      <x:c r="K2814" t="n">
        <x:v>2</x:v>
      </x:c>
      <x:c r="L2814" t="str">
        <x:v>STORE-001</x:v>
      </x:c>
      <x:c r="M2814" s="22" t="n">
        <x:v>46254</x:v>
      </x:c>
      <x:c r="N2814" t="str">
        <x:v>SKU-015</x:v>
      </x:c>
      <x:c r="O2814" t="n">
        <x:v>3</x:v>
      </x:c>
      <x:c r="P2814" s="26" t="n">
        <x:f>F2814/O2814</x:f>
        <x:v>22.45</x:v>
      </x:c>
    </x:row>
    <x:row r="2815">
      <x:c r="A2815" t="n">
        <x:v>2814</x:v>
      </x:c>
      <x:c r="B2815" t="n">
        <x:v>40</x:v>
      </x:c>
      <x:c r="C2815" t="str">
        <x:v>Male</x:v>
      </x:c>
      <x:c r="D2815" t="str">
        <x:v>Groceries</x:v>
      </x:c>
      <x:c r="E2815" t="str">
        <x:v>Snacks</x:v>
      </x:c>
      <x:c r="F2815" s="24" t="n">
        <x:v>21.13</x:v>
      </x:c>
      <x:c r="G2815" t="str">
        <x:v>Summer</x:v>
      </x:c>
      <x:c r="H2815" t="str">
        <x:v>Cash on Delivery</x:v>
      </x:c>
      <x:c r="I2815" t="n">
        <x:v>3</x:v>
      </x:c>
      <x:c r="J2815" t="n">
        <x:v>6</x:v>
      </x:c>
      <x:c r="K2815" t="n">
        <x:v>3</x:v>
      </x:c>
      <x:c r="L2815" t="str">
        <x:v>STORE-001</x:v>
      </x:c>
      <x:c r="M2815" s="22" t="n">
        <x:v>46030</x:v>
      </x:c>
      <x:c r="N2815" t="str">
        <x:v>SKU-024</x:v>
      </x:c>
      <x:c r="O2815" t="n">
        <x:v>1</x:v>
      </x:c>
      <x:c r="P2815" s="26" t="n">
        <x:f>F2815/O2815</x:f>
        <x:v>21.13</x:v>
      </x:c>
    </x:row>
    <x:row r="2816">
      <x:c r="A2816" t="n">
        <x:v>2815</x:v>
      </x:c>
      <x:c r="B2816" t="n">
        <x:v>39</x:v>
      </x:c>
      <x:c r="C2816" t="str">
        <x:v>Female</x:v>
      </x:c>
      <x:c r="D2816" t="str">
        <x:v>Beauty</x:v>
      </x:c>
      <x:c r="E2816" t="str">
        <x:v>Perfume</x:v>
      </x:c>
      <x:c r="F2816" s="24" t="n">
        <x:v>63.42</x:v>
      </x:c>
      <x:c r="G2816" t="str">
        <x:v>Autumn</x:v>
      </x:c>
      <x:c r="H2816" t="str">
        <x:v>Card</x:v>
      </x:c>
      <x:c r="I2816" t="n">
        <x:v>3.7</x:v>
      </x:c>
      <x:c r="J2816" t="n">
        <x:v>13</x:v>
      </x:c>
      <x:c r="K2816" t="n">
        <x:v>4</x:v>
      </x:c>
      <x:c r="L2816" t="str">
        <x:v>STORE-001</x:v>
      </x:c>
      <x:c r="M2816" s="22" t="n">
        <x:v>46159</x:v>
      </x:c>
      <x:c r="N2816" t="str">
        <x:v>SKU-017</x:v>
      </x:c>
      <x:c r="O2816" t="n">
        <x:v>1</x:v>
      </x:c>
      <x:c r="P2816" s="26" t="n">
        <x:f>F2816/O2816</x:f>
        <x:v>63.42</x:v>
      </x:c>
    </x:row>
    <x:row r="2817">
      <x:c r="A2817" t="n">
        <x:v>2816</x:v>
      </x:c>
      <x:c r="B2817" t="n">
        <x:v>32</x:v>
      </x:c>
      <x:c r="C2817" t="str">
        <x:v>Female</x:v>
      </x:c>
      <x:c r="D2817" t="str">
        <x:v>Womens Clothing</x:v>
      </x:c>
      <x:c r="E2817" t="str">
        <x:v>Dress</x:v>
      </x:c>
      <x:c r="F2817" s="24" t="n">
        <x:v>39.66</x:v>
      </x:c>
      <x:c r="G2817" t="str">
        <x:v>Winter</x:v>
      </x:c>
      <x:c r="H2817" t="str">
        <x:v>Card</x:v>
      </x:c>
      <x:c r="I2817" t="n">
        <x:v>3.5</x:v>
      </x:c>
      <x:c r="J2817" t="n">
        <x:v>15</x:v>
      </x:c>
      <x:c r="K2817" t="n">
        <x:v>5</x:v>
      </x:c>
      <x:c r="L2817" t="str">
        <x:v>STORE-001</x:v>
      </x:c>
      <x:c r="M2817" s="22" t="n">
        <x:v>46224</x:v>
      </x:c>
      <x:c r="N2817" t="str">
        <x:v>SKU-004</x:v>
      </x:c>
      <x:c r="O2817" t="n">
        <x:v>2</x:v>
      </x:c>
      <x:c r="P2817" s="26" t="n">
        <x:f>F2817/O2817</x:f>
        <x:v>19.83</x:v>
      </x:c>
    </x:row>
    <x:row r="2818">
      <x:c r="A2818" t="n">
        <x:v>2817</x:v>
      </x:c>
      <x:c r="B2818" t="n">
        <x:v>63</x:v>
      </x:c>
      <x:c r="C2818" t="str">
        <x:v>Female</x:v>
      </x:c>
      <x:c r="D2818" t="str">
        <x:v>Womens Clothing</x:v>
      </x:c>
      <x:c r="E2818" t="str">
        <x:v>Skirt</x:v>
      </x:c>
      <x:c r="F2818" s="24" t="n">
        <x:v>81.34</x:v>
      </x:c>
      <x:c r="G2818" t="str">
        <x:v>Summer</x:v>
      </x:c>
      <x:c r="H2818" t="str">
        <x:v>Card</x:v>
      </x:c>
      <x:c r="I2818" t="n">
        <x:v>5</x:v>
      </x:c>
      <x:c r="J2818" t="n">
        <x:v>24</x:v>
      </x:c>
      <x:c r="K2818" t="n">
        <x:v>7</x:v>
      </x:c>
      <x:c r="L2818" t="str">
        <x:v>STORE-001</x:v>
      </x:c>
      <x:c r="M2818" s="22" t="n">
        <x:v>46007</x:v>
      </x:c>
      <x:c r="N2818" t="str">
        <x:v>SKU-022</x:v>
      </x:c>
      <x:c r="O2818" t="n">
        <x:v>1</x:v>
      </x:c>
      <x:c r="P2818" s="26" t="n">
        <x:f>F2818/O2818</x:f>
        <x:v>81.34</x:v>
      </x:c>
    </x:row>
    <x:row r="2819">
      <x:c r="A2819" t="n">
        <x:v>2818</x:v>
      </x:c>
      <x:c r="B2819" t="n">
        <x:v>43</x:v>
      </x:c>
      <x:c r="C2819" t="str">
        <x:v>Male</x:v>
      </x:c>
      <x:c r="D2819" t="str">
        <x:v>Groceries</x:v>
      </x:c>
      <x:c r="E2819" t="str">
        <x:v>Cooking Oil</x:v>
      </x:c>
      <x:c r="F2819" s="24" t="n">
        <x:v>41.52</x:v>
      </x:c>
      <x:c r="G2819" t="str">
        <x:v>Spring</x:v>
      </x:c>
      <x:c r="H2819" t="str">
        <x:v>Card</x:v>
      </x:c>
      <x:c r="I2819" t="n">
        <x:v>4</x:v>
      </x:c>
      <x:c r="J2819" t="n">
        <x:v>16</x:v>
      </x:c>
      <x:c r="K2819" t="n">
        <x:v>3</x:v>
      </x:c>
      <x:c r="L2819" t="str">
        <x:v>STORE-001</x:v>
      </x:c>
      <x:c r="M2819" s="22" t="n">
        <x:v>45952</x:v>
      </x:c>
      <x:c r="N2819" t="str">
        <x:v>SKU-002</x:v>
      </x:c>
      <x:c r="O2819" t="n">
        <x:v>4</x:v>
      </x:c>
      <x:c r="P2819" s="26" t="n">
        <x:f>F2819/O2819</x:f>
        <x:v>10.38</x:v>
      </x:c>
    </x:row>
    <x:row r="2820">
      <x:c r="A2820" t="n">
        <x:v>2819</x:v>
      </x:c>
      <x:c r="B2820" t="n">
        <x:v>22</x:v>
      </x:c>
      <x:c r="C2820" t="str">
        <x:v>Male</x:v>
      </x:c>
      <x:c r="D2820" t="str">
        <x:v>Mens Clothing</x:v>
      </x:c>
      <x:c r="E2820" t="str">
        <x:v>Shirt</x:v>
      </x:c>
      <x:c r="F2820" s="24" t="n">
        <x:v>148.99</x:v>
      </x:c>
      <x:c r="G2820" t="str">
        <x:v>Autumn</x:v>
      </x:c>
      <x:c r="H2820" t="str">
        <x:v>Card</x:v>
      </x:c>
      <x:c r="I2820" t="n">
        <x:v>3.8</x:v>
      </x:c>
      <x:c r="J2820" t="n">
        <x:v>0</x:v>
      </x:c>
      <x:c r="K2820" t="n">
        <x:v>0</x:v>
      </x:c>
      <x:c r="L2820" t="str">
        <x:v>STORE-001</x:v>
      </x:c>
      <x:c r="M2820" s="22" t="n">
        <x:v>46151</x:v>
      </x:c>
      <x:c r="N2820" t="str">
        <x:v>SKU-020</x:v>
      </x:c>
      <x:c r="O2820" t="n">
        <x:v>1</x:v>
      </x:c>
      <x:c r="P2820" s="26" t="n">
        <x:f>F2820/O2820</x:f>
        <x:v>148.99</x:v>
      </x:c>
    </x:row>
    <x:row r="2821">
      <x:c r="A2821" t="n">
        <x:v>2820</x:v>
      </x:c>
      <x:c r="B2821" t="n">
        <x:v>39</x:v>
      </x:c>
      <x:c r="C2821" t="str">
        <x:v>Male</x:v>
      </x:c>
      <x:c r="D2821" t="str">
        <x:v>Sports</x:v>
      </x:c>
      <x:c r="E2821" t="str">
        <x:v>Yoga Mat</x:v>
      </x:c>
      <x:c r="F2821" s="24" t="n">
        <x:v>72.52</x:v>
      </x:c>
      <x:c r="G2821" t="str">
        <x:v>Autumn</x:v>
      </x:c>
      <x:c r="H2821" t="str">
        <x:v>Card</x:v>
      </x:c>
      <x:c r="I2821" t="n">
        <x:v>4.1</x:v>
      </x:c>
      <x:c r="J2821" t="n">
        <x:v>32</x:v>
      </x:c>
      <x:c r="K2821" t="n">
        <x:v>11</x:v>
      </x:c>
      <x:c r="L2821" t="str">
        <x:v>STORE-001</x:v>
      </x:c>
      <x:c r="M2821" s="22" t="n">
        <x:v>46118</x:v>
      </x:c>
      <x:c r="N2821" t="str">
        <x:v>SKU-030</x:v>
      </x:c>
      <x:c r="O2821" t="n">
        <x:v>1</x:v>
      </x:c>
      <x:c r="P2821" s="26" t="n">
        <x:f>F2821/O2821</x:f>
        <x:v>72.52</x:v>
      </x:c>
    </x:row>
    <x:row r="2822">
      <x:c r="A2822" t="n">
        <x:v>2821</x:v>
      </x:c>
      <x:c r="B2822" t="n">
        <x:v>50</x:v>
      </x:c>
      <x:c r="C2822" t="str">
        <x:v>Male</x:v>
      </x:c>
      <x:c r="D2822" t="str">
        <x:v>Sports</x:v>
      </x:c>
      <x:c r="E2822" t="str">
        <x:v>Yoga Mat</x:v>
      </x:c>
      <x:c r="F2822" s="24" t="n">
        <x:v>51.45</x:v>
      </x:c>
      <x:c r="G2822" t="str">
        <x:v>Summer</x:v>
      </x:c>
      <x:c r="H2822" t="str">
        <x:v>Card</x:v>
      </x:c>
      <x:c r="I2822" t="n">
        <x:v>4.8</x:v>
      </x:c>
      <x:c r="J2822" t="n">
        <x:v>21</x:v>
      </x:c>
      <x:c r="K2822" t="n">
        <x:v>8</x:v>
      </x:c>
      <x:c r="L2822" t="str">
        <x:v>STORE-001</x:v>
      </x:c>
      <x:c r="M2822" s="22" t="n">
        <x:v>46035</x:v>
      </x:c>
      <x:c r="N2822" t="str">
        <x:v>SKU-030</x:v>
      </x:c>
      <x:c r="O2822" t="n">
        <x:v>2</x:v>
      </x:c>
      <x:c r="P2822" s="26" t="n">
        <x:f>F2822/O2822</x:f>
        <x:v>25.725</x:v>
      </x:c>
    </x:row>
    <x:row r="2823">
      <x:c r="A2823" t="n">
        <x:v>2822</x:v>
      </x:c>
      <x:c r="B2823" t="n">
        <x:v>62</x:v>
      </x:c>
      <x:c r="C2823" t="str">
        <x:v>Female</x:v>
      </x:c>
      <x:c r="D2823" t="str">
        <x:v>Home</x:v>
      </x:c>
      <x:c r="E2823" t="str">
        <x:v>Curtains</x:v>
      </x:c>
      <x:c r="F2823" s="24" t="n">
        <x:v>267.63</x:v>
      </x:c>
      <x:c r="G2823" t="str">
        <x:v>Summer</x:v>
      </x:c>
      <x:c r="H2823" t="str">
        <x:v>Card</x:v>
      </x:c>
      <x:c r="I2823" t="n">
        <x:v>4</x:v>
      </x:c>
      <x:c r="J2823" t="n">
        <x:v>15</x:v>
      </x:c>
      <x:c r="K2823" t="n">
        <x:v>5</x:v>
      </x:c>
      <x:c r="L2823" t="str">
        <x:v>STORE-001</x:v>
      </x:c>
      <x:c r="M2823" s="22" t="n">
        <x:v>46068</x:v>
      </x:c>
      <x:c r="N2823" t="str">
        <x:v>SKU-003</x:v>
      </x:c>
      <x:c r="O2823" t="n">
        <x:v>1</x:v>
      </x:c>
      <x:c r="P2823" s="26" t="n">
        <x:f>F2823/O2823</x:f>
        <x:v>267.63</x:v>
      </x:c>
    </x:row>
    <x:row r="2824">
      <x:c r="A2824" t="n">
        <x:v>2823</x:v>
      </x:c>
      <x:c r="B2824" t="n">
        <x:v>34</x:v>
      </x:c>
      <x:c r="C2824" t="str">
        <x:v>Male</x:v>
      </x:c>
      <x:c r="D2824" t="str">
        <x:v>Mens Clothing</x:v>
      </x:c>
      <x:c r="E2824" t="str">
        <x:v>T-Shirt</x:v>
      </x:c>
      <x:c r="F2824" s="24" t="n">
        <x:v>173.49</x:v>
      </x:c>
      <x:c r="G2824" t="str">
        <x:v>Summer</x:v>
      </x:c>
      <x:c r="H2824" t="str">
        <x:v>Card</x:v>
      </x:c>
      <x:c r="I2824" t="n">
        <x:v>3.6</x:v>
      </x:c>
      <x:c r="J2824" t="n">
        <x:v>16</x:v>
      </x:c>
      <x:c r="K2824" t="n">
        <x:v>8</x:v>
      </x:c>
      <x:c r="L2824" t="str">
        <x:v>STORE-001</x:v>
      </x:c>
      <x:c r="M2824" s="22" t="n">
        <x:v>45995</x:v>
      </x:c>
      <x:c r="N2824" t="str">
        <x:v>SKU-027</x:v>
      </x:c>
      <x:c r="O2824" t="n">
        <x:v>1</x:v>
      </x:c>
      <x:c r="P2824" s="26" t="n">
        <x:f>F2824/O2824</x:f>
        <x:v>173.49</x:v>
      </x:c>
    </x:row>
    <x:row r="2825">
      <x:c r="A2825" t="n">
        <x:v>2824</x:v>
      </x:c>
      <x:c r="B2825" t="n">
        <x:v>58</x:v>
      </x:c>
      <x:c r="C2825" t="str">
        <x:v>Male</x:v>
      </x:c>
      <x:c r="D2825" t="str">
        <x:v>Groceries</x:v>
      </x:c>
      <x:c r="E2825" t="str">
        <x:v>Snacks</x:v>
      </x:c>
      <x:c r="F2825" s="24" t="n">
        <x:v>27.45</x:v>
      </x:c>
      <x:c r="G2825" t="str">
        <x:v>Autumn</x:v>
      </x:c>
      <x:c r="H2825" t="str">
        <x:v>Card</x:v>
      </x:c>
      <x:c r="I2825" t="n">
        <x:v>3.3</x:v>
      </x:c>
      <x:c r="J2825" t="n">
        <x:v>18</x:v>
      </x:c>
      <x:c r="K2825" t="n">
        <x:v>4</x:v>
      </x:c>
      <x:c r="L2825" t="str">
        <x:v>STORE-001</x:v>
      </x:c>
      <x:c r="M2825" s="22" t="n">
        <x:v>46152</x:v>
      </x:c>
      <x:c r="N2825" t="str">
        <x:v>SKU-024</x:v>
      </x:c>
      <x:c r="O2825" t="n">
        <x:v>4</x:v>
      </x:c>
      <x:c r="P2825" s="26" t="n">
        <x:f>F2825/O2825</x:f>
        <x:v>6.8625</x:v>
      </x:c>
    </x:row>
    <x:row r="2826">
      <x:c r="A2826" t="n">
        <x:v>2825</x:v>
      </x:c>
      <x:c r="B2826" t="n">
        <x:v>36</x:v>
      </x:c>
      <x:c r="C2826" t="str">
        <x:v>Female</x:v>
      </x:c>
      <x:c r="D2826" t="str">
        <x:v>Accessories</x:v>
      </x:c>
      <x:c r="E2826" t="str">
        <x:v>Sunglasses</x:v>
      </x:c>
      <x:c r="F2826" s="24" t="n">
        <x:v>112.43</x:v>
      </x:c>
      <x:c r="G2826" t="str">
        <x:v>Summer</x:v>
      </x:c>
      <x:c r="H2826" t="str">
        <x:v>Card</x:v>
      </x:c>
      <x:c r="I2826" t="n">
        <x:v>4.5</x:v>
      </x:c>
      <x:c r="J2826" t="n">
        <x:v>14</x:v>
      </x:c>
      <x:c r="K2826" t="n">
        <x:v>2</x:v>
      </x:c>
      <x:c r="L2826" t="str">
        <x:v>STORE-001</x:v>
      </x:c>
      <x:c r="M2826" s="22" t="n">
        <x:v>46052</x:v>
      </x:c>
      <x:c r="N2826" t="str">
        <x:v>SKU-026</x:v>
      </x:c>
      <x:c r="O2826" t="n">
        <x:v>3</x:v>
      </x:c>
      <x:c r="P2826" s="26" t="n">
        <x:f>F2826/O2826</x:f>
        <x:v>37.47666666666667</x:v>
      </x:c>
    </x:row>
    <x:row r="2827">
      <x:c r="A2827" t="n">
        <x:v>2826</x:v>
      </x:c>
      <x:c r="B2827" t="n">
        <x:v>30</x:v>
      </x:c>
      <x:c r="C2827" t="str">
        <x:v>Male</x:v>
      </x:c>
      <x:c r="D2827" t="str">
        <x:v>Sports</x:v>
      </x:c>
      <x:c r="E2827" t="str">
        <x:v>Football</x:v>
      </x:c>
      <x:c r="F2827" s="24" t="n">
        <x:v>78.09</x:v>
      </x:c>
      <x:c r="G2827" t="str">
        <x:v>Winter</x:v>
      </x:c>
      <x:c r="H2827" t="str">
        <x:v>Card</x:v>
      </x:c>
      <x:c r="I2827" t="n">
        <x:v>4.7</x:v>
      </x:c>
      <x:c r="J2827" t="n">
        <x:v>15</x:v>
      </x:c>
      <x:c r="K2827" t="n">
        <x:v>5</x:v>
      </x:c>
      <x:c r="L2827" t="str">
        <x:v>STORE-001</x:v>
      </x:c>
      <x:c r="M2827" s="22" t="n">
        <x:v>46181</x:v>
      </x:c>
      <x:c r="N2827" t="str">
        <x:v>SKU-006</x:v>
      </x:c>
      <x:c r="O2827" t="n">
        <x:v>2</x:v>
      </x:c>
      <x:c r="P2827" s="26" t="n">
        <x:f>F2827/O2827</x:f>
        <x:v>39.045</x:v>
      </x:c>
    </x:row>
    <x:row r="2828">
      <x:c r="A2828" t="n">
        <x:v>2827</x:v>
      </x:c>
      <x:c r="B2828" t="n">
        <x:v>42</x:v>
      </x:c>
      <x:c r="C2828" t="str">
        <x:v>Female</x:v>
      </x:c>
      <x:c r="D2828" t="str">
        <x:v>Footwear</x:v>
      </x:c>
      <x:c r="E2828" t="str">
        <x:v>Formal Shoes</x:v>
      </x:c>
      <x:c r="F2828" s="24" t="n">
        <x:v>169.66</x:v>
      </x:c>
      <x:c r="G2828" t="str">
        <x:v>Spring</x:v>
      </x:c>
      <x:c r="H2828" t="str">
        <x:v>Card</x:v>
      </x:c>
      <x:c r="I2828" t="n">
        <x:v>3.8</x:v>
      </x:c>
      <x:c r="J2828" t="n">
        <x:v>11</x:v>
      </x:c>
      <x:c r="K2828" t="n">
        <x:v>3</x:v>
      </x:c>
      <x:c r="L2828" t="str">
        <x:v>STORE-001</x:v>
      </x:c>
      <x:c r="M2828" s="22" t="n">
        <x:v>46290</x:v>
      </x:c>
      <x:c r="N2828" t="str">
        <x:v>SKU-007</x:v>
      </x:c>
      <x:c r="O2828" t="n">
        <x:v>2</x:v>
      </x:c>
      <x:c r="P2828" s="26" t="n">
        <x:f>F2828/O2828</x:f>
        <x:v>84.83</x:v>
      </x:c>
    </x:row>
    <x:row r="2829">
      <x:c r="A2829" t="n">
        <x:v>2828</x:v>
      </x:c>
      <x:c r="B2829" t="n">
        <x:v>50</x:v>
      </x:c>
      <x:c r="C2829" t="str">
        <x:v>Male</x:v>
      </x:c>
      <x:c r="D2829" t="str">
        <x:v>Mens Clothing</x:v>
      </x:c>
      <x:c r="E2829" t="str">
        <x:v>Jacket</x:v>
      </x:c>
      <x:c r="F2829" s="24" t="n">
        <x:v>163.03</x:v>
      </x:c>
      <x:c r="G2829" t="str">
        <x:v>Spring</x:v>
      </x:c>
      <x:c r="H2829" t="str">
        <x:v>Card</x:v>
      </x:c>
      <x:c r="I2829" t="n">
        <x:v>4.6</x:v>
      </x:c>
      <x:c r="J2829" t="n">
        <x:v>14</x:v>
      </x:c>
      <x:c r="K2829" t="n">
        <x:v>2</x:v>
      </x:c>
      <x:c r="L2829" t="str">
        <x:v>STORE-001</x:v>
      </x:c>
      <x:c r="M2829" s="22" t="n">
        <x:v>46278</x:v>
      </x:c>
      <x:c r="N2829" t="str">
        <x:v>SKU-010</x:v>
      </x:c>
      <x:c r="O2829" t="n">
        <x:v>2</x:v>
      </x:c>
      <x:c r="P2829" s="26" t="n">
        <x:f>F2829/O2829</x:f>
        <x:v>81.515</x:v>
      </x:c>
    </x:row>
    <x:row r="2830">
      <x:c r="A2830" t="n">
        <x:v>2829</x:v>
      </x:c>
      <x:c r="B2830" t="n">
        <x:v>63</x:v>
      </x:c>
      <x:c r="C2830" t="str">
        <x:v>Female</x:v>
      </x:c>
      <x:c r="D2830" t="str">
        <x:v>Sports</x:v>
      </x:c>
      <x:c r="E2830" t="str">
        <x:v>Football</x:v>
      </x:c>
      <x:c r="F2830" s="24" t="n">
        <x:v>194.67</x:v>
      </x:c>
      <x:c r="G2830" t="str">
        <x:v>Winter</x:v>
      </x:c>
      <x:c r="H2830" t="str">
        <x:v>Card</x:v>
      </x:c>
      <x:c r="I2830" t="n">
        <x:v>3.8</x:v>
      </x:c>
      <x:c r="J2830" t="n">
        <x:v>15</x:v>
      </x:c>
      <x:c r="K2830" t="n">
        <x:v>5</x:v>
      </x:c>
      <x:c r="L2830" t="str">
        <x:v>STORE-001</x:v>
      </x:c>
      <x:c r="M2830" s="22" t="n">
        <x:v>46261</x:v>
      </x:c>
      <x:c r="N2830" t="str">
        <x:v>SKU-006</x:v>
      </x:c>
      <x:c r="O2830" t="n">
        <x:v>3</x:v>
      </x:c>
      <x:c r="P2830" s="26" t="n">
        <x:f>F2830/O2830</x:f>
        <x:v>64.89</x:v>
      </x:c>
    </x:row>
    <x:row r="2831">
      <x:c r="A2831" t="n">
        <x:v>2830</x:v>
      </x:c>
      <x:c r="B2831" t="n">
        <x:v>50</x:v>
      </x:c>
      <x:c r="C2831" t="str">
        <x:v>Female</x:v>
      </x:c>
      <x:c r="D2831" t="str">
        <x:v>Sports</x:v>
      </x:c>
      <x:c r="E2831" t="str">
        <x:v>Football</x:v>
      </x:c>
      <x:c r="F2831" s="24" t="n">
        <x:v>82.53</x:v>
      </x:c>
      <x:c r="G2831" t="str">
        <x:v>Spring</x:v>
      </x:c>
      <x:c r="H2831" t="str">
        <x:v>Card</x:v>
      </x:c>
      <x:c r="I2831" t="n">
        <x:v>3.7</x:v>
      </x:c>
      <x:c r="J2831" t="n">
        <x:v>16</x:v>
      </x:c>
      <x:c r="K2831" t="n">
        <x:v>3</x:v>
      </x:c>
      <x:c r="L2831" t="str">
        <x:v>STORE-001</x:v>
      </x:c>
      <x:c r="M2831" s="22" t="n">
        <x:v>45979</x:v>
      </x:c>
      <x:c r="N2831" t="str">
        <x:v>SKU-006</x:v>
      </x:c>
      <x:c r="O2831" t="n">
        <x:v>2</x:v>
      </x:c>
      <x:c r="P2831" s="26" t="n">
        <x:f>F2831/O2831</x:f>
        <x:v>41.265</x:v>
      </x:c>
    </x:row>
    <x:row r="2832">
      <x:c r="A2832" t="n">
        <x:v>2831</x:v>
      </x:c>
      <x:c r="B2832" t="n">
        <x:v>49</x:v>
      </x:c>
      <x:c r="C2832" t="str">
        <x:v>Female</x:v>
      </x:c>
      <x:c r="D2832" t="str">
        <x:v>Womens Clothing</x:v>
      </x:c>
      <x:c r="E2832" t="str">
        <x:v>Top</x:v>
      </x:c>
      <x:c r="F2832" s="24" t="n">
        <x:v>146.27</x:v>
      </x:c>
      <x:c r="G2832" t="str">
        <x:v>Winter</x:v>
      </x:c>
      <x:c r="H2832" t="str">
        <x:v>Card</x:v>
      </x:c>
      <x:c r="I2832" t="n">
        <x:v>2.9</x:v>
      </x:c>
      <x:c r="J2832" t="n">
        <x:v>10</x:v>
      </x:c>
      <x:c r="K2832" t="n">
        <x:v>5</x:v>
      </x:c>
      <x:c r="L2832" t="str">
        <x:v>STORE-001</x:v>
      </x:c>
      <x:c r="M2832" s="22" t="n">
        <x:v>46176</x:v>
      </x:c>
      <x:c r="N2832" t="str">
        <x:v>SKU-028</x:v>
      </x:c>
      <x:c r="O2832" t="n">
        <x:v>3</x:v>
      </x:c>
      <x:c r="P2832" s="26" t="n">
        <x:f>F2832/O2832</x:f>
        <x:v>48.75666666666667</x:v>
      </x:c>
    </x:row>
    <x:row r="2833">
      <x:c r="A2833" t="n">
        <x:v>2832</x:v>
      </x:c>
      <x:c r="B2833" t="n">
        <x:v>27</x:v>
      </x:c>
      <x:c r="C2833" t="str">
        <x:v>Female</x:v>
      </x:c>
      <x:c r="D2833" t="str">
        <x:v>Sports</x:v>
      </x:c>
      <x:c r="E2833" t="str">
        <x:v>Dumbbells</x:v>
      </x:c>
      <x:c r="F2833" s="24" t="n">
        <x:v>175.05</x:v>
      </x:c>
      <x:c r="G2833" t="str">
        <x:v>Spring</x:v>
      </x:c>
      <x:c r="H2833" t="str">
        <x:v>Card</x:v>
      </x:c>
      <x:c r="I2833" t="n">
        <x:v>2.7</x:v>
      </x:c>
      <x:c r="J2833" t="n">
        <x:v>18</x:v>
      </x:c>
      <x:c r="K2833" t="n">
        <x:v>9</x:v>
      </x:c>
      <x:c r="L2833" t="str">
        <x:v>STORE-001</x:v>
      </x:c>
      <x:c r="M2833" s="22" t="n">
        <x:v>46281</x:v>
      </x:c>
      <x:c r="N2833" t="str">
        <x:v>SKU-005</x:v>
      </x:c>
      <x:c r="O2833" t="n">
        <x:v>3</x:v>
      </x:c>
      <x:c r="P2833" s="26" t="n">
        <x:f>F2833/O2833</x:f>
        <x:v>58.35</x:v>
      </x:c>
    </x:row>
    <x:row r="2834">
      <x:c r="A2834" t="n">
        <x:v>2833</x:v>
      </x:c>
      <x:c r="B2834" t="n">
        <x:v>21</x:v>
      </x:c>
      <x:c r="C2834" t="str">
        <x:v>Female</x:v>
      </x:c>
      <x:c r="D2834" t="str">
        <x:v>Womens Clothing</x:v>
      </x:c>
      <x:c r="E2834" t="str">
        <x:v>Dress</x:v>
      </x:c>
      <x:c r="F2834" s="24" t="n">
        <x:v>170.15</x:v>
      </x:c>
      <x:c r="G2834" t="str">
        <x:v>Spring</x:v>
      </x:c>
      <x:c r="H2834" t="str">
        <x:v>Card</x:v>
      </x:c>
      <x:c r="I2834" t="n">
        <x:v>3.3</x:v>
      </x:c>
      <x:c r="J2834" t="n">
        <x:v>14</x:v>
      </x:c>
      <x:c r="K2834" t="n">
        <x:v>7</x:v>
      </x:c>
      <x:c r="L2834" t="str">
        <x:v>STORE-001</x:v>
      </x:c>
      <x:c r="M2834" s="22" t="n">
        <x:v>45980</x:v>
      </x:c>
      <x:c r="N2834" t="str">
        <x:v>SKU-004</x:v>
      </x:c>
      <x:c r="O2834" t="n">
        <x:v>1</x:v>
      </x:c>
      <x:c r="P2834" s="26" t="n">
        <x:f>F2834/O2834</x:f>
        <x:v>170.15</x:v>
      </x:c>
    </x:row>
    <x:row r="2835">
      <x:c r="A2835" t="n">
        <x:v>2834</x:v>
      </x:c>
      <x:c r="B2835" t="n">
        <x:v>42</x:v>
      </x:c>
      <x:c r="C2835" t="str">
        <x:v>Female</x:v>
      </x:c>
      <x:c r="D2835" t="str">
        <x:v>Home</x:v>
      </x:c>
      <x:c r="E2835" t="str">
        <x:v>Lamp</x:v>
      </x:c>
      <x:c r="F2835" s="24" t="n">
        <x:v>91.56</x:v>
      </x:c>
      <x:c r="G2835" t="str">
        <x:v>Summer</x:v>
      </x:c>
      <x:c r="H2835" t="str">
        <x:v>Cash on Delivery</x:v>
      </x:c>
      <x:c r="I2835" t="n">
        <x:v>5</x:v>
      </x:c>
      <x:c r="J2835" t="n">
        <x:v>15</x:v>
      </x:c>
      <x:c r="K2835" t="n">
        <x:v>5</x:v>
      </x:c>
      <x:c r="L2835" t="str">
        <x:v>STORE-001</x:v>
      </x:c>
      <x:c r="M2835" s="22" t="n">
        <x:v>46080</x:v>
      </x:c>
      <x:c r="N2835" t="str">
        <x:v>SKU-013</x:v>
      </x:c>
      <x:c r="O2835" t="n">
        <x:v>4</x:v>
      </x:c>
      <x:c r="P2835" s="26" t="n">
        <x:f>F2835/O2835</x:f>
        <x:v>22.89</x:v>
      </x:c>
    </x:row>
    <x:row r="2836">
      <x:c r="A2836" t="n">
        <x:v>2835</x:v>
      </x:c>
      <x:c r="B2836" t="n">
        <x:v>54</x:v>
      </x:c>
      <x:c r="C2836" t="str">
        <x:v>Male</x:v>
      </x:c>
      <x:c r="D2836" t="str">
        <x:v>Sports</x:v>
      </x:c>
      <x:c r="E2836" t="str">
        <x:v>Yoga Mat</x:v>
      </x:c>
      <x:c r="F2836" s="24" t="n">
        <x:v>188.44</x:v>
      </x:c>
      <x:c r="G2836" t="str">
        <x:v>Spring</x:v>
      </x:c>
      <x:c r="H2836" t="str">
        <x:v>Card</x:v>
      </x:c>
      <x:c r="I2836" t="n">
        <x:v>4.8</x:v>
      </x:c>
      <x:c r="J2836" t="n">
        <x:v>24</x:v>
      </x:c>
      <x:c r="K2836" t="n">
        <x:v>7</x:v>
      </x:c>
      <x:c r="L2836" t="str">
        <x:v>STORE-001</x:v>
      </x:c>
      <x:c r="M2836" s="22" t="n">
        <x:v>45942</x:v>
      </x:c>
      <x:c r="N2836" t="str">
        <x:v>SKU-030</x:v>
      </x:c>
      <x:c r="O2836" t="n">
        <x:v>1</x:v>
      </x:c>
      <x:c r="P2836" s="26" t="n">
        <x:f>F2836/O2836</x:f>
        <x:v>188.44</x:v>
      </x:c>
    </x:row>
    <x:row r="2837">
      <x:c r="A2837" t="n">
        <x:v>2836</x:v>
      </x:c>
      <x:c r="B2837" t="n">
        <x:v>47</x:v>
      </x:c>
      <x:c r="C2837" t="str">
        <x:v>Male</x:v>
      </x:c>
      <x:c r="D2837" t="str">
        <x:v>Electronics</x:v>
      </x:c>
      <x:c r="E2837" t="str">
        <x:v>Laptop</x:v>
      </x:c>
      <x:c r="F2837" s="24" t="n">
        <x:v>585.1</x:v>
      </x:c>
      <x:c r="G2837" t="str">
        <x:v>Autumn</x:v>
      </x:c>
      <x:c r="H2837" t="str">
        <x:v>Card</x:v>
      </x:c>
      <x:c r="I2837" t="n">
        <x:v>3.6</x:v>
      </x:c>
      <x:c r="J2837" t="n">
        <x:v>14</x:v>
      </x:c>
      <x:c r="K2837" t="n">
        <x:v>2</x:v>
      </x:c>
      <x:c r="L2837" t="str">
        <x:v>STORE-001</x:v>
      </x:c>
      <x:c r="M2837" s="22" t="n">
        <x:v>46134</x:v>
      </x:c>
      <x:c r="N2837" t="str">
        <x:v>SKU-014</x:v>
      </x:c>
      <x:c r="O2837" t="n">
        <x:v>1</x:v>
      </x:c>
      <x:c r="P2837" s="26" t="n">
        <x:f>F2837/O2837</x:f>
        <x:v>585.1</x:v>
      </x:c>
    </x:row>
    <x:row r="2838">
      <x:c r="A2838" t="n">
        <x:v>2837</x:v>
      </x:c>
      <x:c r="B2838" t="n">
        <x:v>62</x:v>
      </x:c>
      <x:c r="C2838" t="str">
        <x:v>Male</x:v>
      </x:c>
      <x:c r="D2838" t="str">
        <x:v>Groceries</x:v>
      </x:c>
      <x:c r="E2838" t="str">
        <x:v>Rice Pack</x:v>
      </x:c>
      <x:c r="F2838" s="24" t="n">
        <x:v>72.41</x:v>
      </x:c>
      <x:c r="G2838" t="str">
        <x:v>Summer</x:v>
      </x:c>
      <x:c r="H2838" t="str">
        <x:v>Cash on Delivery</x:v>
      </x:c>
      <x:c r="I2838" t="n">
        <x:v>2.8</x:v>
      </x:c>
      <x:c r="J2838" t="n">
        <x:v>14</x:v>
      </x:c>
      <x:c r="K2838" t="n">
        <x:v>7</x:v>
      </x:c>
      <x:c r="L2838" t="str">
        <x:v>STORE-001</x:v>
      </x:c>
      <x:c r="M2838" s="22" t="n">
        <x:v>46069</x:v>
      </x:c>
      <x:c r="N2838" t="str">
        <x:v>SKU-018</x:v>
      </x:c>
      <x:c r="O2838" t="n">
        <x:v>4</x:v>
      </x:c>
      <x:c r="P2838" s="26" t="n">
        <x:f>F2838/O2838</x:f>
        <x:v>18.1025</x:v>
      </x:c>
    </x:row>
    <x:row r="2839">
      <x:c r="A2839" t="n">
        <x:v>2838</x:v>
      </x:c>
      <x:c r="B2839" t="n">
        <x:v>55</x:v>
      </x:c>
      <x:c r="C2839" t="str">
        <x:v>Female</x:v>
      </x:c>
      <x:c r="D2839" t="str">
        <x:v>Womens Clothing</x:v>
      </x:c>
      <x:c r="E2839" t="str">
        <x:v>Top</x:v>
      </x:c>
      <x:c r="F2839" s="24" t="n">
        <x:v>148.16</x:v>
      </x:c>
      <x:c r="G2839" t="str">
        <x:v>Autumn</x:v>
      </x:c>
      <x:c r="H2839" t="str">
        <x:v>Card</x:v>
      </x:c>
      <x:c r="I2839" t="n">
        <x:v>3.8</x:v>
      </x:c>
      <x:c r="J2839" t="n">
        <x:v>14</x:v>
      </x:c>
      <x:c r="K2839" t="n">
        <x:v>7</x:v>
      </x:c>
      <x:c r="L2839" t="str">
        <x:v>STORE-001</x:v>
      </x:c>
      <x:c r="M2839" s="22" t="n">
        <x:v>46165</x:v>
      </x:c>
      <x:c r="N2839" t="str">
        <x:v>SKU-028</x:v>
      </x:c>
      <x:c r="O2839" t="n">
        <x:v>2</x:v>
      </x:c>
      <x:c r="P2839" s="26" t="n">
        <x:f>F2839/O2839</x:f>
        <x:v>74.08</x:v>
      </x:c>
    </x:row>
    <x:row r="2840">
      <x:c r="A2840" t="n">
        <x:v>2839</x:v>
      </x:c>
      <x:c r="B2840" t="n">
        <x:v>65</x:v>
      </x:c>
      <x:c r="C2840" t="str">
        <x:v>Male</x:v>
      </x:c>
      <x:c r="D2840" t="str">
        <x:v>Mens Clothing</x:v>
      </x:c>
      <x:c r="E2840" t="str">
        <x:v>T-Shirt</x:v>
      </x:c>
      <x:c r="F2840" s="24" t="n">
        <x:v>30.58</x:v>
      </x:c>
      <x:c r="G2840" t="str">
        <x:v>Winter</x:v>
      </x:c>
      <x:c r="H2840" t="str">
        <x:v>Cash on Delivery</x:v>
      </x:c>
      <x:c r="I2840" t="n">
        <x:v>2.5</x:v>
      </x:c>
      <x:c r="J2840" t="n">
        <x:v>11</x:v>
      </x:c>
      <x:c r="K2840" t="n">
        <x:v>3</x:v>
      </x:c>
      <x:c r="L2840" t="str">
        <x:v>STORE-001</x:v>
      </x:c>
      <x:c r="M2840" s="22" t="n">
        <x:v>46187</x:v>
      </x:c>
      <x:c r="N2840" t="str">
        <x:v>SKU-027</x:v>
      </x:c>
      <x:c r="O2840" t="n">
        <x:v>1</x:v>
      </x:c>
      <x:c r="P2840" s="26" t="n">
        <x:f>F2840/O2840</x:f>
        <x:v>30.58</x:v>
      </x:c>
    </x:row>
    <x:row r="2841">
      <x:c r="A2841" t="n">
        <x:v>2840</x:v>
      </x:c>
      <x:c r="B2841" t="n">
        <x:v>23</x:v>
      </x:c>
      <x:c r="C2841" t="str">
        <x:v>Female</x:v>
      </x:c>
      <x:c r="D2841" t="str">
        <x:v>Accessories</x:v>
      </x:c>
      <x:c r="E2841" t="str">
        <x:v>Sunglasses</x:v>
      </x:c>
      <x:c r="F2841" s="24" t="n">
        <x:v>48.53</x:v>
      </x:c>
      <x:c r="G2841" t="str">
        <x:v>Winter</x:v>
      </x:c>
      <x:c r="H2841" t="str">
        <x:v>Cash on Delivery</x:v>
      </x:c>
      <x:c r="I2841" t="n">
        <x:v>3.1</x:v>
      </x:c>
      <x:c r="J2841" t="n">
        <x:v>10</x:v>
      </x:c>
      <x:c r="K2841" t="n">
        <x:v>5</x:v>
      </x:c>
      <x:c r="L2841" t="str">
        <x:v>STORE-001</x:v>
      </x:c>
      <x:c r="M2841" s="22" t="n">
        <x:v>46177</x:v>
      </x:c>
      <x:c r="N2841" t="str">
        <x:v>SKU-026</x:v>
      </x:c>
      <x:c r="O2841" t="n">
        <x:v>1</x:v>
      </x:c>
      <x:c r="P2841" s="26" t="n">
        <x:f>F2841/O2841</x:f>
        <x:v>48.53</x:v>
      </x:c>
    </x:row>
    <x:row r="2842">
      <x:c r="A2842" t="n">
        <x:v>2841</x:v>
      </x:c>
      <x:c r="B2842" t="n">
        <x:v>49</x:v>
      </x:c>
      <x:c r="C2842" t="str">
        <x:v>Female</x:v>
      </x:c>
      <x:c r="D2842" t="str">
        <x:v>Womens Clothing</x:v>
      </x:c>
      <x:c r="E2842" t="str">
        <x:v>Skirt</x:v>
      </x:c>
      <x:c r="F2842" s="24" t="n">
        <x:v>72.07</x:v>
      </x:c>
      <x:c r="G2842" t="str">
        <x:v>Spring</x:v>
      </x:c>
      <x:c r="H2842" t="str">
        <x:v>Cash on Delivery</x:v>
      </x:c>
      <x:c r="I2842" t="n">
        <x:v>2.7</x:v>
      </x:c>
      <x:c r="J2842" t="n">
        <x:v>6</x:v>
      </x:c>
      <x:c r="K2842" t="n">
        <x:v>3</x:v>
      </x:c>
      <x:c r="L2842" t="str">
        <x:v>STORE-001</x:v>
      </x:c>
      <x:c r="M2842" s="22" t="n">
        <x:v>46281</x:v>
      </x:c>
      <x:c r="N2842" t="str">
        <x:v>SKU-022</x:v>
      </x:c>
      <x:c r="O2842" t="n">
        <x:v>1</x:v>
      </x:c>
      <x:c r="P2842" s="26" t="n">
        <x:f>F2842/O2842</x:f>
        <x:v>72.07</x:v>
      </x:c>
    </x:row>
    <x:row r="2843">
      <x:c r="A2843" t="n">
        <x:v>2842</x:v>
      </x:c>
      <x:c r="B2843" t="n">
        <x:v>64</x:v>
      </x:c>
      <x:c r="C2843" t="str">
        <x:v>Female</x:v>
      </x:c>
      <x:c r="D2843" t="str">
        <x:v>Footwear</x:v>
      </x:c>
      <x:c r="E2843" t="str">
        <x:v>Formal Shoes</x:v>
      </x:c>
      <x:c r="F2843" s="24" t="n">
        <x:v>173.87</x:v>
      </x:c>
      <x:c r="G2843" t="str">
        <x:v>Winter</x:v>
      </x:c>
      <x:c r="H2843" t="str">
        <x:v>Card</x:v>
      </x:c>
      <x:c r="I2843" t="n">
        <x:v>3.1</x:v>
      </x:c>
      <x:c r="J2843" t="n">
        <x:v>15</x:v>
      </x:c>
      <x:c r="K2843" t="n">
        <x:v>5</x:v>
      </x:c>
      <x:c r="L2843" t="str">
        <x:v>STORE-001</x:v>
      </x:c>
      <x:c r="M2843" s="22" t="n">
        <x:v>46245</x:v>
      </x:c>
      <x:c r="N2843" t="str">
        <x:v>SKU-007</x:v>
      </x:c>
      <x:c r="O2843" t="n">
        <x:v>2</x:v>
      </x:c>
      <x:c r="P2843" s="26" t="n">
        <x:f>F2843/O2843</x:f>
        <x:v>86.935</x:v>
      </x:c>
    </x:row>
    <x:row r="2844">
      <x:c r="A2844" t="n">
        <x:v>2843</x:v>
      </x:c>
      <x:c r="B2844" t="n">
        <x:v>20</x:v>
      </x:c>
      <x:c r="C2844" t="str">
        <x:v>Female</x:v>
      </x:c>
      <x:c r="D2844" t="str">
        <x:v>Womens Clothing</x:v>
      </x:c>
      <x:c r="E2844" t="str">
        <x:v>Top</x:v>
      </x:c>
      <x:c r="F2844" s="24" t="n">
        <x:v>167.76</x:v>
      </x:c>
      <x:c r="G2844" t="str">
        <x:v>Spring</x:v>
      </x:c>
      <x:c r="H2844" t="str">
        <x:v>Card</x:v>
      </x:c>
      <x:c r="I2844" t="n">
        <x:v>4.2</x:v>
      </x:c>
      <x:c r="J2844" t="n">
        <x:v>20</x:v>
      </x:c>
      <x:c r="K2844" t="n">
        <x:v>5</x:v>
      </x:c>
      <x:c r="L2844" t="str">
        <x:v>STORE-001</x:v>
      </x:c>
      <x:c r="M2844" s="22" t="n">
        <x:v>46285</x:v>
      </x:c>
      <x:c r="N2844" t="str">
        <x:v>SKU-028</x:v>
      </x:c>
      <x:c r="O2844" t="n">
        <x:v>2</x:v>
      </x:c>
      <x:c r="P2844" s="26" t="n">
        <x:f>F2844/O2844</x:f>
        <x:v>83.88</x:v>
      </x:c>
    </x:row>
    <x:row r="2845">
      <x:c r="A2845" t="n">
        <x:v>2844</x:v>
      </x:c>
      <x:c r="B2845" t="n">
        <x:v>28</x:v>
      </x:c>
      <x:c r="C2845" t="str">
        <x:v>Male</x:v>
      </x:c>
      <x:c r="D2845" t="str">
        <x:v>Electronics</x:v>
      </x:c>
      <x:c r="E2845" t="str">
        <x:v>Smart Watch</x:v>
      </x:c>
      <x:c r="F2845" s="24" t="n">
        <x:v>581.89</x:v>
      </x:c>
      <x:c r="G2845" t="str">
        <x:v>Summer</x:v>
      </x:c>
      <x:c r="H2845" t="str">
        <x:v>Card</x:v>
      </x:c>
      <x:c r="I2845" t="n">
        <x:v>3</x:v>
      </x:c>
      <x:c r="J2845" t="n">
        <x:v>10</x:v>
      </x:c>
      <x:c r="K2845" t="n">
        <x:v>5</x:v>
      </x:c>
      <x:c r="L2845" t="str">
        <x:v>STORE-001</x:v>
      </x:c>
      <x:c r="M2845" s="22" t="n">
        <x:v>46065</x:v>
      </x:c>
      <x:c r="N2845" t="str">
        <x:v>SKU-023</x:v>
      </x:c>
      <x:c r="O2845" t="n">
        <x:v>1</x:v>
      </x:c>
      <x:c r="P2845" s="26" t="n">
        <x:f>F2845/O2845</x:f>
        <x:v>581.89</x:v>
      </x:c>
    </x:row>
    <x:row r="2846">
      <x:c r="A2846" t="n">
        <x:v>2845</x:v>
      </x:c>
      <x:c r="B2846" t="n">
        <x:v>66</x:v>
      </x:c>
      <x:c r="C2846" t="str">
        <x:v>Female</x:v>
      </x:c>
      <x:c r="D2846" t="str">
        <x:v>Footwear</x:v>
      </x:c>
      <x:c r="E2846" t="str">
        <x:v>Sandals</x:v>
      </x:c>
      <x:c r="F2846" s="24" t="n">
        <x:v>100.1</x:v>
      </x:c>
      <x:c r="G2846" t="str">
        <x:v>Autumn</x:v>
      </x:c>
      <x:c r="H2846" t="str">
        <x:v>Card</x:v>
      </x:c>
      <x:c r="I2846" t="n">
        <x:v>3.6</x:v>
      </x:c>
      <x:c r="J2846" t="n">
        <x:v>11</x:v>
      </x:c>
      <x:c r="K2846" t="n">
        <x:v>3</x:v>
      </x:c>
      <x:c r="L2846" t="str">
        <x:v>STORE-001</x:v>
      </x:c>
      <x:c r="M2846" s="22" t="n">
        <x:v>46113</x:v>
      </x:c>
      <x:c r="N2846" t="str">
        <x:v>SKU-019</x:v>
      </x:c>
      <x:c r="O2846" t="n">
        <x:v>1</x:v>
      </x:c>
      <x:c r="P2846" s="26" t="n">
        <x:f>F2846/O2846</x:f>
        <x:v>100.1</x:v>
      </x:c>
    </x:row>
    <x:row r="2847">
      <x:c r="A2847" t="n">
        <x:v>2846</x:v>
      </x:c>
      <x:c r="B2847" t="n">
        <x:v>57</x:v>
      </x:c>
      <x:c r="C2847" t="str">
        <x:v>Female</x:v>
      </x:c>
      <x:c r="D2847" t="str">
        <x:v>Beauty</x:v>
      </x:c>
      <x:c r="E2847" t="str">
        <x:v>Makeup Set</x:v>
      </x:c>
      <x:c r="F2847" s="24" t="n">
        <x:v>28.82</x:v>
      </x:c>
      <x:c r="G2847" t="str">
        <x:v>Winter</x:v>
      </x:c>
      <x:c r="H2847" t="str">
        <x:v>Cash on Delivery</x:v>
      </x:c>
      <x:c r="I2847" t="n">
        <x:v>3.3</x:v>
      </x:c>
      <x:c r="J2847" t="n">
        <x:v>16</x:v>
      </x:c>
      <x:c r="K2847" t="n">
        <x:v>3</x:v>
      </x:c>
      <x:c r="L2847" t="str">
        <x:v>STORE-001</x:v>
      </x:c>
      <x:c r="M2847" s="22" t="n">
        <x:v>46223</x:v>
      </x:c>
      <x:c r="N2847" t="str">
        <x:v>SKU-015</x:v>
      </x:c>
      <x:c r="O2847" t="n">
        <x:v>2</x:v>
      </x:c>
      <x:c r="P2847" s="26" t="n">
        <x:f>F2847/O2847</x:f>
        <x:v>14.41</x:v>
      </x:c>
    </x:row>
    <x:row r="2848">
      <x:c r="A2848" t="n">
        <x:v>2847</x:v>
      </x:c>
      <x:c r="B2848" t="n">
        <x:v>48</x:v>
      </x:c>
      <x:c r="C2848" t="str">
        <x:v>Male</x:v>
      </x:c>
      <x:c r="D2848" t="str">
        <x:v>Mens Clothing</x:v>
      </x:c>
      <x:c r="E2848" t="str">
        <x:v>T-Shirt</x:v>
      </x:c>
      <x:c r="F2848" s="24" t="n">
        <x:v>150.38</x:v>
      </x:c>
      <x:c r="G2848" t="str">
        <x:v>Winter</x:v>
      </x:c>
      <x:c r="H2848" t="str">
        <x:v>Card</x:v>
      </x:c>
      <x:c r="I2848" t="n">
        <x:v>3.7</x:v>
      </x:c>
      <x:c r="J2848" t="n">
        <x:v>24</x:v>
      </x:c>
      <x:c r="K2848" t="n">
        <x:v>7</x:v>
      </x:c>
      <x:c r="L2848" t="str">
        <x:v>STORE-001</x:v>
      </x:c>
      <x:c r="M2848" s="22" t="n">
        <x:v>46178</x:v>
      </x:c>
      <x:c r="N2848" t="str">
        <x:v>SKU-027</x:v>
      </x:c>
      <x:c r="O2848" t="n">
        <x:v>1</x:v>
      </x:c>
      <x:c r="P2848" s="26" t="n">
        <x:f>F2848/O2848</x:f>
        <x:v>150.38</x:v>
      </x:c>
    </x:row>
    <x:row r="2849">
      <x:c r="A2849" t="n">
        <x:v>2848</x:v>
      </x:c>
      <x:c r="B2849" t="n">
        <x:v>39</x:v>
      </x:c>
      <x:c r="C2849" t="str">
        <x:v>Female</x:v>
      </x:c>
      <x:c r="D2849" t="str">
        <x:v>Womens Clothing</x:v>
      </x:c>
      <x:c r="E2849" t="str">
        <x:v>Jeans</x:v>
      </x:c>
      <x:c r="F2849" s="24" t="n">
        <x:v>193.29</x:v>
      </x:c>
      <x:c r="G2849" t="str">
        <x:v>Spring</x:v>
      </x:c>
      <x:c r="H2849" t="str">
        <x:v>Card</x:v>
      </x:c>
      <x:c r="I2849" t="n">
        <x:v>2.9</x:v>
      </x:c>
      <x:c r="J2849" t="n">
        <x:v>15</x:v>
      </x:c>
      <x:c r="K2849" t="n">
        <x:v>5</x:v>
      </x:c>
      <x:c r="L2849" t="str">
        <x:v>STORE-001</x:v>
      </x:c>
      <x:c r="M2849" s="22" t="n">
        <x:v>46274</x:v>
      </x:c>
      <x:c r="N2849" t="str">
        <x:v>SKU-011</x:v>
      </x:c>
      <x:c r="O2849" t="n">
        <x:v>1</x:v>
      </x:c>
      <x:c r="P2849" s="26" t="n">
        <x:f>F2849/O2849</x:f>
        <x:v>193.29</x:v>
      </x:c>
    </x:row>
    <x:row r="2850">
      <x:c r="A2850" t="n">
        <x:v>2849</x:v>
      </x:c>
      <x:c r="B2850" t="n">
        <x:v>58</x:v>
      </x:c>
      <x:c r="C2850" t="str">
        <x:v>Male</x:v>
      </x:c>
      <x:c r="D2850" t="str">
        <x:v>Footwear</x:v>
      </x:c>
      <x:c r="E2850" t="str">
        <x:v>Sneakers</x:v>
      </x:c>
      <x:c r="F2850" s="24" t="n">
        <x:v>80.52</x:v>
      </x:c>
      <x:c r="G2850" t="str">
        <x:v>Summer</x:v>
      </x:c>
      <x:c r="H2850" t="str">
        <x:v>Cash on Delivery</x:v>
      </x:c>
      <x:c r="I2850" t="n">
        <x:v>3.7</x:v>
      </x:c>
      <x:c r="J2850" t="n">
        <x:v>15</x:v>
      </x:c>
      <x:c r="K2850" t="n">
        <x:v>5</x:v>
      </x:c>
      <x:c r="L2850" t="str">
        <x:v>STORE-001</x:v>
      </x:c>
      <x:c r="M2850" s="22" t="n">
        <x:v>45994</x:v>
      </x:c>
      <x:c r="N2850" t="str">
        <x:v>SKU-025</x:v>
      </x:c>
      <x:c r="O2850" t="n">
        <x:v>2</x:v>
      </x:c>
      <x:c r="P2850" s="26" t="n">
        <x:f>F2850/O2850</x:f>
        <x:v>40.26</x:v>
      </x:c>
    </x:row>
    <x:row r="2851">
      <x:c r="A2851" t="n">
        <x:v>2850</x:v>
      </x:c>
      <x:c r="B2851" t="n">
        <x:v>64</x:v>
      </x:c>
      <x:c r="C2851" t="str">
        <x:v>Female</x:v>
      </x:c>
      <x:c r="D2851" t="str">
        <x:v>Groceries</x:v>
      </x:c>
      <x:c r="E2851" t="str">
        <x:v>Beverages</x:v>
      </x:c>
      <x:c r="F2851" s="24" t="n">
        <x:v>19.96</x:v>
      </x:c>
      <x:c r="G2851" t="str">
        <x:v>Autumn</x:v>
      </x:c>
      <x:c r="H2851" t="str">
        <x:v>Cash on Delivery</x:v>
      </x:c>
      <x:c r="I2851" t="n">
        <x:v>3</x:v>
      </x:c>
      <x:c r="J2851" t="n">
        <x:v>6</x:v>
      </x:c>
      <x:c r="K2851" t="n">
        <x:v>3</x:v>
      </x:c>
      <x:c r="L2851" t="str">
        <x:v>STORE-001</x:v>
      </x:c>
      <x:c r="M2851" s="22" t="n">
        <x:v>46087</x:v>
      </x:c>
      <x:c r="N2851" t="str">
        <x:v>SKU-001</x:v>
      </x:c>
      <x:c r="O2851" t="n">
        <x:v>3</x:v>
      </x:c>
      <x:c r="P2851" s="26" t="n">
        <x:f>F2851/O2851</x:f>
        <x:v>6.653333333333333</x:v>
      </x:c>
    </x:row>
    <x:row r="2852">
      <x:c r="A2852" t="n">
        <x:v>2851</x:v>
      </x:c>
      <x:c r="B2852" t="n">
        <x:v>38</x:v>
      </x:c>
      <x:c r="C2852" t="str">
        <x:v>Female</x:v>
      </x:c>
      <x:c r="D2852" t="str">
        <x:v>Beauty</x:v>
      </x:c>
      <x:c r="E2852" t="str">
        <x:v>Skincare Kit</x:v>
      </x:c>
      <x:c r="F2852" s="24" t="n">
        <x:v>81.76</x:v>
      </x:c>
      <x:c r="G2852" t="str">
        <x:v>Summer</x:v>
      </x:c>
      <x:c r="H2852" t="str">
        <x:v>Cash on Delivery</x:v>
      </x:c>
      <x:c r="I2852" t="n">
        <x:v>4.1</x:v>
      </x:c>
      <x:c r="J2852" t="n">
        <x:v>8</x:v>
      </x:c>
      <x:c r="K2852" t="n">
        <x:v>4</x:v>
      </x:c>
      <x:c r="L2852" t="str">
        <x:v>STORE-001</x:v>
      </x:c>
      <x:c r="M2852" s="22" t="n">
        <x:v>46002</x:v>
      </x:c>
      <x:c r="N2852" t="str">
        <x:v>SKU-021</x:v>
      </x:c>
      <x:c r="O2852" t="n">
        <x:v>2</x:v>
      </x:c>
      <x:c r="P2852" s="26" t="n">
        <x:f>F2852/O2852</x:f>
        <x:v>40.88</x:v>
      </x:c>
    </x:row>
    <x:row r="2853">
      <x:c r="A2853" t="n">
        <x:v>2852</x:v>
      </x:c>
      <x:c r="B2853" t="n">
        <x:v>47</x:v>
      </x:c>
      <x:c r="C2853" t="str">
        <x:v>Male</x:v>
      </x:c>
      <x:c r="D2853" t="str">
        <x:v>Groceries</x:v>
      </x:c>
      <x:c r="E2853" t="str">
        <x:v>Rice Pack</x:v>
      </x:c>
      <x:c r="F2853" s="24" t="n">
        <x:v>19.76</x:v>
      </x:c>
      <x:c r="G2853" t="str">
        <x:v>Summer</x:v>
      </x:c>
      <x:c r="H2853" t="str">
        <x:v>Cash on Delivery</x:v>
      </x:c>
      <x:c r="I2853" t="n">
        <x:v>3.8</x:v>
      </x:c>
      <x:c r="J2853" t="n">
        <x:v>9</x:v>
      </x:c>
      <x:c r="K2853" t="n">
        <x:v>2</x:v>
      </x:c>
      <x:c r="L2853" t="str">
        <x:v>STORE-001</x:v>
      </x:c>
      <x:c r="M2853" s="22" t="n">
        <x:v>46043</x:v>
      </x:c>
      <x:c r="N2853" t="str">
        <x:v>SKU-018</x:v>
      </x:c>
      <x:c r="O2853" t="n">
        <x:v>4</x:v>
      </x:c>
      <x:c r="P2853" s="26" t="n">
        <x:f>F2853/O2853</x:f>
        <x:v>4.94</x:v>
      </x:c>
    </x:row>
    <x:row r="2854">
      <x:c r="A2854" t="n">
        <x:v>2853</x:v>
      </x:c>
      <x:c r="B2854" t="n">
        <x:v>49</x:v>
      </x:c>
      <x:c r="C2854" t="str">
        <x:v>Female</x:v>
      </x:c>
      <x:c r="D2854" t="str">
        <x:v>Womens Clothing</x:v>
      </x:c>
      <x:c r="E2854" t="str">
        <x:v>Dress</x:v>
      </x:c>
      <x:c r="F2854" s="24" t="n">
        <x:v>73.31</x:v>
      </x:c>
      <x:c r="G2854" t="str">
        <x:v>Spring</x:v>
      </x:c>
      <x:c r="H2854" t="str">
        <x:v>Cash on Delivery</x:v>
      </x:c>
      <x:c r="I2854" t="n">
        <x:v>3.5</x:v>
      </x:c>
      <x:c r="J2854" t="n">
        <x:v>20</x:v>
      </x:c>
      <x:c r="K2854" t="n">
        <x:v>5</x:v>
      </x:c>
      <x:c r="L2854" t="str">
        <x:v>STORE-001</x:v>
      </x:c>
      <x:c r="M2854" s="22" t="n">
        <x:v>45979</x:v>
      </x:c>
      <x:c r="N2854" t="str">
        <x:v>SKU-004</x:v>
      </x:c>
      <x:c r="O2854" t="n">
        <x:v>2</x:v>
      </x:c>
      <x:c r="P2854" s="26" t="n">
        <x:f>F2854/O2854</x:f>
        <x:v>36.655</x:v>
      </x:c>
    </x:row>
    <x:row r="2855">
      <x:c r="A2855" t="n">
        <x:v>2854</x:v>
      </x:c>
      <x:c r="B2855" t="n">
        <x:v>30</x:v>
      </x:c>
      <x:c r="C2855" t="str">
        <x:v>Male</x:v>
      </x:c>
      <x:c r="D2855" t="str">
        <x:v>Sports</x:v>
      </x:c>
      <x:c r="E2855" t="str">
        <x:v>Yoga Mat</x:v>
      </x:c>
      <x:c r="F2855" s="24" t="n">
        <x:v>95.37</x:v>
      </x:c>
      <x:c r="G2855" t="str">
        <x:v>Summer</x:v>
      </x:c>
      <x:c r="H2855" t="str">
        <x:v>Cash on Delivery</x:v>
      </x:c>
      <x:c r="I2855" t="n">
        <x:v>4.2</x:v>
      </x:c>
      <x:c r="J2855" t="n">
        <x:v>17</x:v>
      </x:c>
      <x:c r="K2855" t="n">
        <x:v>6</x:v>
      </x:c>
      <x:c r="L2855" t="str">
        <x:v>STORE-001</x:v>
      </x:c>
      <x:c r="M2855" s="22" t="n">
        <x:v>46062</x:v>
      </x:c>
      <x:c r="N2855" t="str">
        <x:v>SKU-030</x:v>
      </x:c>
      <x:c r="O2855" t="n">
        <x:v>1</x:v>
      </x:c>
      <x:c r="P2855" s="26" t="n">
        <x:f>F2855/O2855</x:f>
        <x:v>95.37</x:v>
      </x:c>
    </x:row>
    <x:row r="2856">
      <x:c r="A2856" t="n">
        <x:v>2855</x:v>
      </x:c>
      <x:c r="B2856" t="n">
        <x:v>24</x:v>
      </x:c>
      <x:c r="C2856" t="str">
        <x:v>Female</x:v>
      </x:c>
      <x:c r="D2856" t="str">
        <x:v>Accessories</x:v>
      </x:c>
      <x:c r="E2856" t="str">
        <x:v>Handbag</x:v>
      </x:c>
      <x:c r="F2856" s="24" t="n">
        <x:v>105.91</x:v>
      </x:c>
      <x:c r="G2856" t="str">
        <x:v>Autumn</x:v>
      </x:c>
      <x:c r="H2856" t="str">
        <x:v>Card</x:v>
      </x:c>
      <x:c r="I2856" t="n">
        <x:v>3.9</x:v>
      </x:c>
      <x:c r="J2856" t="n">
        <x:v>19</x:v>
      </x:c>
      <x:c r="K2856" t="n">
        <x:v>7</x:v>
      </x:c>
      <x:c r="L2856" t="str">
        <x:v>STORE-001</x:v>
      </x:c>
      <x:c r="M2856" s="22" t="n">
        <x:v>46130</x:v>
      </x:c>
      <x:c r="N2856" t="str">
        <x:v>SKU-008</x:v>
      </x:c>
      <x:c r="O2856" t="n">
        <x:v>2</x:v>
      </x:c>
      <x:c r="P2856" s="26" t="n">
        <x:f>F2856/O2856</x:f>
        <x:v>52.955</x:v>
      </x:c>
    </x:row>
    <x:row r="2857">
      <x:c r="A2857" t="n">
        <x:v>2856</x:v>
      </x:c>
      <x:c r="B2857" t="n">
        <x:v>68</x:v>
      </x:c>
      <x:c r="C2857" t="str">
        <x:v>Male</x:v>
      </x:c>
      <x:c r="D2857" t="str">
        <x:v>Mens Clothing</x:v>
      </x:c>
      <x:c r="E2857" t="str">
        <x:v>Shirt</x:v>
      </x:c>
      <x:c r="F2857" s="24" t="n">
        <x:v>82.8</x:v>
      </x:c>
      <x:c r="G2857" t="str">
        <x:v>Winter</x:v>
      </x:c>
      <x:c r="H2857" t="str">
        <x:v>Card</x:v>
      </x:c>
      <x:c r="I2857" t="n">
        <x:v>3.6</x:v>
      </x:c>
      <x:c r="J2857" t="n">
        <x:v>8</x:v>
      </x:c>
      <x:c r="K2857" t="n">
        <x:v>4</x:v>
      </x:c>
      <x:c r="L2857" t="str">
        <x:v>STORE-001</x:v>
      </x:c>
      <x:c r="M2857" s="22" t="n">
        <x:v>46241</x:v>
      </x:c>
      <x:c r="N2857" t="str">
        <x:v>SKU-020</x:v>
      </x:c>
      <x:c r="O2857" t="n">
        <x:v>2</x:v>
      </x:c>
      <x:c r="P2857" s="26" t="n">
        <x:f>F2857/O2857</x:f>
        <x:v>41.4</x:v>
      </x:c>
    </x:row>
    <x:row r="2858">
      <x:c r="A2858" t="n">
        <x:v>2857</x:v>
      </x:c>
      <x:c r="B2858" t="n">
        <x:v>68</x:v>
      </x:c>
      <x:c r="C2858" t="str">
        <x:v>Male</x:v>
      </x:c>
      <x:c r="D2858" t="str">
        <x:v>Home</x:v>
      </x:c>
      <x:c r="E2858" t="str">
        <x:v>Curtains</x:v>
      </x:c>
      <x:c r="F2858" s="24" t="n">
        <x:v>260.13</x:v>
      </x:c>
      <x:c r="G2858" t="str">
        <x:v>Summer</x:v>
      </x:c>
      <x:c r="H2858" t="str">
        <x:v>Card</x:v>
      </x:c>
      <x:c r="I2858" t="n">
        <x:v>4</x:v>
      </x:c>
      <x:c r="J2858" t="n">
        <x:v>24</x:v>
      </x:c>
      <x:c r="K2858" t="n">
        <x:v>7</x:v>
      </x:c>
      <x:c r="L2858" t="str">
        <x:v>STORE-001</x:v>
      </x:c>
      <x:c r="M2858" s="22" t="n">
        <x:v>46078</x:v>
      </x:c>
      <x:c r="N2858" t="str">
        <x:v>SKU-003</x:v>
      </x:c>
      <x:c r="O2858" t="n">
        <x:v>2</x:v>
      </x:c>
      <x:c r="P2858" s="26" t="n">
        <x:f>F2858/O2858</x:f>
        <x:v>130.065</x:v>
      </x:c>
    </x:row>
    <x:row r="2859">
      <x:c r="A2859" t="n">
        <x:v>2858</x:v>
      </x:c>
      <x:c r="B2859" t="n">
        <x:v>55</x:v>
      </x:c>
      <x:c r="C2859" t="str">
        <x:v>Female</x:v>
      </x:c>
      <x:c r="D2859" t="str">
        <x:v>Footwear</x:v>
      </x:c>
      <x:c r="E2859" t="str">
        <x:v>Sneakers</x:v>
      </x:c>
      <x:c r="F2859" s="24" t="n">
        <x:v>196.79</x:v>
      </x:c>
      <x:c r="G2859" t="str">
        <x:v>Summer</x:v>
      </x:c>
      <x:c r="H2859" t="str">
        <x:v>Card</x:v>
      </x:c>
      <x:c r="I2859" t="n">
        <x:v>3.7</x:v>
      </x:c>
      <x:c r="J2859" t="n">
        <x:v>10</x:v>
      </x:c>
      <x:c r="K2859" t="n">
        <x:v>5</x:v>
      </x:c>
      <x:c r="L2859" t="str">
        <x:v>STORE-001</x:v>
      </x:c>
      <x:c r="M2859" s="22" t="n">
        <x:v>46065</x:v>
      </x:c>
      <x:c r="N2859" t="str">
        <x:v>SKU-025</x:v>
      </x:c>
      <x:c r="O2859" t="n">
        <x:v>1</x:v>
      </x:c>
      <x:c r="P2859" s="26" t="n">
        <x:f>F2859/O2859</x:f>
        <x:v>196.79</x:v>
      </x:c>
    </x:row>
    <x:row r="2860">
      <x:c r="A2860" t="n">
        <x:v>2859</x:v>
      </x:c>
      <x:c r="B2860" t="n">
        <x:v>47</x:v>
      </x:c>
      <x:c r="C2860" t="str">
        <x:v>Female</x:v>
      </x:c>
      <x:c r="D2860" t="str">
        <x:v>Beauty</x:v>
      </x:c>
      <x:c r="E2860" t="str">
        <x:v>Perfume</x:v>
      </x:c>
      <x:c r="F2860" s="24" t="n">
        <x:v>137.02</x:v>
      </x:c>
      <x:c r="G2860" t="str">
        <x:v>Summer</x:v>
      </x:c>
      <x:c r="H2860" t="str">
        <x:v>Card</x:v>
      </x:c>
      <x:c r="I2860" t="n">
        <x:v>3.7</x:v>
      </x:c>
      <x:c r="J2860" t="n">
        <x:v>14</x:v>
      </x:c>
      <x:c r="K2860" t="n">
        <x:v>7</x:v>
      </x:c>
      <x:c r="L2860" t="str">
        <x:v>STORE-001</x:v>
      </x:c>
      <x:c r="M2860" s="22" t="n">
        <x:v>46076</x:v>
      </x:c>
      <x:c r="N2860" t="str">
        <x:v>SKU-017</x:v>
      </x:c>
      <x:c r="O2860" t="n">
        <x:v>1</x:v>
      </x:c>
      <x:c r="P2860" s="26" t="n">
        <x:f>F2860/O2860</x:f>
        <x:v>137.02</x:v>
      </x:c>
    </x:row>
    <x:row r="2861">
      <x:c r="A2861" t="n">
        <x:v>2860</x:v>
      </x:c>
      <x:c r="B2861" t="n">
        <x:v>31</x:v>
      </x:c>
      <x:c r="C2861" t="str">
        <x:v>Male</x:v>
      </x:c>
      <x:c r="D2861" t="str">
        <x:v>Groceries</x:v>
      </x:c>
      <x:c r="E2861" t="str">
        <x:v>Rice Pack</x:v>
      </x:c>
      <x:c r="F2861" s="24" t="n">
        <x:v>61.33</x:v>
      </x:c>
      <x:c r="G2861" t="str">
        <x:v>Spring</x:v>
      </x:c>
      <x:c r="H2861" t="str">
        <x:v>Card</x:v>
      </x:c>
      <x:c r="I2861" t="n">
        <x:v>3.6</x:v>
      </x:c>
      <x:c r="J2861" t="n">
        <x:v>16</x:v>
      </x:c>
      <x:c r="K2861" t="n">
        <x:v>3</x:v>
      </x:c>
      <x:c r="L2861" t="str">
        <x:v>STORE-001</x:v>
      </x:c>
      <x:c r="M2861" s="22" t="n">
        <x:v>45936</x:v>
      </x:c>
      <x:c r="N2861" t="str">
        <x:v>SKU-018</x:v>
      </x:c>
      <x:c r="O2861" t="n">
        <x:v>2</x:v>
      </x:c>
      <x:c r="P2861" s="26" t="n">
        <x:f>F2861/O2861</x:f>
        <x:v>30.665</x:v>
      </x:c>
    </x:row>
    <x:row r="2862">
      <x:c r="A2862" t="n">
        <x:v>2861</x:v>
      </x:c>
      <x:c r="B2862" t="n">
        <x:v>38</x:v>
      </x:c>
      <x:c r="C2862" t="str">
        <x:v>Male</x:v>
      </x:c>
      <x:c r="D2862" t="str">
        <x:v>Sports</x:v>
      </x:c>
      <x:c r="E2862" t="str">
        <x:v>Football</x:v>
      </x:c>
      <x:c r="F2862" s="24" t="n">
        <x:v>152.39</x:v>
      </x:c>
      <x:c r="G2862" t="str">
        <x:v>Winter</x:v>
      </x:c>
      <x:c r="H2862" t="str">
        <x:v>Card</x:v>
      </x:c>
      <x:c r="I2862" t="n">
        <x:v>5</x:v>
      </x:c>
      <x:c r="J2862" t="n">
        <x:v>18</x:v>
      </x:c>
      <x:c r="K2862" t="n">
        <x:v>9</x:v>
      </x:c>
      <x:c r="L2862" t="str">
        <x:v>STORE-001</x:v>
      </x:c>
      <x:c r="M2862" s="22" t="n">
        <x:v>46210</x:v>
      </x:c>
      <x:c r="N2862" t="str">
        <x:v>SKU-006</x:v>
      </x:c>
      <x:c r="O2862" t="n">
        <x:v>1</x:v>
      </x:c>
      <x:c r="P2862" s="26" t="n">
        <x:f>F2862/O2862</x:f>
        <x:v>152.39</x:v>
      </x:c>
    </x:row>
    <x:row r="2863">
      <x:c r="A2863" t="n">
        <x:v>2862</x:v>
      </x:c>
      <x:c r="B2863" t="n">
        <x:v>50</x:v>
      </x:c>
      <x:c r="C2863" t="str">
        <x:v>Female</x:v>
      </x:c>
      <x:c r="D2863" t="str">
        <x:v>Womens Clothing</x:v>
      </x:c>
      <x:c r="E2863" t="str">
        <x:v>Dress</x:v>
      </x:c>
      <x:c r="F2863" s="24" t="n">
        <x:v>35.77</x:v>
      </x:c>
      <x:c r="G2863" t="str">
        <x:v>Autumn</x:v>
      </x:c>
      <x:c r="H2863" t="str">
        <x:v>Cash on Delivery</x:v>
      </x:c>
      <x:c r="I2863" t="n">
        <x:v>3.8</x:v>
      </x:c>
      <x:c r="J2863" t="n">
        <x:v>10</x:v>
      </x:c>
      <x:c r="K2863" t="n">
        <x:v>5</x:v>
      </x:c>
      <x:c r="L2863" t="str">
        <x:v>STORE-001</x:v>
      </x:c>
      <x:c r="M2863" s="22" t="n">
        <x:v>46112</x:v>
      </x:c>
      <x:c r="N2863" t="str">
        <x:v>SKU-004</x:v>
      </x:c>
      <x:c r="O2863" t="n">
        <x:v>1</x:v>
      </x:c>
      <x:c r="P2863" s="26" t="n">
        <x:f>F2863/O2863</x:f>
        <x:v>35.77</x:v>
      </x:c>
    </x:row>
    <x:row r="2864">
      <x:c r="A2864" t="n">
        <x:v>2863</x:v>
      </x:c>
      <x:c r="B2864" t="n">
        <x:v>33</x:v>
      </x:c>
      <x:c r="C2864" t="str">
        <x:v>Female</x:v>
      </x:c>
      <x:c r="D2864" t="str">
        <x:v>Groceries</x:v>
      </x:c>
      <x:c r="E2864" t="str">
        <x:v>Beverages</x:v>
      </x:c>
      <x:c r="F2864" s="24" t="n">
        <x:v>46.73</x:v>
      </x:c>
      <x:c r="G2864" t="str">
        <x:v>Summer</x:v>
      </x:c>
      <x:c r="H2864" t="str">
        <x:v>Card</x:v>
      </x:c>
      <x:c r="I2864" t="n">
        <x:v>3.5</x:v>
      </x:c>
      <x:c r="J2864" t="n">
        <x:v>11</x:v>
      </x:c>
      <x:c r="K2864" t="n">
        <x:v>3</x:v>
      </x:c>
      <x:c r="L2864" t="str">
        <x:v>STORE-001</x:v>
      </x:c>
      <x:c r="M2864" s="22" t="n">
        <x:v>46015</x:v>
      </x:c>
      <x:c r="N2864" t="str">
        <x:v>SKU-001</x:v>
      </x:c>
      <x:c r="O2864" t="n">
        <x:v>1</x:v>
      </x:c>
      <x:c r="P2864" s="26" t="n">
        <x:f>F2864/O2864</x:f>
        <x:v>46.73</x:v>
      </x:c>
    </x:row>
    <x:row r="2865">
      <x:c r="A2865" t="n">
        <x:v>2864</x:v>
      </x:c>
      <x:c r="B2865" t="n">
        <x:v>35</x:v>
      </x:c>
      <x:c r="C2865" t="str">
        <x:v>Male</x:v>
      </x:c>
      <x:c r="D2865" t="str">
        <x:v>Mens Clothing</x:v>
      </x:c>
      <x:c r="E2865" t="str">
        <x:v>Shirt</x:v>
      </x:c>
      <x:c r="F2865" s="24" t="n">
        <x:v>129.83</x:v>
      </x:c>
      <x:c r="G2865" t="str">
        <x:v>Spring</x:v>
      </x:c>
      <x:c r="H2865" t="str">
        <x:v>Card</x:v>
      </x:c>
      <x:c r="I2865" t="n">
        <x:v>4</x:v>
      </x:c>
      <x:c r="J2865" t="n">
        <x:v>21</x:v>
      </x:c>
      <x:c r="K2865" t="n">
        <x:v>8</x:v>
      </x:c>
      <x:c r="L2865" t="str">
        <x:v>STORE-001</x:v>
      </x:c>
      <x:c r="M2865" s="22" t="n">
        <x:v>46266</x:v>
      </x:c>
      <x:c r="N2865" t="str">
        <x:v>SKU-020</x:v>
      </x:c>
      <x:c r="O2865" t="n">
        <x:v>1</x:v>
      </x:c>
      <x:c r="P2865" s="26" t="n">
        <x:f>F2865/O2865</x:f>
        <x:v>129.83</x:v>
      </x:c>
    </x:row>
    <x:row r="2866">
      <x:c r="A2866" t="n">
        <x:v>2865</x:v>
      </x:c>
      <x:c r="B2866" t="n">
        <x:v>47</x:v>
      </x:c>
      <x:c r="C2866" t="str">
        <x:v>Male</x:v>
      </x:c>
      <x:c r="D2866" t="str">
        <x:v>Sports</x:v>
      </x:c>
      <x:c r="E2866" t="str">
        <x:v>Yoga Mat</x:v>
      </x:c>
      <x:c r="F2866" s="24" t="n">
        <x:v>223.95</x:v>
      </x:c>
      <x:c r="G2866" t="str">
        <x:v>Winter</x:v>
      </x:c>
      <x:c r="H2866" t="str">
        <x:v>Card</x:v>
      </x:c>
      <x:c r="I2866" t="n">
        <x:v>4.8</x:v>
      </x:c>
      <x:c r="J2866" t="n">
        <x:v>24</x:v>
      </x:c>
      <x:c r="K2866" t="n">
        <x:v>7</x:v>
      </x:c>
      <x:c r="L2866" t="str">
        <x:v>STORE-001</x:v>
      </x:c>
      <x:c r="M2866" s="22" t="n">
        <x:v>46226</x:v>
      </x:c>
      <x:c r="N2866" t="str">
        <x:v>SKU-030</x:v>
      </x:c>
      <x:c r="O2866" t="n">
        <x:v>1</x:v>
      </x:c>
      <x:c r="P2866" s="26" t="n">
        <x:f>F2866/O2866</x:f>
        <x:v>223.95</x:v>
      </x:c>
    </x:row>
    <x:row r="2867">
      <x:c r="A2867" t="n">
        <x:v>2866</x:v>
      </x:c>
      <x:c r="B2867" t="n">
        <x:v>28</x:v>
      </x:c>
      <x:c r="C2867" t="str">
        <x:v>Female</x:v>
      </x:c>
      <x:c r="D2867" t="str">
        <x:v>Beauty</x:v>
      </x:c>
      <x:c r="E2867" t="str">
        <x:v>Skincare Kit</x:v>
      </x:c>
      <x:c r="F2867" s="24" t="n">
        <x:v>30.28</x:v>
      </x:c>
      <x:c r="G2867" t="str">
        <x:v>Spring</x:v>
      </x:c>
      <x:c r="H2867" t="str">
        <x:v>Cash on Delivery</x:v>
      </x:c>
      <x:c r="I2867" t="n">
        <x:v>5</x:v>
      </x:c>
      <x:c r="J2867" t="n">
        <x:v>17</x:v>
      </x:c>
      <x:c r="K2867" t="n">
        <x:v>6</x:v>
      </x:c>
      <x:c r="L2867" t="str">
        <x:v>STORE-001</x:v>
      </x:c>
      <x:c r="M2867" s="22" t="n">
        <x:v>46280</x:v>
      </x:c>
      <x:c r="N2867" t="str">
        <x:v>SKU-021</x:v>
      </x:c>
      <x:c r="O2867" t="n">
        <x:v>1</x:v>
      </x:c>
      <x:c r="P2867" s="26" t="n">
        <x:f>F2867/O2867</x:f>
        <x:v>30.28</x:v>
      </x:c>
    </x:row>
    <x:row r="2868">
      <x:c r="A2868" t="n">
        <x:v>2867</x:v>
      </x:c>
      <x:c r="B2868" t="n">
        <x:v>55</x:v>
      </x:c>
      <x:c r="C2868" t="str">
        <x:v>Male</x:v>
      </x:c>
      <x:c r="D2868" t="str">
        <x:v>Sports</x:v>
      </x:c>
      <x:c r="E2868" t="str">
        <x:v>Dumbbells</x:v>
      </x:c>
      <x:c r="F2868" s="24" t="n">
        <x:v>228.55</x:v>
      </x:c>
      <x:c r="G2868" t="str">
        <x:v>Summer</x:v>
      </x:c>
      <x:c r="H2868" t="str">
        <x:v>Card</x:v>
      </x:c>
      <x:c r="I2868" t="n">
        <x:v>4.9</x:v>
      </x:c>
      <x:c r="J2868" t="n">
        <x:v>28</x:v>
      </x:c>
      <x:c r="K2868" t="n">
        <x:v>9</x:v>
      </x:c>
      <x:c r="L2868" t="str">
        <x:v>STORE-001</x:v>
      </x:c>
      <x:c r="M2868" s="22" t="n">
        <x:v>46079</x:v>
      </x:c>
      <x:c r="N2868" t="str">
        <x:v>SKU-005</x:v>
      </x:c>
      <x:c r="O2868" t="n">
        <x:v>1</x:v>
      </x:c>
      <x:c r="P2868" s="26" t="n">
        <x:f>F2868/O2868</x:f>
        <x:v>228.55</x:v>
      </x:c>
    </x:row>
    <x:row r="2869">
      <x:c r="A2869" t="n">
        <x:v>2868</x:v>
      </x:c>
      <x:c r="B2869" t="n">
        <x:v>57</x:v>
      </x:c>
      <x:c r="C2869" t="str">
        <x:v>Male</x:v>
      </x:c>
      <x:c r="D2869" t="str">
        <x:v>Sports</x:v>
      </x:c>
      <x:c r="E2869" t="str">
        <x:v>Dumbbells</x:v>
      </x:c>
      <x:c r="F2869" s="24" t="n">
        <x:v>195.53</x:v>
      </x:c>
      <x:c r="G2869" t="str">
        <x:v>Winter</x:v>
      </x:c>
      <x:c r="H2869" t="str">
        <x:v>Card</x:v>
      </x:c>
      <x:c r="I2869" t="n">
        <x:v>3.4</x:v>
      </x:c>
      <x:c r="J2869" t="n">
        <x:v>10</x:v>
      </x:c>
      <x:c r="K2869" t="n">
        <x:v>5</x:v>
      </x:c>
      <x:c r="L2869" t="str">
        <x:v>STORE-001</x:v>
      </x:c>
      <x:c r="M2869" s="22" t="n">
        <x:v>46210</x:v>
      </x:c>
      <x:c r="N2869" t="str">
        <x:v>SKU-005</x:v>
      </x:c>
      <x:c r="O2869" t="n">
        <x:v>3</x:v>
      </x:c>
      <x:c r="P2869" s="26" t="n">
        <x:f>F2869/O2869</x:f>
        <x:v>65.17666666666666</x:v>
      </x:c>
    </x:row>
    <x:row r="2870">
      <x:c r="A2870" t="n">
        <x:v>2869</x:v>
      </x:c>
      <x:c r="B2870" t="n">
        <x:v>59</x:v>
      </x:c>
      <x:c r="C2870" t="str">
        <x:v>Male</x:v>
      </x:c>
      <x:c r="D2870" t="str">
        <x:v>Footwear</x:v>
      </x:c>
      <x:c r="E2870" t="str">
        <x:v>Formal Shoes</x:v>
      </x:c>
      <x:c r="F2870" s="24" t="n">
        <x:v>131.44</x:v>
      </x:c>
      <x:c r="G2870" t="str">
        <x:v>Autumn</x:v>
      </x:c>
      <x:c r="H2870" t="str">
        <x:v>Card</x:v>
      </x:c>
      <x:c r="I2870" t="n">
        <x:v>3.2</x:v>
      </x:c>
      <x:c r="J2870" t="n">
        <x:v>15</x:v>
      </x:c>
      <x:c r="K2870" t="n">
        <x:v>5</x:v>
      </x:c>
      <x:c r="L2870" t="str">
        <x:v>STORE-001</x:v>
      </x:c>
      <x:c r="M2870" s="22" t="n">
        <x:v>46134</x:v>
      </x:c>
      <x:c r="N2870" t="str">
        <x:v>SKU-007</x:v>
      </x:c>
      <x:c r="O2870" t="n">
        <x:v>1</x:v>
      </x:c>
      <x:c r="P2870" s="26" t="n">
        <x:f>F2870/O2870</x:f>
        <x:v>131.44</x:v>
      </x:c>
    </x:row>
    <x:row r="2871">
      <x:c r="A2871" t="n">
        <x:v>2870</x:v>
      </x:c>
      <x:c r="B2871" t="n">
        <x:v>27</x:v>
      </x:c>
      <x:c r="C2871" t="str">
        <x:v>Male</x:v>
      </x:c>
      <x:c r="D2871" t="str">
        <x:v>Sports</x:v>
      </x:c>
      <x:c r="E2871" t="str">
        <x:v>Yoga Mat</x:v>
      </x:c>
      <x:c r="F2871" s="24" t="n">
        <x:v>118.81</x:v>
      </x:c>
      <x:c r="G2871" t="str">
        <x:v>Autumn</x:v>
      </x:c>
      <x:c r="H2871" t="str">
        <x:v>Card</x:v>
      </x:c>
      <x:c r="I2871" t="n">
        <x:v>2.2</x:v>
      </x:c>
      <x:c r="J2871" t="n">
        <x:v>8</x:v>
      </x:c>
      <x:c r="K2871" t="n">
        <x:v>4</x:v>
      </x:c>
      <x:c r="L2871" t="str">
        <x:v>STORE-001</x:v>
      </x:c>
      <x:c r="M2871" s="22" t="n">
        <x:v>46106</x:v>
      </x:c>
      <x:c r="N2871" t="str">
        <x:v>SKU-030</x:v>
      </x:c>
      <x:c r="O2871" t="n">
        <x:v>1</x:v>
      </x:c>
      <x:c r="P2871" s="26" t="n">
        <x:f>F2871/O2871</x:f>
        <x:v>118.81</x:v>
      </x:c>
    </x:row>
    <x:row r="2872">
      <x:c r="A2872" t="n">
        <x:v>2871</x:v>
      </x:c>
      <x:c r="B2872" t="n">
        <x:v>62</x:v>
      </x:c>
      <x:c r="C2872" t="str">
        <x:v>Female</x:v>
      </x:c>
      <x:c r="D2872" t="str">
        <x:v>Womens Clothing</x:v>
      </x:c>
      <x:c r="E2872" t="str">
        <x:v>Top</x:v>
      </x:c>
      <x:c r="F2872" s="24" t="n">
        <x:v>117.38</x:v>
      </x:c>
      <x:c r="G2872" t="str">
        <x:v>Winter</x:v>
      </x:c>
      <x:c r="H2872" t="str">
        <x:v>Card</x:v>
      </x:c>
      <x:c r="I2872" t="n">
        <x:v>4.5</x:v>
      </x:c>
      <x:c r="J2872" t="n">
        <x:v>10</x:v>
      </x:c>
      <x:c r="K2872" t="n">
        <x:v>5</x:v>
      </x:c>
      <x:c r="L2872" t="str">
        <x:v>STORE-001</x:v>
      </x:c>
      <x:c r="M2872" s="22" t="n">
        <x:v>46214</x:v>
      </x:c>
      <x:c r="N2872" t="str">
        <x:v>SKU-028</x:v>
      </x:c>
      <x:c r="O2872" t="n">
        <x:v>1</x:v>
      </x:c>
      <x:c r="P2872" s="26" t="n">
        <x:f>F2872/O2872</x:f>
        <x:v>117.38</x:v>
      </x:c>
    </x:row>
    <x:row r="2873">
      <x:c r="A2873" t="n">
        <x:v>2872</x:v>
      </x:c>
      <x:c r="B2873" t="n">
        <x:v>58</x:v>
      </x:c>
      <x:c r="C2873" t="str">
        <x:v>Female</x:v>
      </x:c>
      <x:c r="D2873" t="str">
        <x:v>Footwear</x:v>
      </x:c>
      <x:c r="E2873" t="str">
        <x:v>Formal Shoes</x:v>
      </x:c>
      <x:c r="F2873" s="24" t="n">
        <x:v>143.71</x:v>
      </x:c>
      <x:c r="G2873" t="str">
        <x:v>Winter</x:v>
      </x:c>
      <x:c r="H2873" t="str">
        <x:v>Card</x:v>
      </x:c>
      <x:c r="I2873" t="n">
        <x:v>2.8</x:v>
      </x:c>
      <x:c r="J2873" t="n">
        <x:v>14</x:v>
      </x:c>
      <x:c r="K2873" t="n">
        <x:v>2</x:v>
      </x:c>
      <x:c r="L2873" t="str">
        <x:v>STORE-001</x:v>
      </x:c>
      <x:c r="M2873" s="22" t="n">
        <x:v>46235</x:v>
      </x:c>
      <x:c r="N2873" t="str">
        <x:v>SKU-007</x:v>
      </x:c>
      <x:c r="O2873" t="n">
        <x:v>1</x:v>
      </x:c>
      <x:c r="P2873" s="26" t="n">
        <x:f>F2873/O2873</x:f>
        <x:v>143.71</x:v>
      </x:c>
    </x:row>
    <x:row r="2874">
      <x:c r="A2874" t="n">
        <x:v>2873</x:v>
      </x:c>
      <x:c r="B2874" t="n">
        <x:v>21</x:v>
      </x:c>
      <x:c r="C2874" t="str">
        <x:v>Male</x:v>
      </x:c>
      <x:c r="D2874" t="str">
        <x:v>Sports</x:v>
      </x:c>
      <x:c r="E2874" t="str">
        <x:v>Football</x:v>
      </x:c>
      <x:c r="F2874" s="24" t="n">
        <x:v>85.22</x:v>
      </x:c>
      <x:c r="G2874" t="str">
        <x:v>Spring</x:v>
      </x:c>
      <x:c r="H2874" t="str">
        <x:v>Cash on Delivery</x:v>
      </x:c>
      <x:c r="I2874" t="n">
        <x:v>4.6</x:v>
      </x:c>
      <x:c r="J2874" t="n">
        <x:v>28</x:v>
      </x:c>
      <x:c r="K2874" t="n">
        <x:v>9</x:v>
      </x:c>
      <x:c r="L2874" t="str">
        <x:v>STORE-001</x:v>
      </x:c>
      <x:c r="M2874" s="22" t="n">
        <x:v>46279</x:v>
      </x:c>
      <x:c r="N2874" t="str">
        <x:v>SKU-006</x:v>
      </x:c>
      <x:c r="O2874" t="n">
        <x:v>1</x:v>
      </x:c>
      <x:c r="P2874" s="26" t="n">
        <x:f>F2874/O2874</x:f>
        <x:v>85.22</x:v>
      </x:c>
    </x:row>
    <x:row r="2875">
      <x:c r="A2875" t="n">
        <x:v>2874</x:v>
      </x:c>
      <x:c r="B2875" t="n">
        <x:v>48</x:v>
      </x:c>
      <x:c r="C2875" t="str">
        <x:v>Female</x:v>
      </x:c>
      <x:c r="D2875" t="str">
        <x:v>Womens Clothing</x:v>
      </x:c>
      <x:c r="E2875" t="str">
        <x:v>Dress</x:v>
      </x:c>
      <x:c r="F2875" s="24" t="n">
        <x:v>135.59</x:v>
      </x:c>
      <x:c r="G2875" t="str">
        <x:v>Spring</x:v>
      </x:c>
      <x:c r="H2875" t="str">
        <x:v>Card</x:v>
      </x:c>
      <x:c r="I2875" t="n">
        <x:v>4.2</x:v>
      </x:c>
      <x:c r="J2875" t="n">
        <x:v>21</x:v>
      </x:c>
      <x:c r="K2875" t="n">
        <x:v>8</x:v>
      </x:c>
      <x:c r="L2875" t="str">
        <x:v>STORE-001</x:v>
      </x:c>
      <x:c r="M2875" s="22" t="n">
        <x:v>45970</x:v>
      </x:c>
      <x:c r="N2875" t="str">
        <x:v>SKU-004</x:v>
      </x:c>
      <x:c r="O2875" t="n">
        <x:v>2</x:v>
      </x:c>
      <x:c r="P2875" s="26" t="n">
        <x:f>F2875/O2875</x:f>
        <x:v>67.795</x:v>
      </x:c>
    </x:row>
    <x:row r="2876">
      <x:c r="A2876" t="n">
        <x:v>2875</x:v>
      </x:c>
      <x:c r="B2876" t="n">
        <x:v>33</x:v>
      </x:c>
      <x:c r="C2876" t="str">
        <x:v>Female</x:v>
      </x:c>
      <x:c r="D2876" t="str">
        <x:v>Sports</x:v>
      </x:c>
      <x:c r="E2876" t="str">
        <x:v>Dumbbells</x:v>
      </x:c>
      <x:c r="F2876" s="24" t="n">
        <x:v>249.24</x:v>
      </x:c>
      <x:c r="G2876" t="str">
        <x:v>Winter</x:v>
      </x:c>
      <x:c r="H2876" t="str">
        <x:v>Card</x:v>
      </x:c>
      <x:c r="I2876" t="n">
        <x:v>4.3</x:v>
      </x:c>
      <x:c r="J2876" t="n">
        <x:v>6</x:v>
      </x:c>
      <x:c r="K2876" t="n">
        <x:v>3</x:v>
      </x:c>
      <x:c r="L2876" t="str">
        <x:v>STORE-001</x:v>
      </x:c>
      <x:c r="M2876" s="22" t="n">
        <x:v>46253</x:v>
      </x:c>
      <x:c r="N2876" t="str">
        <x:v>SKU-005</x:v>
      </x:c>
      <x:c r="O2876" t="n">
        <x:v>1</x:v>
      </x:c>
      <x:c r="P2876" s="26" t="n">
        <x:f>F2876/O2876</x:f>
        <x:v>249.24</x:v>
      </x:c>
    </x:row>
    <x:row r="2877">
      <x:c r="A2877" t="n">
        <x:v>2876</x:v>
      </x:c>
      <x:c r="B2877" t="n">
        <x:v>41</x:v>
      </x:c>
      <x:c r="C2877" t="str">
        <x:v>Male</x:v>
      </x:c>
      <x:c r="D2877" t="str">
        <x:v>Mens Clothing</x:v>
      </x:c>
      <x:c r="E2877" t="str">
        <x:v>T-Shirt</x:v>
      </x:c>
      <x:c r="F2877" s="24" t="n">
        <x:v>127.61</x:v>
      </x:c>
      <x:c r="G2877" t="str">
        <x:v>Summer</x:v>
      </x:c>
      <x:c r="H2877" t="str">
        <x:v>Card</x:v>
      </x:c>
      <x:c r="I2877" t="n">
        <x:v>4</x:v>
      </x:c>
      <x:c r="J2877" t="n">
        <x:v>14</x:v>
      </x:c>
      <x:c r="K2877" t="n">
        <x:v>2</x:v>
      </x:c>
      <x:c r="L2877" t="str">
        <x:v>STORE-001</x:v>
      </x:c>
      <x:c r="M2877" s="22" t="n">
        <x:v>46081</x:v>
      </x:c>
      <x:c r="N2877" t="str">
        <x:v>SKU-027</x:v>
      </x:c>
      <x:c r="O2877" t="n">
        <x:v>2</x:v>
      </x:c>
      <x:c r="P2877" s="26" t="n">
        <x:f>F2877/O2877</x:f>
        <x:v>63.805</x:v>
      </x:c>
    </x:row>
    <x:row r="2878">
      <x:c r="A2878" t="n">
        <x:v>2877</x:v>
      </x:c>
      <x:c r="B2878" t="n">
        <x:v>68</x:v>
      </x:c>
      <x:c r="C2878" t="str">
        <x:v>Male</x:v>
      </x:c>
      <x:c r="D2878" t="str">
        <x:v>Electronics</x:v>
      </x:c>
      <x:c r="E2878" t="str">
        <x:v>Mobile Phone</x:v>
      </x:c>
      <x:c r="F2878" s="24" t="n">
        <x:v>2121.4</x:v>
      </x:c>
      <x:c r="G2878" t="str">
        <x:v>Spring</x:v>
      </x:c>
      <x:c r="H2878" t="str">
        <x:v>Card</x:v>
      </x:c>
      <x:c r="I2878" t="n">
        <x:v>3.6</x:v>
      </x:c>
      <x:c r="J2878" t="n">
        <x:v>4</x:v>
      </x:c>
      <x:c r="K2878" t="n">
        <x:v>2</x:v>
      </x:c>
      <x:c r="L2878" t="str">
        <x:v>STORE-001</x:v>
      </x:c>
      <x:c r="M2878" s="22" t="n">
        <x:v>45959</x:v>
      </x:c>
      <x:c r="N2878" t="str">
        <x:v>SKU-016</x:v>
      </x:c>
      <x:c r="O2878" t="n">
        <x:v>1</x:v>
      </x:c>
      <x:c r="P2878" s="26" t="n">
        <x:f>F2878/O2878</x:f>
        <x:v>2121.4</x:v>
      </x:c>
    </x:row>
    <x:row r="2879">
      <x:c r="A2879" t="n">
        <x:v>2878</x:v>
      </x:c>
      <x:c r="B2879" t="n">
        <x:v>64</x:v>
      </x:c>
      <x:c r="C2879" t="str">
        <x:v>Male</x:v>
      </x:c>
      <x:c r="D2879" t="str">
        <x:v>Mens Clothing</x:v>
      </x:c>
      <x:c r="E2879" t="str">
        <x:v>Jeans</x:v>
      </x:c>
      <x:c r="F2879" s="24" t="n">
        <x:v>129.65</x:v>
      </x:c>
      <x:c r="G2879" t="str">
        <x:v>Summer</x:v>
      </x:c>
      <x:c r="H2879" t="str">
        <x:v>Card</x:v>
      </x:c>
      <x:c r="I2879" t="n">
        <x:v>3.5</x:v>
      </x:c>
      <x:c r="J2879" t="n">
        <x:v>16</x:v>
      </x:c>
      <x:c r="K2879" t="n">
        <x:v>3</x:v>
      </x:c>
      <x:c r="L2879" t="str">
        <x:v>STORE-001</x:v>
      </x:c>
      <x:c r="M2879" s="22" t="n">
        <x:v>46041</x:v>
      </x:c>
      <x:c r="N2879" t="str">
        <x:v>SKU-011</x:v>
      </x:c>
      <x:c r="O2879" t="n">
        <x:v>1</x:v>
      </x:c>
      <x:c r="P2879" s="26" t="n">
        <x:f>F2879/O2879</x:f>
        <x:v>129.65</x:v>
      </x:c>
    </x:row>
    <x:row r="2880">
      <x:c r="A2880" t="n">
        <x:v>2879</x:v>
      </x:c>
      <x:c r="B2880" t="n">
        <x:v>54</x:v>
      </x:c>
      <x:c r="C2880" t="str">
        <x:v>Male</x:v>
      </x:c>
      <x:c r="D2880" t="str">
        <x:v>Footwear</x:v>
      </x:c>
      <x:c r="E2880" t="str">
        <x:v>Formal Shoes</x:v>
      </x:c>
      <x:c r="F2880" s="24" t="n">
        <x:v>67.94</x:v>
      </x:c>
      <x:c r="G2880" t="str">
        <x:v>Autumn</x:v>
      </x:c>
      <x:c r="H2880" t="str">
        <x:v>Cash on Delivery</x:v>
      </x:c>
      <x:c r="I2880" t="n">
        <x:v>3.7</x:v>
      </x:c>
      <x:c r="J2880" t="n">
        <x:v>18</x:v>
      </x:c>
      <x:c r="K2880" t="n">
        <x:v>9</x:v>
      </x:c>
      <x:c r="L2880" t="str">
        <x:v>STORE-001</x:v>
      </x:c>
      <x:c r="M2880" s="22" t="n">
        <x:v>46113</x:v>
      </x:c>
      <x:c r="N2880" t="str">
        <x:v>SKU-007</x:v>
      </x:c>
      <x:c r="O2880" t="n">
        <x:v>1</x:v>
      </x:c>
      <x:c r="P2880" s="26" t="n">
        <x:f>F2880/O2880</x:f>
        <x:v>67.94</x:v>
      </x:c>
    </x:row>
    <x:row r="2881">
      <x:c r="A2881" t="n">
        <x:v>2880</x:v>
      </x:c>
      <x:c r="B2881" t="n">
        <x:v>55</x:v>
      </x:c>
      <x:c r="C2881" t="str">
        <x:v>Male</x:v>
      </x:c>
      <x:c r="D2881" t="str">
        <x:v>Sports</x:v>
      </x:c>
      <x:c r="E2881" t="str">
        <x:v>Football</x:v>
      </x:c>
      <x:c r="F2881" s="24" t="n">
        <x:v>236.33</x:v>
      </x:c>
      <x:c r="G2881" t="str">
        <x:v>Summer</x:v>
      </x:c>
      <x:c r="H2881" t="str">
        <x:v>Card</x:v>
      </x:c>
      <x:c r="I2881" t="n">
        <x:v>2.6</x:v>
      </x:c>
      <x:c r="J2881" t="n">
        <x:v>13</x:v>
      </x:c>
      <x:c r="K2881" t="n">
        <x:v>4</x:v>
      </x:c>
      <x:c r="L2881" t="str">
        <x:v>STORE-001</x:v>
      </x:c>
      <x:c r="M2881" s="22" t="n">
        <x:v>46031</x:v>
      </x:c>
      <x:c r="N2881" t="str">
        <x:v>SKU-006</x:v>
      </x:c>
      <x:c r="O2881" t="n">
        <x:v>1</x:v>
      </x:c>
      <x:c r="P2881" s="26" t="n">
        <x:f>F2881/O2881</x:f>
        <x:v>236.33</x:v>
      </x:c>
    </x:row>
    <x:row r="2882">
      <x:c r="A2882" t="n">
        <x:v>2881</x:v>
      </x:c>
      <x:c r="B2882" t="n">
        <x:v>49</x:v>
      </x:c>
      <x:c r="C2882" t="str">
        <x:v>Male</x:v>
      </x:c>
      <x:c r="D2882" t="str">
        <x:v>Electronics</x:v>
      </x:c>
      <x:c r="E2882" t="str">
        <x:v>Headphones</x:v>
      </x:c>
      <x:c r="F2882" s="24" t="n">
        <x:v>2447.8</x:v>
      </x:c>
      <x:c r="G2882" t="str">
        <x:v>Autumn</x:v>
      </x:c>
      <x:c r="H2882" t="str">
        <x:v>Card</x:v>
      </x:c>
      <x:c r="I2882" t="n">
        <x:v>2.8</x:v>
      </x:c>
      <x:c r="J2882" t="n">
        <x:v>13</x:v>
      </x:c>
      <x:c r="K2882" t="n">
        <x:v>4</x:v>
      </x:c>
      <x:c r="L2882" t="str">
        <x:v>STORE-001</x:v>
      </x:c>
      <x:c r="M2882" s="22" t="n">
        <x:v>46112</x:v>
      </x:c>
      <x:c r="N2882" t="str">
        <x:v>SKU-009</x:v>
      </x:c>
      <x:c r="O2882" t="n">
        <x:v>1</x:v>
      </x:c>
      <x:c r="P2882" s="26" t="n">
        <x:f>F2882/O2882</x:f>
        <x:v>2447.8</x:v>
      </x:c>
    </x:row>
    <x:row r="2883">
      <x:c r="A2883" t="n">
        <x:v>2882</x:v>
      </x:c>
      <x:c r="B2883" t="n">
        <x:v>26</x:v>
      </x:c>
      <x:c r="C2883" t="str">
        <x:v>Male</x:v>
      </x:c>
      <x:c r="D2883" t="str">
        <x:v>Electronics</x:v>
      </x:c>
      <x:c r="E2883" t="str">
        <x:v>Mobile Phone</x:v>
      </x:c>
      <x:c r="F2883" s="24" t="n">
        <x:v>1922.9</x:v>
      </x:c>
      <x:c r="G2883" t="str">
        <x:v>Autumn</x:v>
      </x:c>
      <x:c r="H2883" t="str">
        <x:v>Card</x:v>
      </x:c>
      <x:c r="I2883" t="n">
        <x:v>2.9</x:v>
      </x:c>
      <x:c r="J2883" t="n">
        <x:v>8</x:v>
      </x:c>
      <x:c r="K2883" t="n">
        <x:v>4</x:v>
      </x:c>
      <x:c r="L2883" t="str">
        <x:v>STORE-001</x:v>
      </x:c>
      <x:c r="M2883" s="22" t="n">
        <x:v>46122</x:v>
      </x:c>
      <x:c r="N2883" t="str">
        <x:v>SKU-016</x:v>
      </x:c>
      <x:c r="O2883" t="n">
        <x:v>1</x:v>
      </x:c>
      <x:c r="P2883" s="26" t="n">
        <x:f>F2883/O2883</x:f>
        <x:v>1922.9</x:v>
      </x:c>
    </x:row>
    <x:row r="2884">
      <x:c r="A2884" t="n">
        <x:v>2883</x:v>
      </x:c>
      <x:c r="B2884" t="n">
        <x:v>54</x:v>
      </x:c>
      <x:c r="C2884" t="str">
        <x:v>Male</x:v>
      </x:c>
      <x:c r="D2884" t="str">
        <x:v>Electronics</x:v>
      </x:c>
      <x:c r="E2884" t="str">
        <x:v>Smart Watch</x:v>
      </x:c>
      <x:c r="F2884" s="24" t="n">
        <x:v>1252.53</x:v>
      </x:c>
      <x:c r="G2884" t="str">
        <x:v>Summer</x:v>
      </x:c>
      <x:c r="H2884" t="str">
        <x:v>Card</x:v>
      </x:c>
      <x:c r="I2884" t="n">
        <x:v>3.9</x:v>
      </x:c>
      <x:c r="J2884" t="n">
        <x:v>2</x:v>
      </x:c>
      <x:c r="K2884" t="n">
        <x:v>1</x:v>
      </x:c>
      <x:c r="L2884" t="str">
        <x:v>STORE-001</x:v>
      </x:c>
      <x:c r="M2884" s="22" t="n">
        <x:v>46056</x:v>
      </x:c>
      <x:c r="N2884" t="str">
        <x:v>SKU-023</x:v>
      </x:c>
      <x:c r="O2884" t="n">
        <x:v>1</x:v>
      </x:c>
      <x:c r="P2884" s="26" t="n">
        <x:f>F2884/O2884</x:f>
        <x:v>1252.53</x:v>
      </x:c>
    </x:row>
    <x:row r="2885">
      <x:c r="A2885" t="n">
        <x:v>2884</x:v>
      </x:c>
      <x:c r="B2885" t="n">
        <x:v>40</x:v>
      </x:c>
      <x:c r="C2885" t="str">
        <x:v>Female</x:v>
      </x:c>
      <x:c r="D2885" t="str">
        <x:v>Womens Clothing</x:v>
      </x:c>
      <x:c r="E2885" t="str">
        <x:v>Dress</x:v>
      </x:c>
      <x:c r="F2885" s="24" t="n">
        <x:v>144.26</x:v>
      </x:c>
      <x:c r="G2885" t="str">
        <x:v>Summer</x:v>
      </x:c>
      <x:c r="H2885" t="str">
        <x:v>Card</x:v>
      </x:c>
      <x:c r="I2885" t="n">
        <x:v>3.9</x:v>
      </x:c>
      <x:c r="J2885" t="n">
        <x:v>10</x:v>
      </x:c>
      <x:c r="K2885" t="n">
        <x:v>5</x:v>
      </x:c>
      <x:c r="L2885" t="str">
        <x:v>STORE-001</x:v>
      </x:c>
      <x:c r="M2885" s="22" t="n">
        <x:v>46064</x:v>
      </x:c>
      <x:c r="N2885" t="str">
        <x:v>SKU-004</x:v>
      </x:c>
      <x:c r="O2885" t="n">
        <x:v>1</x:v>
      </x:c>
      <x:c r="P2885" s="26" t="n">
        <x:f>F2885/O2885</x:f>
        <x:v>144.26</x:v>
      </x:c>
    </x:row>
    <x:row r="2886">
      <x:c r="A2886" t="n">
        <x:v>2885</x:v>
      </x:c>
      <x:c r="B2886" t="n">
        <x:v>42</x:v>
      </x:c>
      <x:c r="C2886" t="str">
        <x:v>Male</x:v>
      </x:c>
      <x:c r="D2886" t="str">
        <x:v>Footwear</x:v>
      </x:c>
      <x:c r="E2886" t="str">
        <x:v>Sneakers</x:v>
      </x:c>
      <x:c r="F2886" s="24" t="n">
        <x:v>227.07</x:v>
      </x:c>
      <x:c r="G2886" t="str">
        <x:v>Autumn</x:v>
      </x:c>
      <x:c r="H2886" t="str">
        <x:v>Card</x:v>
      </x:c>
      <x:c r="I2886" t="n">
        <x:v>2.8</x:v>
      </x:c>
      <x:c r="J2886" t="n">
        <x:v>13</x:v>
      </x:c>
      <x:c r="K2886" t="n">
        <x:v>4</x:v>
      </x:c>
      <x:c r="L2886" t="str">
        <x:v>STORE-001</x:v>
      </x:c>
      <x:c r="M2886" s="22" t="n">
        <x:v>46123</x:v>
      </x:c>
      <x:c r="N2886" t="str">
        <x:v>SKU-025</x:v>
      </x:c>
      <x:c r="O2886" t="n">
        <x:v>1</x:v>
      </x:c>
      <x:c r="P2886" s="26" t="n">
        <x:f>F2886/O2886</x:f>
        <x:v>227.07</x:v>
      </x:c>
    </x:row>
    <x:row r="2887">
      <x:c r="A2887" t="n">
        <x:v>2886</x:v>
      </x:c>
      <x:c r="B2887" t="n">
        <x:v>20</x:v>
      </x:c>
      <x:c r="C2887" t="str">
        <x:v>Female</x:v>
      </x:c>
      <x:c r="D2887" t="str">
        <x:v>Accessories</x:v>
      </x:c>
      <x:c r="E2887" t="str">
        <x:v>Sunglasses</x:v>
      </x:c>
      <x:c r="F2887" s="24" t="n">
        <x:v>104.38</x:v>
      </x:c>
      <x:c r="G2887" t="str">
        <x:v>Summer</x:v>
      </x:c>
      <x:c r="H2887" t="str">
        <x:v>Card</x:v>
      </x:c>
      <x:c r="I2887" t="n">
        <x:v>5</x:v>
      </x:c>
      <x:c r="J2887" t="n">
        <x:v>21</x:v>
      </x:c>
      <x:c r="K2887" t="n">
        <x:v>8</x:v>
      </x:c>
      <x:c r="L2887" t="str">
        <x:v>STORE-001</x:v>
      </x:c>
      <x:c r="M2887" s="22" t="n">
        <x:v>45992</x:v>
      </x:c>
      <x:c r="N2887" t="str">
        <x:v>SKU-026</x:v>
      </x:c>
      <x:c r="O2887" t="n">
        <x:v>1</x:v>
      </x:c>
      <x:c r="P2887" s="26" t="n">
        <x:f>F2887/O2887</x:f>
        <x:v>104.38</x:v>
      </x:c>
    </x:row>
    <x:row r="2888">
      <x:c r="A2888" t="n">
        <x:v>2887</x:v>
      </x:c>
      <x:c r="B2888" t="n">
        <x:v>51</x:v>
      </x:c>
      <x:c r="C2888" t="str">
        <x:v>Male</x:v>
      </x:c>
      <x:c r="D2888" t="str">
        <x:v>Mens Clothing</x:v>
      </x:c>
      <x:c r="E2888" t="str">
        <x:v>Shirt</x:v>
      </x:c>
      <x:c r="F2888" s="24" t="n">
        <x:v>168.21</x:v>
      </x:c>
      <x:c r="G2888" t="str">
        <x:v>Spring</x:v>
      </x:c>
      <x:c r="H2888" t="str">
        <x:v>Card</x:v>
      </x:c>
      <x:c r="I2888" t="n">
        <x:v>3.3</x:v>
      </x:c>
      <x:c r="J2888" t="n">
        <x:v>13</x:v>
      </x:c>
      <x:c r="K2888" t="n">
        <x:v>4</x:v>
      </x:c>
      <x:c r="L2888" t="str">
        <x:v>STORE-001</x:v>
      </x:c>
      <x:c r="M2888" s="22" t="n">
        <x:v>45961</x:v>
      </x:c>
      <x:c r="N2888" t="str">
        <x:v>SKU-020</x:v>
      </x:c>
      <x:c r="O2888" t="n">
        <x:v>2</x:v>
      </x:c>
      <x:c r="P2888" s="26" t="n">
        <x:f>F2888/O2888</x:f>
        <x:v>84.105</x:v>
      </x:c>
    </x:row>
    <x:row r="2889">
      <x:c r="A2889" t="n">
        <x:v>2888</x:v>
      </x:c>
      <x:c r="B2889" t="n">
        <x:v>37</x:v>
      </x:c>
      <x:c r="C2889" t="str">
        <x:v>Female</x:v>
      </x:c>
      <x:c r="D2889" t="str">
        <x:v>Beauty</x:v>
      </x:c>
      <x:c r="E2889" t="str">
        <x:v>Perfume</x:v>
      </x:c>
      <x:c r="F2889" s="24" t="n">
        <x:v>95.35</x:v>
      </x:c>
      <x:c r="G2889" t="str">
        <x:v>Autumn</x:v>
      </x:c>
      <x:c r="H2889" t="str">
        <x:v>Card</x:v>
      </x:c>
      <x:c r="I2889" t="n">
        <x:v>4.4</x:v>
      </x:c>
      <x:c r="J2889" t="n">
        <x:v>12</x:v>
      </x:c>
      <x:c r="K2889" t="n">
        <x:v>6</x:v>
      </x:c>
      <x:c r="L2889" t="str">
        <x:v>STORE-001</x:v>
      </x:c>
      <x:c r="M2889" s="22" t="n">
        <x:v>46092</x:v>
      </x:c>
      <x:c r="N2889" t="str">
        <x:v>SKU-017</x:v>
      </x:c>
      <x:c r="O2889" t="n">
        <x:v>1</x:v>
      </x:c>
      <x:c r="P2889" s="26" t="n">
        <x:f>F2889/O2889</x:f>
        <x:v>95.35</x:v>
      </x:c>
    </x:row>
    <x:row r="2890">
      <x:c r="A2890" t="n">
        <x:v>2889</x:v>
      </x:c>
      <x:c r="B2890" t="n">
        <x:v>45</x:v>
      </x:c>
      <x:c r="C2890" t="str">
        <x:v>Female</x:v>
      </x:c>
      <x:c r="D2890" t="str">
        <x:v>Womens Clothing</x:v>
      </x:c>
      <x:c r="E2890" t="str">
        <x:v>Top</x:v>
      </x:c>
      <x:c r="F2890" s="24" t="n">
        <x:v>30.38</x:v>
      </x:c>
      <x:c r="G2890" t="str">
        <x:v>Spring</x:v>
      </x:c>
      <x:c r="H2890" t="str">
        <x:v>Cash on Delivery</x:v>
      </x:c>
      <x:c r="I2890" t="n">
        <x:v>4.2</x:v>
      </x:c>
      <x:c r="J2890" t="n">
        <x:v>30</x:v>
      </x:c>
      <x:c r="K2890" t="n">
        <x:v>10</x:v>
      </x:c>
      <x:c r="L2890" t="str">
        <x:v>STORE-001</x:v>
      </x:c>
      <x:c r="M2890" s="22" t="n">
        <x:v>46282</x:v>
      </x:c>
      <x:c r="N2890" t="str">
        <x:v>SKU-028</x:v>
      </x:c>
      <x:c r="O2890" t="n">
        <x:v>1</x:v>
      </x:c>
      <x:c r="P2890" s="26" t="n">
        <x:f>F2890/O2890</x:f>
        <x:v>30.38</x:v>
      </x:c>
    </x:row>
    <x:row r="2891">
      <x:c r="A2891" t="n">
        <x:v>2890</x:v>
      </x:c>
      <x:c r="B2891" t="n">
        <x:v>57</x:v>
      </x:c>
      <x:c r="C2891" t="str">
        <x:v>Male</x:v>
      </x:c>
      <x:c r="D2891" t="str">
        <x:v>Sports</x:v>
      </x:c>
      <x:c r="E2891" t="str">
        <x:v>Yoga Mat</x:v>
      </x:c>
      <x:c r="F2891" s="24" t="n">
        <x:v>197.01</x:v>
      </x:c>
      <x:c r="G2891" t="str">
        <x:v>Autumn</x:v>
      </x:c>
      <x:c r="H2891" t="str">
        <x:v>Card</x:v>
      </x:c>
      <x:c r="I2891" t="n">
        <x:v>3.8</x:v>
      </x:c>
      <x:c r="J2891" t="n">
        <x:v>11</x:v>
      </x:c>
      <x:c r="K2891" t="n">
        <x:v>3</x:v>
      </x:c>
      <x:c r="L2891" t="str">
        <x:v>STORE-001</x:v>
      </x:c>
      <x:c r="M2891" s="22" t="n">
        <x:v>46156</x:v>
      </x:c>
      <x:c r="N2891" t="str">
        <x:v>SKU-030</x:v>
      </x:c>
      <x:c r="O2891" t="n">
        <x:v>1</x:v>
      </x:c>
      <x:c r="P2891" s="26" t="n">
        <x:f>F2891/O2891</x:f>
        <x:v>197.01</x:v>
      </x:c>
    </x:row>
    <x:row r="2892">
      <x:c r="A2892" t="n">
        <x:v>2891</x:v>
      </x:c>
      <x:c r="B2892" t="n">
        <x:v>33</x:v>
      </x:c>
      <x:c r="C2892" t="str">
        <x:v>Female</x:v>
      </x:c>
      <x:c r="D2892" t="str">
        <x:v>Accessories</x:v>
      </x:c>
      <x:c r="E2892" t="str">
        <x:v>Sunglasses</x:v>
      </x:c>
      <x:c r="F2892" s="24" t="n">
        <x:v>136.04</x:v>
      </x:c>
      <x:c r="G2892" t="str">
        <x:v>Spring</x:v>
      </x:c>
      <x:c r="H2892" t="str">
        <x:v>Card</x:v>
      </x:c>
      <x:c r="I2892" t="n">
        <x:v>3.6</x:v>
      </x:c>
      <x:c r="J2892" t="n">
        <x:v>12</x:v>
      </x:c>
      <x:c r="K2892" t="n">
        <x:v>1</x:v>
      </x:c>
      <x:c r="L2892" t="str">
        <x:v>STORE-001</x:v>
      </x:c>
      <x:c r="M2892" s="22" t="n">
        <x:v>46269</x:v>
      </x:c>
      <x:c r="N2892" t="str">
        <x:v>SKU-026</x:v>
      </x:c>
      <x:c r="O2892" t="n">
        <x:v>3</x:v>
      </x:c>
      <x:c r="P2892" s="26" t="n">
        <x:f>F2892/O2892</x:f>
        <x:v>45.346666666666664</x:v>
      </x:c>
    </x:row>
    <x:row r="2893">
      <x:c r="A2893" t="n">
        <x:v>2892</x:v>
      </x:c>
      <x:c r="B2893" t="n">
        <x:v>41</x:v>
      </x:c>
      <x:c r="C2893" t="str">
        <x:v>Female</x:v>
      </x:c>
      <x:c r="D2893" t="str">
        <x:v>Beauty</x:v>
      </x:c>
      <x:c r="E2893" t="str">
        <x:v>Skincare Kit</x:v>
      </x:c>
      <x:c r="F2893" s="24" t="n">
        <x:v>110.69</x:v>
      </x:c>
      <x:c r="G2893" t="str">
        <x:v>Summer</x:v>
      </x:c>
      <x:c r="H2893" t="str">
        <x:v>Card</x:v>
      </x:c>
      <x:c r="I2893" t="n">
        <x:v>3.6</x:v>
      </x:c>
      <x:c r="J2893" t="n">
        <x:v>13</x:v>
      </x:c>
      <x:c r="K2893" t="n">
        <x:v>4</x:v>
      </x:c>
      <x:c r="L2893" t="str">
        <x:v>STORE-001</x:v>
      </x:c>
      <x:c r="M2893" s="22" t="n">
        <x:v>46073</x:v>
      </x:c>
      <x:c r="N2893" t="str">
        <x:v>SKU-021</x:v>
      </x:c>
      <x:c r="O2893" t="n">
        <x:v>1</x:v>
      </x:c>
      <x:c r="P2893" s="26" t="n">
        <x:f>F2893/O2893</x:f>
        <x:v>110.69</x:v>
      </x:c>
    </x:row>
    <x:row r="2894">
      <x:c r="A2894" t="n">
        <x:v>2893</x:v>
      </x:c>
      <x:c r="B2894" t="n">
        <x:v>21</x:v>
      </x:c>
      <x:c r="C2894" t="str">
        <x:v>Female</x:v>
      </x:c>
      <x:c r="D2894" t="str">
        <x:v>Accessories</x:v>
      </x:c>
      <x:c r="E2894" t="str">
        <x:v>Sunglasses</x:v>
      </x:c>
      <x:c r="F2894" s="24" t="n">
        <x:v>49.93</x:v>
      </x:c>
      <x:c r="G2894" t="str">
        <x:v>Autumn</x:v>
      </x:c>
      <x:c r="H2894" t="str">
        <x:v>Cash on Delivery</x:v>
      </x:c>
      <x:c r="I2894" t="n">
        <x:v>4.3</x:v>
      </x:c>
      <x:c r="J2894" t="n">
        <x:v>14</x:v>
      </x:c>
      <x:c r="K2894" t="n">
        <x:v>2</x:v>
      </x:c>
      <x:c r="L2894" t="str">
        <x:v>STORE-001</x:v>
      </x:c>
      <x:c r="M2894" s="22" t="n">
        <x:v>46103</x:v>
      </x:c>
      <x:c r="N2894" t="str">
        <x:v>SKU-026</x:v>
      </x:c>
      <x:c r="O2894" t="n">
        <x:v>1</x:v>
      </x:c>
      <x:c r="P2894" s="26" t="n">
        <x:f>F2894/O2894</x:f>
        <x:v>49.93</x:v>
      </x:c>
    </x:row>
    <x:row r="2895">
      <x:c r="A2895" t="n">
        <x:v>2894</x:v>
      </x:c>
      <x:c r="B2895" t="n">
        <x:v>49</x:v>
      </x:c>
      <x:c r="C2895" t="str">
        <x:v>Female</x:v>
      </x:c>
      <x:c r="D2895" t="str">
        <x:v>Accessories</x:v>
      </x:c>
      <x:c r="E2895" t="str">
        <x:v>Handbag</x:v>
      </x:c>
      <x:c r="F2895" s="24" t="n">
        <x:v>143.67</x:v>
      </x:c>
      <x:c r="G2895" t="str">
        <x:v>Winter</x:v>
      </x:c>
      <x:c r="H2895" t="str">
        <x:v>Card</x:v>
      </x:c>
      <x:c r="I2895" t="n">
        <x:v>3.2</x:v>
      </x:c>
      <x:c r="J2895" t="n">
        <x:v>6</x:v>
      </x:c>
      <x:c r="K2895" t="n">
        <x:v>3</x:v>
      </x:c>
      <x:c r="L2895" t="str">
        <x:v>STORE-001</x:v>
      </x:c>
      <x:c r="M2895" s="22" t="n">
        <x:v>46194</x:v>
      </x:c>
      <x:c r="N2895" t="str">
        <x:v>SKU-008</x:v>
      </x:c>
      <x:c r="O2895" t="n">
        <x:v>1</x:v>
      </x:c>
      <x:c r="P2895" s="26" t="n">
        <x:f>F2895/O2895</x:f>
        <x:v>143.67</x:v>
      </x:c>
    </x:row>
    <x:row r="2896">
      <x:c r="A2896" t="n">
        <x:v>2895</x:v>
      </x:c>
      <x:c r="B2896" t="n">
        <x:v>65</x:v>
      </x:c>
      <x:c r="C2896" t="str">
        <x:v>Male</x:v>
      </x:c>
      <x:c r="D2896" t="str">
        <x:v>Home</x:v>
      </x:c>
      <x:c r="E2896" t="str">
        <x:v>Curtains</x:v>
      </x:c>
      <x:c r="F2896" s="24" t="n">
        <x:v>107.46</x:v>
      </x:c>
      <x:c r="G2896" t="str">
        <x:v>Summer</x:v>
      </x:c>
      <x:c r="H2896" t="str">
        <x:v>Card</x:v>
      </x:c>
      <x:c r="I2896" t="n">
        <x:v>3.7</x:v>
      </x:c>
      <x:c r="J2896" t="n">
        <x:v>10</x:v>
      </x:c>
      <x:c r="K2896" t="n">
        <x:v>5</x:v>
      </x:c>
      <x:c r="L2896" t="str">
        <x:v>STORE-001</x:v>
      </x:c>
      <x:c r="M2896" s="22" t="n">
        <x:v>46057</x:v>
      </x:c>
      <x:c r="N2896" t="str">
        <x:v>SKU-003</x:v>
      </x:c>
      <x:c r="O2896" t="n">
        <x:v>3</x:v>
      </x:c>
      <x:c r="P2896" s="26" t="n">
        <x:f>F2896/O2896</x:f>
        <x:v>35.82</x:v>
      </x:c>
    </x:row>
    <x:row r="2897">
      <x:c r="A2897" t="n">
        <x:v>2896</x:v>
      </x:c>
      <x:c r="B2897" t="n">
        <x:v>55</x:v>
      </x:c>
      <x:c r="C2897" t="str">
        <x:v>Male</x:v>
      </x:c>
      <x:c r="D2897" t="str">
        <x:v>Sports</x:v>
      </x:c>
      <x:c r="E2897" t="str">
        <x:v>Yoga Mat</x:v>
      </x:c>
      <x:c r="F2897" s="24" t="n">
        <x:v>206.53</x:v>
      </x:c>
      <x:c r="G2897" t="str">
        <x:v>Autumn</x:v>
      </x:c>
      <x:c r="H2897" t="str">
        <x:v>Card</x:v>
      </x:c>
      <x:c r="I2897" t="n">
        <x:v>4.8</x:v>
      </x:c>
      <x:c r="J2897" t="n">
        <x:v>16</x:v>
      </x:c>
      <x:c r="K2897" t="n">
        <x:v>3</x:v>
      </x:c>
      <x:c r="L2897" t="str">
        <x:v>STORE-001</x:v>
      </x:c>
      <x:c r="M2897" s="22" t="n">
        <x:v>46144</x:v>
      </x:c>
      <x:c r="N2897" t="str">
        <x:v>SKU-030</x:v>
      </x:c>
      <x:c r="O2897" t="n">
        <x:v>2</x:v>
      </x:c>
      <x:c r="P2897" s="26" t="n">
        <x:f>F2897/O2897</x:f>
        <x:v>103.265</x:v>
      </x:c>
    </x:row>
    <x:row r="2898">
      <x:c r="A2898" t="n">
        <x:v>2897</x:v>
      </x:c>
      <x:c r="B2898" t="n">
        <x:v>59</x:v>
      </x:c>
      <x:c r="C2898" t="str">
        <x:v>Male</x:v>
      </x:c>
      <x:c r="D2898" t="str">
        <x:v>Electronics</x:v>
      </x:c>
      <x:c r="E2898" t="str">
        <x:v>Smart Watch</x:v>
      </x:c>
      <x:c r="F2898" s="24" t="n">
        <x:v>1202.92</x:v>
      </x:c>
      <x:c r="G2898" t="str">
        <x:v>Winter</x:v>
      </x:c>
      <x:c r="H2898" t="str">
        <x:v>Card</x:v>
      </x:c>
      <x:c r="I2898" t="n">
        <x:v>3.1</x:v>
      </x:c>
      <x:c r="J2898" t="n">
        <x:v>18</x:v>
      </x:c>
      <x:c r="K2898" t="n">
        <x:v>4</x:v>
      </x:c>
      <x:c r="L2898" t="str">
        <x:v>STORE-001</x:v>
      </x:c>
      <x:c r="M2898" s="22" t="n">
        <x:v>46183</x:v>
      </x:c>
      <x:c r="N2898" t="str">
        <x:v>SKU-023</x:v>
      </x:c>
      <x:c r="O2898" t="n">
        <x:v>1</x:v>
      </x:c>
      <x:c r="P2898" s="26" t="n">
        <x:f>F2898/O2898</x:f>
        <x:v>1202.92</x:v>
      </x:c>
    </x:row>
    <x:row r="2899">
      <x:c r="A2899" t="n">
        <x:v>2898</x:v>
      </x:c>
      <x:c r="B2899" t="n">
        <x:v>56</x:v>
      </x:c>
      <x:c r="C2899" t="str">
        <x:v>Female</x:v>
      </x:c>
      <x:c r="D2899" t="str">
        <x:v>Beauty</x:v>
      </x:c>
      <x:c r="E2899" t="str">
        <x:v>Perfume</x:v>
      </x:c>
      <x:c r="F2899" s="24" t="n">
        <x:v>137.71</x:v>
      </x:c>
      <x:c r="G2899" t="str">
        <x:v>Winter</x:v>
      </x:c>
      <x:c r="H2899" t="str">
        <x:v>Card</x:v>
      </x:c>
      <x:c r="I2899" t="n">
        <x:v>3.7</x:v>
      </x:c>
      <x:c r="J2899" t="n">
        <x:v>7</x:v>
      </x:c>
      <x:c r="K2899" t="n">
        <x:v>1</x:v>
      </x:c>
      <x:c r="L2899" t="str">
        <x:v>STORE-001</x:v>
      </x:c>
      <x:c r="M2899" s="22" t="n">
        <x:v>46184</x:v>
      </x:c>
      <x:c r="N2899" t="str">
        <x:v>SKU-017</x:v>
      </x:c>
      <x:c r="O2899" t="n">
        <x:v>2</x:v>
      </x:c>
      <x:c r="P2899" s="26" t="n">
        <x:f>F2899/O2899</x:f>
        <x:v>68.855</x:v>
      </x:c>
    </x:row>
    <x:row r="2900">
      <x:c r="A2900" t="n">
        <x:v>2899</x:v>
      </x:c>
      <x:c r="B2900" t="n">
        <x:v>40</x:v>
      </x:c>
      <x:c r="C2900" t="str">
        <x:v>Female</x:v>
      </x:c>
      <x:c r="D2900" t="str">
        <x:v>Footwear</x:v>
      </x:c>
      <x:c r="E2900" t="str">
        <x:v>Formal Shoes</x:v>
      </x:c>
      <x:c r="F2900" s="24" t="n">
        <x:v>208.5</x:v>
      </x:c>
      <x:c r="G2900" t="str">
        <x:v>Summer</x:v>
      </x:c>
      <x:c r="H2900" t="str">
        <x:v>Card</x:v>
      </x:c>
      <x:c r="I2900" t="n">
        <x:v>4.3</x:v>
      </x:c>
      <x:c r="J2900" t="n">
        <x:v>30</x:v>
      </x:c>
      <x:c r="K2900" t="n">
        <x:v>10</x:v>
      </x:c>
      <x:c r="L2900" t="str">
        <x:v>STORE-001</x:v>
      </x:c>
      <x:c r="M2900" s="22" t="n">
        <x:v>46078</x:v>
      </x:c>
      <x:c r="N2900" t="str">
        <x:v>SKU-007</x:v>
      </x:c>
      <x:c r="O2900" t="n">
        <x:v>1</x:v>
      </x:c>
      <x:c r="P2900" s="26" t="n">
        <x:f>F2900/O2900</x:f>
        <x:v>208.5</x:v>
      </x:c>
    </x:row>
    <x:row r="2901">
      <x:c r="A2901" t="n">
        <x:v>2900</x:v>
      </x:c>
      <x:c r="B2901" t="n">
        <x:v>48</x:v>
      </x:c>
      <x:c r="C2901" t="str">
        <x:v>Male</x:v>
      </x:c>
      <x:c r="D2901" t="str">
        <x:v>Mens Clothing</x:v>
      </x:c>
      <x:c r="E2901" t="str">
        <x:v>Jacket</x:v>
      </x:c>
      <x:c r="F2901" s="24" t="n">
        <x:v>188.32</x:v>
      </x:c>
      <x:c r="G2901" t="str">
        <x:v>Autumn</x:v>
      </x:c>
      <x:c r="H2901" t="str">
        <x:v>Card</x:v>
      </x:c>
      <x:c r="I2901" t="n">
        <x:v>4.1</x:v>
      </x:c>
      <x:c r="J2901" t="n">
        <x:v>24</x:v>
      </x:c>
      <x:c r="K2901" t="n">
        <x:v>12</x:v>
      </x:c>
      <x:c r="L2901" t="str">
        <x:v>STORE-001</x:v>
      </x:c>
      <x:c r="M2901" s="22" t="n">
        <x:v>46166</x:v>
      </x:c>
      <x:c r="N2901" t="str">
        <x:v>SKU-010</x:v>
      </x:c>
      <x:c r="O2901" t="n">
        <x:v>1</x:v>
      </x:c>
      <x:c r="P2901" s="26" t="n">
        <x:f>F2901/O2901</x:f>
        <x:v>188.32</x:v>
      </x:c>
    </x:row>
    <x:row r="2902">
      <x:c r="A2902" t="n">
        <x:v>2901</x:v>
      </x:c>
      <x:c r="B2902" t="n">
        <x:v>30</x:v>
      </x:c>
      <x:c r="C2902" t="str">
        <x:v>Male</x:v>
      </x:c>
      <x:c r="D2902" t="str">
        <x:v>Home</x:v>
      </x:c>
      <x:c r="E2902" t="str">
        <x:v>Kitchen Set</x:v>
      </x:c>
      <x:c r="F2902" s="24" t="n">
        <x:v>38.31</x:v>
      </x:c>
      <x:c r="G2902" t="str">
        <x:v>Summer</x:v>
      </x:c>
      <x:c r="H2902" t="str">
        <x:v>Card</x:v>
      </x:c>
      <x:c r="I2902" t="n">
        <x:v>3.2</x:v>
      </x:c>
      <x:c r="J2902" t="n">
        <x:v>14</x:v>
      </x:c>
      <x:c r="K2902" t="n">
        <x:v>7</x:v>
      </x:c>
      <x:c r="L2902" t="str">
        <x:v>STORE-001</x:v>
      </x:c>
      <x:c r="M2902" s="22" t="n">
        <x:v>46070</x:v>
      </x:c>
      <x:c r="N2902" t="str">
        <x:v>SKU-012</x:v>
      </x:c>
      <x:c r="O2902" t="n">
        <x:v>1</x:v>
      </x:c>
      <x:c r="P2902" s="26" t="n">
        <x:f>F2902/O2902</x:f>
        <x:v>38.31</x:v>
      </x:c>
    </x:row>
    <x:row r="2903">
      <x:c r="A2903" t="n">
        <x:v>2902</x:v>
      </x:c>
      <x:c r="B2903" t="n">
        <x:v>41</x:v>
      </x:c>
      <x:c r="C2903" t="str">
        <x:v>Female</x:v>
      </x:c>
      <x:c r="D2903" t="str">
        <x:v>Groceries</x:v>
      </x:c>
      <x:c r="E2903" t="str">
        <x:v>Cooking Oil</x:v>
      </x:c>
      <x:c r="F2903" s="24" t="n">
        <x:v>58.38</x:v>
      </x:c>
      <x:c r="G2903" t="str">
        <x:v>Summer</x:v>
      </x:c>
      <x:c r="H2903" t="str">
        <x:v>Cash on Delivery</x:v>
      </x:c>
      <x:c r="I2903" t="n">
        <x:v>2.3</x:v>
      </x:c>
      <x:c r="J2903" t="n">
        <x:v>10</x:v>
      </x:c>
      <x:c r="K2903" t="n">
        <x:v>5</x:v>
      </x:c>
      <x:c r="L2903" t="str">
        <x:v>STORE-001</x:v>
      </x:c>
      <x:c r="M2903" s="22" t="n">
        <x:v>45993</x:v>
      </x:c>
      <x:c r="N2903" t="str">
        <x:v>SKU-002</x:v>
      </x:c>
      <x:c r="O2903" t="n">
        <x:v>2</x:v>
      </x:c>
      <x:c r="P2903" s="26" t="n">
        <x:f>F2903/O2903</x:f>
        <x:v>29.19</x:v>
      </x:c>
    </x:row>
    <x:row r="2904">
      <x:c r="A2904" t="n">
        <x:v>2903</x:v>
      </x:c>
      <x:c r="B2904" t="n">
        <x:v>58</x:v>
      </x:c>
      <x:c r="C2904" t="str">
        <x:v>Male</x:v>
      </x:c>
      <x:c r="D2904" t="str">
        <x:v>Electronics</x:v>
      </x:c>
      <x:c r="E2904" t="str">
        <x:v>Headphones</x:v>
      </x:c>
      <x:c r="F2904" s="24" t="n">
        <x:v>824.07</x:v>
      </x:c>
      <x:c r="G2904" t="str">
        <x:v>Spring</x:v>
      </x:c>
      <x:c r="H2904" t="str">
        <x:v>Card</x:v>
      </x:c>
      <x:c r="I2904" t="n">
        <x:v>3.8</x:v>
      </x:c>
      <x:c r="J2904" t="n">
        <x:v>10</x:v>
      </x:c>
      <x:c r="K2904" t="n">
        <x:v>5</x:v>
      </x:c>
      <x:c r="L2904" t="str">
        <x:v>STORE-001</x:v>
      </x:c>
      <x:c r="M2904" s="22" t="n">
        <x:v>45964</x:v>
      </x:c>
      <x:c r="N2904" t="str">
        <x:v>SKU-009</x:v>
      </x:c>
      <x:c r="O2904" t="n">
        <x:v>3</x:v>
      </x:c>
      <x:c r="P2904" s="26" t="n">
        <x:f>F2904/O2904</x:f>
        <x:v>274.69</x:v>
      </x:c>
    </x:row>
    <x:row r="2905">
      <x:c r="A2905" t="n">
        <x:v>2904</x:v>
      </x:c>
      <x:c r="B2905" t="n">
        <x:v>47</x:v>
      </x:c>
      <x:c r="C2905" t="str">
        <x:v>Female</x:v>
      </x:c>
      <x:c r="D2905" t="str">
        <x:v>Home</x:v>
      </x:c>
      <x:c r="E2905" t="str">
        <x:v>Curtains</x:v>
      </x:c>
      <x:c r="F2905" s="24" t="n">
        <x:v>123.62</x:v>
      </x:c>
      <x:c r="G2905" t="str">
        <x:v>Autumn</x:v>
      </x:c>
      <x:c r="H2905" t="str">
        <x:v>Card</x:v>
      </x:c>
      <x:c r="I2905" t="n">
        <x:v>3</x:v>
      </x:c>
      <x:c r="J2905" t="n">
        <x:v>6</x:v>
      </x:c>
      <x:c r="K2905" t="n">
        <x:v>3</x:v>
      </x:c>
      <x:c r="L2905" t="str">
        <x:v>STORE-001</x:v>
      </x:c>
      <x:c r="M2905" s="22" t="n">
        <x:v>46125</x:v>
      </x:c>
      <x:c r="N2905" t="str">
        <x:v>SKU-003</x:v>
      </x:c>
      <x:c r="O2905" t="n">
        <x:v>2</x:v>
      </x:c>
      <x:c r="P2905" s="26" t="n">
        <x:f>F2905/O2905</x:f>
        <x:v>61.81</x:v>
      </x:c>
    </x:row>
    <x:row r="2906">
      <x:c r="A2906" t="n">
        <x:v>2905</x:v>
      </x:c>
      <x:c r="B2906" t="n">
        <x:v>61</x:v>
      </x:c>
      <x:c r="C2906" t="str">
        <x:v>Male</x:v>
      </x:c>
      <x:c r="D2906" t="str">
        <x:v>Electronics</x:v>
      </x:c>
      <x:c r="E2906" t="str">
        <x:v>Headphones</x:v>
      </x:c>
      <x:c r="F2906" s="24" t="n">
        <x:v>1368.88</x:v>
      </x:c>
      <x:c r="G2906" t="str">
        <x:v>Winter</x:v>
      </x:c>
      <x:c r="H2906" t="str">
        <x:v>Card</x:v>
      </x:c>
      <x:c r="I2906" t="n">
        <x:v>2.8</x:v>
      </x:c>
      <x:c r="J2906" t="n">
        <x:v>4</x:v>
      </x:c>
      <x:c r="K2906" t="n">
        <x:v>2</x:v>
      </x:c>
      <x:c r="L2906" t="str">
        <x:v>STORE-001</x:v>
      </x:c>
      <x:c r="M2906" s="22" t="n">
        <x:v>46196</x:v>
      </x:c>
      <x:c r="N2906" t="str">
        <x:v>SKU-009</x:v>
      </x:c>
      <x:c r="O2906" t="n">
        <x:v>1</x:v>
      </x:c>
      <x:c r="P2906" s="26" t="n">
        <x:f>F2906/O2906</x:f>
        <x:v>1368.88</x:v>
      </x:c>
    </x:row>
    <x:row r="2907">
      <x:c r="A2907" t="n">
        <x:v>2906</x:v>
      </x:c>
      <x:c r="B2907" t="n">
        <x:v>50</x:v>
      </x:c>
      <x:c r="C2907" t="str">
        <x:v>Male</x:v>
      </x:c>
      <x:c r="D2907" t="str">
        <x:v>Groceries</x:v>
      </x:c>
      <x:c r="E2907" t="str">
        <x:v>Cooking Oil</x:v>
      </x:c>
      <x:c r="F2907" s="24" t="n">
        <x:v>58.24</x:v>
      </x:c>
      <x:c r="G2907" t="str">
        <x:v>Spring</x:v>
      </x:c>
      <x:c r="H2907" t="str">
        <x:v>Card</x:v>
      </x:c>
      <x:c r="I2907" t="n">
        <x:v>3.1</x:v>
      </x:c>
      <x:c r="J2907" t="n">
        <x:v>16</x:v>
      </x:c>
      <x:c r="K2907" t="n">
        <x:v>3</x:v>
      </x:c>
      <x:c r="L2907" t="str">
        <x:v>STORE-001</x:v>
      </x:c>
      <x:c r="M2907" s="22" t="n">
        <x:v>46286</x:v>
      </x:c>
      <x:c r="N2907" t="str">
        <x:v>SKU-002</x:v>
      </x:c>
      <x:c r="O2907" t="n">
        <x:v>1</x:v>
      </x:c>
      <x:c r="P2907" s="26" t="n">
        <x:f>F2907/O2907</x:f>
        <x:v>58.24</x:v>
      </x:c>
    </x:row>
    <x:row r="2908">
      <x:c r="A2908" t="n">
        <x:v>2907</x:v>
      </x:c>
      <x:c r="B2908" t="n">
        <x:v>69</x:v>
      </x:c>
      <x:c r="C2908" t="str">
        <x:v>Male</x:v>
      </x:c>
      <x:c r="D2908" t="str">
        <x:v>Sports</x:v>
      </x:c>
      <x:c r="E2908" t="str">
        <x:v>Dumbbells</x:v>
      </x:c>
      <x:c r="F2908" s="24" t="n">
        <x:v>168.81</x:v>
      </x:c>
      <x:c r="G2908" t="str">
        <x:v>Spring</x:v>
      </x:c>
      <x:c r="H2908" t="str">
        <x:v>Card</x:v>
      </x:c>
      <x:c r="I2908" t="n">
        <x:v>3.2</x:v>
      </x:c>
      <x:c r="J2908" t="n">
        <x:v>36</x:v>
      </x:c>
      <x:c r="K2908" t="n">
        <x:v>13</x:v>
      </x:c>
      <x:c r="L2908" t="str">
        <x:v>STORE-001</x:v>
      </x:c>
      <x:c r="M2908" s="22" t="n">
        <x:v>45976</x:v>
      </x:c>
      <x:c r="N2908" t="str">
        <x:v>SKU-005</x:v>
      </x:c>
      <x:c r="O2908" t="n">
        <x:v>2</x:v>
      </x:c>
      <x:c r="P2908" s="26" t="n">
        <x:f>F2908/O2908</x:f>
        <x:v>84.405</x:v>
      </x:c>
    </x:row>
    <x:row r="2909">
      <x:c r="A2909" t="n">
        <x:v>2908</x:v>
      </x:c>
      <x:c r="B2909" t="n">
        <x:v>48</x:v>
      </x:c>
      <x:c r="C2909" t="str">
        <x:v>Female</x:v>
      </x:c>
      <x:c r="D2909" t="str">
        <x:v>Womens Clothing</x:v>
      </x:c>
      <x:c r="E2909" t="str">
        <x:v>Jeans</x:v>
      </x:c>
      <x:c r="F2909" s="24" t="n">
        <x:v>146.69</x:v>
      </x:c>
      <x:c r="G2909" t="str">
        <x:v>Winter</x:v>
      </x:c>
      <x:c r="H2909" t="str">
        <x:v>Card</x:v>
      </x:c>
      <x:c r="I2909" t="n">
        <x:v>3.5</x:v>
      </x:c>
      <x:c r="J2909" t="n">
        <x:v>20</x:v>
      </x:c>
      <x:c r="K2909" t="n">
        <x:v>5</x:v>
      </x:c>
      <x:c r="L2909" t="str">
        <x:v>STORE-001</x:v>
      </x:c>
      <x:c r="M2909" s="22" t="n">
        <x:v>46223</x:v>
      </x:c>
      <x:c r="N2909" t="str">
        <x:v>SKU-011</x:v>
      </x:c>
      <x:c r="O2909" t="n">
        <x:v>2</x:v>
      </x:c>
      <x:c r="P2909" s="26" t="n">
        <x:f>F2909/O2909</x:f>
        <x:v>73.345</x:v>
      </x:c>
    </x:row>
    <x:row r="2910">
      <x:c r="A2910" t="n">
        <x:v>2909</x:v>
      </x:c>
      <x:c r="B2910" t="n">
        <x:v>40</x:v>
      </x:c>
      <x:c r="C2910" t="str">
        <x:v>Male</x:v>
      </x:c>
      <x:c r="D2910" t="str">
        <x:v>Home</x:v>
      </x:c>
      <x:c r="E2910" t="str">
        <x:v>Lamp</x:v>
      </x:c>
      <x:c r="F2910" s="24" t="n">
        <x:v>155.95</x:v>
      </x:c>
      <x:c r="G2910" t="str">
        <x:v>Winter</x:v>
      </x:c>
      <x:c r="H2910" t="str">
        <x:v>Card</x:v>
      </x:c>
      <x:c r="I2910" t="n">
        <x:v>3.3</x:v>
      </x:c>
      <x:c r="J2910" t="n">
        <x:v>16</x:v>
      </x:c>
      <x:c r="K2910" t="n">
        <x:v>3</x:v>
      </x:c>
      <x:c r="L2910" t="str">
        <x:v>STORE-001</x:v>
      </x:c>
      <x:c r="M2910" s="22" t="n">
        <x:v>46255</x:v>
      </x:c>
      <x:c r="N2910" t="str">
        <x:v>SKU-013</x:v>
      </x:c>
      <x:c r="O2910" t="n">
        <x:v>1</x:v>
      </x:c>
      <x:c r="P2910" s="26" t="n">
        <x:f>F2910/O2910</x:f>
        <x:v>155.95</x:v>
      </x:c>
    </x:row>
    <x:row r="2911">
      <x:c r="A2911" t="n">
        <x:v>2910</x:v>
      </x:c>
      <x:c r="B2911" t="n">
        <x:v>29</x:v>
      </x:c>
      <x:c r="C2911" t="str">
        <x:v>Female</x:v>
      </x:c>
      <x:c r="D2911" t="str">
        <x:v>Home</x:v>
      </x:c>
      <x:c r="E2911" t="str">
        <x:v>Lamp</x:v>
      </x:c>
      <x:c r="F2911" s="24" t="n">
        <x:v>243.83</x:v>
      </x:c>
      <x:c r="G2911" t="str">
        <x:v>Spring</x:v>
      </x:c>
      <x:c r="H2911" t="str">
        <x:v>Card</x:v>
      </x:c>
      <x:c r="I2911" t="n">
        <x:v>4.5</x:v>
      </x:c>
      <x:c r="J2911" t="n">
        <x:v>12</x:v>
      </x:c>
      <x:c r="K2911" t="n">
        <x:v>6</x:v>
      </x:c>
      <x:c r="L2911" t="str">
        <x:v>STORE-001</x:v>
      </x:c>
      <x:c r="M2911" s="22" t="n">
        <x:v>45970</x:v>
      </x:c>
      <x:c r="N2911" t="str">
        <x:v>SKU-013</x:v>
      </x:c>
      <x:c r="O2911" t="n">
        <x:v>1</x:v>
      </x:c>
      <x:c r="P2911" s="26" t="n">
        <x:f>F2911/O2911</x:f>
        <x:v>243.83</x:v>
      </x:c>
    </x:row>
    <x:row r="2912">
      <x:c r="A2912" t="n">
        <x:v>2911</x:v>
      </x:c>
      <x:c r="B2912" t="n">
        <x:v>67</x:v>
      </x:c>
      <x:c r="C2912" t="str">
        <x:v>Male</x:v>
      </x:c>
      <x:c r="D2912" t="str">
        <x:v>Electronics</x:v>
      </x:c>
      <x:c r="E2912" t="str">
        <x:v>Headphones</x:v>
      </x:c>
      <x:c r="F2912" s="24" t="n">
        <x:v>1908.28</x:v>
      </x:c>
      <x:c r="G2912" t="str">
        <x:v>Spring</x:v>
      </x:c>
      <x:c r="H2912" t="str">
        <x:v>Card</x:v>
      </x:c>
      <x:c r="I2912" t="n">
        <x:v>4</x:v>
      </x:c>
      <x:c r="J2912" t="n">
        <x:v>24</x:v>
      </x:c>
      <x:c r="K2912" t="n">
        <x:v>7</x:v>
      </x:c>
      <x:c r="L2912" t="str">
        <x:v>STORE-001</x:v>
      </x:c>
      <x:c r="M2912" s="22" t="n">
        <x:v>46272</x:v>
      </x:c>
      <x:c r="N2912" t="str">
        <x:v>SKU-009</x:v>
      </x:c>
      <x:c r="O2912" t="n">
        <x:v>1</x:v>
      </x:c>
      <x:c r="P2912" s="26" t="n">
        <x:f>F2912/O2912</x:f>
        <x:v>1908.28</x:v>
      </x:c>
    </x:row>
    <x:row r="2913">
      <x:c r="A2913" t="n">
        <x:v>2912</x:v>
      </x:c>
      <x:c r="B2913" t="n">
        <x:v>70</x:v>
      </x:c>
      <x:c r="C2913" t="str">
        <x:v>Male</x:v>
      </x:c>
      <x:c r="D2913" t="str">
        <x:v>Footwear</x:v>
      </x:c>
      <x:c r="E2913" t="str">
        <x:v>Sandals</x:v>
      </x:c>
      <x:c r="F2913" s="24" t="n">
        <x:v>73.74</x:v>
      </x:c>
      <x:c r="G2913" t="str">
        <x:v>Summer</x:v>
      </x:c>
      <x:c r="H2913" t="str">
        <x:v>Card</x:v>
      </x:c>
      <x:c r="I2913" t="n">
        <x:v>3.4</x:v>
      </x:c>
      <x:c r="J2913" t="n">
        <x:v>20</x:v>
      </x:c>
      <x:c r="K2913" t="n">
        <x:v>5</x:v>
      </x:c>
      <x:c r="L2913" t="str">
        <x:v>STORE-001</x:v>
      </x:c>
      <x:c r="M2913" s="22" t="n">
        <x:v>46013</x:v>
      </x:c>
      <x:c r="N2913" t="str">
        <x:v>SKU-019</x:v>
      </x:c>
      <x:c r="O2913" t="n">
        <x:v>2</x:v>
      </x:c>
      <x:c r="P2913" s="26" t="n">
        <x:f>F2913/O2913</x:f>
        <x:v>36.87</x:v>
      </x:c>
    </x:row>
    <x:row r="2914">
      <x:c r="A2914" t="n">
        <x:v>2913</x:v>
      </x:c>
      <x:c r="B2914" t="n">
        <x:v>38</x:v>
      </x:c>
      <x:c r="C2914" t="str">
        <x:v>Female</x:v>
      </x:c>
      <x:c r="D2914" t="str">
        <x:v>Womens Clothing</x:v>
      </x:c>
      <x:c r="E2914" t="str">
        <x:v>Skirt</x:v>
      </x:c>
      <x:c r="F2914" s="24" t="n">
        <x:v>74.12</x:v>
      </x:c>
      <x:c r="G2914" t="str">
        <x:v>Summer</x:v>
      </x:c>
      <x:c r="H2914" t="str">
        <x:v>Cash on Delivery</x:v>
      </x:c>
      <x:c r="I2914" t="n">
        <x:v>4.3</x:v>
      </x:c>
      <x:c r="J2914" t="n">
        <x:v>18</x:v>
      </x:c>
      <x:c r="K2914" t="n">
        <x:v>4</x:v>
      </x:c>
      <x:c r="L2914" t="str">
        <x:v>STORE-001</x:v>
      </x:c>
      <x:c r="M2914" s="22" t="n">
        <x:v>46037</x:v>
      </x:c>
      <x:c r="N2914" t="str">
        <x:v>SKU-022</x:v>
      </x:c>
      <x:c r="O2914" t="n">
        <x:v>1</x:v>
      </x:c>
      <x:c r="P2914" s="26" t="n">
        <x:f>F2914/O2914</x:f>
        <x:v>74.12</x:v>
      </x:c>
    </x:row>
    <x:row r="2915">
      <x:c r="A2915" t="n">
        <x:v>2914</x:v>
      </x:c>
      <x:c r="B2915" t="n">
        <x:v>23</x:v>
      </x:c>
      <x:c r="C2915" t="str">
        <x:v>Female</x:v>
      </x:c>
      <x:c r="D2915" t="str">
        <x:v>Womens Clothing</x:v>
      </x:c>
      <x:c r="E2915" t="str">
        <x:v>Top</x:v>
      </x:c>
      <x:c r="F2915" s="24" t="n">
        <x:v>44.28</x:v>
      </x:c>
      <x:c r="G2915" t="str">
        <x:v>Summer</x:v>
      </x:c>
      <x:c r="H2915" t="str">
        <x:v>Cash on Delivery</x:v>
      </x:c>
      <x:c r="I2915" t="n">
        <x:v>4.9</x:v>
      </x:c>
      <x:c r="J2915" t="n">
        <x:v>15</x:v>
      </x:c>
      <x:c r="K2915" t="n">
        <x:v>5</x:v>
      </x:c>
      <x:c r="L2915" t="str">
        <x:v>STORE-001</x:v>
      </x:c>
      <x:c r="M2915" s="22" t="n">
        <x:v>46025</x:v>
      </x:c>
      <x:c r="N2915" t="str">
        <x:v>SKU-028</x:v>
      </x:c>
      <x:c r="O2915" t="n">
        <x:v>1</x:v>
      </x:c>
      <x:c r="P2915" s="26" t="n">
        <x:f>F2915/O2915</x:f>
        <x:v>44.28</x:v>
      </x:c>
    </x:row>
    <x:row r="2916">
      <x:c r="A2916" t="n">
        <x:v>2915</x:v>
      </x:c>
      <x:c r="B2916" t="n">
        <x:v>47</x:v>
      </x:c>
      <x:c r="C2916" t="str">
        <x:v>Male</x:v>
      </x:c>
      <x:c r="D2916" t="str">
        <x:v>Footwear</x:v>
      </x:c>
      <x:c r="E2916" t="str">
        <x:v>Formal Shoes</x:v>
      </x:c>
      <x:c r="F2916" s="24" t="n">
        <x:v>174.96</x:v>
      </x:c>
      <x:c r="G2916" t="str">
        <x:v>Autumn</x:v>
      </x:c>
      <x:c r="H2916" t="str">
        <x:v>Card</x:v>
      </x:c>
      <x:c r="I2916" t="n">
        <x:v>5</x:v>
      </x:c>
      <x:c r="J2916" t="n">
        <x:v>9</x:v>
      </x:c>
      <x:c r="K2916" t="n">
        <x:v>2</x:v>
      </x:c>
      <x:c r="L2916" t="str">
        <x:v>STORE-001</x:v>
      </x:c>
      <x:c r="M2916" s="22" t="n">
        <x:v>46144</x:v>
      </x:c>
      <x:c r="N2916" t="str">
        <x:v>SKU-007</x:v>
      </x:c>
      <x:c r="O2916" t="n">
        <x:v>1</x:v>
      </x:c>
      <x:c r="P2916" s="26" t="n">
        <x:f>F2916/O2916</x:f>
        <x:v>174.96</x:v>
      </x:c>
    </x:row>
    <x:row r="2917">
      <x:c r="A2917" t="n">
        <x:v>2916</x:v>
      </x:c>
      <x:c r="B2917" t="n">
        <x:v>42</x:v>
      </x:c>
      <x:c r="C2917" t="str">
        <x:v>Female</x:v>
      </x:c>
      <x:c r="D2917" t="str">
        <x:v>Accessories</x:v>
      </x:c>
      <x:c r="E2917" t="str">
        <x:v>Sunglasses</x:v>
      </x:c>
      <x:c r="F2917" s="24" t="n">
        <x:v>137.86</x:v>
      </x:c>
      <x:c r="G2917" t="str">
        <x:v>Summer</x:v>
      </x:c>
      <x:c r="H2917" t="str">
        <x:v>Card</x:v>
      </x:c>
      <x:c r="I2917" t="n">
        <x:v>5</x:v>
      </x:c>
      <x:c r="J2917" t="n">
        <x:v>12</x:v>
      </x:c>
      <x:c r="K2917" t="n">
        <x:v>1</x:v>
      </x:c>
      <x:c r="L2917" t="str">
        <x:v>STORE-001</x:v>
      </x:c>
      <x:c r="M2917" s="22" t="n">
        <x:v>46054</x:v>
      </x:c>
      <x:c r="N2917" t="str">
        <x:v>SKU-026</x:v>
      </x:c>
      <x:c r="O2917" t="n">
        <x:v>1</x:v>
      </x:c>
      <x:c r="P2917" s="26" t="n">
        <x:f>F2917/O2917</x:f>
        <x:v>137.86</x:v>
      </x:c>
    </x:row>
    <x:row r="2918">
      <x:c r="A2918" t="n">
        <x:v>2917</x:v>
      </x:c>
      <x:c r="B2918" t="n">
        <x:v>69</x:v>
      </x:c>
      <x:c r="C2918" t="str">
        <x:v>Male</x:v>
      </x:c>
      <x:c r="D2918" t="str">
        <x:v>Mens Clothing</x:v>
      </x:c>
      <x:c r="E2918" t="str">
        <x:v>T-Shirt</x:v>
      </x:c>
      <x:c r="F2918" s="24" t="n">
        <x:v>172.24</x:v>
      </x:c>
      <x:c r="G2918" t="str">
        <x:v>Autumn</x:v>
      </x:c>
      <x:c r="H2918" t="str">
        <x:v>Card</x:v>
      </x:c>
      <x:c r="I2918" t="n">
        <x:v>4.3</x:v>
      </x:c>
      <x:c r="J2918" t="n">
        <x:v>18</x:v>
      </x:c>
      <x:c r="K2918" t="n">
        <x:v>9</x:v>
      </x:c>
      <x:c r="L2918" t="str">
        <x:v>STORE-001</x:v>
      </x:c>
      <x:c r="M2918" s="22" t="n">
        <x:v>46169</x:v>
      </x:c>
      <x:c r="N2918" t="str">
        <x:v>SKU-027</x:v>
      </x:c>
      <x:c r="O2918" t="n">
        <x:v>1</x:v>
      </x:c>
      <x:c r="P2918" s="26" t="n">
        <x:f>F2918/O2918</x:f>
        <x:v>172.24</x:v>
      </x:c>
    </x:row>
    <x:row r="2919">
      <x:c r="A2919" t="n">
        <x:v>2918</x:v>
      </x:c>
      <x:c r="B2919" t="n">
        <x:v>59</x:v>
      </x:c>
      <x:c r="C2919" t="str">
        <x:v>Female</x:v>
      </x:c>
      <x:c r="D2919" t="str">
        <x:v>Accessories</x:v>
      </x:c>
      <x:c r="E2919" t="str">
        <x:v>Wallet</x:v>
      </x:c>
      <x:c r="F2919" s="24" t="n">
        <x:v>99.13</x:v>
      </x:c>
      <x:c r="G2919" t="str">
        <x:v>Winter</x:v>
      </x:c>
      <x:c r="H2919" t="str">
        <x:v>Card</x:v>
      </x:c>
      <x:c r="I2919" t="n">
        <x:v>3.5</x:v>
      </x:c>
      <x:c r="J2919" t="n">
        <x:v>18</x:v>
      </x:c>
      <x:c r="K2919" t="n">
        <x:v>4</x:v>
      </x:c>
      <x:c r="L2919" t="str">
        <x:v>STORE-001</x:v>
      </x:c>
      <x:c r="M2919" s="22" t="n">
        <x:v>46213</x:v>
      </x:c>
      <x:c r="N2919" t="str">
        <x:v>SKU-029</x:v>
      </x:c>
      <x:c r="O2919" t="n">
        <x:v>1</x:v>
      </x:c>
      <x:c r="P2919" s="26" t="n">
        <x:f>F2919/O2919</x:f>
        <x:v>99.13</x:v>
      </x:c>
    </x:row>
    <x:row r="2920">
      <x:c r="A2920" t="n">
        <x:v>2919</x:v>
      </x:c>
      <x:c r="B2920" t="n">
        <x:v>67</x:v>
      </x:c>
      <x:c r="C2920" t="str">
        <x:v>Female</x:v>
      </x:c>
      <x:c r="D2920" t="str">
        <x:v>Womens Clothing</x:v>
      </x:c>
      <x:c r="E2920" t="str">
        <x:v>Skirt</x:v>
      </x:c>
      <x:c r="F2920" s="24" t="n">
        <x:v>149.36</x:v>
      </x:c>
      <x:c r="G2920" t="str">
        <x:v>Autumn</x:v>
      </x:c>
      <x:c r="H2920" t="str">
        <x:v>Card</x:v>
      </x:c>
      <x:c r="I2920" t="n">
        <x:v>3.8</x:v>
      </x:c>
      <x:c r="J2920" t="n">
        <x:v>20</x:v>
      </x:c>
      <x:c r="K2920" t="n">
        <x:v>10</x:v>
      </x:c>
      <x:c r="L2920" t="str">
        <x:v>STORE-001</x:v>
      </x:c>
      <x:c r="M2920" s="22" t="n">
        <x:v>46129</x:v>
      </x:c>
      <x:c r="N2920" t="str">
        <x:v>SKU-022</x:v>
      </x:c>
      <x:c r="O2920" t="n">
        <x:v>1</x:v>
      </x:c>
      <x:c r="P2920" s="26" t="n">
        <x:f>F2920/O2920</x:f>
        <x:v>149.36</x:v>
      </x:c>
    </x:row>
    <x:row r="2921">
      <x:c r="A2921" t="n">
        <x:v>2920</x:v>
      </x:c>
      <x:c r="B2921" t="n">
        <x:v>47</x:v>
      </x:c>
      <x:c r="C2921" t="str">
        <x:v>Female</x:v>
      </x:c>
      <x:c r="D2921" t="str">
        <x:v>Footwear</x:v>
      </x:c>
      <x:c r="E2921" t="str">
        <x:v>Formal Shoes</x:v>
      </x:c>
      <x:c r="F2921" s="24" t="n">
        <x:v>58.36</x:v>
      </x:c>
      <x:c r="G2921" t="str">
        <x:v>Autumn</x:v>
      </x:c>
      <x:c r="H2921" t="str">
        <x:v>Cash on Delivery</x:v>
      </x:c>
      <x:c r="I2921" t="n">
        <x:v>3.1</x:v>
      </x:c>
      <x:c r="J2921" t="n">
        <x:v>16</x:v>
      </x:c>
      <x:c r="K2921" t="n">
        <x:v>3</x:v>
      </x:c>
      <x:c r="L2921" t="str">
        <x:v>STORE-001</x:v>
      </x:c>
      <x:c r="M2921" s="22" t="n">
        <x:v>46171</x:v>
      </x:c>
      <x:c r="N2921" t="str">
        <x:v>SKU-007</x:v>
      </x:c>
      <x:c r="O2921" t="n">
        <x:v>2</x:v>
      </x:c>
      <x:c r="P2921" s="26" t="n">
        <x:f>F2921/O2921</x:f>
        <x:v>29.18</x:v>
      </x:c>
    </x:row>
    <x:row r="2922">
      <x:c r="A2922" t="n">
        <x:v>2921</x:v>
      </x:c>
      <x:c r="B2922" t="n">
        <x:v>40</x:v>
      </x:c>
      <x:c r="C2922" t="str">
        <x:v>Male</x:v>
      </x:c>
      <x:c r="D2922" t="str">
        <x:v>Sports</x:v>
      </x:c>
      <x:c r="E2922" t="str">
        <x:v>Yoga Mat</x:v>
      </x:c>
      <x:c r="F2922" s="24" t="n">
        <x:v>108.91</x:v>
      </x:c>
      <x:c r="G2922" t="str">
        <x:v>Spring</x:v>
      </x:c>
      <x:c r="H2922" t="str">
        <x:v>Card</x:v>
      </x:c>
      <x:c r="I2922" t="n">
        <x:v>3.6</x:v>
      </x:c>
      <x:c r="J2922" t="n">
        <x:v>12</x:v>
      </x:c>
      <x:c r="K2922" t="n">
        <x:v>6</x:v>
      </x:c>
      <x:c r="L2922" t="str">
        <x:v>STORE-001</x:v>
      </x:c>
      <x:c r="M2922" s="22" t="n">
        <x:v>45966</x:v>
      </x:c>
      <x:c r="N2922" t="str">
        <x:v>SKU-030</x:v>
      </x:c>
      <x:c r="O2922" t="n">
        <x:v>1</x:v>
      </x:c>
      <x:c r="P2922" s="26" t="n">
        <x:f>F2922/O2922</x:f>
        <x:v>108.91</x:v>
      </x:c>
    </x:row>
    <x:row r="2923">
      <x:c r="A2923" t="n">
        <x:v>2922</x:v>
      </x:c>
      <x:c r="B2923" t="n">
        <x:v>42</x:v>
      </x:c>
      <x:c r="C2923" t="str">
        <x:v>Male</x:v>
      </x:c>
      <x:c r="D2923" t="str">
        <x:v>Sports</x:v>
      </x:c>
      <x:c r="E2923" t="str">
        <x:v>Dumbbells</x:v>
      </x:c>
      <x:c r="F2923" s="24" t="n">
        <x:v>74.2</x:v>
      </x:c>
      <x:c r="G2923" t="str">
        <x:v>Spring</x:v>
      </x:c>
      <x:c r="H2923" t="str">
        <x:v>Card</x:v>
      </x:c>
      <x:c r="I2923" t="n">
        <x:v>2.7</x:v>
      </x:c>
      <x:c r="J2923" t="n">
        <x:v>8</x:v>
      </x:c>
      <x:c r="K2923" t="n">
        <x:v>4</x:v>
      </x:c>
      <x:c r="L2923" t="str">
        <x:v>STORE-001</x:v>
      </x:c>
      <x:c r="M2923" s="22" t="n">
        <x:v>46291</x:v>
      </x:c>
      <x:c r="N2923" t="str">
        <x:v>SKU-005</x:v>
      </x:c>
      <x:c r="O2923" t="n">
        <x:v>1</x:v>
      </x:c>
      <x:c r="P2923" s="26" t="n">
        <x:f>F2923/O2923</x:f>
        <x:v>74.2</x:v>
      </x:c>
    </x:row>
    <x:row r="2924">
      <x:c r="A2924" t="n">
        <x:v>2923</x:v>
      </x:c>
      <x:c r="B2924" t="n">
        <x:v>63</x:v>
      </x:c>
      <x:c r="C2924" t="str">
        <x:v>Female</x:v>
      </x:c>
      <x:c r="D2924" t="str">
        <x:v>Groceries</x:v>
      </x:c>
      <x:c r="E2924" t="str">
        <x:v>Snacks</x:v>
      </x:c>
      <x:c r="F2924" s="24" t="n">
        <x:v>35.58</x:v>
      </x:c>
      <x:c r="G2924" t="str">
        <x:v>Autumn</x:v>
      </x:c>
      <x:c r="H2924" t="str">
        <x:v>Card</x:v>
      </x:c>
      <x:c r="I2924" t="n">
        <x:v>2.9</x:v>
      </x:c>
      <x:c r="J2924" t="n">
        <x:v>19</x:v>
      </x:c>
      <x:c r="K2924" t="n">
        <x:v>7</x:v>
      </x:c>
      <x:c r="L2924" t="str">
        <x:v>STORE-001</x:v>
      </x:c>
      <x:c r="M2924" s="22" t="n">
        <x:v>46125</x:v>
      </x:c>
      <x:c r="N2924" t="str">
        <x:v>SKU-024</x:v>
      </x:c>
      <x:c r="O2924" t="n">
        <x:v>2</x:v>
      </x:c>
      <x:c r="P2924" s="26" t="n">
        <x:f>F2924/O2924</x:f>
        <x:v>17.79</x:v>
      </x:c>
    </x:row>
    <x:row r="2925">
      <x:c r="A2925" t="n">
        <x:v>2924</x:v>
      </x:c>
      <x:c r="B2925" t="n">
        <x:v>45</x:v>
      </x:c>
      <x:c r="C2925" t="str">
        <x:v>Male</x:v>
      </x:c>
      <x:c r="D2925" t="str">
        <x:v>Sports</x:v>
      </x:c>
      <x:c r="E2925" t="str">
        <x:v>Dumbbells</x:v>
      </x:c>
      <x:c r="F2925" s="24" t="n">
        <x:v>56.1</x:v>
      </x:c>
      <x:c r="G2925" t="str">
        <x:v>Winter</x:v>
      </x:c>
      <x:c r="H2925" t="str">
        <x:v>Card</x:v>
      </x:c>
      <x:c r="I2925" t="n">
        <x:v>3.4</x:v>
      </x:c>
      <x:c r="J2925" t="n">
        <x:v>15</x:v>
      </x:c>
      <x:c r="K2925" t="n">
        <x:v>5</x:v>
      </x:c>
      <x:c r="L2925" t="str">
        <x:v>STORE-001</x:v>
      </x:c>
      <x:c r="M2925" s="22" t="n">
        <x:v>46255</x:v>
      </x:c>
      <x:c r="N2925" t="str">
        <x:v>SKU-005</x:v>
      </x:c>
      <x:c r="O2925" t="n">
        <x:v>2</x:v>
      </x:c>
      <x:c r="P2925" s="26" t="n">
        <x:f>F2925/O2925</x:f>
        <x:v>28.05</x:v>
      </x:c>
    </x:row>
    <x:row r="2926">
      <x:c r="A2926" t="n">
        <x:v>2925</x:v>
      </x:c>
      <x:c r="B2926" t="n">
        <x:v>51</x:v>
      </x:c>
      <x:c r="C2926" t="str">
        <x:v>Male</x:v>
      </x:c>
      <x:c r="D2926" t="str">
        <x:v>Footwear</x:v>
      </x:c>
      <x:c r="E2926" t="str">
        <x:v>Formal Shoes</x:v>
      </x:c>
      <x:c r="F2926" s="24" t="n">
        <x:v>67.65</x:v>
      </x:c>
      <x:c r="G2926" t="str">
        <x:v>Winter</x:v>
      </x:c>
      <x:c r="H2926" t="str">
        <x:v>Card</x:v>
      </x:c>
      <x:c r="I2926" t="n">
        <x:v>4.3</x:v>
      </x:c>
      <x:c r="J2926" t="n">
        <x:v>13</x:v>
      </x:c>
      <x:c r="K2926" t="n">
        <x:v>4</x:v>
      </x:c>
      <x:c r="L2926" t="str">
        <x:v>STORE-001</x:v>
      </x:c>
      <x:c r="M2926" s="22" t="n">
        <x:v>46243</x:v>
      </x:c>
      <x:c r="N2926" t="str">
        <x:v>SKU-007</x:v>
      </x:c>
      <x:c r="O2926" t="n">
        <x:v>1</x:v>
      </x:c>
      <x:c r="P2926" s="26" t="n">
        <x:f>F2926/O2926</x:f>
        <x:v>67.65</x:v>
      </x:c>
    </x:row>
    <x:row r="2927">
      <x:c r="A2927" t="n">
        <x:v>2926</x:v>
      </x:c>
      <x:c r="B2927" t="n">
        <x:v>66</x:v>
      </x:c>
      <x:c r="C2927" t="str">
        <x:v>Male</x:v>
      </x:c>
      <x:c r="D2927" t="str">
        <x:v>Electronics</x:v>
      </x:c>
      <x:c r="E2927" t="str">
        <x:v>Mobile Phone</x:v>
      </x:c>
      <x:c r="F2927" s="24" t="n">
        <x:v>2242.8</x:v>
      </x:c>
      <x:c r="G2927" t="str">
        <x:v>Spring</x:v>
      </x:c>
      <x:c r="H2927" t="str">
        <x:v>Card</x:v>
      </x:c>
      <x:c r="I2927" t="n">
        <x:v>4.4</x:v>
      </x:c>
      <x:c r="J2927" t="n">
        <x:v>12</x:v>
      </x:c>
      <x:c r="K2927" t="n">
        <x:v>1</x:v>
      </x:c>
      <x:c r="L2927" t="str">
        <x:v>STORE-001</x:v>
      </x:c>
      <x:c r="M2927" s="22" t="n">
        <x:v>45984</x:v>
      </x:c>
      <x:c r="N2927" t="str">
        <x:v>SKU-016</x:v>
      </x:c>
      <x:c r="O2927" t="n">
        <x:v>2</x:v>
      </x:c>
      <x:c r="P2927" s="26" t="n">
        <x:f>F2927/O2927</x:f>
        <x:v>1121.4</x:v>
      </x:c>
    </x:row>
    <x:row r="2928">
      <x:c r="A2928" t="n">
        <x:v>2927</x:v>
      </x:c>
      <x:c r="B2928" t="n">
        <x:v>25</x:v>
      </x:c>
      <x:c r="C2928" t="str">
        <x:v>Male</x:v>
      </x:c>
      <x:c r="D2928" t="str">
        <x:v>Mens Clothing</x:v>
      </x:c>
      <x:c r="E2928" t="str">
        <x:v>Jeans</x:v>
      </x:c>
      <x:c r="F2928" s="24" t="n">
        <x:v>135.67</x:v>
      </x:c>
      <x:c r="G2928" t="str">
        <x:v>Spring</x:v>
      </x:c>
      <x:c r="H2928" t="str">
        <x:v>Card</x:v>
      </x:c>
      <x:c r="I2928" t="n">
        <x:v>4.5</x:v>
      </x:c>
      <x:c r="J2928" t="n">
        <x:v>8</x:v>
      </x:c>
      <x:c r="K2928" t="n">
        <x:v>4</x:v>
      </x:c>
      <x:c r="L2928" t="str">
        <x:v>STORE-001</x:v>
      </x:c>
      <x:c r="M2928" s="22" t="n">
        <x:v>46274</x:v>
      </x:c>
      <x:c r="N2928" t="str">
        <x:v>SKU-011</x:v>
      </x:c>
      <x:c r="O2928" t="n">
        <x:v>1</x:v>
      </x:c>
      <x:c r="P2928" s="26" t="n">
        <x:f>F2928/O2928</x:f>
        <x:v>135.67</x:v>
      </x:c>
    </x:row>
    <x:row r="2929">
      <x:c r="A2929" t="n">
        <x:v>2928</x:v>
      </x:c>
      <x:c r="B2929" t="n">
        <x:v>55</x:v>
      </x:c>
      <x:c r="C2929" t="str">
        <x:v>Male</x:v>
      </x:c>
      <x:c r="D2929" t="str">
        <x:v>Sports</x:v>
      </x:c>
      <x:c r="E2929" t="str">
        <x:v>Football</x:v>
      </x:c>
      <x:c r="F2929" s="24" t="n">
        <x:v>96.63</x:v>
      </x:c>
      <x:c r="G2929" t="str">
        <x:v>Winter</x:v>
      </x:c>
      <x:c r="H2929" t="str">
        <x:v>Card</x:v>
      </x:c>
      <x:c r="I2929" t="n">
        <x:v>3.9</x:v>
      </x:c>
      <x:c r="J2929" t="n">
        <x:v>6</x:v>
      </x:c>
      <x:c r="K2929" t="n">
        <x:v>3</x:v>
      </x:c>
      <x:c r="L2929" t="str">
        <x:v>STORE-001</x:v>
      </x:c>
      <x:c r="M2929" s="22" t="n">
        <x:v>46258</x:v>
      </x:c>
      <x:c r="N2929" t="str">
        <x:v>SKU-006</x:v>
      </x:c>
      <x:c r="O2929" t="n">
        <x:v>1</x:v>
      </x:c>
      <x:c r="P2929" s="26" t="n">
        <x:f>F2929/O2929</x:f>
        <x:v>96.63</x:v>
      </x:c>
    </x:row>
    <x:row r="2930">
      <x:c r="A2930" t="n">
        <x:v>2929</x:v>
      </x:c>
      <x:c r="B2930" t="n">
        <x:v>41</x:v>
      </x:c>
      <x:c r="C2930" t="str">
        <x:v>Female</x:v>
      </x:c>
      <x:c r="D2930" t="str">
        <x:v>Beauty</x:v>
      </x:c>
      <x:c r="E2930" t="str">
        <x:v>Perfume</x:v>
      </x:c>
      <x:c r="F2930" s="24" t="n">
        <x:v>34.42</x:v>
      </x:c>
      <x:c r="G2930" t="str">
        <x:v>Spring</x:v>
      </x:c>
      <x:c r="H2930" t="str">
        <x:v>Cash on Delivery</x:v>
      </x:c>
      <x:c r="I2930" t="n">
        <x:v>4.3</x:v>
      </x:c>
      <x:c r="J2930" t="n">
        <x:v>26</x:v>
      </x:c>
      <x:c r="K2930" t="n">
        <x:v>8</x:v>
      </x:c>
      <x:c r="L2930" t="str">
        <x:v>STORE-001</x:v>
      </x:c>
      <x:c r="M2930" s="22" t="n">
        <x:v>46289</x:v>
      </x:c>
      <x:c r="N2930" t="str">
        <x:v>SKU-017</x:v>
      </x:c>
      <x:c r="O2930" t="n">
        <x:v>1</x:v>
      </x:c>
      <x:c r="P2930" s="26" t="n">
        <x:f>F2930/O2930</x:f>
        <x:v>34.42</x:v>
      </x:c>
    </x:row>
    <x:row r="2931">
      <x:c r="A2931" t="n">
        <x:v>2930</x:v>
      </x:c>
      <x:c r="B2931" t="n">
        <x:v>64</x:v>
      </x:c>
      <x:c r="C2931" t="str">
        <x:v>Female</x:v>
      </x:c>
      <x:c r="D2931" t="str">
        <x:v>Accessories</x:v>
      </x:c>
      <x:c r="E2931" t="str">
        <x:v>Wallet</x:v>
      </x:c>
      <x:c r="F2931" s="24" t="n">
        <x:v>108.39</x:v>
      </x:c>
      <x:c r="G2931" t="str">
        <x:v>Winter</x:v>
      </x:c>
      <x:c r="H2931" t="str">
        <x:v>Card</x:v>
      </x:c>
      <x:c r="I2931" t="n">
        <x:v>3.3</x:v>
      </x:c>
      <x:c r="J2931" t="n">
        <x:v>10</x:v>
      </x:c>
      <x:c r="K2931" t="n">
        <x:v>5</x:v>
      </x:c>
      <x:c r="L2931" t="str">
        <x:v>STORE-001</x:v>
      </x:c>
      <x:c r="M2931" s="22" t="n">
        <x:v>46261</x:v>
      </x:c>
      <x:c r="N2931" t="str">
        <x:v>SKU-029</x:v>
      </x:c>
      <x:c r="O2931" t="n">
        <x:v>2</x:v>
      </x:c>
      <x:c r="P2931" s="26" t="n">
        <x:f>F2931/O2931</x:f>
        <x:v>54.195</x:v>
      </x:c>
    </x:row>
    <x:row r="2932">
      <x:c r="A2932" t="n">
        <x:v>2931</x:v>
      </x:c>
      <x:c r="B2932" t="n">
        <x:v>67</x:v>
      </x:c>
      <x:c r="C2932" t="str">
        <x:v>Male</x:v>
      </x:c>
      <x:c r="D2932" t="str">
        <x:v>Footwear</x:v>
      </x:c>
      <x:c r="E2932" t="str">
        <x:v>Sandals</x:v>
      </x:c>
      <x:c r="F2932" s="24" t="n">
        <x:v>96.2</x:v>
      </x:c>
      <x:c r="G2932" t="str">
        <x:v>Spring</x:v>
      </x:c>
      <x:c r="H2932" t="str">
        <x:v>Card</x:v>
      </x:c>
      <x:c r="I2932" t="n">
        <x:v>3.1</x:v>
      </x:c>
      <x:c r="J2932" t="n">
        <x:v>5</x:v>
      </x:c>
      <x:c r="K2932" t="n">
        <x:v>0</x:v>
      </x:c>
      <x:c r="L2932" t="str">
        <x:v>STORE-001</x:v>
      </x:c>
      <x:c r="M2932" s="22" t="n">
        <x:v>45968</x:v>
      </x:c>
      <x:c r="N2932" t="str">
        <x:v>SKU-019</x:v>
      </x:c>
      <x:c r="O2932" t="n">
        <x:v>1</x:v>
      </x:c>
      <x:c r="P2932" s="26" t="n">
        <x:f>F2932/O2932</x:f>
        <x:v>96.2</x:v>
      </x:c>
    </x:row>
    <x:row r="2933">
      <x:c r="A2933" t="n">
        <x:v>2932</x:v>
      </x:c>
      <x:c r="B2933" t="n">
        <x:v>23</x:v>
      </x:c>
      <x:c r="C2933" t="str">
        <x:v>Female</x:v>
      </x:c>
      <x:c r="D2933" t="str">
        <x:v>Beauty</x:v>
      </x:c>
      <x:c r="E2933" t="str">
        <x:v>Skincare Kit</x:v>
      </x:c>
      <x:c r="F2933" s="24" t="n">
        <x:v>50.94</x:v>
      </x:c>
      <x:c r="G2933" t="str">
        <x:v>Autumn</x:v>
      </x:c>
      <x:c r="H2933" t="str">
        <x:v>Cash on Delivery</x:v>
      </x:c>
      <x:c r="I2933" t="n">
        <x:v>1.9</x:v>
      </x:c>
      <x:c r="J2933" t="n">
        <x:v>14</x:v>
      </x:c>
      <x:c r="K2933" t="n">
        <x:v>2</x:v>
      </x:c>
      <x:c r="L2933" t="str">
        <x:v>STORE-001</x:v>
      </x:c>
      <x:c r="M2933" s="22" t="n">
        <x:v>46166</x:v>
      </x:c>
      <x:c r="N2933" t="str">
        <x:v>SKU-021</x:v>
      </x:c>
      <x:c r="O2933" t="n">
        <x:v>2</x:v>
      </x:c>
      <x:c r="P2933" s="26" t="n">
        <x:f>F2933/O2933</x:f>
        <x:v>25.47</x:v>
      </x:c>
    </x:row>
    <x:row r="2934">
      <x:c r="A2934" t="n">
        <x:v>2933</x:v>
      </x:c>
      <x:c r="B2934" t="n">
        <x:v>49</x:v>
      </x:c>
      <x:c r="C2934" t="str">
        <x:v>Male</x:v>
      </x:c>
      <x:c r="D2934" t="str">
        <x:v>Footwear</x:v>
      </x:c>
      <x:c r="E2934" t="str">
        <x:v>Sneakers</x:v>
      </x:c>
      <x:c r="F2934" s="24" t="n">
        <x:v>122.8</x:v>
      </x:c>
      <x:c r="G2934" t="str">
        <x:v>Spring</x:v>
      </x:c>
      <x:c r="H2934" t="str">
        <x:v>Card</x:v>
      </x:c>
      <x:c r="I2934" t="n">
        <x:v>2.8</x:v>
      </x:c>
      <x:c r="J2934" t="n">
        <x:v>21</x:v>
      </x:c>
      <x:c r="K2934" t="n">
        <x:v>8</x:v>
      </x:c>
      <x:c r="L2934" t="str">
        <x:v>STORE-001</x:v>
      </x:c>
      <x:c r="M2934" s="22" t="n">
        <x:v>46289</x:v>
      </x:c>
      <x:c r="N2934" t="str">
        <x:v>SKU-025</x:v>
      </x:c>
      <x:c r="O2934" t="n">
        <x:v>1</x:v>
      </x:c>
      <x:c r="P2934" s="26" t="n">
        <x:f>F2934/O2934</x:f>
        <x:v>122.8</x:v>
      </x:c>
    </x:row>
    <x:row r="2935">
      <x:c r="A2935" t="n">
        <x:v>2934</x:v>
      </x:c>
      <x:c r="B2935" t="n">
        <x:v>53</x:v>
      </x:c>
      <x:c r="C2935" t="str">
        <x:v>Male</x:v>
      </x:c>
      <x:c r="D2935" t="str">
        <x:v>Mens Clothing</x:v>
      </x:c>
      <x:c r="E2935" t="str">
        <x:v>Jacket</x:v>
      </x:c>
      <x:c r="F2935" s="24" t="n">
        <x:v>198.47</x:v>
      </x:c>
      <x:c r="G2935" t="str">
        <x:v>Spring</x:v>
      </x:c>
      <x:c r="H2935" t="str">
        <x:v>Card</x:v>
      </x:c>
      <x:c r="I2935" t="n">
        <x:v>3.4</x:v>
      </x:c>
      <x:c r="J2935" t="n">
        <x:v>9</x:v>
      </x:c>
      <x:c r="K2935" t="n">
        <x:v>2</x:v>
      </x:c>
      <x:c r="L2935" t="str">
        <x:v>STORE-001</x:v>
      </x:c>
      <x:c r="M2935" s="22" t="n">
        <x:v>45941</x:v>
      </x:c>
      <x:c r="N2935" t="str">
        <x:v>SKU-010</x:v>
      </x:c>
      <x:c r="O2935" t="n">
        <x:v>1</x:v>
      </x:c>
      <x:c r="P2935" s="26" t="n">
        <x:f>F2935/O2935</x:f>
        <x:v>198.47</x:v>
      </x:c>
    </x:row>
    <x:row r="2936">
      <x:c r="A2936" t="n">
        <x:v>2935</x:v>
      </x:c>
      <x:c r="B2936" t="n">
        <x:v>58</x:v>
      </x:c>
      <x:c r="C2936" t="str">
        <x:v>Male</x:v>
      </x:c>
      <x:c r="D2936" t="str">
        <x:v>Electronics</x:v>
      </x:c>
      <x:c r="E2936" t="str">
        <x:v>Headphones</x:v>
      </x:c>
      <x:c r="F2936" s="24" t="n">
        <x:v>1495.44</x:v>
      </x:c>
      <x:c r="G2936" t="str">
        <x:v>Autumn</x:v>
      </x:c>
      <x:c r="H2936" t="str">
        <x:v>Card</x:v>
      </x:c>
      <x:c r="I2936" t="n">
        <x:v>3.8</x:v>
      </x:c>
      <x:c r="J2936" t="n">
        <x:v>6</x:v>
      </x:c>
      <x:c r="K2936" t="n">
        <x:v>3</x:v>
      </x:c>
      <x:c r="L2936" t="str">
        <x:v>STORE-001</x:v>
      </x:c>
      <x:c r="M2936" s="22" t="n">
        <x:v>46129</x:v>
      </x:c>
      <x:c r="N2936" t="str">
        <x:v>SKU-009</x:v>
      </x:c>
      <x:c r="O2936" t="n">
        <x:v>1</x:v>
      </x:c>
      <x:c r="P2936" s="26" t="n">
        <x:f>F2936/O2936</x:f>
        <x:v>1495.44</x:v>
      </x:c>
    </x:row>
    <x:row r="2937">
      <x:c r="A2937" t="n">
        <x:v>2936</x:v>
      </x:c>
      <x:c r="B2937" t="n">
        <x:v>37</x:v>
      </x:c>
      <x:c r="C2937" t="str">
        <x:v>Female</x:v>
      </x:c>
      <x:c r="D2937" t="str">
        <x:v>Beauty</x:v>
      </x:c>
      <x:c r="E2937" t="str">
        <x:v>Perfume</x:v>
      </x:c>
      <x:c r="F2937" s="24" t="n">
        <x:v>91.16</x:v>
      </x:c>
      <x:c r="G2937" t="str">
        <x:v>Autumn</x:v>
      </x:c>
      <x:c r="H2937" t="str">
        <x:v>Cash on Delivery</x:v>
      </x:c>
      <x:c r="I2937" t="n">
        <x:v>4.5</x:v>
      </x:c>
      <x:c r="J2937" t="n">
        <x:v>12</x:v>
      </x:c>
      <x:c r="K2937" t="n">
        <x:v>6</x:v>
      </x:c>
      <x:c r="L2937" t="str">
        <x:v>STORE-001</x:v>
      </x:c>
      <x:c r="M2937" s="22" t="n">
        <x:v>46169</x:v>
      </x:c>
      <x:c r="N2937" t="str">
        <x:v>SKU-017</x:v>
      </x:c>
      <x:c r="O2937" t="n">
        <x:v>1</x:v>
      </x:c>
      <x:c r="P2937" s="26" t="n">
        <x:f>F2937/O2937</x:f>
        <x:v>91.16</x:v>
      </x:c>
    </x:row>
    <x:row r="2938">
      <x:c r="A2938" t="n">
        <x:v>2937</x:v>
      </x:c>
      <x:c r="B2938" t="n">
        <x:v>64</x:v>
      </x:c>
      <x:c r="C2938" t="str">
        <x:v>Male</x:v>
      </x:c>
      <x:c r="D2938" t="str">
        <x:v>Home</x:v>
      </x:c>
      <x:c r="E2938" t="str">
        <x:v>Kitchen Set</x:v>
      </x:c>
      <x:c r="F2938" s="24" t="n">
        <x:v>145.24</x:v>
      </x:c>
      <x:c r="G2938" t="str">
        <x:v>Spring</x:v>
      </x:c>
      <x:c r="H2938" t="str">
        <x:v>Card</x:v>
      </x:c>
      <x:c r="I2938" t="n">
        <x:v>3.4</x:v>
      </x:c>
      <x:c r="J2938" t="n">
        <x:v>19</x:v>
      </x:c>
      <x:c r="K2938" t="n">
        <x:v>7</x:v>
      </x:c>
      <x:c r="L2938" t="str">
        <x:v>STORE-001</x:v>
      </x:c>
      <x:c r="M2938" s="22" t="n">
        <x:v>46268</x:v>
      </x:c>
      <x:c r="N2938" t="str">
        <x:v>SKU-012</x:v>
      </x:c>
      <x:c r="O2938" t="n">
        <x:v>1</x:v>
      </x:c>
      <x:c r="P2938" s="26" t="n">
        <x:f>F2938/O2938</x:f>
        <x:v>145.24</x:v>
      </x:c>
    </x:row>
    <x:row r="2939">
      <x:c r="A2939" t="n">
        <x:v>2938</x:v>
      </x:c>
      <x:c r="B2939" t="n">
        <x:v>21</x:v>
      </x:c>
      <x:c r="C2939" t="str">
        <x:v>Female</x:v>
      </x:c>
      <x:c r="D2939" t="str">
        <x:v>Beauty</x:v>
      </x:c>
      <x:c r="E2939" t="str">
        <x:v>Makeup Set</x:v>
      </x:c>
      <x:c r="F2939" s="24" t="n">
        <x:v>31.76</x:v>
      </x:c>
      <x:c r="G2939" t="str">
        <x:v>Autumn</x:v>
      </x:c>
      <x:c r="H2939" t="str">
        <x:v>Cash on Delivery</x:v>
      </x:c>
      <x:c r="I2939" t="n">
        <x:v>4.1</x:v>
      </x:c>
      <x:c r="J2939" t="n">
        <x:v>19</x:v>
      </x:c>
      <x:c r="K2939" t="n">
        <x:v>7</x:v>
      </x:c>
      <x:c r="L2939" t="str">
        <x:v>STORE-001</x:v>
      </x:c>
      <x:c r="M2939" s="22" t="n">
        <x:v>46086</x:v>
      </x:c>
      <x:c r="N2939" t="str">
        <x:v>SKU-015</x:v>
      </x:c>
      <x:c r="O2939" t="n">
        <x:v>1</x:v>
      </x:c>
      <x:c r="P2939" s="26" t="n">
        <x:f>F2939/O2939</x:f>
        <x:v>31.76</x:v>
      </x:c>
    </x:row>
    <x:row r="2940">
      <x:c r="A2940" t="n">
        <x:v>2939</x:v>
      </x:c>
      <x:c r="B2940" t="n">
        <x:v>50</x:v>
      </x:c>
      <x:c r="C2940" t="str">
        <x:v>Male</x:v>
      </x:c>
      <x:c r="D2940" t="str">
        <x:v>Electronics</x:v>
      </x:c>
      <x:c r="E2940" t="str">
        <x:v>Mobile Phone</x:v>
      </x:c>
      <x:c r="F2940" s="24" t="n">
        <x:v>1363.84</x:v>
      </x:c>
      <x:c r="G2940" t="str">
        <x:v>Autumn</x:v>
      </x:c>
      <x:c r="H2940" t="str">
        <x:v>Card</x:v>
      </x:c>
      <x:c r="I2940" t="n">
        <x:v>4.2</x:v>
      </x:c>
      <x:c r="J2940" t="n">
        <x:v>20</x:v>
      </x:c>
      <x:c r="K2940" t="n">
        <x:v>10</x:v>
      </x:c>
      <x:c r="L2940" t="str">
        <x:v>STORE-001</x:v>
      </x:c>
      <x:c r="M2940" s="22" t="n">
        <x:v>46166</x:v>
      </x:c>
      <x:c r="N2940" t="str">
        <x:v>SKU-016</x:v>
      </x:c>
      <x:c r="O2940" t="n">
        <x:v>1</x:v>
      </x:c>
      <x:c r="P2940" s="26" t="n">
        <x:f>F2940/O2940</x:f>
        <x:v>1363.84</x:v>
      </x:c>
    </x:row>
    <x:row r="2941">
      <x:c r="A2941" t="n">
        <x:v>2940</x:v>
      </x:c>
      <x:c r="B2941" t="n">
        <x:v>27</x:v>
      </x:c>
      <x:c r="C2941" t="str">
        <x:v>Female</x:v>
      </x:c>
      <x:c r="D2941" t="str">
        <x:v>Womens Clothing</x:v>
      </x:c>
      <x:c r="E2941" t="str">
        <x:v>Top</x:v>
      </x:c>
      <x:c r="F2941" s="24" t="n">
        <x:v>49.97</x:v>
      </x:c>
      <x:c r="G2941" t="str">
        <x:v>Autumn</x:v>
      </x:c>
      <x:c r="H2941" t="str">
        <x:v>Cash on Delivery</x:v>
      </x:c>
      <x:c r="I2941" t="n">
        <x:v>3.7</x:v>
      </x:c>
      <x:c r="J2941" t="n">
        <x:v>13</x:v>
      </x:c>
      <x:c r="K2941" t="n">
        <x:v>4</x:v>
      </x:c>
      <x:c r="L2941" t="str">
        <x:v>STORE-001</x:v>
      </x:c>
      <x:c r="M2941" s="22" t="n">
        <x:v>46095</x:v>
      </x:c>
      <x:c r="N2941" t="str">
        <x:v>SKU-028</x:v>
      </x:c>
      <x:c r="O2941" t="n">
        <x:v>2</x:v>
      </x:c>
      <x:c r="P2941" s="26" t="n">
        <x:f>F2941/O2941</x:f>
        <x:v>24.985</x:v>
      </x:c>
    </x:row>
    <x:row r="2942">
      <x:c r="A2942" t="n">
        <x:v>2941</x:v>
      </x:c>
      <x:c r="B2942" t="n">
        <x:v>22</x:v>
      </x:c>
      <x:c r="C2942" t="str">
        <x:v>Male</x:v>
      </x:c>
      <x:c r="D2942" t="str">
        <x:v>Electronics</x:v>
      </x:c>
      <x:c r="E2942" t="str">
        <x:v>Mobile Phone</x:v>
      </x:c>
      <x:c r="F2942" s="24" t="n">
        <x:v>1428.39</x:v>
      </x:c>
      <x:c r="G2942" t="str">
        <x:v>Summer</x:v>
      </x:c>
      <x:c r="H2942" t="str">
        <x:v>Card</x:v>
      </x:c>
      <x:c r="I2942" t="n">
        <x:v>3.6</x:v>
      </x:c>
      <x:c r="J2942" t="n">
        <x:v>24</x:v>
      </x:c>
      <x:c r="K2942" t="n">
        <x:v>7</x:v>
      </x:c>
      <x:c r="L2942" t="str">
        <x:v>STORE-001</x:v>
      </x:c>
      <x:c r="M2942" s="22" t="n">
        <x:v>46077</x:v>
      </x:c>
      <x:c r="N2942" t="str">
        <x:v>SKU-016</x:v>
      </x:c>
      <x:c r="O2942" t="n">
        <x:v>2</x:v>
      </x:c>
      <x:c r="P2942" s="26" t="n">
        <x:f>F2942/O2942</x:f>
        <x:v>714.195</x:v>
      </x:c>
    </x:row>
    <x:row r="2943">
      <x:c r="A2943" t="n">
        <x:v>2942</x:v>
      </x:c>
      <x:c r="B2943" t="n">
        <x:v>63</x:v>
      </x:c>
      <x:c r="C2943" t="str">
        <x:v>Male</x:v>
      </x:c>
      <x:c r="D2943" t="str">
        <x:v>Home</x:v>
      </x:c>
      <x:c r="E2943" t="str">
        <x:v>Curtains</x:v>
      </x:c>
      <x:c r="F2943" s="24" t="n">
        <x:v>208.41</x:v>
      </x:c>
      <x:c r="G2943" t="str">
        <x:v>Autumn</x:v>
      </x:c>
      <x:c r="H2943" t="str">
        <x:v>Card</x:v>
      </x:c>
      <x:c r="I2943" t="n">
        <x:v>4.2</x:v>
      </x:c>
      <x:c r="J2943" t="n">
        <x:v>30</x:v>
      </x:c>
      <x:c r="K2943" t="n">
        <x:v>10</x:v>
      </x:c>
      <x:c r="L2943" t="str">
        <x:v>STORE-001</x:v>
      </x:c>
      <x:c r="M2943" s="22" t="n">
        <x:v>46111</x:v>
      </x:c>
      <x:c r="N2943" t="str">
        <x:v>SKU-003</x:v>
      </x:c>
      <x:c r="O2943" t="n">
        <x:v>1</x:v>
      </x:c>
      <x:c r="P2943" s="26" t="n">
        <x:f>F2943/O2943</x:f>
        <x:v>208.41</x:v>
      </x:c>
    </x:row>
    <x:row r="2944">
      <x:c r="A2944" t="n">
        <x:v>2943</x:v>
      </x:c>
      <x:c r="B2944" t="n">
        <x:v>28</x:v>
      </x:c>
      <x:c r="C2944" t="str">
        <x:v>Female</x:v>
      </x:c>
      <x:c r="D2944" t="str">
        <x:v>Footwear</x:v>
      </x:c>
      <x:c r="E2944" t="str">
        <x:v>Sneakers</x:v>
      </x:c>
      <x:c r="F2944" s="24" t="n">
        <x:v>220.01</x:v>
      </x:c>
      <x:c r="G2944" t="str">
        <x:v>Spring</x:v>
      </x:c>
      <x:c r="H2944" t="str">
        <x:v>Card</x:v>
      </x:c>
      <x:c r="I2944" t="n">
        <x:v>2.7</x:v>
      </x:c>
      <x:c r="J2944" t="n">
        <x:v>15</x:v>
      </x:c>
      <x:c r="K2944" t="n">
        <x:v>5</x:v>
      </x:c>
      <x:c r="L2944" t="str">
        <x:v>STORE-001</x:v>
      </x:c>
      <x:c r="M2944" s="22" t="n">
        <x:v>45946</x:v>
      </x:c>
      <x:c r="N2944" t="str">
        <x:v>SKU-025</x:v>
      </x:c>
      <x:c r="O2944" t="n">
        <x:v>2</x:v>
      </x:c>
      <x:c r="P2944" s="26" t="n">
        <x:f>F2944/O2944</x:f>
        <x:v>110.005</x:v>
      </x:c>
    </x:row>
    <x:row r="2945">
      <x:c r="A2945" t="n">
        <x:v>2944</x:v>
      </x:c>
      <x:c r="B2945" t="n">
        <x:v>48</x:v>
      </x:c>
      <x:c r="C2945" t="str">
        <x:v>Male</x:v>
      </x:c>
      <x:c r="D2945" t="str">
        <x:v>Electronics</x:v>
      </x:c>
      <x:c r="E2945" t="str">
        <x:v>Mobile Phone</x:v>
      </x:c>
      <x:c r="F2945" s="24" t="n">
        <x:v>1710.27</x:v>
      </x:c>
      <x:c r="G2945" t="str">
        <x:v>Winter</x:v>
      </x:c>
      <x:c r="H2945" t="str">
        <x:v>Card</x:v>
      </x:c>
      <x:c r="I2945" t="n">
        <x:v>3.9</x:v>
      </x:c>
      <x:c r="J2945" t="n">
        <x:v>11</x:v>
      </x:c>
      <x:c r="K2945" t="n">
        <x:v>3</x:v>
      </x:c>
      <x:c r="L2945" t="str">
        <x:v>STORE-001</x:v>
      </x:c>
      <x:c r="M2945" s="22" t="n">
        <x:v>46197</x:v>
      </x:c>
      <x:c r="N2945" t="str">
        <x:v>SKU-016</x:v>
      </x:c>
      <x:c r="O2945" t="n">
        <x:v>1</x:v>
      </x:c>
      <x:c r="P2945" s="26" t="n">
        <x:f>F2945/O2945</x:f>
        <x:v>1710.27</x:v>
      </x:c>
    </x:row>
    <x:row r="2946">
      <x:c r="A2946" t="n">
        <x:v>2945</x:v>
      </x:c>
      <x:c r="B2946" t="n">
        <x:v>31</x:v>
      </x:c>
      <x:c r="C2946" t="str">
        <x:v>Male</x:v>
      </x:c>
      <x:c r="D2946" t="str">
        <x:v>Sports</x:v>
      </x:c>
      <x:c r="E2946" t="str">
        <x:v>Yoga Mat</x:v>
      </x:c>
      <x:c r="F2946" s="24" t="n">
        <x:v>234.56</x:v>
      </x:c>
      <x:c r="G2946" t="str">
        <x:v>Winter</x:v>
      </x:c>
      <x:c r="H2946" t="str">
        <x:v>Card</x:v>
      </x:c>
      <x:c r="I2946" t="n">
        <x:v>4.3</x:v>
      </x:c>
      <x:c r="J2946" t="n">
        <x:v>18</x:v>
      </x:c>
      <x:c r="K2946" t="n">
        <x:v>4</x:v>
      </x:c>
      <x:c r="L2946" t="str">
        <x:v>STORE-001</x:v>
      </x:c>
      <x:c r="M2946" s="22" t="n">
        <x:v>46237</x:v>
      </x:c>
      <x:c r="N2946" t="str">
        <x:v>SKU-030</x:v>
      </x:c>
      <x:c r="O2946" t="n">
        <x:v>1</x:v>
      </x:c>
      <x:c r="P2946" s="26" t="n">
        <x:f>F2946/O2946</x:f>
        <x:v>234.56</x:v>
      </x:c>
    </x:row>
    <x:row r="2947">
      <x:c r="A2947" t="n">
        <x:v>2946</x:v>
      </x:c>
      <x:c r="B2947" t="n">
        <x:v>29</x:v>
      </x:c>
      <x:c r="C2947" t="str">
        <x:v>Female</x:v>
      </x:c>
      <x:c r="D2947" t="str">
        <x:v>Footwear</x:v>
      </x:c>
      <x:c r="E2947" t="str">
        <x:v>Formal Shoes</x:v>
      </x:c>
      <x:c r="F2947" s="24" t="n">
        <x:v>146.87</x:v>
      </x:c>
      <x:c r="G2947" t="str">
        <x:v>Autumn</x:v>
      </x:c>
      <x:c r="H2947" t="str">
        <x:v>Card</x:v>
      </x:c>
      <x:c r="I2947" t="n">
        <x:v>3.4</x:v>
      </x:c>
      <x:c r="J2947" t="n">
        <x:v>6</x:v>
      </x:c>
      <x:c r="K2947" t="n">
        <x:v>3</x:v>
      </x:c>
      <x:c r="L2947" t="str">
        <x:v>STORE-001</x:v>
      </x:c>
      <x:c r="M2947" s="22" t="n">
        <x:v>46085</x:v>
      </x:c>
      <x:c r="N2947" t="str">
        <x:v>SKU-007</x:v>
      </x:c>
      <x:c r="O2947" t="n">
        <x:v>1</x:v>
      </x:c>
      <x:c r="P2947" s="26" t="n">
        <x:f>F2947/O2947</x:f>
        <x:v>146.87</x:v>
      </x:c>
    </x:row>
    <x:row r="2948">
      <x:c r="A2948" t="n">
        <x:v>2947</x:v>
      </x:c>
      <x:c r="B2948" t="n">
        <x:v>62</x:v>
      </x:c>
      <x:c r="C2948" t="str">
        <x:v>Female</x:v>
      </x:c>
      <x:c r="D2948" t="str">
        <x:v>Accessories</x:v>
      </x:c>
      <x:c r="E2948" t="str">
        <x:v>Handbag</x:v>
      </x:c>
      <x:c r="F2948" s="24" t="n">
        <x:v>20.66</x:v>
      </x:c>
      <x:c r="G2948" t="str">
        <x:v>Spring</x:v>
      </x:c>
      <x:c r="H2948" t="str">
        <x:v>Card</x:v>
      </x:c>
      <x:c r="I2948" t="n">
        <x:v>4.7</x:v>
      </x:c>
      <x:c r="J2948" t="n">
        <x:v>10</x:v>
      </x:c>
      <x:c r="K2948" t="n">
        <x:v>5</x:v>
      </x:c>
      <x:c r="L2948" t="str">
        <x:v>STORE-001</x:v>
      </x:c>
      <x:c r="M2948" s="22" t="n">
        <x:v>45972</x:v>
      </x:c>
      <x:c r="N2948" t="str">
        <x:v>SKU-008</x:v>
      </x:c>
      <x:c r="O2948" t="n">
        <x:v>2</x:v>
      </x:c>
      <x:c r="P2948" s="26" t="n">
        <x:f>F2948/O2948</x:f>
        <x:v>10.33</x:v>
      </x:c>
    </x:row>
    <x:row r="2949">
      <x:c r="A2949" t="n">
        <x:v>2948</x:v>
      </x:c>
      <x:c r="B2949" t="n">
        <x:v>37</x:v>
      </x:c>
      <x:c r="C2949" t="str">
        <x:v>Female</x:v>
      </x:c>
      <x:c r="D2949" t="str">
        <x:v>Beauty</x:v>
      </x:c>
      <x:c r="E2949" t="str">
        <x:v>Perfume</x:v>
      </x:c>
      <x:c r="F2949" s="24" t="n">
        <x:v>97.9</x:v>
      </x:c>
      <x:c r="G2949" t="str">
        <x:v>Autumn</x:v>
      </x:c>
      <x:c r="H2949" t="str">
        <x:v>Card</x:v>
      </x:c>
      <x:c r="I2949" t="n">
        <x:v>4.2</x:v>
      </x:c>
      <x:c r="J2949" t="n">
        <x:v>14</x:v>
      </x:c>
      <x:c r="K2949" t="n">
        <x:v>7</x:v>
      </x:c>
      <x:c r="L2949" t="str">
        <x:v>STORE-001</x:v>
      </x:c>
      <x:c r="M2949" s="22" t="n">
        <x:v>46156</x:v>
      </x:c>
      <x:c r="N2949" t="str">
        <x:v>SKU-017</x:v>
      </x:c>
      <x:c r="O2949" t="n">
        <x:v>1</x:v>
      </x:c>
      <x:c r="P2949" s="26" t="n">
        <x:f>F2949/O2949</x:f>
        <x:v>97.9</x:v>
      </x:c>
    </x:row>
    <x:row r="2950">
      <x:c r="A2950" t="n">
        <x:v>2949</x:v>
      </x:c>
      <x:c r="B2950" t="n">
        <x:v>51</x:v>
      </x:c>
      <x:c r="C2950" t="str">
        <x:v>Male</x:v>
      </x:c>
      <x:c r="D2950" t="str">
        <x:v>Electronics</x:v>
      </x:c>
      <x:c r="E2950" t="str">
        <x:v>Mobile Phone</x:v>
      </x:c>
      <x:c r="F2950" s="24" t="n">
        <x:v>1172.28</x:v>
      </x:c>
      <x:c r="G2950" t="str">
        <x:v>Winter</x:v>
      </x:c>
      <x:c r="H2950" t="str">
        <x:v>Card</x:v>
      </x:c>
      <x:c r="I2950" t="n">
        <x:v>4.1</x:v>
      </x:c>
      <x:c r="J2950" t="n">
        <x:v>6</x:v>
      </x:c>
      <x:c r="K2950" t="n">
        <x:v>3</x:v>
      </x:c>
      <x:c r="L2950" t="str">
        <x:v>STORE-001</x:v>
      </x:c>
      <x:c r="M2950" s="22" t="n">
        <x:v>46175</x:v>
      </x:c>
      <x:c r="N2950" t="str">
        <x:v>SKU-016</x:v>
      </x:c>
      <x:c r="O2950" t="n">
        <x:v>1</x:v>
      </x:c>
      <x:c r="P2950" s="26" t="n">
        <x:f>F2950/O2950</x:f>
        <x:v>1172.28</x:v>
      </x:c>
    </x:row>
    <x:row r="2951">
      <x:c r="A2951" t="n">
        <x:v>2950</x:v>
      </x:c>
      <x:c r="B2951" t="n">
        <x:v>52</x:v>
      </x:c>
      <x:c r="C2951" t="str">
        <x:v>Female</x:v>
      </x:c>
      <x:c r="D2951" t="str">
        <x:v>Accessories</x:v>
      </x:c>
      <x:c r="E2951" t="str">
        <x:v>Wallet</x:v>
      </x:c>
      <x:c r="F2951" s="24" t="n">
        <x:v>48.23</x:v>
      </x:c>
      <x:c r="G2951" t="str">
        <x:v>Summer</x:v>
      </x:c>
      <x:c r="H2951" t="str">
        <x:v>Card</x:v>
      </x:c>
      <x:c r="I2951" t="n">
        <x:v>3.4</x:v>
      </x:c>
      <x:c r="J2951" t="n">
        <x:v>4</x:v>
      </x:c>
      <x:c r="K2951" t="n">
        <x:v>2</x:v>
      </x:c>
      <x:c r="L2951" t="str">
        <x:v>STORE-001</x:v>
      </x:c>
      <x:c r="M2951" s="22" t="n">
        <x:v>46079</x:v>
      </x:c>
      <x:c r="N2951" t="str">
        <x:v>SKU-029</x:v>
      </x:c>
      <x:c r="O2951" t="n">
        <x:v>1</x:v>
      </x:c>
      <x:c r="P2951" s="26" t="n">
        <x:f>F2951/O2951</x:f>
        <x:v>48.23</x:v>
      </x:c>
    </x:row>
    <x:row r="2952">
      <x:c r="A2952" t="n">
        <x:v>2951</x:v>
      </x:c>
      <x:c r="B2952" t="n">
        <x:v>53</x:v>
      </x:c>
      <x:c r="C2952" t="str">
        <x:v>Female</x:v>
      </x:c>
      <x:c r="D2952" t="str">
        <x:v>Accessories</x:v>
      </x:c>
      <x:c r="E2952" t="str">
        <x:v>Wallet</x:v>
      </x:c>
      <x:c r="F2952" s="24" t="n">
        <x:v>60.58</x:v>
      </x:c>
      <x:c r="G2952" t="str">
        <x:v>Summer</x:v>
      </x:c>
      <x:c r="H2952" t="str">
        <x:v>Card</x:v>
      </x:c>
      <x:c r="I2952" t="n">
        <x:v>4.6</x:v>
      </x:c>
      <x:c r="J2952" t="n">
        <x:v>11</x:v>
      </x:c>
      <x:c r="K2952" t="n">
        <x:v>3</x:v>
      </x:c>
      <x:c r="L2952" t="str">
        <x:v>STORE-001</x:v>
      </x:c>
      <x:c r="M2952" s="22" t="n">
        <x:v>46031</x:v>
      </x:c>
      <x:c r="N2952" t="str">
        <x:v>SKU-029</x:v>
      </x:c>
      <x:c r="O2952" t="n">
        <x:v>1</x:v>
      </x:c>
      <x:c r="P2952" s="26" t="n">
        <x:f>F2952/O2952</x:f>
        <x:v>60.58</x:v>
      </x:c>
    </x:row>
    <x:row r="2953">
      <x:c r="A2953" t="n">
        <x:v>2952</x:v>
      </x:c>
      <x:c r="B2953" t="n">
        <x:v>67</x:v>
      </x:c>
      <x:c r="C2953" t="str">
        <x:v>Female</x:v>
      </x:c>
      <x:c r="D2953" t="str">
        <x:v>Womens Clothing</x:v>
      </x:c>
      <x:c r="E2953" t="str">
        <x:v>Dress</x:v>
      </x:c>
      <x:c r="F2953" s="24" t="n">
        <x:v>153.51</x:v>
      </x:c>
      <x:c r="G2953" t="str">
        <x:v>Winter</x:v>
      </x:c>
      <x:c r="H2953" t="str">
        <x:v>Card</x:v>
      </x:c>
      <x:c r="I2953" t="n">
        <x:v>4</x:v>
      </x:c>
      <x:c r="J2953" t="n">
        <x:v>8</x:v>
      </x:c>
      <x:c r="K2953" t="n">
        <x:v>4</x:v>
      </x:c>
      <x:c r="L2953" t="str">
        <x:v>STORE-001</x:v>
      </x:c>
      <x:c r="M2953" s="22" t="n">
        <x:v>46250</x:v>
      </x:c>
      <x:c r="N2953" t="str">
        <x:v>SKU-004</x:v>
      </x:c>
      <x:c r="O2953" t="n">
        <x:v>2</x:v>
      </x:c>
      <x:c r="P2953" s="26" t="n">
        <x:f>F2953/O2953</x:f>
        <x:v>76.755</x:v>
      </x:c>
    </x:row>
    <x:row r="2954">
      <x:c r="A2954" t="n">
        <x:v>2953</x:v>
      </x:c>
      <x:c r="B2954" t="n">
        <x:v>70</x:v>
      </x:c>
      <x:c r="C2954" t="str">
        <x:v>Female</x:v>
      </x:c>
      <x:c r="D2954" t="str">
        <x:v>Footwear</x:v>
      </x:c>
      <x:c r="E2954" t="str">
        <x:v>Sneakers</x:v>
      </x:c>
      <x:c r="F2954" s="24" t="n">
        <x:v>116.7</x:v>
      </x:c>
      <x:c r="G2954" t="str">
        <x:v>Spring</x:v>
      </x:c>
      <x:c r="H2954" t="str">
        <x:v>Card</x:v>
      </x:c>
      <x:c r="I2954" t="n">
        <x:v>4.6</x:v>
      </x:c>
      <x:c r="J2954" t="n">
        <x:v>18</x:v>
      </x:c>
      <x:c r="K2954" t="n">
        <x:v>4</x:v>
      </x:c>
      <x:c r="L2954" t="str">
        <x:v>STORE-001</x:v>
      </x:c>
      <x:c r="M2954" s="22" t="n">
        <x:v>45963</x:v>
      </x:c>
      <x:c r="N2954" t="str">
        <x:v>SKU-025</x:v>
      </x:c>
      <x:c r="O2954" t="n">
        <x:v>1</x:v>
      </x:c>
      <x:c r="P2954" s="26" t="n">
        <x:f>F2954/O2954</x:f>
        <x:v>116.7</x:v>
      </x:c>
    </x:row>
    <x:row r="2955">
      <x:c r="A2955" t="n">
        <x:v>2954</x:v>
      </x:c>
      <x:c r="B2955" t="n">
        <x:v>37</x:v>
      </x:c>
      <x:c r="C2955" t="str">
        <x:v>Male</x:v>
      </x:c>
      <x:c r="D2955" t="str">
        <x:v>Sports</x:v>
      </x:c>
      <x:c r="E2955" t="str">
        <x:v>Yoga Mat</x:v>
      </x:c>
      <x:c r="F2955" s="24" t="n">
        <x:v>41.88</x:v>
      </x:c>
      <x:c r="G2955" t="str">
        <x:v>Summer</x:v>
      </x:c>
      <x:c r="H2955" t="str">
        <x:v>Cash on Delivery</x:v>
      </x:c>
      <x:c r="I2955" t="n">
        <x:v>3.6</x:v>
      </x:c>
      <x:c r="J2955" t="n">
        <x:v>15</x:v>
      </x:c>
      <x:c r="K2955" t="n">
        <x:v>5</x:v>
      </x:c>
      <x:c r="L2955" t="str">
        <x:v>STORE-001</x:v>
      </x:c>
      <x:c r="M2955" s="22" t="n">
        <x:v>46030</x:v>
      </x:c>
      <x:c r="N2955" t="str">
        <x:v>SKU-030</x:v>
      </x:c>
      <x:c r="O2955" t="n">
        <x:v>2</x:v>
      </x:c>
      <x:c r="P2955" s="26" t="n">
        <x:f>F2955/O2955</x:f>
        <x:v>20.94</x:v>
      </x:c>
    </x:row>
    <x:row r="2956">
      <x:c r="A2956" t="n">
        <x:v>2955</x:v>
      </x:c>
      <x:c r="B2956" t="n">
        <x:v>44</x:v>
      </x:c>
      <x:c r="C2956" t="str">
        <x:v>Female</x:v>
      </x:c>
      <x:c r="D2956" t="str">
        <x:v>Groceries</x:v>
      </x:c>
      <x:c r="E2956" t="str">
        <x:v>Rice Pack</x:v>
      </x:c>
      <x:c r="F2956" s="24" t="n">
        <x:v>43.31</x:v>
      </x:c>
      <x:c r="G2956" t="str">
        <x:v>Autumn</x:v>
      </x:c>
      <x:c r="H2956" t="str">
        <x:v>Cash on Delivery</x:v>
      </x:c>
      <x:c r="I2956" t="n">
        <x:v>3.9</x:v>
      </x:c>
      <x:c r="J2956" t="n">
        <x:v>20</x:v>
      </x:c>
      <x:c r="K2956" t="n">
        <x:v>10</x:v>
      </x:c>
      <x:c r="L2956" t="str">
        <x:v>STORE-001</x:v>
      </x:c>
      <x:c r="M2956" s="22" t="n">
        <x:v>46100</x:v>
      </x:c>
      <x:c r="N2956" t="str">
        <x:v>SKU-018</x:v>
      </x:c>
      <x:c r="O2956" t="n">
        <x:v>2</x:v>
      </x:c>
      <x:c r="P2956" s="26" t="n">
        <x:f>F2956/O2956</x:f>
        <x:v>21.655</x:v>
      </x:c>
    </x:row>
    <x:row r="2957">
      <x:c r="A2957" t="n">
        <x:v>2956</x:v>
      </x:c>
      <x:c r="B2957" t="n">
        <x:v>57</x:v>
      </x:c>
      <x:c r="C2957" t="str">
        <x:v>Female</x:v>
      </x:c>
      <x:c r="D2957" t="str">
        <x:v>Womens Clothing</x:v>
      </x:c>
      <x:c r="E2957" t="str">
        <x:v>Dress</x:v>
      </x:c>
      <x:c r="F2957" s="24" t="n">
        <x:v>186.86</x:v>
      </x:c>
      <x:c r="G2957" t="str">
        <x:v>Autumn</x:v>
      </x:c>
      <x:c r="H2957" t="str">
        <x:v>Card</x:v>
      </x:c>
      <x:c r="I2957" t="n">
        <x:v>2.9</x:v>
      </x:c>
      <x:c r="J2957" t="n">
        <x:v>9</x:v>
      </x:c>
      <x:c r="K2957" t="n">
        <x:v>2</x:v>
      </x:c>
      <x:c r="L2957" t="str">
        <x:v>STORE-001</x:v>
      </x:c>
      <x:c r="M2957" s="22" t="n">
        <x:v>46141</x:v>
      </x:c>
      <x:c r="N2957" t="str">
        <x:v>SKU-004</x:v>
      </x:c>
      <x:c r="O2957" t="n">
        <x:v>1</x:v>
      </x:c>
      <x:c r="P2957" s="26" t="n">
        <x:f>F2957/O2957</x:f>
        <x:v>186.86</x:v>
      </x:c>
    </x:row>
    <x:row r="2958">
      <x:c r="A2958" t="n">
        <x:v>2957</x:v>
      </x:c>
      <x:c r="B2958" t="n">
        <x:v>61</x:v>
      </x:c>
      <x:c r="C2958" t="str">
        <x:v>Male</x:v>
      </x:c>
      <x:c r="D2958" t="str">
        <x:v>Home</x:v>
      </x:c>
      <x:c r="E2958" t="str">
        <x:v>Curtains</x:v>
      </x:c>
      <x:c r="F2958" s="24" t="n">
        <x:v>151.26</x:v>
      </x:c>
      <x:c r="G2958" t="str">
        <x:v>Winter</x:v>
      </x:c>
      <x:c r="H2958" t="str">
        <x:v>Card</x:v>
      </x:c>
      <x:c r="I2958" t="n">
        <x:v>4.4</x:v>
      </x:c>
      <x:c r="J2958" t="n">
        <x:v>11</x:v>
      </x:c>
      <x:c r="K2958" t="n">
        <x:v>3</x:v>
      </x:c>
      <x:c r="L2958" t="str">
        <x:v>STORE-001</x:v>
      </x:c>
      <x:c r="M2958" s="22" t="n">
        <x:v>46240</x:v>
      </x:c>
      <x:c r="N2958" t="str">
        <x:v>SKU-003</x:v>
      </x:c>
      <x:c r="O2958" t="n">
        <x:v>1</x:v>
      </x:c>
      <x:c r="P2958" s="26" t="n">
        <x:f>F2958/O2958</x:f>
        <x:v>151.26</x:v>
      </x:c>
    </x:row>
    <x:row r="2959">
      <x:c r="A2959" t="n">
        <x:v>2958</x:v>
      </x:c>
      <x:c r="B2959" t="n">
        <x:v>66</x:v>
      </x:c>
      <x:c r="C2959" t="str">
        <x:v>Female</x:v>
      </x:c>
      <x:c r="D2959" t="str">
        <x:v>Beauty</x:v>
      </x:c>
      <x:c r="E2959" t="str">
        <x:v>Perfume</x:v>
      </x:c>
      <x:c r="F2959" s="24" t="n">
        <x:v>130.45</x:v>
      </x:c>
      <x:c r="G2959" t="str">
        <x:v>Autumn</x:v>
      </x:c>
      <x:c r="H2959" t="str">
        <x:v>Card</x:v>
      </x:c>
      <x:c r="I2959" t="n">
        <x:v>3.5</x:v>
      </x:c>
      <x:c r="J2959" t="n">
        <x:v>14</x:v>
      </x:c>
      <x:c r="K2959" t="n">
        <x:v>7</x:v>
      </x:c>
      <x:c r="L2959" t="str">
        <x:v>STORE-001</x:v>
      </x:c>
      <x:c r="M2959" s="22" t="n">
        <x:v>46083</x:v>
      </x:c>
      <x:c r="N2959" t="str">
        <x:v>SKU-017</x:v>
      </x:c>
      <x:c r="O2959" t="n">
        <x:v>1</x:v>
      </x:c>
      <x:c r="P2959" s="26" t="n">
        <x:f>F2959/O2959</x:f>
        <x:v>130.45</x:v>
      </x:c>
    </x:row>
    <x:row r="2960">
      <x:c r="A2960" t="n">
        <x:v>2959</x:v>
      </x:c>
      <x:c r="B2960" t="n">
        <x:v>28</x:v>
      </x:c>
      <x:c r="C2960" t="str">
        <x:v>Male</x:v>
      </x:c>
      <x:c r="D2960" t="str">
        <x:v>Mens Clothing</x:v>
      </x:c>
      <x:c r="E2960" t="str">
        <x:v>Jacket</x:v>
      </x:c>
      <x:c r="F2960" s="24" t="n">
        <x:v>172.56</x:v>
      </x:c>
      <x:c r="G2960" t="str">
        <x:v>Winter</x:v>
      </x:c>
      <x:c r="H2960" t="str">
        <x:v>Card</x:v>
      </x:c>
      <x:c r="I2960" t="n">
        <x:v>4.2</x:v>
      </x:c>
      <x:c r="J2960" t="n">
        <x:v>20</x:v>
      </x:c>
      <x:c r="K2960" t="n">
        <x:v>5</x:v>
      </x:c>
      <x:c r="L2960" t="str">
        <x:v>STORE-001</x:v>
      </x:c>
      <x:c r="M2960" s="22" t="n">
        <x:v>46231</x:v>
      </x:c>
      <x:c r="N2960" t="str">
        <x:v>SKU-010</x:v>
      </x:c>
      <x:c r="O2960" t="n">
        <x:v>1</x:v>
      </x:c>
      <x:c r="P2960" s="26" t="n">
        <x:f>F2960/O2960</x:f>
        <x:v>172.56</x:v>
      </x:c>
    </x:row>
    <x:row r="2961">
      <x:c r="A2961" t="n">
        <x:v>2960</x:v>
      </x:c>
      <x:c r="B2961" t="n">
        <x:v>44</x:v>
      </x:c>
      <x:c r="C2961" t="str">
        <x:v>Female</x:v>
      </x:c>
      <x:c r="D2961" t="str">
        <x:v>Groceries</x:v>
      </x:c>
      <x:c r="E2961" t="str">
        <x:v>Rice Pack</x:v>
      </x:c>
      <x:c r="F2961" s="24" t="n">
        <x:v>65.95</x:v>
      </x:c>
      <x:c r="G2961" t="str">
        <x:v>Spring</x:v>
      </x:c>
      <x:c r="H2961" t="str">
        <x:v>Cash on Delivery</x:v>
      </x:c>
      <x:c r="I2961" t="n">
        <x:v>2.7</x:v>
      </x:c>
      <x:c r="J2961" t="n">
        <x:v>10</x:v>
      </x:c>
      <x:c r="K2961" t="n">
        <x:v>5</x:v>
      </x:c>
      <x:c r="L2961" t="str">
        <x:v>STORE-001</x:v>
      </x:c>
      <x:c r="M2961" s="22" t="n">
        <x:v>46289</x:v>
      </x:c>
      <x:c r="N2961" t="str">
        <x:v>SKU-018</x:v>
      </x:c>
      <x:c r="O2961" t="n">
        <x:v>3</x:v>
      </x:c>
      <x:c r="P2961" s="26" t="n">
        <x:f>F2961/O2961</x:f>
        <x:v>21.983333333333334</x:v>
      </x:c>
    </x:row>
    <x:row r="2962">
      <x:c r="A2962" t="n">
        <x:v>2961</x:v>
      </x:c>
      <x:c r="B2962" t="n">
        <x:v>61</x:v>
      </x:c>
      <x:c r="C2962" t="str">
        <x:v>Female</x:v>
      </x:c>
      <x:c r="D2962" t="str">
        <x:v>Womens Clothing</x:v>
      </x:c>
      <x:c r="E2962" t="str">
        <x:v>Dress</x:v>
      </x:c>
      <x:c r="F2962" s="24" t="n">
        <x:v>87.4</x:v>
      </x:c>
      <x:c r="G2962" t="str">
        <x:v>Summer</x:v>
      </x:c>
      <x:c r="H2962" t="str">
        <x:v>Cash on Delivery</x:v>
      </x:c>
      <x:c r="I2962" t="n">
        <x:v>3</x:v>
      </x:c>
      <x:c r="J2962" t="n">
        <x:v>20</x:v>
      </x:c>
      <x:c r="K2962" t="n">
        <x:v>5</x:v>
      </x:c>
      <x:c r="L2962" t="str">
        <x:v>STORE-001</x:v>
      </x:c>
      <x:c r="M2962" s="22" t="n">
        <x:v>46011</x:v>
      </x:c>
      <x:c r="N2962" t="str">
        <x:v>SKU-004</x:v>
      </x:c>
      <x:c r="O2962" t="n">
        <x:v>1</x:v>
      </x:c>
      <x:c r="P2962" s="26" t="n">
        <x:f>F2962/O2962</x:f>
        <x:v>87.4</x:v>
      </x:c>
    </x:row>
    <x:row r="2963">
      <x:c r="A2963" t="n">
        <x:v>2962</x:v>
      </x:c>
      <x:c r="B2963" t="n">
        <x:v>38</x:v>
      </x:c>
      <x:c r="C2963" t="str">
        <x:v>Male</x:v>
      </x:c>
      <x:c r="D2963" t="str">
        <x:v>Mens Clothing</x:v>
      </x:c>
      <x:c r="E2963" t="str">
        <x:v>Shirt</x:v>
      </x:c>
      <x:c r="F2963" s="24" t="n">
        <x:v>186.66</x:v>
      </x:c>
      <x:c r="G2963" t="str">
        <x:v>Summer</x:v>
      </x:c>
      <x:c r="H2963" t="str">
        <x:v>Card</x:v>
      </x:c>
      <x:c r="I2963" t="n">
        <x:v>4.6</x:v>
      </x:c>
      <x:c r="J2963" t="n">
        <x:v>16</x:v>
      </x:c>
      <x:c r="K2963" t="n">
        <x:v>3</x:v>
      </x:c>
      <x:c r="L2963" t="str">
        <x:v>STORE-001</x:v>
      </x:c>
      <x:c r="M2963" s="22" t="n">
        <x:v>46074</x:v>
      </x:c>
      <x:c r="N2963" t="str">
        <x:v>SKU-020</x:v>
      </x:c>
      <x:c r="O2963" t="n">
        <x:v>2</x:v>
      </x:c>
      <x:c r="P2963" s="26" t="n">
        <x:f>F2963/O2963</x:f>
        <x:v>93.33</x:v>
      </x:c>
    </x:row>
    <x:row r="2964">
      <x:c r="A2964" t="n">
        <x:v>2963</x:v>
      </x:c>
      <x:c r="B2964" t="n">
        <x:v>40</x:v>
      </x:c>
      <x:c r="C2964" t="str">
        <x:v>Female</x:v>
      </x:c>
      <x:c r="D2964" t="str">
        <x:v>Accessories</x:v>
      </x:c>
      <x:c r="E2964" t="str">
        <x:v>Handbag</x:v>
      </x:c>
      <x:c r="F2964" s="24" t="n">
        <x:v>41.27</x:v>
      </x:c>
      <x:c r="G2964" t="str">
        <x:v>Winter</x:v>
      </x:c>
      <x:c r="H2964" t="str">
        <x:v>Card</x:v>
      </x:c>
      <x:c r="I2964" t="n">
        <x:v>3.4</x:v>
      </x:c>
      <x:c r="J2964" t="n">
        <x:v>4</x:v>
      </x:c>
      <x:c r="K2964" t="n">
        <x:v>2</x:v>
      </x:c>
      <x:c r="L2964" t="str">
        <x:v>STORE-001</x:v>
      </x:c>
      <x:c r="M2964" s="22" t="n">
        <x:v>46217</x:v>
      </x:c>
      <x:c r="N2964" t="str">
        <x:v>SKU-008</x:v>
      </x:c>
      <x:c r="O2964" t="n">
        <x:v>1</x:v>
      </x:c>
      <x:c r="P2964" s="26" t="n">
        <x:f>F2964/O2964</x:f>
        <x:v>41.27</x:v>
      </x:c>
    </x:row>
    <x:row r="2965">
      <x:c r="A2965" t="n">
        <x:v>2964</x:v>
      </x:c>
      <x:c r="B2965" t="n">
        <x:v>36</x:v>
      </x:c>
      <x:c r="C2965" t="str">
        <x:v>Female</x:v>
      </x:c>
      <x:c r="D2965" t="str">
        <x:v>Beauty</x:v>
      </x:c>
      <x:c r="E2965" t="str">
        <x:v>Perfume</x:v>
      </x:c>
      <x:c r="F2965" s="24" t="n">
        <x:v>131.26</x:v>
      </x:c>
      <x:c r="G2965" t="str">
        <x:v>Winter</x:v>
      </x:c>
      <x:c r="H2965" t="str">
        <x:v>Card</x:v>
      </x:c>
      <x:c r="I2965" t="n">
        <x:v>2.9</x:v>
      </x:c>
      <x:c r="J2965" t="n">
        <x:v>16</x:v>
      </x:c>
      <x:c r="K2965" t="n">
        <x:v>3</x:v>
      </x:c>
      <x:c r="L2965" t="str">
        <x:v>STORE-001</x:v>
      </x:c>
      <x:c r="M2965" s="22" t="n">
        <x:v>46262</x:v>
      </x:c>
      <x:c r="N2965" t="str">
        <x:v>SKU-017</x:v>
      </x:c>
      <x:c r="O2965" t="n">
        <x:v>1</x:v>
      </x:c>
      <x:c r="P2965" s="26" t="n">
        <x:f>F2965/O2965</x:f>
        <x:v>131.26</x:v>
      </x:c>
    </x:row>
    <x:row r="2966">
      <x:c r="A2966" t="n">
        <x:v>2965</x:v>
      </x:c>
      <x:c r="B2966" t="n">
        <x:v>68</x:v>
      </x:c>
      <x:c r="C2966" t="str">
        <x:v>Female</x:v>
      </x:c>
      <x:c r="D2966" t="str">
        <x:v>Beauty</x:v>
      </x:c>
      <x:c r="E2966" t="str">
        <x:v>Makeup Set</x:v>
      </x:c>
      <x:c r="F2966" s="24" t="n">
        <x:v>57.54</x:v>
      </x:c>
      <x:c r="G2966" t="str">
        <x:v>Autumn</x:v>
      </x:c>
      <x:c r="H2966" t="str">
        <x:v>Card</x:v>
      </x:c>
      <x:c r="I2966" t="n">
        <x:v>4</x:v>
      </x:c>
      <x:c r="J2966" t="n">
        <x:v>22</x:v>
      </x:c>
      <x:c r="K2966" t="n">
        <x:v>6</x:v>
      </x:c>
      <x:c r="L2966" t="str">
        <x:v>STORE-001</x:v>
      </x:c>
      <x:c r="M2966" s="22" t="n">
        <x:v>46096</x:v>
      </x:c>
      <x:c r="N2966" t="str">
        <x:v>SKU-015</x:v>
      </x:c>
      <x:c r="O2966" t="n">
        <x:v>4</x:v>
      </x:c>
      <x:c r="P2966" s="26" t="n">
        <x:f>F2966/O2966</x:f>
        <x:v>14.385</x:v>
      </x:c>
    </x:row>
    <x:row r="2967">
      <x:c r="A2967" t="n">
        <x:v>2966</x:v>
      </x:c>
      <x:c r="B2967" t="n">
        <x:v>59</x:v>
      </x:c>
      <x:c r="C2967" t="str">
        <x:v>Male</x:v>
      </x:c>
      <x:c r="D2967" t="str">
        <x:v>Sports</x:v>
      </x:c>
      <x:c r="E2967" t="str">
        <x:v>Dumbbells</x:v>
      </x:c>
      <x:c r="F2967" s="24" t="n">
        <x:v>51.46</x:v>
      </x:c>
      <x:c r="G2967" t="str">
        <x:v>Summer</x:v>
      </x:c>
      <x:c r="H2967" t="str">
        <x:v>Card</x:v>
      </x:c>
      <x:c r="I2967" t="n">
        <x:v>4.4</x:v>
      </x:c>
      <x:c r="J2967" t="n">
        <x:v>11</x:v>
      </x:c>
      <x:c r="K2967" t="n">
        <x:v>3</x:v>
      </x:c>
      <x:c r="L2967" t="str">
        <x:v>STORE-001</x:v>
      </x:c>
      <x:c r="M2967" s="22" t="n">
        <x:v>46065</x:v>
      </x:c>
      <x:c r="N2967" t="str">
        <x:v>SKU-005</x:v>
      </x:c>
      <x:c r="O2967" t="n">
        <x:v>1</x:v>
      </x:c>
      <x:c r="P2967" s="26" t="n">
        <x:f>F2967/O2967</x:f>
        <x:v>51.46</x:v>
      </x:c>
    </x:row>
    <x:row r="2968">
      <x:c r="A2968" t="n">
        <x:v>2967</x:v>
      </x:c>
      <x:c r="B2968" t="n">
        <x:v>34</x:v>
      </x:c>
      <x:c r="C2968" t="str">
        <x:v>Male</x:v>
      </x:c>
      <x:c r="D2968" t="str">
        <x:v>Sports</x:v>
      </x:c>
      <x:c r="E2968" t="str">
        <x:v>Football</x:v>
      </x:c>
      <x:c r="F2968" s="24" t="n">
        <x:v>73.63</x:v>
      </x:c>
      <x:c r="G2968" t="str">
        <x:v>Spring</x:v>
      </x:c>
      <x:c r="H2968" t="str">
        <x:v>Cash on Delivery</x:v>
      </x:c>
      <x:c r="I2968" t="n">
        <x:v>4.5</x:v>
      </x:c>
      <x:c r="J2968" t="n">
        <x:v>34</x:v>
      </x:c>
      <x:c r="K2968" t="n">
        <x:v>12</x:v>
      </x:c>
      <x:c r="L2968" t="str">
        <x:v>STORE-001</x:v>
      </x:c>
      <x:c r="M2968" s="22" t="n">
        <x:v>45951</x:v>
      </x:c>
      <x:c r="N2968" t="str">
        <x:v>SKU-006</x:v>
      </x:c>
      <x:c r="O2968" t="n">
        <x:v>1</x:v>
      </x:c>
      <x:c r="P2968" s="26" t="n">
        <x:f>F2968/O2968</x:f>
        <x:v>73.63</x:v>
      </x:c>
    </x:row>
    <x:row r="2969">
      <x:c r="A2969" t="n">
        <x:v>2968</x:v>
      </x:c>
      <x:c r="B2969" t="n">
        <x:v>40</x:v>
      </x:c>
      <x:c r="C2969" t="str">
        <x:v>Female</x:v>
      </x:c>
      <x:c r="D2969" t="str">
        <x:v>Footwear</x:v>
      </x:c>
      <x:c r="E2969" t="str">
        <x:v>Sandals</x:v>
      </x:c>
      <x:c r="F2969" s="24" t="n">
        <x:v>169.28</x:v>
      </x:c>
      <x:c r="G2969" t="str">
        <x:v>Spring</x:v>
      </x:c>
      <x:c r="H2969" t="str">
        <x:v>Card</x:v>
      </x:c>
      <x:c r="I2969" t="n">
        <x:v>4.7</x:v>
      </x:c>
      <x:c r="J2969" t="n">
        <x:v>11</x:v>
      </x:c>
      <x:c r="K2969" t="n">
        <x:v>3</x:v>
      </x:c>
      <x:c r="L2969" t="str">
        <x:v>STORE-001</x:v>
      </x:c>
      <x:c r="M2969" s="22" t="n">
        <x:v>45989</x:v>
      </x:c>
      <x:c r="N2969" t="str">
        <x:v>SKU-019</x:v>
      </x:c>
      <x:c r="O2969" t="n">
        <x:v>1</x:v>
      </x:c>
      <x:c r="P2969" s="26" t="n">
        <x:f>F2969/O2969</x:f>
        <x:v>169.28</x:v>
      </x:c>
    </x:row>
    <x:row r="2970">
      <x:c r="A2970" t="n">
        <x:v>2969</x:v>
      </x:c>
      <x:c r="B2970" t="n">
        <x:v>67</x:v>
      </x:c>
      <x:c r="C2970" t="str">
        <x:v>Male</x:v>
      </x:c>
      <x:c r="D2970" t="str">
        <x:v>Mens Clothing</x:v>
      </x:c>
      <x:c r="E2970" t="str">
        <x:v>Jeans</x:v>
      </x:c>
      <x:c r="F2970" s="24" t="n">
        <x:v>168.33</x:v>
      </x:c>
      <x:c r="G2970" t="str">
        <x:v>Autumn</x:v>
      </x:c>
      <x:c r="H2970" t="str">
        <x:v>Card</x:v>
      </x:c>
      <x:c r="I2970" t="n">
        <x:v>3.3</x:v>
      </x:c>
      <x:c r="J2970" t="n">
        <x:v>20</x:v>
      </x:c>
      <x:c r="K2970" t="n">
        <x:v>5</x:v>
      </x:c>
      <x:c r="L2970" t="str">
        <x:v>STORE-001</x:v>
      </x:c>
      <x:c r="M2970" s="22" t="n">
        <x:v>46115</x:v>
      </x:c>
      <x:c r="N2970" t="str">
        <x:v>SKU-011</x:v>
      </x:c>
      <x:c r="O2970" t="n">
        <x:v>1</x:v>
      </x:c>
      <x:c r="P2970" s="26" t="n">
        <x:f>F2970/O2970</x:f>
        <x:v>168.33</x:v>
      </x:c>
    </x:row>
    <x:row r="2971">
      <x:c r="A2971" t="n">
        <x:v>2970</x:v>
      </x:c>
      <x:c r="B2971" t="n">
        <x:v>63</x:v>
      </x:c>
      <x:c r="C2971" t="str">
        <x:v>Female</x:v>
      </x:c>
      <x:c r="D2971" t="str">
        <x:v>Accessories</x:v>
      </x:c>
      <x:c r="E2971" t="str">
        <x:v>Handbag</x:v>
      </x:c>
      <x:c r="F2971" s="24" t="n">
        <x:v>45.25</x:v>
      </x:c>
      <x:c r="G2971" t="str">
        <x:v>Summer</x:v>
      </x:c>
      <x:c r="H2971" t="str">
        <x:v>Cash on Delivery</x:v>
      </x:c>
      <x:c r="I2971" t="n">
        <x:v>4.4</x:v>
      </x:c>
      <x:c r="J2971" t="n">
        <x:v>13</x:v>
      </x:c>
      <x:c r="K2971" t="n">
        <x:v>4</x:v>
      </x:c>
      <x:c r="L2971" t="str">
        <x:v>STORE-001</x:v>
      </x:c>
      <x:c r="M2971" s="22" t="n">
        <x:v>46007</x:v>
      </x:c>
      <x:c r="N2971" t="str">
        <x:v>SKU-008</x:v>
      </x:c>
      <x:c r="O2971" t="n">
        <x:v>1</x:v>
      </x:c>
      <x:c r="P2971" s="26" t="n">
        <x:f>F2971/O2971</x:f>
        <x:v>45.25</x:v>
      </x:c>
    </x:row>
    <x:row r="2972">
      <x:c r="A2972" t="n">
        <x:v>2971</x:v>
      </x:c>
      <x:c r="B2972" t="n">
        <x:v>39</x:v>
      </x:c>
      <x:c r="C2972" t="str">
        <x:v>Male</x:v>
      </x:c>
      <x:c r="D2972" t="str">
        <x:v>Footwear</x:v>
      </x:c>
      <x:c r="E2972" t="str">
        <x:v>Sneakers</x:v>
      </x:c>
      <x:c r="F2972" s="24" t="n">
        <x:v>213.65</x:v>
      </x:c>
      <x:c r="G2972" t="str">
        <x:v>Spring</x:v>
      </x:c>
      <x:c r="H2972" t="str">
        <x:v>Card</x:v>
      </x:c>
      <x:c r="I2972" t="n">
        <x:v>3.3</x:v>
      </x:c>
      <x:c r="J2972" t="n">
        <x:v>8</x:v>
      </x:c>
      <x:c r="K2972" t="n">
        <x:v>4</x:v>
      </x:c>
      <x:c r="L2972" t="str">
        <x:v>STORE-001</x:v>
      </x:c>
      <x:c r="M2972" s="22" t="n">
        <x:v>46285</x:v>
      </x:c>
      <x:c r="N2972" t="str">
        <x:v>SKU-025</x:v>
      </x:c>
      <x:c r="O2972" t="n">
        <x:v>1</x:v>
      </x:c>
      <x:c r="P2972" s="26" t="n">
        <x:f>F2972/O2972</x:f>
        <x:v>213.65</x:v>
      </x:c>
    </x:row>
    <x:row r="2973">
      <x:c r="A2973" t="n">
        <x:v>2972</x:v>
      </x:c>
      <x:c r="B2973" t="n">
        <x:v>55</x:v>
      </x:c>
      <x:c r="C2973" t="str">
        <x:v>Female</x:v>
      </x:c>
      <x:c r="D2973" t="str">
        <x:v>Accessories</x:v>
      </x:c>
      <x:c r="E2973" t="str">
        <x:v>Sunglasses</x:v>
      </x:c>
      <x:c r="F2973" s="24" t="n">
        <x:v>33.59</x:v>
      </x:c>
      <x:c r="G2973" t="str">
        <x:v>Summer</x:v>
      </x:c>
      <x:c r="H2973" t="str">
        <x:v>Card</x:v>
      </x:c>
      <x:c r="I2973" t="n">
        <x:v>3.1</x:v>
      </x:c>
      <x:c r="J2973" t="n">
        <x:v>20</x:v>
      </x:c>
      <x:c r="K2973" t="n">
        <x:v>5</x:v>
      </x:c>
      <x:c r="L2973" t="str">
        <x:v>STORE-001</x:v>
      </x:c>
      <x:c r="M2973" s="22" t="n">
        <x:v>45998</x:v>
      </x:c>
      <x:c r="N2973" t="str">
        <x:v>SKU-026</x:v>
      </x:c>
      <x:c r="O2973" t="n">
        <x:v>1</x:v>
      </x:c>
      <x:c r="P2973" s="26" t="n">
        <x:f>F2973/O2973</x:f>
        <x:v>33.59</x:v>
      </x:c>
    </x:row>
    <x:row r="2974">
      <x:c r="A2974" t="n">
        <x:v>2973</x:v>
      </x:c>
      <x:c r="B2974" t="n">
        <x:v>27</x:v>
      </x:c>
      <x:c r="C2974" t="str">
        <x:v>Male</x:v>
      </x:c>
      <x:c r="D2974" t="str">
        <x:v>Mens Clothing</x:v>
      </x:c>
      <x:c r="E2974" t="str">
        <x:v>Jacket</x:v>
      </x:c>
      <x:c r="F2974" s="24" t="n">
        <x:v>163.62</x:v>
      </x:c>
      <x:c r="G2974" t="str">
        <x:v>Winter</x:v>
      </x:c>
      <x:c r="H2974" t="str">
        <x:v>Card</x:v>
      </x:c>
      <x:c r="I2974" t="n">
        <x:v>4.1</x:v>
      </x:c>
      <x:c r="J2974" t="n">
        <x:v>10</x:v>
      </x:c>
      <x:c r="K2974" t="n">
        <x:v>5</x:v>
      </x:c>
      <x:c r="L2974" t="str">
        <x:v>STORE-001</x:v>
      </x:c>
      <x:c r="M2974" s="22" t="n">
        <x:v>46193</x:v>
      </x:c>
      <x:c r="N2974" t="str">
        <x:v>SKU-010</x:v>
      </x:c>
      <x:c r="O2974" t="n">
        <x:v>1</x:v>
      </x:c>
      <x:c r="P2974" s="26" t="n">
        <x:f>F2974/O2974</x:f>
        <x:v>163.62</x:v>
      </x:c>
    </x:row>
    <x:row r="2975">
      <x:c r="A2975" t="n">
        <x:v>2974</x:v>
      </x:c>
      <x:c r="B2975" t="n">
        <x:v>49</x:v>
      </x:c>
      <x:c r="C2975" t="str">
        <x:v>Female</x:v>
      </x:c>
      <x:c r="D2975" t="str">
        <x:v>Beauty</x:v>
      </x:c>
      <x:c r="E2975" t="str">
        <x:v>Makeup Set</x:v>
      </x:c>
      <x:c r="F2975" s="24" t="n">
        <x:v>56.06</x:v>
      </x:c>
      <x:c r="G2975" t="str">
        <x:v>Winter</x:v>
      </x:c>
      <x:c r="H2975" t="str">
        <x:v>Card</x:v>
      </x:c>
      <x:c r="I2975" t="n">
        <x:v>2.8</x:v>
      </x:c>
      <x:c r="J2975" t="n">
        <x:v>18</x:v>
      </x:c>
      <x:c r="K2975" t="n">
        <x:v>4</x:v>
      </x:c>
      <x:c r="L2975" t="str">
        <x:v>STORE-001</x:v>
      </x:c>
      <x:c r="M2975" s="22" t="n">
        <x:v>46219</x:v>
      </x:c>
      <x:c r="N2975" t="str">
        <x:v>SKU-015</x:v>
      </x:c>
      <x:c r="O2975" t="n">
        <x:v>1</x:v>
      </x:c>
      <x:c r="P2975" s="26" t="n">
        <x:f>F2975/O2975</x:f>
        <x:v>56.06</x:v>
      </x:c>
    </x:row>
    <x:row r="2976">
      <x:c r="A2976" t="n">
        <x:v>2975</x:v>
      </x:c>
      <x:c r="B2976" t="n">
        <x:v>54</x:v>
      </x:c>
      <x:c r="C2976" t="str">
        <x:v>Female</x:v>
      </x:c>
      <x:c r="D2976" t="str">
        <x:v>Womens Clothing</x:v>
      </x:c>
      <x:c r="E2976" t="str">
        <x:v>Top</x:v>
      </x:c>
      <x:c r="F2976" s="24" t="n">
        <x:v>131.24</x:v>
      </x:c>
      <x:c r="G2976" t="str">
        <x:v>Winter</x:v>
      </x:c>
      <x:c r="H2976" t="str">
        <x:v>Card</x:v>
      </x:c>
      <x:c r="I2976" t="n">
        <x:v>3.5</x:v>
      </x:c>
      <x:c r="J2976" t="n">
        <x:v>24</x:v>
      </x:c>
      <x:c r="K2976" t="n">
        <x:v>7</x:v>
      </x:c>
      <x:c r="L2976" t="str">
        <x:v>STORE-001</x:v>
      </x:c>
      <x:c r="M2976" s="22" t="n">
        <x:v>46183</x:v>
      </x:c>
      <x:c r="N2976" t="str">
        <x:v>SKU-028</x:v>
      </x:c>
      <x:c r="O2976" t="n">
        <x:v>1</x:v>
      </x:c>
      <x:c r="P2976" s="26" t="n">
        <x:f>F2976/O2976</x:f>
        <x:v>131.24</x:v>
      </x:c>
    </x:row>
    <x:row r="2977">
      <x:c r="A2977" t="n">
        <x:v>2976</x:v>
      </x:c>
      <x:c r="B2977" t="n">
        <x:v>64</x:v>
      </x:c>
      <x:c r="C2977" t="str">
        <x:v>Male</x:v>
      </x:c>
      <x:c r="D2977" t="str">
        <x:v>Sports</x:v>
      </x:c>
      <x:c r="E2977" t="str">
        <x:v>Yoga Mat</x:v>
      </x:c>
      <x:c r="F2977" s="24" t="n">
        <x:v>118.46</x:v>
      </x:c>
      <x:c r="G2977" t="str">
        <x:v>Autumn</x:v>
      </x:c>
      <x:c r="H2977" t="str">
        <x:v>Card</x:v>
      </x:c>
      <x:c r="I2977" t="n">
        <x:v>2.9</x:v>
      </x:c>
      <x:c r="J2977" t="n">
        <x:v>13</x:v>
      </x:c>
      <x:c r="K2977" t="n">
        <x:v>4</x:v>
      </x:c>
      <x:c r="L2977" t="str">
        <x:v>STORE-001</x:v>
      </x:c>
      <x:c r="M2977" s="22" t="n">
        <x:v>46107</x:v>
      </x:c>
      <x:c r="N2977" t="str">
        <x:v>SKU-030</x:v>
      </x:c>
      <x:c r="O2977" t="n">
        <x:v>1</x:v>
      </x:c>
      <x:c r="P2977" s="26" t="n">
        <x:f>F2977/O2977</x:f>
        <x:v>118.46</x:v>
      </x:c>
    </x:row>
    <x:row r="2978">
      <x:c r="A2978" t="n">
        <x:v>2977</x:v>
      </x:c>
      <x:c r="B2978" t="n">
        <x:v>24</x:v>
      </x:c>
      <x:c r="C2978" t="str">
        <x:v>Male</x:v>
      </x:c>
      <x:c r="D2978" t="str">
        <x:v>Sports</x:v>
      </x:c>
      <x:c r="E2978" t="str">
        <x:v>Yoga Mat</x:v>
      </x:c>
      <x:c r="F2978" s="24" t="n">
        <x:v>153.78</x:v>
      </x:c>
      <x:c r="G2978" t="str">
        <x:v>Autumn</x:v>
      </x:c>
      <x:c r="H2978" t="str">
        <x:v>Card</x:v>
      </x:c>
      <x:c r="I2978" t="n">
        <x:v>3.5</x:v>
      </x:c>
      <x:c r="J2978" t="n">
        <x:v>24</x:v>
      </x:c>
      <x:c r="K2978" t="n">
        <x:v>7</x:v>
      </x:c>
      <x:c r="L2978" t="str">
        <x:v>STORE-001</x:v>
      </x:c>
      <x:c r="M2978" s="22" t="n">
        <x:v>46169</x:v>
      </x:c>
      <x:c r="N2978" t="str">
        <x:v>SKU-030</x:v>
      </x:c>
      <x:c r="O2978" t="n">
        <x:v>2</x:v>
      </x:c>
      <x:c r="P2978" s="26" t="n">
        <x:f>F2978/O2978</x:f>
        <x:v>76.89</x:v>
      </x:c>
    </x:row>
    <x:row r="2979">
      <x:c r="A2979" t="n">
        <x:v>2978</x:v>
      </x:c>
      <x:c r="B2979" t="n">
        <x:v>58</x:v>
      </x:c>
      <x:c r="C2979" t="str">
        <x:v>Male</x:v>
      </x:c>
      <x:c r="D2979" t="str">
        <x:v>Electronics</x:v>
      </x:c>
      <x:c r="E2979" t="str">
        <x:v>Headphones</x:v>
      </x:c>
      <x:c r="F2979" s="24" t="n">
        <x:v>2236.23</x:v>
      </x:c>
      <x:c r="G2979" t="str">
        <x:v>Spring</x:v>
      </x:c>
      <x:c r="H2979" t="str">
        <x:v>Card</x:v>
      </x:c>
      <x:c r="I2979" t="n">
        <x:v>3.1</x:v>
      </x:c>
      <x:c r="J2979" t="n">
        <x:v>22</x:v>
      </x:c>
      <x:c r="K2979" t="n">
        <x:v>6</x:v>
      </x:c>
      <x:c r="L2979" t="str">
        <x:v>STORE-001</x:v>
      </x:c>
      <x:c r="M2979" s="22" t="n">
        <x:v>45950</x:v>
      </x:c>
      <x:c r="N2979" t="str">
        <x:v>SKU-009</x:v>
      </x:c>
      <x:c r="O2979" t="n">
        <x:v>1</x:v>
      </x:c>
      <x:c r="P2979" s="26" t="n">
        <x:f>F2979/O2979</x:f>
        <x:v>2236.23</x:v>
      </x:c>
    </x:row>
    <x:row r="2980">
      <x:c r="A2980" t="n">
        <x:v>2979</x:v>
      </x:c>
      <x:c r="B2980" t="n">
        <x:v>33</x:v>
      </x:c>
      <x:c r="C2980" t="str">
        <x:v>Female</x:v>
      </x:c>
      <x:c r="D2980" t="str">
        <x:v>Footwear</x:v>
      </x:c>
      <x:c r="E2980" t="str">
        <x:v>Sandals</x:v>
      </x:c>
      <x:c r="F2980" s="24" t="n">
        <x:v>64.49</x:v>
      </x:c>
      <x:c r="G2980" t="str">
        <x:v>Summer</x:v>
      </x:c>
      <x:c r="H2980" t="str">
        <x:v>Cash on Delivery</x:v>
      </x:c>
      <x:c r="I2980" t="n">
        <x:v>4.2</x:v>
      </x:c>
      <x:c r="J2980" t="n">
        <x:v>2</x:v>
      </x:c>
      <x:c r="K2980" t="n">
        <x:v>1</x:v>
      </x:c>
      <x:c r="L2980" t="str">
        <x:v>STORE-001</x:v>
      </x:c>
      <x:c r="M2980" s="22" t="n">
        <x:v>46071</x:v>
      </x:c>
      <x:c r="N2980" t="str">
        <x:v>SKU-019</x:v>
      </x:c>
      <x:c r="O2980" t="n">
        <x:v>1</x:v>
      </x:c>
      <x:c r="P2980" s="26" t="n">
        <x:f>F2980/O2980</x:f>
        <x:v>64.49</x:v>
      </x:c>
    </x:row>
    <x:row r="2981">
      <x:c r="A2981" t="n">
        <x:v>2980</x:v>
      </x:c>
      <x:c r="B2981" t="n">
        <x:v>66</x:v>
      </x:c>
      <x:c r="C2981" t="str">
        <x:v>Female</x:v>
      </x:c>
      <x:c r="D2981" t="str">
        <x:v>Footwear</x:v>
      </x:c>
      <x:c r="E2981" t="str">
        <x:v>Sandals</x:v>
      </x:c>
      <x:c r="F2981" s="24" t="n">
        <x:v>228.23</x:v>
      </x:c>
      <x:c r="G2981" t="str">
        <x:v>Winter</x:v>
      </x:c>
      <x:c r="H2981" t="str">
        <x:v>Card</x:v>
      </x:c>
      <x:c r="I2981" t="n">
        <x:v>3.3</x:v>
      </x:c>
      <x:c r="J2981" t="n">
        <x:v>26</x:v>
      </x:c>
      <x:c r="K2981" t="n">
        <x:v>8</x:v>
      </x:c>
      <x:c r="L2981" t="str">
        <x:v>STORE-001</x:v>
      </x:c>
      <x:c r="M2981" s="22" t="n">
        <x:v>46252</x:v>
      </x:c>
      <x:c r="N2981" t="str">
        <x:v>SKU-019</x:v>
      </x:c>
      <x:c r="O2981" t="n">
        <x:v>2</x:v>
      </x:c>
      <x:c r="P2981" s="26" t="n">
        <x:f>F2981/O2981</x:f>
        <x:v>114.115</x:v>
      </x:c>
    </x:row>
    <x:row r="2982">
      <x:c r="A2982" t="n">
        <x:v>2981</x:v>
      </x:c>
      <x:c r="B2982" t="n">
        <x:v>50</x:v>
      </x:c>
      <x:c r="C2982" t="str">
        <x:v>Female</x:v>
      </x:c>
      <x:c r="D2982" t="str">
        <x:v>Accessories</x:v>
      </x:c>
      <x:c r="E2982" t="str">
        <x:v>Handbag</x:v>
      </x:c>
      <x:c r="F2982" s="24" t="n">
        <x:v>30.91</x:v>
      </x:c>
      <x:c r="G2982" t="str">
        <x:v>Summer</x:v>
      </x:c>
      <x:c r="H2982" t="str">
        <x:v>Card</x:v>
      </x:c>
      <x:c r="I2982" t="n">
        <x:v>3.9</x:v>
      </x:c>
      <x:c r="J2982" t="n">
        <x:v>26</x:v>
      </x:c>
      <x:c r="K2982" t="n">
        <x:v>8</x:v>
      </x:c>
      <x:c r="L2982" t="str">
        <x:v>STORE-001</x:v>
      </x:c>
      <x:c r="M2982" s="22" t="n">
        <x:v>46047</x:v>
      </x:c>
      <x:c r="N2982" t="str">
        <x:v>SKU-008</x:v>
      </x:c>
      <x:c r="O2982" t="n">
        <x:v>1</x:v>
      </x:c>
      <x:c r="P2982" s="26" t="n">
        <x:f>F2982/O2982</x:f>
        <x:v>30.91</x:v>
      </x:c>
    </x:row>
    <x:row r="2983">
      <x:c r="A2983" t="n">
        <x:v>2982</x:v>
      </x:c>
      <x:c r="B2983" t="n">
        <x:v>39</x:v>
      </x:c>
      <x:c r="C2983" t="str">
        <x:v>Female</x:v>
      </x:c>
      <x:c r="D2983" t="str">
        <x:v>Footwear</x:v>
      </x:c>
      <x:c r="E2983" t="str">
        <x:v>Formal Shoes</x:v>
      </x:c>
      <x:c r="F2983" s="24" t="n">
        <x:v>113.51</x:v>
      </x:c>
      <x:c r="G2983" t="str">
        <x:v>Spring</x:v>
      </x:c>
      <x:c r="H2983" t="str">
        <x:v>Card</x:v>
      </x:c>
      <x:c r="I2983" t="n">
        <x:v>3.4</x:v>
      </x:c>
      <x:c r="J2983" t="n">
        <x:v>8</x:v>
      </x:c>
      <x:c r="K2983" t="n">
        <x:v>4</x:v>
      </x:c>
      <x:c r="L2983" t="str">
        <x:v>STORE-001</x:v>
      </x:c>
      <x:c r="M2983" s="22" t="n">
        <x:v>45977</x:v>
      </x:c>
      <x:c r="N2983" t="str">
        <x:v>SKU-007</x:v>
      </x:c>
      <x:c r="O2983" t="n">
        <x:v>2</x:v>
      </x:c>
      <x:c r="P2983" s="26" t="n">
        <x:f>F2983/O2983</x:f>
        <x:v>56.755</x:v>
      </x:c>
    </x:row>
    <x:row r="2984">
      <x:c r="A2984" t="n">
        <x:v>2983</x:v>
      </x:c>
      <x:c r="B2984" t="n">
        <x:v>43</x:v>
      </x:c>
      <x:c r="C2984" t="str">
        <x:v>Male</x:v>
      </x:c>
      <x:c r="D2984" t="str">
        <x:v>Mens Clothing</x:v>
      </x:c>
      <x:c r="E2984" t="str">
        <x:v>Jeans</x:v>
      </x:c>
      <x:c r="F2984" s="24" t="n">
        <x:v>144.7</x:v>
      </x:c>
      <x:c r="G2984" t="str">
        <x:v>Winter</x:v>
      </x:c>
      <x:c r="H2984" t="str">
        <x:v>Card</x:v>
      </x:c>
      <x:c r="I2984" t="n">
        <x:v>5</x:v>
      </x:c>
      <x:c r="J2984" t="n">
        <x:v>16</x:v>
      </x:c>
      <x:c r="K2984" t="n">
        <x:v>3</x:v>
      </x:c>
      <x:c r="L2984" t="str">
        <x:v>STORE-001</x:v>
      </x:c>
      <x:c r="M2984" s="22" t="n">
        <x:v>46178</x:v>
      </x:c>
      <x:c r="N2984" t="str">
        <x:v>SKU-011</x:v>
      </x:c>
      <x:c r="O2984" t="n">
        <x:v>2</x:v>
      </x:c>
      <x:c r="P2984" s="26" t="n">
        <x:f>F2984/O2984</x:f>
        <x:v>72.35</x:v>
      </x:c>
    </x:row>
    <x:row r="2985">
      <x:c r="A2985" t="n">
        <x:v>2984</x:v>
      </x:c>
      <x:c r="B2985" t="n">
        <x:v>64</x:v>
      </x:c>
      <x:c r="C2985" t="str">
        <x:v>Male</x:v>
      </x:c>
      <x:c r="D2985" t="str">
        <x:v>Footwear</x:v>
      </x:c>
      <x:c r="E2985" t="str">
        <x:v>Sneakers</x:v>
      </x:c>
      <x:c r="F2985" s="24" t="n">
        <x:v>52.88</x:v>
      </x:c>
      <x:c r="G2985" t="str">
        <x:v>Winter</x:v>
      </x:c>
      <x:c r="H2985" t="str">
        <x:v>Card</x:v>
      </x:c>
      <x:c r="I2985" t="n">
        <x:v>3.1</x:v>
      </x:c>
      <x:c r="J2985" t="n">
        <x:v>6</x:v>
      </x:c>
      <x:c r="K2985" t="n">
        <x:v>3</x:v>
      </x:c>
      <x:c r="L2985" t="str">
        <x:v>STORE-001</x:v>
      </x:c>
      <x:c r="M2985" s="22" t="n">
        <x:v>46226</x:v>
      </x:c>
      <x:c r="N2985" t="str">
        <x:v>SKU-025</x:v>
      </x:c>
      <x:c r="O2985" t="n">
        <x:v>2</x:v>
      </x:c>
      <x:c r="P2985" s="26" t="n">
        <x:f>F2985/O2985</x:f>
        <x:v>26.44</x:v>
      </x:c>
    </x:row>
    <x:row r="2986">
      <x:c r="A2986" t="n">
        <x:v>2985</x:v>
      </x:c>
      <x:c r="B2986" t="n">
        <x:v>47</x:v>
      </x:c>
      <x:c r="C2986" t="str">
        <x:v>Female</x:v>
      </x:c>
      <x:c r="D2986" t="str">
        <x:v>Footwear</x:v>
      </x:c>
      <x:c r="E2986" t="str">
        <x:v>Sneakers</x:v>
      </x:c>
      <x:c r="F2986" s="24" t="n">
        <x:v>68.52</x:v>
      </x:c>
      <x:c r="G2986" t="str">
        <x:v>Autumn</x:v>
      </x:c>
      <x:c r="H2986" t="str">
        <x:v>Cash on Delivery</x:v>
      </x:c>
      <x:c r="I2986" t="n">
        <x:v>3.4</x:v>
      </x:c>
      <x:c r="J2986" t="n">
        <x:v>21</x:v>
      </x:c>
      <x:c r="K2986" t="n">
        <x:v>8</x:v>
      </x:c>
      <x:c r="L2986" t="str">
        <x:v>STORE-001</x:v>
      </x:c>
      <x:c r="M2986" s="22" t="n">
        <x:v>46133</x:v>
      </x:c>
      <x:c r="N2986" t="str">
        <x:v>SKU-025</x:v>
      </x:c>
      <x:c r="O2986" t="n">
        <x:v>1</x:v>
      </x:c>
      <x:c r="P2986" s="26" t="n">
        <x:f>F2986/O2986</x:f>
        <x:v>68.52</x:v>
      </x:c>
    </x:row>
    <x:row r="2987">
      <x:c r="A2987" t="n">
        <x:v>2986</x:v>
      </x:c>
      <x:c r="B2987" t="n">
        <x:v>26</x:v>
      </x:c>
      <x:c r="C2987" t="str">
        <x:v>Male</x:v>
      </x:c>
      <x:c r="D2987" t="str">
        <x:v>Groceries</x:v>
      </x:c>
      <x:c r="E2987" t="str">
        <x:v>Cooking Oil</x:v>
      </x:c>
      <x:c r="F2987" s="24" t="n">
        <x:v>48.19</x:v>
      </x:c>
      <x:c r="G2987" t="str">
        <x:v>Spring</x:v>
      </x:c>
      <x:c r="H2987" t="str">
        <x:v>Cash on Delivery</x:v>
      </x:c>
      <x:c r="I2987" t="n">
        <x:v>3.5</x:v>
      </x:c>
      <x:c r="J2987" t="n">
        <x:v>12</x:v>
      </x:c>
      <x:c r="K2987" t="n">
        <x:v>6</x:v>
      </x:c>
      <x:c r="L2987" t="str">
        <x:v>STORE-001</x:v>
      </x:c>
      <x:c r="M2987" s="22" t="n">
        <x:v>45988</x:v>
      </x:c>
      <x:c r="N2987" t="str">
        <x:v>SKU-002</x:v>
      </x:c>
      <x:c r="O2987" t="n">
        <x:v>3</x:v>
      </x:c>
      <x:c r="P2987" s="26" t="n">
        <x:f>F2987/O2987</x:f>
        <x:v>16.063333333333333</x:v>
      </x:c>
    </x:row>
    <x:row r="2988">
      <x:c r="A2988" t="n">
        <x:v>2987</x:v>
      </x:c>
      <x:c r="B2988" t="n">
        <x:v>60</x:v>
      </x:c>
      <x:c r="C2988" t="str">
        <x:v>Male</x:v>
      </x:c>
      <x:c r="D2988" t="str">
        <x:v>Mens Clothing</x:v>
      </x:c>
      <x:c r="E2988" t="str">
        <x:v>T-Shirt</x:v>
      </x:c>
      <x:c r="F2988" s="24" t="n">
        <x:v>33.91</x:v>
      </x:c>
      <x:c r="G2988" t="str">
        <x:v>Winter</x:v>
      </x:c>
      <x:c r="H2988" t="str">
        <x:v>Card</x:v>
      </x:c>
      <x:c r="I2988" t="n">
        <x:v>4.6</x:v>
      </x:c>
      <x:c r="J2988" t="n">
        <x:v>26</x:v>
      </x:c>
      <x:c r="K2988" t="n">
        <x:v>8</x:v>
      </x:c>
      <x:c r="L2988" t="str">
        <x:v>STORE-001</x:v>
      </x:c>
      <x:c r="M2988" s="22" t="n">
        <x:v>46245</x:v>
      </x:c>
      <x:c r="N2988" t="str">
        <x:v>SKU-027</x:v>
      </x:c>
      <x:c r="O2988" t="n">
        <x:v>1</x:v>
      </x:c>
      <x:c r="P2988" s="26" t="n">
        <x:f>F2988/O2988</x:f>
        <x:v>33.91</x:v>
      </x:c>
    </x:row>
    <x:row r="2989">
      <x:c r="A2989" t="n">
        <x:v>2988</x:v>
      </x:c>
      <x:c r="B2989" t="n">
        <x:v>35</x:v>
      </x:c>
      <x:c r="C2989" t="str">
        <x:v>Female</x:v>
      </x:c>
      <x:c r="D2989" t="str">
        <x:v>Womens Clothing</x:v>
      </x:c>
      <x:c r="E2989" t="str">
        <x:v>Jeans</x:v>
      </x:c>
      <x:c r="F2989" s="24" t="n">
        <x:v>59.43</x:v>
      </x:c>
      <x:c r="G2989" t="str">
        <x:v>Autumn</x:v>
      </x:c>
      <x:c r="H2989" t="str">
        <x:v>Cash on Delivery</x:v>
      </x:c>
      <x:c r="I2989" t="n">
        <x:v>2.9</x:v>
      </x:c>
      <x:c r="J2989" t="n">
        <x:v>10</x:v>
      </x:c>
      <x:c r="K2989" t="n">
        <x:v>5</x:v>
      </x:c>
      <x:c r="L2989" t="str">
        <x:v>STORE-001</x:v>
      </x:c>
      <x:c r="M2989" s="22" t="n">
        <x:v>46164</x:v>
      </x:c>
      <x:c r="N2989" t="str">
        <x:v>SKU-011</x:v>
      </x:c>
      <x:c r="O2989" t="n">
        <x:v>2</x:v>
      </x:c>
      <x:c r="P2989" s="26" t="n">
        <x:f>F2989/O2989</x:f>
        <x:v>29.715</x:v>
      </x:c>
    </x:row>
    <x:row r="2990">
      <x:c r="A2990" t="n">
        <x:v>2989</x:v>
      </x:c>
      <x:c r="B2990" t="n">
        <x:v>32</x:v>
      </x:c>
      <x:c r="C2990" t="str">
        <x:v>Female</x:v>
      </x:c>
      <x:c r="D2990" t="str">
        <x:v>Accessories</x:v>
      </x:c>
      <x:c r="E2990" t="str">
        <x:v>Sunglasses</x:v>
      </x:c>
      <x:c r="F2990" s="24" t="n">
        <x:v>65.63</x:v>
      </x:c>
      <x:c r="G2990" t="str">
        <x:v>Winter</x:v>
      </x:c>
      <x:c r="H2990" t="str">
        <x:v>Card</x:v>
      </x:c>
      <x:c r="I2990" t="n">
        <x:v>3.7</x:v>
      </x:c>
      <x:c r="J2990" t="n">
        <x:v>15</x:v>
      </x:c>
      <x:c r="K2990" t="n">
        <x:v>5</x:v>
      </x:c>
      <x:c r="L2990" t="str">
        <x:v>STORE-001</x:v>
      </x:c>
      <x:c r="M2990" s="22" t="n">
        <x:v>46204</x:v>
      </x:c>
      <x:c r="N2990" t="str">
        <x:v>SKU-026</x:v>
      </x:c>
      <x:c r="O2990" t="n">
        <x:v>1</x:v>
      </x:c>
      <x:c r="P2990" s="26" t="n">
        <x:f>F2990/O2990</x:f>
        <x:v>65.63</x:v>
      </x:c>
    </x:row>
    <x:row r="2991">
      <x:c r="A2991" t="n">
        <x:v>2990</x:v>
      </x:c>
      <x:c r="B2991" t="n">
        <x:v>33</x:v>
      </x:c>
      <x:c r="C2991" t="str">
        <x:v>Female</x:v>
      </x:c>
      <x:c r="D2991" t="str">
        <x:v>Womens Clothing</x:v>
      </x:c>
      <x:c r="E2991" t="str">
        <x:v>Dress</x:v>
      </x:c>
      <x:c r="F2991" s="24" t="n">
        <x:v>57.6</x:v>
      </x:c>
      <x:c r="G2991" t="str">
        <x:v>Winter</x:v>
      </x:c>
      <x:c r="H2991" t="str">
        <x:v>Card</x:v>
      </x:c>
      <x:c r="I2991" t="n">
        <x:v>3.6</x:v>
      </x:c>
      <x:c r="J2991" t="n">
        <x:v>6</x:v>
      </x:c>
      <x:c r="K2991" t="n">
        <x:v>3</x:v>
      </x:c>
      <x:c r="L2991" t="str">
        <x:v>STORE-001</x:v>
      </x:c>
      <x:c r="M2991" s="22" t="n">
        <x:v>46248</x:v>
      </x:c>
      <x:c r="N2991" t="str">
        <x:v>SKU-004</x:v>
      </x:c>
      <x:c r="O2991" t="n">
        <x:v>2</x:v>
      </x:c>
      <x:c r="P2991" s="26" t="n">
        <x:f>F2991/O2991</x:f>
        <x:v>28.8</x:v>
      </x:c>
    </x:row>
    <x:row r="2992">
      <x:c r="A2992" t="n">
        <x:v>2991</x:v>
      </x:c>
      <x:c r="B2992" t="n">
        <x:v>36</x:v>
      </x:c>
      <x:c r="C2992" t="str">
        <x:v>Female</x:v>
      </x:c>
      <x:c r="D2992" t="str">
        <x:v>Accessories</x:v>
      </x:c>
      <x:c r="E2992" t="str">
        <x:v>Handbag</x:v>
      </x:c>
      <x:c r="F2992" s="24" t="n">
        <x:v>128.58</x:v>
      </x:c>
      <x:c r="G2992" t="str">
        <x:v>Autumn</x:v>
      </x:c>
      <x:c r="H2992" t="str">
        <x:v>Card</x:v>
      </x:c>
      <x:c r="I2992" t="n">
        <x:v>3.6</x:v>
      </x:c>
      <x:c r="J2992" t="n">
        <x:v>8</x:v>
      </x:c>
      <x:c r="K2992" t="n">
        <x:v>4</x:v>
      </x:c>
      <x:c r="L2992" t="str">
        <x:v>STORE-001</x:v>
      </x:c>
      <x:c r="M2992" s="22" t="n">
        <x:v>46159</x:v>
      </x:c>
      <x:c r="N2992" t="str">
        <x:v>SKU-008</x:v>
      </x:c>
      <x:c r="O2992" t="n">
        <x:v>1</x:v>
      </x:c>
      <x:c r="P2992" s="26" t="n">
        <x:f>F2992/O2992</x:f>
        <x:v>128.58</x:v>
      </x:c>
    </x:row>
    <x:row r="2993">
      <x:c r="A2993" t="n">
        <x:v>2992</x:v>
      </x:c>
      <x:c r="B2993" t="n">
        <x:v>31</x:v>
      </x:c>
      <x:c r="C2993" t="str">
        <x:v>Male</x:v>
      </x:c>
      <x:c r="D2993" t="str">
        <x:v>Footwear</x:v>
      </x:c>
      <x:c r="E2993" t="str">
        <x:v>Sandals</x:v>
      </x:c>
      <x:c r="F2993" s="24" t="n">
        <x:v>162.09</x:v>
      </x:c>
      <x:c r="G2993" t="str">
        <x:v>Autumn</x:v>
      </x:c>
      <x:c r="H2993" t="str">
        <x:v>Card</x:v>
      </x:c>
      <x:c r="I2993" t="n">
        <x:v>4.1</x:v>
      </x:c>
      <x:c r="J2993" t="n">
        <x:v>12</x:v>
      </x:c>
      <x:c r="K2993" t="n">
        <x:v>6</x:v>
      </x:c>
      <x:c r="L2993" t="str">
        <x:v>STORE-001</x:v>
      </x:c>
      <x:c r="M2993" s="22" t="n">
        <x:v>46085</x:v>
      </x:c>
      <x:c r="N2993" t="str">
        <x:v>SKU-019</x:v>
      </x:c>
      <x:c r="O2993" t="n">
        <x:v>2</x:v>
      </x:c>
      <x:c r="P2993" s="26" t="n">
        <x:f>F2993/O2993</x:f>
        <x:v>81.045</x:v>
      </x:c>
    </x:row>
    <x:row r="2994">
      <x:c r="A2994" t="n">
        <x:v>2993</x:v>
      </x:c>
      <x:c r="B2994" t="n">
        <x:v>38</x:v>
      </x:c>
      <x:c r="C2994" t="str">
        <x:v>Female</x:v>
      </x:c>
      <x:c r="D2994" t="str">
        <x:v>Accessories</x:v>
      </x:c>
      <x:c r="E2994" t="str">
        <x:v>Sunglasses</x:v>
      </x:c>
      <x:c r="F2994" s="24" t="n">
        <x:v>43.25</x:v>
      </x:c>
      <x:c r="G2994" t="str">
        <x:v>Winter</x:v>
      </x:c>
      <x:c r="H2994" t="str">
        <x:v>Card</x:v>
      </x:c>
      <x:c r="I2994" t="n">
        <x:v>5</x:v>
      </x:c>
      <x:c r="J2994" t="n">
        <x:v>10</x:v>
      </x:c>
      <x:c r="K2994" t="n">
        <x:v>5</x:v>
      </x:c>
      <x:c r="L2994" t="str">
        <x:v>STORE-001</x:v>
      </x:c>
      <x:c r="M2994" s="22" t="n">
        <x:v>46220</x:v>
      </x:c>
      <x:c r="N2994" t="str">
        <x:v>SKU-026</x:v>
      </x:c>
      <x:c r="O2994" t="n">
        <x:v>1</x:v>
      </x:c>
      <x:c r="P2994" s="26" t="n">
        <x:f>F2994/O2994</x:f>
        <x:v>43.25</x:v>
      </x:c>
    </x:row>
    <x:row r="2995">
      <x:c r="A2995" t="n">
        <x:v>2994</x:v>
      </x:c>
      <x:c r="B2995" t="n">
        <x:v>42</x:v>
      </x:c>
      <x:c r="C2995" t="str">
        <x:v>Female</x:v>
      </x:c>
      <x:c r="D2995" t="str">
        <x:v>Womens Clothing</x:v>
      </x:c>
      <x:c r="E2995" t="str">
        <x:v>Top</x:v>
      </x:c>
      <x:c r="F2995" s="24" t="n">
        <x:v>181.64</x:v>
      </x:c>
      <x:c r="G2995" t="str">
        <x:v>Autumn</x:v>
      </x:c>
      <x:c r="H2995" t="str">
        <x:v>Card</x:v>
      </x:c>
      <x:c r="I2995" t="n">
        <x:v>2.8</x:v>
      </x:c>
      <x:c r="J2995" t="n">
        <x:v>26</x:v>
      </x:c>
      <x:c r="K2995" t="n">
        <x:v>8</x:v>
      </x:c>
      <x:c r="L2995" t="str">
        <x:v>STORE-001</x:v>
      </x:c>
      <x:c r="M2995" s="22" t="n">
        <x:v>46133</x:v>
      </x:c>
      <x:c r="N2995" t="str">
        <x:v>SKU-028</x:v>
      </x:c>
      <x:c r="O2995" t="n">
        <x:v>1</x:v>
      </x:c>
      <x:c r="P2995" s="26" t="n">
        <x:f>F2995/O2995</x:f>
        <x:v>181.64</x:v>
      </x:c>
    </x:row>
    <x:row r="2996">
      <x:c r="A2996" t="n">
        <x:v>2995</x:v>
      </x:c>
      <x:c r="B2996" t="n">
        <x:v>48</x:v>
      </x:c>
      <x:c r="C2996" t="str">
        <x:v>Male</x:v>
      </x:c>
      <x:c r="D2996" t="str">
        <x:v>Electronics</x:v>
      </x:c>
      <x:c r="E2996" t="str">
        <x:v>Headphones</x:v>
      </x:c>
      <x:c r="F2996" s="24" t="n">
        <x:v>1720.89</x:v>
      </x:c>
      <x:c r="G2996" t="str">
        <x:v>Spring</x:v>
      </x:c>
      <x:c r="H2996" t="str">
        <x:v>Card</x:v>
      </x:c>
      <x:c r="I2996" t="n">
        <x:v>3.5</x:v>
      </x:c>
      <x:c r="J2996" t="n">
        <x:v>16</x:v>
      </x:c>
      <x:c r="K2996" t="n">
        <x:v>3</x:v>
      </x:c>
      <x:c r="L2996" t="str">
        <x:v>STORE-001</x:v>
      </x:c>
      <x:c r="M2996" s="22" t="n">
        <x:v>46282</x:v>
      </x:c>
      <x:c r="N2996" t="str">
        <x:v>SKU-009</x:v>
      </x:c>
      <x:c r="O2996" t="n">
        <x:v>1</x:v>
      </x:c>
      <x:c r="P2996" s="26" t="n">
        <x:f>F2996/O2996</x:f>
        <x:v>1720.89</x:v>
      </x:c>
    </x:row>
    <x:row r="2997">
      <x:c r="A2997" t="n">
        <x:v>2996</x:v>
      </x:c>
      <x:c r="B2997" t="n">
        <x:v>53</x:v>
      </x:c>
      <x:c r="C2997" t="str">
        <x:v>Male</x:v>
      </x:c>
      <x:c r="D2997" t="str">
        <x:v>Sports</x:v>
      </x:c>
      <x:c r="E2997" t="str">
        <x:v>Football</x:v>
      </x:c>
      <x:c r="F2997" s="24" t="n">
        <x:v>239.85</x:v>
      </x:c>
      <x:c r="G2997" t="str">
        <x:v>Winter</x:v>
      </x:c>
      <x:c r="H2997" t="str">
        <x:v>Card</x:v>
      </x:c>
      <x:c r="I2997" t="n">
        <x:v>4.1</x:v>
      </x:c>
      <x:c r="J2997" t="n">
        <x:v>17</x:v>
      </x:c>
      <x:c r="K2997" t="n">
        <x:v>6</x:v>
      </x:c>
      <x:c r="L2997" t="str">
        <x:v>STORE-001</x:v>
      </x:c>
      <x:c r="M2997" s="22" t="n">
        <x:v>46262</x:v>
      </x:c>
      <x:c r="N2997" t="str">
        <x:v>SKU-006</x:v>
      </x:c>
      <x:c r="O2997" t="n">
        <x:v>1</x:v>
      </x:c>
      <x:c r="P2997" s="26" t="n">
        <x:f>F2997/O2997</x:f>
        <x:v>239.85</x:v>
      </x:c>
    </x:row>
    <x:row r="2998">
      <x:c r="A2998" t="n">
        <x:v>2997</x:v>
      </x:c>
      <x:c r="B2998" t="n">
        <x:v>26</x:v>
      </x:c>
      <x:c r="C2998" t="str">
        <x:v>Female</x:v>
      </x:c>
      <x:c r="D2998" t="str">
        <x:v>Beauty</x:v>
      </x:c>
      <x:c r="E2998" t="str">
        <x:v>Skincare Kit</x:v>
      </x:c>
      <x:c r="F2998" s="24" t="n">
        <x:v>66.38</x:v>
      </x:c>
      <x:c r="G2998" t="str">
        <x:v>Spring</x:v>
      </x:c>
      <x:c r="H2998" t="str">
        <x:v>Cash on Delivery</x:v>
      </x:c>
      <x:c r="I2998" t="n">
        <x:v>3.8</x:v>
      </x:c>
      <x:c r="J2998" t="n">
        <x:v>10</x:v>
      </x:c>
      <x:c r="K2998" t="n">
        <x:v>5</x:v>
      </x:c>
      <x:c r="L2998" t="str">
        <x:v>STORE-001</x:v>
      </x:c>
      <x:c r="M2998" s="22" t="n">
        <x:v>45972</x:v>
      </x:c>
      <x:c r="N2998" t="str">
        <x:v>SKU-021</x:v>
      </x:c>
      <x:c r="O2998" t="n">
        <x:v>1</x:v>
      </x:c>
      <x:c r="P2998" s="26" t="n">
        <x:f>F2998/O2998</x:f>
        <x:v>66.38</x:v>
      </x:c>
    </x:row>
    <x:row r="2999">
      <x:c r="A2999" t="n">
        <x:v>2998</x:v>
      </x:c>
      <x:c r="B2999" t="n">
        <x:v>22</x:v>
      </x:c>
      <x:c r="C2999" t="str">
        <x:v>Female</x:v>
      </x:c>
      <x:c r="D2999" t="str">
        <x:v>Beauty</x:v>
      </x:c>
      <x:c r="E2999" t="str">
        <x:v>Skincare Kit</x:v>
      </x:c>
      <x:c r="F2999" s="24" t="n">
        <x:v>47.67</x:v>
      </x:c>
      <x:c r="G2999" t="str">
        <x:v>Winter</x:v>
      </x:c>
      <x:c r="H2999" t="str">
        <x:v>Cash on Delivery</x:v>
      </x:c>
      <x:c r="I2999" t="n">
        <x:v>3</x:v>
      </x:c>
      <x:c r="J2999" t="n">
        <x:v>15</x:v>
      </x:c>
      <x:c r="K2999" t="n">
        <x:v>5</x:v>
      </x:c>
      <x:c r="L2999" t="str">
        <x:v>STORE-001</x:v>
      </x:c>
      <x:c r="M2999" s="22" t="n">
        <x:v>46189</x:v>
      </x:c>
      <x:c r="N2999" t="str">
        <x:v>SKU-021</x:v>
      </x:c>
      <x:c r="O2999" t="n">
        <x:v>1</x:v>
      </x:c>
      <x:c r="P2999" s="26" t="n">
        <x:f>F2999/O2999</x:f>
        <x:v>47.67</x:v>
      </x:c>
    </x:row>
    <x:row r="3000">
      <x:c r="A3000" t="n">
        <x:v>2999</x:v>
      </x:c>
      <x:c r="B3000" t="n">
        <x:v>52</x:v>
      </x:c>
      <x:c r="C3000" t="str">
        <x:v>Male</x:v>
      </x:c>
      <x:c r="D3000" t="str">
        <x:v>Footwear</x:v>
      </x:c>
      <x:c r="E3000" t="str">
        <x:v>Formal Shoes</x:v>
      </x:c>
      <x:c r="F3000" s="24" t="n">
        <x:v>156.88</x:v>
      </x:c>
      <x:c r="G3000" t="str">
        <x:v>Autumn</x:v>
      </x:c>
      <x:c r="H3000" t="str">
        <x:v>Card</x:v>
      </x:c>
      <x:c r="I3000" t="n">
        <x:v>3.5</x:v>
      </x:c>
      <x:c r="J3000" t="n">
        <x:v>15</x:v>
      </x:c>
      <x:c r="K3000" t="n">
        <x:v>5</x:v>
      </x:c>
      <x:c r="L3000" t="str">
        <x:v>STORE-001</x:v>
      </x:c>
      <x:c r="M3000" s="22" t="n">
        <x:v>46123</x:v>
      </x:c>
      <x:c r="N3000" t="str">
        <x:v>SKU-007</x:v>
      </x:c>
      <x:c r="O3000" t="n">
        <x:v>2</x:v>
      </x:c>
      <x:c r="P3000" s="26" t="n">
        <x:f>F3000/O3000</x:f>
        <x:v>78.44</x:v>
      </x:c>
    </x:row>
    <x:row r="3001">
      <x:c r="A3001" t="n">
        <x:v>3000</x:v>
      </x:c>
      <x:c r="B3001" t="n">
        <x:v>37</x:v>
      </x:c>
      <x:c r="C3001" t="str">
        <x:v>Female</x:v>
      </x:c>
      <x:c r="D3001" t="str">
        <x:v>Footwear</x:v>
      </x:c>
      <x:c r="E3001" t="str">
        <x:v>Sneakers</x:v>
      </x:c>
      <x:c r="F3001" s="24" t="n">
        <x:v>176.28</x:v>
      </x:c>
      <x:c r="G3001" t="str">
        <x:v>Spring</x:v>
      </x:c>
      <x:c r="H3001" t="str">
        <x:v>Card</x:v>
      </x:c>
      <x:c r="I3001" t="n">
        <x:v>4.7</x:v>
      </x:c>
      <x:c r="J3001" t="n">
        <x:v>20</x:v>
      </x:c>
      <x:c r="K3001" t="n">
        <x:v>5</x:v>
      </x:c>
      <x:c r="L3001" t="str">
        <x:v>STORE-001</x:v>
      </x:c>
      <x:c r="M3001" s="22" t="n">
        <x:v>45990</x:v>
      </x:c>
      <x:c r="N3001" t="str">
        <x:v>SKU-025</x:v>
      </x:c>
      <x:c r="O3001" t="n">
        <x:v>1</x:v>
      </x:c>
      <x:c r="P3001" s="26" t="n">
        <x:f>F3001/O3001</x:f>
        <x:v>176.28</x:v>
      </x:c>
    </x:row>
    <x:row r="3002">
      <x:c r="A3002" t="n">
        <x:v>3001</x:v>
      </x:c>
      <x:c r="B3002" t="n">
        <x:v>35</x:v>
      </x:c>
      <x:c r="C3002" t="str">
        <x:v>Female</x:v>
      </x:c>
      <x:c r="D3002" t="str">
        <x:v>Beauty</x:v>
      </x:c>
      <x:c r="E3002" t="str">
        <x:v>Skincare Kit</x:v>
      </x:c>
      <x:c r="F3002" s="24" t="n">
        <x:v>46.97</x:v>
      </x:c>
      <x:c r="G3002" t="str">
        <x:v>Autumn</x:v>
      </x:c>
      <x:c r="H3002" t="str">
        <x:v>Card</x:v>
      </x:c>
      <x:c r="I3002" t="n">
        <x:v>4.2</x:v>
      </x:c>
      <x:c r="J3002" t="n">
        <x:v>12</x:v>
      </x:c>
      <x:c r="K3002" t="n">
        <x:v>6</x:v>
      </x:c>
      <x:c r="L3002" t="str">
        <x:v>STORE-001</x:v>
      </x:c>
      <x:c r="M3002" s="22" t="n">
        <x:v>46152</x:v>
      </x:c>
      <x:c r="N3002" t="str">
        <x:v>SKU-021</x:v>
      </x:c>
      <x:c r="O3002" t="n">
        <x:v>1</x:v>
      </x:c>
      <x:c r="P3002" s="26" t="n">
        <x:f>F3002/O3002</x:f>
        <x:v>46.97</x:v>
      </x:c>
    </x:row>
    <x:row r="3003">
      <x:c r="A3003" t="n">
        <x:v>3002</x:v>
      </x:c>
      <x:c r="B3003" t="n">
        <x:v>69</x:v>
      </x:c>
      <x:c r="C3003" t="str">
        <x:v>Male</x:v>
      </x:c>
      <x:c r="D3003" t="str">
        <x:v>Electronics</x:v>
      </x:c>
      <x:c r="E3003" t="str">
        <x:v>Laptop</x:v>
      </x:c>
      <x:c r="F3003" s="24" t="n">
        <x:v>1404.38</x:v>
      </x:c>
      <x:c r="G3003" t="str">
        <x:v>Winter</x:v>
      </x:c>
      <x:c r="H3003" t="str">
        <x:v>Card</x:v>
      </x:c>
      <x:c r="I3003" t="n">
        <x:v>2.5</x:v>
      </x:c>
      <x:c r="J3003" t="n">
        <x:v>13</x:v>
      </x:c>
      <x:c r="K3003" t="n">
        <x:v>4</x:v>
      </x:c>
      <x:c r="L3003" t="str">
        <x:v>STORE-001</x:v>
      </x:c>
      <x:c r="M3003" s="22" t="n">
        <x:v>46252</x:v>
      </x:c>
      <x:c r="N3003" t="str">
        <x:v>SKU-014</x:v>
      </x:c>
      <x:c r="O3003" t="n">
        <x:v>1</x:v>
      </x:c>
      <x:c r="P3003" s="26" t="n">
        <x:f>F3003/O3003</x:f>
        <x:v>1404.38</x:v>
      </x:c>
    </x:row>
    <x:row r="3004">
      <x:c r="A3004" t="n">
        <x:v>3003</x:v>
      </x:c>
      <x:c r="B3004" t="n">
        <x:v>59</x:v>
      </x:c>
      <x:c r="C3004" t="str">
        <x:v>Female</x:v>
      </x:c>
      <x:c r="D3004" t="str">
        <x:v>Footwear</x:v>
      </x:c>
      <x:c r="E3004" t="str">
        <x:v>Formal Shoes</x:v>
      </x:c>
      <x:c r="F3004" s="24" t="n">
        <x:v>112.23</x:v>
      </x:c>
      <x:c r="G3004" t="str">
        <x:v>Spring</x:v>
      </x:c>
      <x:c r="H3004" t="str">
        <x:v>Card</x:v>
      </x:c>
      <x:c r="I3004" t="n">
        <x:v>3.6</x:v>
      </x:c>
      <x:c r="J3004" t="n">
        <x:v>10</x:v>
      </x:c>
      <x:c r="K3004" t="n">
        <x:v>5</x:v>
      </x:c>
      <x:c r="L3004" t="str">
        <x:v>STORE-001</x:v>
      </x:c>
      <x:c r="M3004" s="22" t="n">
        <x:v>46291</x:v>
      </x:c>
      <x:c r="N3004" t="str">
        <x:v>SKU-007</x:v>
      </x:c>
      <x:c r="O3004" t="n">
        <x:v>3</x:v>
      </x:c>
      <x:c r="P3004" s="26" t="n">
        <x:f>F3004/O3004</x:f>
        <x:v>37.410000000000004</x:v>
      </x:c>
    </x:row>
    <x:row r="3005">
      <x:c r="A3005" t="n">
        <x:v>3004</x:v>
      </x:c>
      <x:c r="B3005" t="n">
        <x:v>44</x:v>
      </x:c>
      <x:c r="C3005" t="str">
        <x:v>Female</x:v>
      </x:c>
      <x:c r="D3005" t="str">
        <x:v>Accessories</x:v>
      </x:c>
      <x:c r="E3005" t="str">
        <x:v>Wallet</x:v>
      </x:c>
      <x:c r="F3005" s="24" t="n">
        <x:v>124.3</x:v>
      </x:c>
      <x:c r="G3005" t="str">
        <x:v>Spring</x:v>
      </x:c>
      <x:c r="H3005" t="str">
        <x:v>Card</x:v>
      </x:c>
      <x:c r="I3005" t="n">
        <x:v>3.7</x:v>
      </x:c>
      <x:c r="J3005" t="n">
        <x:v>21</x:v>
      </x:c>
      <x:c r="K3005" t="n">
        <x:v>8</x:v>
      </x:c>
      <x:c r="L3005" t="str">
        <x:v>STORE-001</x:v>
      </x:c>
      <x:c r="M3005" s="22" t="n">
        <x:v>46284</x:v>
      </x:c>
      <x:c r="N3005" t="str">
        <x:v>SKU-029</x:v>
      </x:c>
      <x:c r="O3005" t="n">
        <x:v>2</x:v>
      </x:c>
      <x:c r="P3005" s="26" t="n">
        <x:f>F3005/O3005</x:f>
        <x:v>62.15</x:v>
      </x:c>
    </x:row>
    <x:row r="3006">
      <x:c r="A3006" t="n">
        <x:v>3005</x:v>
      </x:c>
      <x:c r="B3006" t="n">
        <x:v>37</x:v>
      </x:c>
      <x:c r="C3006" t="str">
        <x:v>Male</x:v>
      </x:c>
      <x:c r="D3006" t="str">
        <x:v>Sports</x:v>
      </x:c>
      <x:c r="E3006" t="str">
        <x:v>Yoga Mat</x:v>
      </x:c>
      <x:c r="F3006" s="24" t="n">
        <x:v>145.11</x:v>
      </x:c>
      <x:c r="G3006" t="str">
        <x:v>Spring</x:v>
      </x:c>
      <x:c r="H3006" t="str">
        <x:v>Card</x:v>
      </x:c>
      <x:c r="I3006" t="n">
        <x:v>2.4</x:v>
      </x:c>
      <x:c r="J3006" t="n">
        <x:v>20</x:v>
      </x:c>
      <x:c r="K3006" t="n">
        <x:v>5</x:v>
      </x:c>
      <x:c r="L3006" t="str">
        <x:v>STORE-001</x:v>
      </x:c>
      <x:c r="M3006" s="22" t="n">
        <x:v>46268</x:v>
      </x:c>
      <x:c r="N3006" t="str">
        <x:v>SKU-030</x:v>
      </x:c>
      <x:c r="O3006" t="n">
        <x:v>1</x:v>
      </x:c>
      <x:c r="P3006" s="26" t="n">
        <x:f>F3006/O3006</x:f>
        <x:v>145.11</x:v>
      </x:c>
    </x:row>
    <x:row r="3007">
      <x:c r="A3007" t="n">
        <x:v>3006</x:v>
      </x:c>
      <x:c r="B3007" t="n">
        <x:v>63</x:v>
      </x:c>
      <x:c r="C3007" t="str">
        <x:v>Male</x:v>
      </x:c>
      <x:c r="D3007" t="str">
        <x:v>Footwear</x:v>
      </x:c>
      <x:c r="E3007" t="str">
        <x:v>Sneakers</x:v>
      </x:c>
      <x:c r="F3007" s="24" t="n">
        <x:v>214.22</x:v>
      </x:c>
      <x:c r="G3007" t="str">
        <x:v>Autumn</x:v>
      </x:c>
      <x:c r="H3007" t="str">
        <x:v>Card</x:v>
      </x:c>
      <x:c r="I3007" t="n">
        <x:v>3.3</x:v>
      </x:c>
      <x:c r="J3007" t="n">
        <x:v>19</x:v>
      </x:c>
      <x:c r="K3007" t="n">
        <x:v>7</x:v>
      </x:c>
      <x:c r="L3007" t="str">
        <x:v>STORE-001</x:v>
      </x:c>
      <x:c r="M3007" s="22" t="n">
        <x:v>46114</x:v>
      </x:c>
      <x:c r="N3007" t="str">
        <x:v>SKU-025</x:v>
      </x:c>
      <x:c r="O3007" t="n">
        <x:v>1</x:v>
      </x:c>
      <x:c r="P3007" s="26" t="n">
        <x:f>F3007/O3007</x:f>
        <x:v>214.22</x:v>
      </x:c>
    </x:row>
    <x:row r="3008">
      <x:c r="A3008" t="n">
        <x:v>3007</x:v>
      </x:c>
      <x:c r="B3008" t="n">
        <x:v>42</x:v>
      </x:c>
      <x:c r="C3008" t="str">
        <x:v>Female</x:v>
      </x:c>
      <x:c r="D3008" t="str">
        <x:v>Beauty</x:v>
      </x:c>
      <x:c r="E3008" t="str">
        <x:v>Makeup Set</x:v>
      </x:c>
      <x:c r="F3008" s="24" t="n">
        <x:v>24.73</x:v>
      </x:c>
      <x:c r="G3008" t="str">
        <x:v>Spring</x:v>
      </x:c>
      <x:c r="H3008" t="str">
        <x:v>Card</x:v>
      </x:c>
      <x:c r="I3008" t="n">
        <x:v>3.6</x:v>
      </x:c>
      <x:c r="J3008" t="n">
        <x:v>15</x:v>
      </x:c>
      <x:c r="K3008" t="n">
        <x:v>5</x:v>
      </x:c>
      <x:c r="L3008" t="str">
        <x:v>STORE-001</x:v>
      </x:c>
      <x:c r="M3008" s="22" t="n">
        <x:v>46293</x:v>
      </x:c>
      <x:c r="N3008" t="str">
        <x:v>SKU-015</x:v>
      </x:c>
      <x:c r="O3008" t="n">
        <x:v>1</x:v>
      </x:c>
      <x:c r="P3008" s="26" t="n">
        <x:f>F3008/O3008</x:f>
        <x:v>24.73</x:v>
      </x:c>
    </x:row>
    <x:row r="3009">
      <x:c r="A3009" t="n">
        <x:v>3008</x:v>
      </x:c>
      <x:c r="B3009" t="n">
        <x:v>38</x:v>
      </x:c>
      <x:c r="C3009" t="str">
        <x:v>Male</x:v>
      </x:c>
      <x:c r="D3009" t="str">
        <x:v>Sports</x:v>
      </x:c>
      <x:c r="E3009" t="str">
        <x:v>Yoga Mat</x:v>
      </x:c>
      <x:c r="F3009" s="24" t="n">
        <x:v>158.99</x:v>
      </x:c>
      <x:c r="G3009" t="str">
        <x:v>Winter</x:v>
      </x:c>
      <x:c r="H3009" t="str">
        <x:v>Card</x:v>
      </x:c>
      <x:c r="I3009" t="n">
        <x:v>3.4</x:v>
      </x:c>
      <x:c r="J3009" t="n">
        <x:v>13</x:v>
      </x:c>
      <x:c r="K3009" t="n">
        <x:v>4</x:v>
      </x:c>
      <x:c r="L3009" t="str">
        <x:v>STORE-001</x:v>
      </x:c>
      <x:c r="M3009" s="22" t="n">
        <x:v>46177</x:v>
      </x:c>
      <x:c r="N3009" t="str">
        <x:v>SKU-030</x:v>
      </x:c>
      <x:c r="O3009" t="n">
        <x:v>1</x:v>
      </x:c>
      <x:c r="P3009" s="26" t="n">
        <x:f>F3009/O3009</x:f>
        <x:v>158.99</x:v>
      </x:c>
    </x:row>
    <x:row r="3010">
      <x:c r="A3010" t="n">
        <x:v>3009</x:v>
      </x:c>
      <x:c r="B3010" t="n">
        <x:v>46</x:v>
      </x:c>
      <x:c r="C3010" t="str">
        <x:v>Female</x:v>
      </x:c>
      <x:c r="D3010" t="str">
        <x:v>Sports</x:v>
      </x:c>
      <x:c r="E3010" t="str">
        <x:v>Yoga Mat</x:v>
      </x:c>
      <x:c r="F3010" s="24" t="n">
        <x:v>234.34</x:v>
      </x:c>
      <x:c r="G3010" t="str">
        <x:v>Spring</x:v>
      </x:c>
      <x:c r="H3010" t="str">
        <x:v>Card</x:v>
      </x:c>
      <x:c r="I3010" t="n">
        <x:v>3.4</x:v>
      </x:c>
      <x:c r="J3010" t="n">
        <x:v>6</x:v>
      </x:c>
      <x:c r="K3010" t="n">
        <x:v>3</x:v>
      </x:c>
      <x:c r="L3010" t="str">
        <x:v>STORE-001</x:v>
      </x:c>
      <x:c r="M3010" s="22" t="n">
        <x:v>45954</x:v>
      </x:c>
      <x:c r="N3010" t="str">
        <x:v>SKU-030</x:v>
      </x:c>
      <x:c r="O3010" t="n">
        <x:v>1</x:v>
      </x:c>
      <x:c r="P3010" s="26" t="n">
        <x:f>F3010/O3010</x:f>
        <x:v>234.34</x:v>
      </x:c>
    </x:row>
    <x:row r="3011">
      <x:c r="A3011" t="n">
        <x:v>3010</x:v>
      </x:c>
      <x:c r="B3011" t="n">
        <x:v>42</x:v>
      </x:c>
      <x:c r="C3011" t="str">
        <x:v>Female</x:v>
      </x:c>
      <x:c r="D3011" t="str">
        <x:v>Womens Clothing</x:v>
      </x:c>
      <x:c r="E3011" t="str">
        <x:v>Jeans</x:v>
      </x:c>
      <x:c r="F3011" s="24" t="n">
        <x:v>31.48</x:v>
      </x:c>
      <x:c r="G3011" t="str">
        <x:v>Winter</x:v>
      </x:c>
      <x:c r="H3011" t="str">
        <x:v>Cash on Delivery</x:v>
      </x:c>
      <x:c r="I3011" t="n">
        <x:v>3.1</x:v>
      </x:c>
      <x:c r="J3011" t="n">
        <x:v>10</x:v>
      </x:c>
      <x:c r="K3011" t="n">
        <x:v>5</x:v>
      </x:c>
      <x:c r="L3011" t="str">
        <x:v>STORE-001</x:v>
      </x:c>
      <x:c r="M3011" s="22" t="n">
        <x:v>46217</x:v>
      </x:c>
      <x:c r="N3011" t="str">
        <x:v>SKU-011</x:v>
      </x:c>
      <x:c r="O3011" t="n">
        <x:v>1</x:v>
      </x:c>
      <x:c r="P3011" s="26" t="n">
        <x:f>F3011/O3011</x:f>
        <x:v>31.48</x:v>
      </x:c>
    </x:row>
    <x:row r="3012">
      <x:c r="A3012" t="n">
        <x:v>3011</x:v>
      </x:c>
      <x:c r="B3012" t="n">
        <x:v>23</x:v>
      </x:c>
      <x:c r="C3012" t="str">
        <x:v>Female</x:v>
      </x:c>
      <x:c r="D3012" t="str">
        <x:v>Womens Clothing</x:v>
      </x:c>
      <x:c r="E3012" t="str">
        <x:v>Jeans</x:v>
      </x:c>
      <x:c r="F3012" s="24" t="n">
        <x:v>134.3</x:v>
      </x:c>
      <x:c r="G3012" t="str">
        <x:v>Autumn</x:v>
      </x:c>
      <x:c r="H3012" t="str">
        <x:v>Card</x:v>
      </x:c>
      <x:c r="I3012" t="n">
        <x:v>3.9</x:v>
      </x:c>
      <x:c r="J3012" t="n">
        <x:v>22</x:v>
      </x:c>
      <x:c r="K3012" t="n">
        <x:v>6</x:v>
      </x:c>
      <x:c r="L3012" t="str">
        <x:v>STORE-001</x:v>
      </x:c>
      <x:c r="M3012" s="22" t="n">
        <x:v>46154</x:v>
      </x:c>
      <x:c r="N3012" t="str">
        <x:v>SKU-011</x:v>
      </x:c>
      <x:c r="O3012" t="n">
        <x:v>1</x:v>
      </x:c>
      <x:c r="P3012" s="26" t="n">
        <x:f>F3012/O3012</x:f>
        <x:v>134.3</x:v>
      </x:c>
    </x:row>
    <x:row r="3013">
      <x:c r="A3013" t="n">
        <x:v>3012</x:v>
      </x:c>
      <x:c r="B3013" t="n">
        <x:v>48</x:v>
      </x:c>
      <x:c r="C3013" t="str">
        <x:v>Male</x:v>
      </x:c>
      <x:c r="D3013" t="str">
        <x:v>Mens Clothing</x:v>
      </x:c>
      <x:c r="E3013" t="str">
        <x:v>Jacket</x:v>
      </x:c>
      <x:c r="F3013" s="24" t="n">
        <x:v>51.38</x:v>
      </x:c>
      <x:c r="G3013" t="str">
        <x:v>Winter</x:v>
      </x:c>
      <x:c r="H3013" t="str">
        <x:v>Card</x:v>
      </x:c>
      <x:c r="I3013" t="n">
        <x:v>5</x:v>
      </x:c>
      <x:c r="J3013" t="n">
        <x:v>2</x:v>
      </x:c>
      <x:c r="K3013" t="n">
        <x:v>1</x:v>
      </x:c>
      <x:c r="L3013" t="str">
        <x:v>STORE-001</x:v>
      </x:c>
      <x:c r="M3013" s="22" t="n">
        <x:v>46235</x:v>
      </x:c>
      <x:c r="N3013" t="str">
        <x:v>SKU-010</x:v>
      </x:c>
      <x:c r="O3013" t="n">
        <x:v>2</x:v>
      </x:c>
      <x:c r="P3013" s="26" t="n">
        <x:f>F3013/O3013</x:f>
        <x:v>25.69</x:v>
      </x:c>
    </x:row>
    <x:row r="3014">
      <x:c r="A3014" t="n">
        <x:v>3013</x:v>
      </x:c>
      <x:c r="B3014" t="n">
        <x:v>51</x:v>
      </x:c>
      <x:c r="C3014" t="str">
        <x:v>Male</x:v>
      </x:c>
      <x:c r="D3014" t="str">
        <x:v>Electronics</x:v>
      </x:c>
      <x:c r="E3014" t="str">
        <x:v>Laptop</x:v>
      </x:c>
      <x:c r="F3014" s="24" t="n">
        <x:v>2375.03</x:v>
      </x:c>
      <x:c r="G3014" t="str">
        <x:v>Winter</x:v>
      </x:c>
      <x:c r="H3014" t="str">
        <x:v>Card</x:v>
      </x:c>
      <x:c r="I3014" t="n">
        <x:v>2.5</x:v>
      </x:c>
      <x:c r="J3014" t="n">
        <x:v>8</x:v>
      </x:c>
      <x:c r="K3014" t="n">
        <x:v>4</x:v>
      </x:c>
      <x:c r="L3014" t="str">
        <x:v>STORE-001</x:v>
      </x:c>
      <x:c r="M3014" s="22" t="n">
        <x:v>46254</x:v>
      </x:c>
      <x:c r="N3014" t="str">
        <x:v>SKU-014</x:v>
      </x:c>
      <x:c r="O3014" t="n">
        <x:v>2</x:v>
      </x:c>
      <x:c r="P3014" s="26" t="n">
        <x:f>F3014/O3014</x:f>
        <x:v>1187.515</x:v>
      </x:c>
    </x:row>
    <x:row r="3015">
      <x:c r="A3015" t="n">
        <x:v>3014</x:v>
      </x:c>
      <x:c r="B3015" t="n">
        <x:v>53</x:v>
      </x:c>
      <x:c r="C3015" t="str">
        <x:v>Male</x:v>
      </x:c>
      <x:c r="D3015" t="str">
        <x:v>Sports</x:v>
      </x:c>
      <x:c r="E3015" t="str">
        <x:v>Yoga Mat</x:v>
      </x:c>
      <x:c r="F3015" s="24" t="n">
        <x:v>52.21</x:v>
      </x:c>
      <x:c r="G3015" t="str">
        <x:v>Autumn</x:v>
      </x:c>
      <x:c r="H3015" t="str">
        <x:v>Card</x:v>
      </x:c>
      <x:c r="I3015" t="n">
        <x:v>3.6</x:v>
      </x:c>
      <x:c r="J3015" t="n">
        <x:v>6</x:v>
      </x:c>
      <x:c r="K3015" t="n">
        <x:v>3</x:v>
      </x:c>
      <x:c r="L3015" t="str">
        <x:v>STORE-001</x:v>
      </x:c>
      <x:c r="M3015" s="22" t="n">
        <x:v>46154</x:v>
      </x:c>
      <x:c r="N3015" t="str">
        <x:v>SKU-030</x:v>
      </x:c>
      <x:c r="O3015" t="n">
        <x:v>1</x:v>
      </x:c>
      <x:c r="P3015" s="26" t="n">
        <x:f>F3015/O3015</x:f>
        <x:v>52.21</x:v>
      </x:c>
    </x:row>
    <x:row r="3016">
      <x:c r="A3016" t="n">
        <x:v>3015</x:v>
      </x:c>
      <x:c r="B3016" t="n">
        <x:v>38</x:v>
      </x:c>
      <x:c r="C3016" t="str">
        <x:v>Female</x:v>
      </x:c>
      <x:c r="D3016" t="str">
        <x:v>Footwear</x:v>
      </x:c>
      <x:c r="E3016" t="str">
        <x:v>Formal Shoes</x:v>
      </x:c>
      <x:c r="F3016" s="24" t="n">
        <x:v>241.96</x:v>
      </x:c>
      <x:c r="G3016" t="str">
        <x:v>Summer</x:v>
      </x:c>
      <x:c r="H3016" t="str">
        <x:v>Card</x:v>
      </x:c>
      <x:c r="I3016" t="n">
        <x:v>2.6</x:v>
      </x:c>
      <x:c r="J3016" t="n">
        <x:v>18</x:v>
      </x:c>
      <x:c r="K3016" t="n">
        <x:v>4</x:v>
      </x:c>
      <x:c r="L3016" t="str">
        <x:v>STORE-001</x:v>
      </x:c>
      <x:c r="M3016" s="22" t="n">
        <x:v>46049</x:v>
      </x:c>
      <x:c r="N3016" t="str">
        <x:v>SKU-007</x:v>
      </x:c>
      <x:c r="O3016" t="n">
        <x:v>1</x:v>
      </x:c>
      <x:c r="P3016" s="26" t="n">
        <x:f>F3016/O3016</x:f>
        <x:v>241.96</x:v>
      </x:c>
    </x:row>
    <x:row r="3017">
      <x:c r="A3017" t="n">
        <x:v>3016</x:v>
      </x:c>
      <x:c r="B3017" t="n">
        <x:v>23</x:v>
      </x:c>
      <x:c r="C3017" t="str">
        <x:v>Female</x:v>
      </x:c>
      <x:c r="D3017" t="str">
        <x:v>Accessories</x:v>
      </x:c>
      <x:c r="E3017" t="str">
        <x:v>Wallet</x:v>
      </x:c>
      <x:c r="F3017" s="24" t="n">
        <x:v>64.06</x:v>
      </x:c>
      <x:c r="G3017" t="str">
        <x:v>Spring</x:v>
      </x:c>
      <x:c r="H3017" t="str">
        <x:v>Cash on Delivery</x:v>
      </x:c>
      <x:c r="I3017" t="n">
        <x:v>3.7</x:v>
      </x:c>
      <x:c r="J3017" t="n">
        <x:v>9</x:v>
      </x:c>
      <x:c r="K3017" t="n">
        <x:v>2</x:v>
      </x:c>
      <x:c r="L3017" t="str">
        <x:v>STORE-001</x:v>
      </x:c>
      <x:c r="M3017" s="22" t="n">
        <x:v>46267</x:v>
      </x:c>
      <x:c r="N3017" t="str">
        <x:v>SKU-029</x:v>
      </x:c>
      <x:c r="O3017" t="n">
        <x:v>2</x:v>
      </x:c>
      <x:c r="P3017" s="26" t="n">
        <x:f>F3017/O3017</x:f>
        <x:v>32.03</x:v>
      </x:c>
    </x:row>
    <x:row r="3018">
      <x:c r="A3018" t="n">
        <x:v>3017</x:v>
      </x:c>
      <x:c r="B3018" t="n">
        <x:v>25</x:v>
      </x:c>
      <x:c r="C3018" t="str">
        <x:v>Female</x:v>
      </x:c>
      <x:c r="D3018" t="str">
        <x:v>Womens Clothing</x:v>
      </x:c>
      <x:c r="E3018" t="str">
        <x:v>Jeans</x:v>
      </x:c>
      <x:c r="F3018" s="24" t="n">
        <x:v>59.55</x:v>
      </x:c>
      <x:c r="G3018" t="str">
        <x:v>Spring</x:v>
      </x:c>
      <x:c r="H3018" t="str">
        <x:v>Card</x:v>
      </x:c>
      <x:c r="I3018" t="n">
        <x:v>4.1</x:v>
      </x:c>
      <x:c r="J3018" t="n">
        <x:v>22</x:v>
      </x:c>
      <x:c r="K3018" t="n">
        <x:v>6</x:v>
      </x:c>
      <x:c r="L3018" t="str">
        <x:v>STORE-001</x:v>
      </x:c>
      <x:c r="M3018" s="22" t="n">
        <x:v>45941</x:v>
      </x:c>
      <x:c r="N3018" t="str">
        <x:v>SKU-011</x:v>
      </x:c>
      <x:c r="O3018" t="n">
        <x:v>1</x:v>
      </x:c>
      <x:c r="P3018" s="26" t="n">
        <x:f>F3018/O3018</x:f>
        <x:v>59.55</x:v>
      </x:c>
    </x:row>
    <x:row r="3019">
      <x:c r="A3019" t="n">
        <x:v>3018</x:v>
      </x:c>
      <x:c r="B3019" t="n">
        <x:v>63</x:v>
      </x:c>
      <x:c r="C3019" t="str">
        <x:v>Male</x:v>
      </x:c>
      <x:c r="D3019" t="str">
        <x:v>Footwear</x:v>
      </x:c>
      <x:c r="E3019" t="str">
        <x:v>Sandals</x:v>
      </x:c>
      <x:c r="F3019" s="24" t="n">
        <x:v>91.21</x:v>
      </x:c>
      <x:c r="G3019" t="str">
        <x:v>Winter</x:v>
      </x:c>
      <x:c r="H3019" t="str">
        <x:v>Card</x:v>
      </x:c>
      <x:c r="I3019" t="n">
        <x:v>4.1</x:v>
      </x:c>
      <x:c r="J3019" t="n">
        <x:v>32</x:v>
      </x:c>
      <x:c r="K3019" t="n">
        <x:v>11</x:v>
      </x:c>
      <x:c r="L3019" t="str">
        <x:v>STORE-001</x:v>
      </x:c>
      <x:c r="M3019" s="22" t="n">
        <x:v>46175</x:v>
      </x:c>
      <x:c r="N3019" t="str">
        <x:v>SKU-019</x:v>
      </x:c>
      <x:c r="O3019" t="n">
        <x:v>1</x:v>
      </x:c>
      <x:c r="P3019" s="26" t="n">
        <x:f>F3019/O3019</x:f>
        <x:v>91.21</x:v>
      </x:c>
    </x:row>
    <x:row r="3020">
      <x:c r="A3020" t="n">
        <x:v>3019</x:v>
      </x:c>
      <x:c r="B3020" t="n">
        <x:v>63</x:v>
      </x:c>
      <x:c r="C3020" t="str">
        <x:v>Male</x:v>
      </x:c>
      <x:c r="D3020" t="str">
        <x:v>Mens Clothing</x:v>
      </x:c>
      <x:c r="E3020" t="str">
        <x:v>Jacket</x:v>
      </x:c>
      <x:c r="F3020" s="24" t="n">
        <x:v>112.01</x:v>
      </x:c>
      <x:c r="G3020" t="str">
        <x:v>Autumn</x:v>
      </x:c>
      <x:c r="H3020" t="str">
        <x:v>Card</x:v>
      </x:c>
      <x:c r="I3020" t="n">
        <x:v>4</x:v>
      </x:c>
      <x:c r="J3020" t="n">
        <x:v>8</x:v>
      </x:c>
      <x:c r="K3020" t="n">
        <x:v>4</x:v>
      </x:c>
      <x:c r="L3020" t="str">
        <x:v>STORE-001</x:v>
      </x:c>
      <x:c r="M3020" s="22" t="n">
        <x:v>46137</x:v>
      </x:c>
      <x:c r="N3020" t="str">
        <x:v>SKU-010</x:v>
      </x:c>
      <x:c r="O3020" t="n">
        <x:v>2</x:v>
      </x:c>
      <x:c r="P3020" s="26" t="n">
        <x:f>F3020/O3020</x:f>
        <x:v>56.005</x:v>
      </x:c>
    </x:row>
    <x:row r="3021">
      <x:c r="A3021" t="n">
        <x:v>3020</x:v>
      </x:c>
      <x:c r="B3021" t="n">
        <x:v>47</x:v>
      </x:c>
      <x:c r="C3021" t="str">
        <x:v>Male</x:v>
      </x:c>
      <x:c r="D3021" t="str">
        <x:v>Electronics</x:v>
      </x:c>
      <x:c r="E3021" t="str">
        <x:v>Laptop</x:v>
      </x:c>
      <x:c r="F3021" s="24" t="n">
        <x:v>2830.66</x:v>
      </x:c>
      <x:c r="G3021" t="str">
        <x:v>Summer</x:v>
      </x:c>
      <x:c r="H3021" t="str">
        <x:v>Card</x:v>
      </x:c>
      <x:c r="I3021" t="n">
        <x:v>3.5</x:v>
      </x:c>
      <x:c r="J3021" t="n">
        <x:v>16</x:v>
      </x:c>
      <x:c r="K3021" t="n">
        <x:v>3</x:v>
      </x:c>
      <x:c r="L3021" t="str">
        <x:v>STORE-001</x:v>
      </x:c>
      <x:c r="M3021" s="22" t="n">
        <x:v>46033</x:v>
      </x:c>
      <x:c r="N3021" t="str">
        <x:v>SKU-014</x:v>
      </x:c>
      <x:c r="O3021" t="n">
        <x:v>1</x:v>
      </x:c>
      <x:c r="P3021" s="26" t="n">
        <x:f>F3021/O3021</x:f>
        <x:v>2830.66</x:v>
      </x:c>
    </x:row>
    <x:row r="3022">
      <x:c r="A3022" t="n">
        <x:v>3021</x:v>
      </x:c>
      <x:c r="B3022" t="n">
        <x:v>67</x:v>
      </x:c>
      <x:c r="C3022" t="str">
        <x:v>Male</x:v>
      </x:c>
      <x:c r="D3022" t="str">
        <x:v>Electronics</x:v>
      </x:c>
      <x:c r="E3022" t="str">
        <x:v>Mobile Phone</x:v>
      </x:c>
      <x:c r="F3022" s="24" t="n">
        <x:v>804.82</x:v>
      </x:c>
      <x:c r="G3022" t="str">
        <x:v>Winter</x:v>
      </x:c>
      <x:c r="H3022" t="str">
        <x:v>Card</x:v>
      </x:c>
      <x:c r="I3022" t="n">
        <x:v>3.8</x:v>
      </x:c>
      <x:c r="J3022" t="n">
        <x:v>9</x:v>
      </x:c>
      <x:c r="K3022" t="n">
        <x:v>2</x:v>
      </x:c>
      <x:c r="L3022" t="str">
        <x:v>STORE-001</x:v>
      </x:c>
      <x:c r="M3022" s="22" t="n">
        <x:v>46188</x:v>
      </x:c>
      <x:c r="N3022" t="str">
        <x:v>SKU-016</x:v>
      </x:c>
      <x:c r="O3022" t="n">
        <x:v>1</x:v>
      </x:c>
      <x:c r="P3022" s="26" t="n">
        <x:f>F3022/O3022</x:f>
        <x:v>804.82</x:v>
      </x:c>
    </x:row>
    <x:row r="3023">
      <x:c r="A3023" t="n">
        <x:v>3022</x:v>
      </x:c>
      <x:c r="B3023" t="n">
        <x:v>35</x:v>
      </x:c>
      <x:c r="C3023" t="str">
        <x:v>Male</x:v>
      </x:c>
      <x:c r="D3023" t="str">
        <x:v>Mens Clothing</x:v>
      </x:c>
      <x:c r="E3023" t="str">
        <x:v>Jacket</x:v>
      </x:c>
      <x:c r="F3023" s="24" t="n">
        <x:v>62.73</x:v>
      </x:c>
      <x:c r="G3023" t="str">
        <x:v>Summer</x:v>
      </x:c>
      <x:c r="H3023" t="str">
        <x:v>Cash on Delivery</x:v>
      </x:c>
      <x:c r="I3023" t="n">
        <x:v>3.6</x:v>
      </x:c>
      <x:c r="J3023" t="n">
        <x:v>15</x:v>
      </x:c>
      <x:c r="K3023" t="n">
        <x:v>5</x:v>
      </x:c>
      <x:c r="L3023" t="str">
        <x:v>STORE-001</x:v>
      </x:c>
      <x:c r="M3023" s="22" t="n">
        <x:v>46044</x:v>
      </x:c>
      <x:c r="N3023" t="str">
        <x:v>SKU-010</x:v>
      </x:c>
      <x:c r="O3023" t="n">
        <x:v>1</x:v>
      </x:c>
      <x:c r="P3023" s="26" t="n">
        <x:f>F3023/O3023</x:f>
        <x:v>62.73</x:v>
      </x:c>
    </x:row>
    <x:row r="3024">
      <x:c r="A3024" t="n">
        <x:v>3023</x:v>
      </x:c>
      <x:c r="B3024" t="n">
        <x:v>43</x:v>
      </x:c>
      <x:c r="C3024" t="str">
        <x:v>Female</x:v>
      </x:c>
      <x:c r="D3024" t="str">
        <x:v>Beauty</x:v>
      </x:c>
      <x:c r="E3024" t="str">
        <x:v>Makeup Set</x:v>
      </x:c>
      <x:c r="F3024" s="24" t="n">
        <x:v>20.09</x:v>
      </x:c>
      <x:c r="G3024" t="str">
        <x:v>Winter</x:v>
      </x:c>
      <x:c r="H3024" t="str">
        <x:v>Cash on Delivery</x:v>
      </x:c>
      <x:c r="I3024" t="n">
        <x:v>2.7</x:v>
      </x:c>
      <x:c r="J3024" t="n">
        <x:v>20</x:v>
      </x:c>
      <x:c r="K3024" t="n">
        <x:v>5</x:v>
      </x:c>
      <x:c r="L3024" t="str">
        <x:v>STORE-001</x:v>
      </x:c>
      <x:c r="M3024" s="22" t="n">
        <x:v>46248</x:v>
      </x:c>
      <x:c r="N3024" t="str">
        <x:v>SKU-015</x:v>
      </x:c>
      <x:c r="O3024" t="n">
        <x:v>1</x:v>
      </x:c>
      <x:c r="P3024" s="26" t="n">
        <x:f>F3024/O3024</x:f>
        <x:v>20.09</x:v>
      </x:c>
    </x:row>
    <x:row r="3025">
      <x:c r="A3025" t="n">
        <x:v>3024</x:v>
      </x:c>
      <x:c r="B3025" t="n">
        <x:v>60</x:v>
      </x:c>
      <x:c r="C3025" t="str">
        <x:v>Female</x:v>
      </x:c>
      <x:c r="D3025" t="str">
        <x:v>Footwear</x:v>
      </x:c>
      <x:c r="E3025" t="str">
        <x:v>Sandals</x:v>
      </x:c>
      <x:c r="F3025" s="24" t="n">
        <x:v>52.98</x:v>
      </x:c>
      <x:c r="G3025" t="str">
        <x:v>Spring</x:v>
      </x:c>
      <x:c r="H3025" t="str">
        <x:v>Card</x:v>
      </x:c>
      <x:c r="I3025" t="n">
        <x:v>4.2</x:v>
      </x:c>
      <x:c r="J3025" t="n">
        <x:v>4</x:v>
      </x:c>
      <x:c r="K3025" t="n">
        <x:v>2</x:v>
      </x:c>
      <x:c r="L3025" t="str">
        <x:v>STORE-001</x:v>
      </x:c>
      <x:c r="M3025" s="22" t="n">
        <x:v>45974</x:v>
      </x:c>
      <x:c r="N3025" t="str">
        <x:v>SKU-019</x:v>
      </x:c>
      <x:c r="O3025" t="n">
        <x:v>1</x:v>
      </x:c>
      <x:c r="P3025" s="26" t="n">
        <x:f>F3025/O3025</x:f>
        <x:v>52.98</x:v>
      </x:c>
    </x:row>
    <x:row r="3026">
      <x:c r="A3026" t="n">
        <x:v>3025</x:v>
      </x:c>
      <x:c r="B3026" t="n">
        <x:v>56</x:v>
      </x:c>
      <x:c r="C3026" t="str">
        <x:v>Female</x:v>
      </x:c>
      <x:c r="D3026" t="str">
        <x:v>Womens Clothing</x:v>
      </x:c>
      <x:c r="E3026" t="str">
        <x:v>Top</x:v>
      </x:c>
      <x:c r="F3026" s="24" t="n">
        <x:v>80.96</x:v>
      </x:c>
      <x:c r="G3026" t="str">
        <x:v>Spring</x:v>
      </x:c>
      <x:c r="H3026" t="str">
        <x:v>Card</x:v>
      </x:c>
      <x:c r="I3026" t="n">
        <x:v>3.4</x:v>
      </x:c>
      <x:c r="J3026" t="n">
        <x:v>12</x:v>
      </x:c>
      <x:c r="K3026" t="n">
        <x:v>6</x:v>
      </x:c>
      <x:c r="L3026" t="str">
        <x:v>STORE-001</x:v>
      </x:c>
      <x:c r="M3026" s="22" t="n">
        <x:v>46276</x:v>
      </x:c>
      <x:c r="N3026" t="str">
        <x:v>SKU-028</x:v>
      </x:c>
      <x:c r="O3026" t="n">
        <x:v>1</x:v>
      </x:c>
      <x:c r="P3026" s="26" t="n">
        <x:f>F3026/O3026</x:f>
        <x:v>80.96</x:v>
      </x:c>
    </x:row>
    <x:row r="3027">
      <x:c r="A3027" t="n">
        <x:v>3026</x:v>
      </x:c>
      <x:c r="B3027" t="n">
        <x:v>46</x:v>
      </x:c>
      <x:c r="C3027" t="str">
        <x:v>Male</x:v>
      </x:c>
      <x:c r="D3027" t="str">
        <x:v>Mens Clothing</x:v>
      </x:c>
      <x:c r="E3027" t="str">
        <x:v>Jacket</x:v>
      </x:c>
      <x:c r="F3027" s="24" t="n">
        <x:v>173.68</x:v>
      </x:c>
      <x:c r="G3027" t="str">
        <x:v>Spring</x:v>
      </x:c>
      <x:c r="H3027" t="str">
        <x:v>Card</x:v>
      </x:c>
      <x:c r="I3027" t="n">
        <x:v>5</x:v>
      </x:c>
      <x:c r="J3027" t="n">
        <x:v>17</x:v>
      </x:c>
      <x:c r="K3027" t="n">
        <x:v>6</x:v>
      </x:c>
      <x:c r="L3027" t="str">
        <x:v>STORE-001</x:v>
      </x:c>
      <x:c r="M3027" s="22" t="n">
        <x:v>46274</x:v>
      </x:c>
      <x:c r="N3027" t="str">
        <x:v>SKU-010</x:v>
      </x:c>
      <x:c r="O3027" t="n">
        <x:v>1</x:v>
      </x:c>
      <x:c r="P3027" s="26" t="n">
        <x:f>F3027/O3027</x:f>
        <x:v>173.68</x:v>
      </x:c>
    </x:row>
    <x:row r="3028">
      <x:c r="A3028" t="n">
        <x:v>3027</x:v>
      </x:c>
      <x:c r="B3028" t="n">
        <x:v>63</x:v>
      </x:c>
      <x:c r="C3028" t="str">
        <x:v>Male</x:v>
      </x:c>
      <x:c r="D3028" t="str">
        <x:v>Mens Clothing</x:v>
      </x:c>
      <x:c r="E3028" t="str">
        <x:v>Jacket</x:v>
      </x:c>
      <x:c r="F3028" s="24" t="n">
        <x:v>116.37</x:v>
      </x:c>
      <x:c r="G3028" t="str">
        <x:v>Winter</x:v>
      </x:c>
      <x:c r="H3028" t="str">
        <x:v>Card</x:v>
      </x:c>
      <x:c r="I3028" t="n">
        <x:v>3.3</x:v>
      </x:c>
      <x:c r="J3028" t="n">
        <x:v>26</x:v>
      </x:c>
      <x:c r="K3028" t="n">
        <x:v>8</x:v>
      </x:c>
      <x:c r="L3028" t="str">
        <x:v>STORE-001</x:v>
      </x:c>
      <x:c r="M3028" s="22" t="n">
        <x:v>46236</x:v>
      </x:c>
      <x:c r="N3028" t="str">
        <x:v>SKU-010</x:v>
      </x:c>
      <x:c r="O3028" t="n">
        <x:v>1</x:v>
      </x:c>
      <x:c r="P3028" s="26" t="n">
        <x:f>F3028/O3028</x:f>
        <x:v>116.37</x:v>
      </x:c>
    </x:row>
    <x:row r="3029">
      <x:c r="A3029" t="n">
        <x:v>3028</x:v>
      </x:c>
      <x:c r="B3029" t="n">
        <x:v>44</x:v>
      </x:c>
      <x:c r="C3029" t="str">
        <x:v>Female</x:v>
      </x:c>
      <x:c r="D3029" t="str">
        <x:v>Womens Clothing</x:v>
      </x:c>
      <x:c r="E3029" t="str">
        <x:v>Skirt</x:v>
      </x:c>
      <x:c r="F3029" s="24" t="n">
        <x:v>139.86</x:v>
      </x:c>
      <x:c r="G3029" t="str">
        <x:v>Summer</x:v>
      </x:c>
      <x:c r="H3029" t="str">
        <x:v>Card</x:v>
      </x:c>
      <x:c r="I3029" t="n">
        <x:v>3.5</x:v>
      </x:c>
      <x:c r="J3029" t="n">
        <x:v>11</x:v>
      </x:c>
      <x:c r="K3029" t="n">
        <x:v>3</x:v>
      </x:c>
      <x:c r="L3029" t="str">
        <x:v>STORE-001</x:v>
      </x:c>
      <x:c r="M3029" s="22" t="n">
        <x:v>45999</x:v>
      </x:c>
      <x:c r="N3029" t="str">
        <x:v>SKU-022</x:v>
      </x:c>
      <x:c r="O3029" t="n">
        <x:v>1</x:v>
      </x:c>
      <x:c r="P3029" s="26" t="n">
        <x:f>F3029/O3029</x:f>
        <x:v>139.86</x:v>
      </x:c>
    </x:row>
    <x:row r="3030">
      <x:c r="A3030" t="n">
        <x:v>3029</x:v>
      </x:c>
      <x:c r="B3030" t="n">
        <x:v>46</x:v>
      </x:c>
      <x:c r="C3030" t="str">
        <x:v>Female</x:v>
      </x:c>
      <x:c r="D3030" t="str">
        <x:v>Accessories</x:v>
      </x:c>
      <x:c r="E3030" t="str">
        <x:v>Wallet</x:v>
      </x:c>
      <x:c r="F3030" s="24" t="n">
        <x:v>169.04</x:v>
      </x:c>
      <x:c r="G3030" t="str">
        <x:v>Winter</x:v>
      </x:c>
      <x:c r="H3030" t="str">
        <x:v>Card</x:v>
      </x:c>
      <x:c r="I3030" t="n">
        <x:v>3</x:v>
      </x:c>
      <x:c r="J3030" t="n">
        <x:v>15</x:v>
      </x:c>
      <x:c r="K3030" t="n">
        <x:v>5</x:v>
      </x:c>
      <x:c r="L3030" t="str">
        <x:v>STORE-001</x:v>
      </x:c>
      <x:c r="M3030" s="22" t="n">
        <x:v>46192</x:v>
      </x:c>
      <x:c r="N3030" t="str">
        <x:v>SKU-029</x:v>
      </x:c>
      <x:c r="O3030" t="n">
        <x:v>1</x:v>
      </x:c>
      <x:c r="P3030" s="26" t="n">
        <x:f>F3030/O3030</x:f>
        <x:v>169.04</x:v>
      </x:c>
    </x:row>
    <x:row r="3031">
      <x:c r="A3031" t="n">
        <x:v>3030</x:v>
      </x:c>
      <x:c r="B3031" t="n">
        <x:v>44</x:v>
      </x:c>
      <x:c r="C3031" t="str">
        <x:v>Male</x:v>
      </x:c>
      <x:c r="D3031" t="str">
        <x:v>Electronics</x:v>
      </x:c>
      <x:c r="E3031" t="str">
        <x:v>Smart Watch</x:v>
      </x:c>
      <x:c r="F3031" s="24" t="n">
        <x:v>2810.41</x:v>
      </x:c>
      <x:c r="G3031" t="str">
        <x:v>Winter</x:v>
      </x:c>
      <x:c r="H3031" t="str">
        <x:v>Card</x:v>
      </x:c>
      <x:c r="I3031" t="n">
        <x:v>4.4</x:v>
      </x:c>
      <x:c r="J3031" t="n">
        <x:v>8</x:v>
      </x:c>
      <x:c r="K3031" t="n">
        <x:v>4</x:v>
      </x:c>
      <x:c r="L3031" t="str">
        <x:v>STORE-001</x:v>
      </x:c>
      <x:c r="M3031" s="22" t="n">
        <x:v>46212</x:v>
      </x:c>
      <x:c r="N3031" t="str">
        <x:v>SKU-023</x:v>
      </x:c>
      <x:c r="O3031" t="n">
        <x:v>1</x:v>
      </x:c>
      <x:c r="P3031" s="26" t="n">
        <x:f>F3031/O3031</x:f>
        <x:v>2810.41</x:v>
      </x:c>
    </x:row>
    <x:row r="3032">
      <x:c r="A3032" t="n">
        <x:v>3031</x:v>
      </x:c>
      <x:c r="B3032" t="n">
        <x:v>46</x:v>
      </x:c>
      <x:c r="C3032" t="str">
        <x:v>Female</x:v>
      </x:c>
      <x:c r="D3032" t="str">
        <x:v>Womens Clothing</x:v>
      </x:c>
      <x:c r="E3032" t="str">
        <x:v>Skirt</x:v>
      </x:c>
      <x:c r="F3032" s="24" t="n">
        <x:v>152.01</x:v>
      </x:c>
      <x:c r="G3032" t="str">
        <x:v>Summer</x:v>
      </x:c>
      <x:c r="H3032" t="str">
        <x:v>Card</x:v>
      </x:c>
      <x:c r="I3032" t="n">
        <x:v>2.6</x:v>
      </x:c>
      <x:c r="J3032" t="n">
        <x:v>11</x:v>
      </x:c>
      <x:c r="K3032" t="n">
        <x:v>3</x:v>
      </x:c>
      <x:c r="L3032" t="str">
        <x:v>STORE-001</x:v>
      </x:c>
      <x:c r="M3032" s="22" t="n">
        <x:v>46028</x:v>
      </x:c>
      <x:c r="N3032" t="str">
        <x:v>SKU-022</x:v>
      </x:c>
      <x:c r="O3032" t="n">
        <x:v>2</x:v>
      </x:c>
      <x:c r="P3032" s="26" t="n">
        <x:f>F3032/O3032</x:f>
        <x:v>76.005</x:v>
      </x:c>
    </x:row>
    <x:row r="3033">
      <x:c r="A3033" t="n">
        <x:v>3032</x:v>
      </x:c>
      <x:c r="B3033" t="n">
        <x:v>50</x:v>
      </x:c>
      <x:c r="C3033" t="str">
        <x:v>Male</x:v>
      </x:c>
      <x:c r="D3033" t="str">
        <x:v>Electronics</x:v>
      </x:c>
      <x:c r="E3033" t="str">
        <x:v>Headphones</x:v>
      </x:c>
      <x:c r="F3033" s="24" t="n">
        <x:v>908.32</x:v>
      </x:c>
      <x:c r="G3033" t="str">
        <x:v>Autumn</x:v>
      </x:c>
      <x:c r="H3033" t="str">
        <x:v>Card</x:v>
      </x:c>
      <x:c r="I3033" t="n">
        <x:v>2.8</x:v>
      </x:c>
      <x:c r="J3033" t="n">
        <x:v>8</x:v>
      </x:c>
      <x:c r="K3033" t="n">
        <x:v>4</x:v>
      </x:c>
      <x:c r="L3033" t="str">
        <x:v>STORE-001</x:v>
      </x:c>
      <x:c r="M3033" s="22" t="n">
        <x:v>46136</x:v>
      </x:c>
      <x:c r="N3033" t="str">
        <x:v>SKU-009</x:v>
      </x:c>
      <x:c r="O3033" t="n">
        <x:v>1</x:v>
      </x:c>
      <x:c r="P3033" s="26" t="n">
        <x:f>F3033/O3033</x:f>
        <x:v>908.32</x:v>
      </x:c>
    </x:row>
    <x:row r="3034">
      <x:c r="A3034" t="n">
        <x:v>3033</x:v>
      </x:c>
      <x:c r="B3034" t="n">
        <x:v>57</x:v>
      </x:c>
      <x:c r="C3034" t="str">
        <x:v>Female</x:v>
      </x:c>
      <x:c r="D3034" t="str">
        <x:v>Womens Clothing</x:v>
      </x:c>
      <x:c r="E3034" t="str">
        <x:v>Skirt</x:v>
      </x:c>
      <x:c r="F3034" s="24" t="n">
        <x:v>194</x:v>
      </x:c>
      <x:c r="G3034" t="str">
        <x:v>Winter</x:v>
      </x:c>
      <x:c r="H3034" t="str">
        <x:v>Card</x:v>
      </x:c>
      <x:c r="I3034" t="n">
        <x:v>2.9</x:v>
      </x:c>
      <x:c r="J3034" t="n">
        <x:v>2</x:v>
      </x:c>
      <x:c r="K3034" t="n">
        <x:v>1</x:v>
      </x:c>
      <x:c r="L3034" t="str">
        <x:v>STORE-001</x:v>
      </x:c>
      <x:c r="M3034" s="22" t="n">
        <x:v>46203</x:v>
      </x:c>
      <x:c r="N3034" t="str">
        <x:v>SKU-022</x:v>
      </x:c>
      <x:c r="O3034" t="n">
        <x:v>1</x:v>
      </x:c>
      <x:c r="P3034" s="26" t="n">
        <x:f>F3034/O3034</x:f>
        <x:v>194</x:v>
      </x:c>
    </x:row>
    <x:row r="3035">
      <x:c r="A3035" t="n">
        <x:v>3034</x:v>
      </x:c>
      <x:c r="B3035" t="n">
        <x:v>28</x:v>
      </x:c>
      <x:c r="C3035" t="str">
        <x:v>Male</x:v>
      </x:c>
      <x:c r="D3035" t="str">
        <x:v>Footwear</x:v>
      </x:c>
      <x:c r="E3035" t="str">
        <x:v>Formal Shoes</x:v>
      </x:c>
      <x:c r="F3035" s="24" t="n">
        <x:v>239.55</x:v>
      </x:c>
      <x:c r="G3035" t="str">
        <x:v>Spring</x:v>
      </x:c>
      <x:c r="H3035" t="str">
        <x:v>Card</x:v>
      </x:c>
      <x:c r="I3035" t="n">
        <x:v>4.6</x:v>
      </x:c>
      <x:c r="J3035" t="n">
        <x:v>20</x:v>
      </x:c>
      <x:c r="K3035" t="n">
        <x:v>5</x:v>
      </x:c>
      <x:c r="L3035" t="str">
        <x:v>STORE-001</x:v>
      </x:c>
      <x:c r="M3035" s="22" t="n">
        <x:v>46284</x:v>
      </x:c>
      <x:c r="N3035" t="str">
        <x:v>SKU-007</x:v>
      </x:c>
      <x:c r="O3035" t="n">
        <x:v>1</x:v>
      </x:c>
      <x:c r="P3035" s="26" t="n">
        <x:f>F3035/O3035</x:f>
        <x:v>239.55</x:v>
      </x:c>
    </x:row>
    <x:row r="3036">
      <x:c r="A3036" t="n">
        <x:v>3035</x:v>
      </x:c>
      <x:c r="B3036" t="n">
        <x:v>38</x:v>
      </x:c>
      <x:c r="C3036" t="str">
        <x:v>Male</x:v>
      </x:c>
      <x:c r="D3036" t="str">
        <x:v>Electronics</x:v>
      </x:c>
      <x:c r="E3036" t="str">
        <x:v>Laptop</x:v>
      </x:c>
      <x:c r="F3036" s="24" t="n">
        <x:v>2591.7</x:v>
      </x:c>
      <x:c r="G3036" t="str">
        <x:v>Autumn</x:v>
      </x:c>
      <x:c r="H3036" t="str">
        <x:v>Card</x:v>
      </x:c>
      <x:c r="I3036" t="n">
        <x:v>3.3</x:v>
      </x:c>
      <x:c r="J3036" t="n">
        <x:v>26</x:v>
      </x:c>
      <x:c r="K3036" t="n">
        <x:v>8</x:v>
      </x:c>
      <x:c r="L3036" t="str">
        <x:v>STORE-001</x:v>
      </x:c>
      <x:c r="M3036" s="22" t="n">
        <x:v>46164</x:v>
      </x:c>
      <x:c r="N3036" t="str">
        <x:v>SKU-014</x:v>
      </x:c>
      <x:c r="O3036" t="n">
        <x:v>1</x:v>
      </x:c>
      <x:c r="P3036" s="26" t="n">
        <x:f>F3036/O3036</x:f>
        <x:v>2591.7</x:v>
      </x:c>
    </x:row>
    <x:row r="3037">
      <x:c r="A3037" t="n">
        <x:v>3036</x:v>
      </x:c>
      <x:c r="B3037" t="n">
        <x:v>57</x:v>
      </x:c>
      <x:c r="C3037" t="str">
        <x:v>Female</x:v>
      </x:c>
      <x:c r="D3037" t="str">
        <x:v>Womens Clothing</x:v>
      </x:c>
      <x:c r="E3037" t="str">
        <x:v>Top</x:v>
      </x:c>
      <x:c r="F3037" s="24" t="n">
        <x:v>165.49</x:v>
      </x:c>
      <x:c r="G3037" t="str">
        <x:v>Summer</x:v>
      </x:c>
      <x:c r="H3037" t="str">
        <x:v>Card</x:v>
      </x:c>
      <x:c r="I3037" t="n">
        <x:v>4.7</x:v>
      </x:c>
      <x:c r="J3037" t="n">
        <x:v>13</x:v>
      </x:c>
      <x:c r="K3037" t="n">
        <x:v>4</x:v>
      </x:c>
      <x:c r="L3037" t="str">
        <x:v>STORE-001</x:v>
      </x:c>
      <x:c r="M3037" s="22" t="n">
        <x:v>46011</x:v>
      </x:c>
      <x:c r="N3037" t="str">
        <x:v>SKU-028</x:v>
      </x:c>
      <x:c r="O3037" t="n">
        <x:v>1</x:v>
      </x:c>
      <x:c r="P3037" s="26" t="n">
        <x:f>F3037/O3037</x:f>
        <x:v>165.49</x:v>
      </x:c>
    </x:row>
    <x:row r="3038">
      <x:c r="A3038" t="n">
        <x:v>3037</x:v>
      </x:c>
      <x:c r="B3038" t="n">
        <x:v>22</x:v>
      </x:c>
      <x:c r="C3038" t="str">
        <x:v>Male</x:v>
      </x:c>
      <x:c r="D3038" t="str">
        <x:v>Footwear</x:v>
      </x:c>
      <x:c r="E3038" t="str">
        <x:v>Sandals</x:v>
      </x:c>
      <x:c r="F3038" s="24" t="n">
        <x:v>41.92</x:v>
      </x:c>
      <x:c r="G3038" t="str">
        <x:v>Winter</x:v>
      </x:c>
      <x:c r="H3038" t="str">
        <x:v>Card</x:v>
      </x:c>
      <x:c r="I3038" t="n">
        <x:v>3.9</x:v>
      </x:c>
      <x:c r="J3038" t="n">
        <x:v>11</x:v>
      </x:c>
      <x:c r="K3038" t="n">
        <x:v>3</x:v>
      </x:c>
      <x:c r="L3038" t="str">
        <x:v>STORE-001</x:v>
      </x:c>
      <x:c r="M3038" s="22" t="n">
        <x:v>46179</x:v>
      </x:c>
      <x:c r="N3038" t="str">
        <x:v>SKU-019</x:v>
      </x:c>
      <x:c r="O3038" t="n">
        <x:v>1</x:v>
      </x:c>
      <x:c r="P3038" s="26" t="n">
        <x:f>F3038/O3038</x:f>
        <x:v>41.92</x:v>
      </x:c>
    </x:row>
    <x:row r="3039">
      <x:c r="A3039" t="n">
        <x:v>3038</x:v>
      </x:c>
      <x:c r="B3039" t="n">
        <x:v>29</x:v>
      </x:c>
      <x:c r="C3039" t="str">
        <x:v>Male</x:v>
      </x:c>
      <x:c r="D3039" t="str">
        <x:v>Sports</x:v>
      </x:c>
      <x:c r="E3039" t="str">
        <x:v>Dumbbells</x:v>
      </x:c>
      <x:c r="F3039" s="24" t="n">
        <x:v>236.09</x:v>
      </x:c>
      <x:c r="G3039" t="str">
        <x:v>Summer</x:v>
      </x:c>
      <x:c r="H3039" t="str">
        <x:v>Card</x:v>
      </x:c>
      <x:c r="I3039" t="n">
        <x:v>2.7</x:v>
      </x:c>
      <x:c r="J3039" t="n">
        <x:v>13</x:v>
      </x:c>
      <x:c r="K3039" t="n">
        <x:v>4</x:v>
      </x:c>
      <x:c r="L3039" t="str">
        <x:v>STORE-001</x:v>
      </x:c>
      <x:c r="M3039" s="22" t="n">
        <x:v>46038</x:v>
      </x:c>
      <x:c r="N3039" t="str">
        <x:v>SKU-005</x:v>
      </x:c>
      <x:c r="O3039" t="n">
        <x:v>1</x:v>
      </x:c>
      <x:c r="P3039" s="26" t="n">
        <x:f>F3039/O3039</x:f>
        <x:v>236.09</x:v>
      </x:c>
    </x:row>
    <x:row r="3040">
      <x:c r="A3040" t="n">
        <x:v>3039</x:v>
      </x:c>
      <x:c r="B3040" t="n">
        <x:v>26</x:v>
      </x:c>
      <x:c r="C3040" t="str">
        <x:v>Male</x:v>
      </x:c>
      <x:c r="D3040" t="str">
        <x:v>Electronics</x:v>
      </x:c>
      <x:c r="E3040" t="str">
        <x:v>Laptop</x:v>
      </x:c>
      <x:c r="F3040" s="24" t="n">
        <x:v>1687.69</x:v>
      </x:c>
      <x:c r="G3040" t="str">
        <x:v>Summer</x:v>
      </x:c>
      <x:c r="H3040" t="str">
        <x:v>Card</x:v>
      </x:c>
      <x:c r="I3040" t="n">
        <x:v>2.4</x:v>
      </x:c>
      <x:c r="J3040" t="n">
        <x:v>12</x:v>
      </x:c>
      <x:c r="K3040" t="n">
        <x:v>6</x:v>
      </x:c>
      <x:c r="L3040" t="str">
        <x:v>STORE-001</x:v>
      </x:c>
      <x:c r="M3040" s="22" t="n">
        <x:v>46029</x:v>
      </x:c>
      <x:c r="N3040" t="str">
        <x:v>SKU-014</x:v>
      </x:c>
      <x:c r="O3040" t="n">
        <x:v>1</x:v>
      </x:c>
      <x:c r="P3040" s="26" t="n">
        <x:f>F3040/O3040</x:f>
        <x:v>1687.69</x:v>
      </x:c>
    </x:row>
    <x:row r="3041">
      <x:c r="A3041" t="n">
        <x:v>3040</x:v>
      </x:c>
      <x:c r="B3041" t="n">
        <x:v>40</x:v>
      </x:c>
      <x:c r="C3041" t="str">
        <x:v>Male</x:v>
      </x:c>
      <x:c r="D3041" t="str">
        <x:v>Mens Clothing</x:v>
      </x:c>
      <x:c r="E3041" t="str">
        <x:v>T-Shirt</x:v>
      </x:c>
      <x:c r="F3041" s="24" t="n">
        <x:v>144.61</x:v>
      </x:c>
      <x:c r="G3041" t="str">
        <x:v>Autumn</x:v>
      </x:c>
      <x:c r="H3041" t="str">
        <x:v>Card</x:v>
      </x:c>
      <x:c r="I3041" t="n">
        <x:v>3.6</x:v>
      </x:c>
      <x:c r="J3041" t="n">
        <x:v>22</x:v>
      </x:c>
      <x:c r="K3041" t="n">
        <x:v>6</x:v>
      </x:c>
      <x:c r="L3041" t="str">
        <x:v>STORE-001</x:v>
      </x:c>
      <x:c r="M3041" s="22" t="n">
        <x:v>46146</x:v>
      </x:c>
      <x:c r="N3041" t="str">
        <x:v>SKU-027</x:v>
      </x:c>
      <x:c r="O3041" t="n">
        <x:v>3</x:v>
      </x:c>
      <x:c r="P3041" s="26" t="n">
        <x:f>F3041/O3041</x:f>
        <x:v>48.20333333333334</x:v>
      </x:c>
    </x:row>
    <x:row r="3042">
      <x:c r="A3042" t="n">
        <x:v>3041</x:v>
      </x:c>
      <x:c r="B3042" t="n">
        <x:v>59</x:v>
      </x:c>
      <x:c r="C3042" t="str">
        <x:v>Male</x:v>
      </x:c>
      <x:c r="D3042" t="str">
        <x:v>Groceries</x:v>
      </x:c>
      <x:c r="E3042" t="str">
        <x:v>Beverages</x:v>
      </x:c>
      <x:c r="F3042" s="24" t="n">
        <x:v>60.41</x:v>
      </x:c>
      <x:c r="G3042" t="str">
        <x:v>Autumn</x:v>
      </x:c>
      <x:c r="H3042" t="str">
        <x:v>Cash on Delivery</x:v>
      </x:c>
      <x:c r="I3042" t="n">
        <x:v>3.7</x:v>
      </x:c>
      <x:c r="J3042" t="n">
        <x:v>13</x:v>
      </x:c>
      <x:c r="K3042" t="n">
        <x:v>4</x:v>
      </x:c>
      <x:c r="L3042" t="str">
        <x:v>STORE-001</x:v>
      </x:c>
      <x:c r="M3042" s="22" t="n">
        <x:v>46126</x:v>
      </x:c>
      <x:c r="N3042" t="str">
        <x:v>SKU-001</x:v>
      </x:c>
      <x:c r="O3042" t="n">
        <x:v>4</x:v>
      </x:c>
      <x:c r="P3042" s="26" t="n">
        <x:f>F3042/O3042</x:f>
        <x:v>15.1025</x:v>
      </x:c>
    </x:row>
    <x:row r="3043">
      <x:c r="A3043" t="n">
        <x:v>3042</x:v>
      </x:c>
      <x:c r="B3043" t="n">
        <x:v>42</x:v>
      </x:c>
      <x:c r="C3043" t="str">
        <x:v>Female</x:v>
      </x:c>
      <x:c r="D3043" t="str">
        <x:v>Footwear</x:v>
      </x:c>
      <x:c r="E3043" t="str">
        <x:v>Sneakers</x:v>
      </x:c>
      <x:c r="F3043" s="24" t="n">
        <x:v>176.41</x:v>
      </x:c>
      <x:c r="G3043" t="str">
        <x:v>Spring</x:v>
      </x:c>
      <x:c r="H3043" t="str">
        <x:v>Card</x:v>
      </x:c>
      <x:c r="I3043" t="n">
        <x:v>4.2</x:v>
      </x:c>
      <x:c r="J3043" t="n">
        <x:v>16</x:v>
      </x:c>
      <x:c r="K3043" t="n">
        <x:v>3</x:v>
      </x:c>
      <x:c r="L3043" t="str">
        <x:v>STORE-001</x:v>
      </x:c>
      <x:c r="M3043" s="22" t="n">
        <x:v>45991</x:v>
      </x:c>
      <x:c r="N3043" t="str">
        <x:v>SKU-025</x:v>
      </x:c>
      <x:c r="O3043" t="n">
        <x:v>1</x:v>
      </x:c>
      <x:c r="P3043" s="26" t="n">
        <x:f>F3043/O3043</x:f>
        <x:v>176.41</x:v>
      </x:c>
    </x:row>
    <x:row r="3044">
      <x:c r="A3044" t="n">
        <x:v>3043</x:v>
      </x:c>
      <x:c r="B3044" t="n">
        <x:v>66</x:v>
      </x:c>
      <x:c r="C3044" t="str">
        <x:v>Female</x:v>
      </x:c>
      <x:c r="D3044" t="str">
        <x:v>Beauty</x:v>
      </x:c>
      <x:c r="E3044" t="str">
        <x:v>Skincare Kit</x:v>
      </x:c>
      <x:c r="F3044" s="24" t="n">
        <x:v>46.02</x:v>
      </x:c>
      <x:c r="G3044" t="str">
        <x:v>Spring</x:v>
      </x:c>
      <x:c r="H3044" t="str">
        <x:v>Card</x:v>
      </x:c>
      <x:c r="I3044" t="n">
        <x:v>3.2</x:v>
      </x:c>
      <x:c r="J3044" t="n">
        <x:v>26</x:v>
      </x:c>
      <x:c r="K3044" t="n">
        <x:v>8</x:v>
      </x:c>
      <x:c r="L3044" t="str">
        <x:v>STORE-001</x:v>
      </x:c>
      <x:c r="M3044" s="22" t="n">
        <x:v>45988</x:v>
      </x:c>
      <x:c r="N3044" t="str">
        <x:v>SKU-021</x:v>
      </x:c>
      <x:c r="O3044" t="n">
        <x:v>1</x:v>
      </x:c>
      <x:c r="P3044" s="26" t="n">
        <x:f>F3044/O3044</x:f>
        <x:v>46.02</x:v>
      </x:c>
    </x:row>
    <x:row r="3045">
      <x:c r="A3045" t="n">
        <x:v>3044</x:v>
      </x:c>
      <x:c r="B3045" t="n">
        <x:v>50</x:v>
      </x:c>
      <x:c r="C3045" t="str">
        <x:v>Male</x:v>
      </x:c>
      <x:c r="D3045" t="str">
        <x:v>Electronics</x:v>
      </x:c>
      <x:c r="E3045" t="str">
        <x:v>Laptop</x:v>
      </x:c>
      <x:c r="F3045" s="24" t="n">
        <x:v>1517.4</x:v>
      </x:c>
      <x:c r="G3045" t="str">
        <x:v>Summer</x:v>
      </x:c>
      <x:c r="H3045" t="str">
        <x:v>Card</x:v>
      </x:c>
      <x:c r="I3045" t="n">
        <x:v>3.6</x:v>
      </x:c>
      <x:c r="J3045" t="n">
        <x:v>18</x:v>
      </x:c>
      <x:c r="K3045" t="n">
        <x:v>9</x:v>
      </x:c>
      <x:c r="L3045" t="str">
        <x:v>STORE-001</x:v>
      </x:c>
      <x:c r="M3045" s="22" t="n">
        <x:v>46034</x:v>
      </x:c>
      <x:c r="N3045" t="str">
        <x:v>SKU-014</x:v>
      </x:c>
      <x:c r="O3045" t="n">
        <x:v>1</x:v>
      </x:c>
      <x:c r="P3045" s="26" t="n">
        <x:f>F3045/O3045</x:f>
        <x:v>1517.4</x:v>
      </x:c>
    </x:row>
    <x:row r="3046">
      <x:c r="A3046" t="n">
        <x:v>3045</x:v>
      </x:c>
      <x:c r="B3046" t="n">
        <x:v>51</x:v>
      </x:c>
      <x:c r="C3046" t="str">
        <x:v>Female</x:v>
      </x:c>
      <x:c r="D3046" t="str">
        <x:v>Beauty</x:v>
      </x:c>
      <x:c r="E3046" t="str">
        <x:v>Skincare Kit</x:v>
      </x:c>
      <x:c r="F3046" s="24" t="n">
        <x:v>86.79</x:v>
      </x:c>
      <x:c r="G3046" t="str">
        <x:v>Spring</x:v>
      </x:c>
      <x:c r="H3046" t="str">
        <x:v>Cash on Delivery</x:v>
      </x:c>
      <x:c r="I3046" t="n">
        <x:v>3.5</x:v>
      </x:c>
      <x:c r="J3046" t="n">
        <x:v>19</x:v>
      </x:c>
      <x:c r="K3046" t="n">
        <x:v>7</x:v>
      </x:c>
      <x:c r="L3046" t="str">
        <x:v>STORE-001</x:v>
      </x:c>
      <x:c r="M3046" s="22" t="n">
        <x:v>45964</x:v>
      </x:c>
      <x:c r="N3046" t="str">
        <x:v>SKU-021</x:v>
      </x:c>
      <x:c r="O3046" t="n">
        <x:v>3</x:v>
      </x:c>
      <x:c r="P3046" s="26" t="n">
        <x:f>F3046/O3046</x:f>
        <x:v>28.930000000000003</x:v>
      </x:c>
    </x:row>
    <x:row r="3047">
      <x:c r="A3047" t="n">
        <x:v>3046</x:v>
      </x:c>
      <x:c r="B3047" t="n">
        <x:v>40</x:v>
      </x:c>
      <x:c r="C3047" t="str">
        <x:v>Female</x:v>
      </x:c>
      <x:c r="D3047" t="str">
        <x:v>Womens Clothing</x:v>
      </x:c>
      <x:c r="E3047" t="str">
        <x:v>Dress</x:v>
      </x:c>
      <x:c r="F3047" s="24" t="n">
        <x:v>41.97</x:v>
      </x:c>
      <x:c r="G3047" t="str">
        <x:v>Summer</x:v>
      </x:c>
      <x:c r="H3047" t="str">
        <x:v>Card</x:v>
      </x:c>
      <x:c r="I3047" t="n">
        <x:v>3.5</x:v>
      </x:c>
      <x:c r="J3047" t="n">
        <x:v>10</x:v>
      </x:c>
      <x:c r="K3047" t="n">
        <x:v>5</x:v>
      </x:c>
      <x:c r="L3047" t="str">
        <x:v>STORE-001</x:v>
      </x:c>
      <x:c r="M3047" s="22" t="n">
        <x:v>45999</x:v>
      </x:c>
      <x:c r="N3047" t="str">
        <x:v>SKU-004</x:v>
      </x:c>
      <x:c r="O3047" t="n">
        <x:v>2</x:v>
      </x:c>
      <x:c r="P3047" s="26" t="n">
        <x:f>F3047/O3047</x:f>
        <x:v>20.985</x:v>
      </x:c>
    </x:row>
    <x:row r="3048">
      <x:c r="A3048" t="n">
        <x:v>3047</x:v>
      </x:c>
      <x:c r="B3048" t="n">
        <x:v>35</x:v>
      </x:c>
      <x:c r="C3048" t="str">
        <x:v>Female</x:v>
      </x:c>
      <x:c r="D3048" t="str">
        <x:v>Beauty</x:v>
      </x:c>
      <x:c r="E3048" t="str">
        <x:v>Skincare Kit</x:v>
      </x:c>
      <x:c r="F3048" s="24" t="n">
        <x:v>149.18</x:v>
      </x:c>
      <x:c r="G3048" t="str">
        <x:v>Spring</x:v>
      </x:c>
      <x:c r="H3048" t="str">
        <x:v>Card</x:v>
      </x:c>
      <x:c r="I3048" t="n">
        <x:v>4.7</x:v>
      </x:c>
      <x:c r="J3048" t="n">
        <x:v>28</x:v>
      </x:c>
      <x:c r="K3048" t="n">
        <x:v>9</x:v>
      </x:c>
      <x:c r="L3048" t="str">
        <x:v>STORE-001</x:v>
      </x:c>
      <x:c r="M3048" s="22" t="n">
        <x:v>45934</x:v>
      </x:c>
      <x:c r="N3048" t="str">
        <x:v>SKU-021</x:v>
      </x:c>
      <x:c r="O3048" t="n">
        <x:v>1</x:v>
      </x:c>
      <x:c r="P3048" s="26" t="n">
        <x:f>F3048/O3048</x:f>
        <x:v>149.18</x:v>
      </x:c>
    </x:row>
    <x:row r="3049">
      <x:c r="A3049" t="n">
        <x:v>3048</x:v>
      </x:c>
      <x:c r="B3049" t="n">
        <x:v>30</x:v>
      </x:c>
      <x:c r="C3049" t="str">
        <x:v>Female</x:v>
      </x:c>
      <x:c r="D3049" t="str">
        <x:v>Womens Clothing</x:v>
      </x:c>
      <x:c r="E3049" t="str">
        <x:v>Top</x:v>
      </x:c>
      <x:c r="F3049" s="24" t="n">
        <x:v>142.34</x:v>
      </x:c>
      <x:c r="G3049" t="str">
        <x:v>Winter</x:v>
      </x:c>
      <x:c r="H3049" t="str">
        <x:v>Card</x:v>
      </x:c>
      <x:c r="I3049" t="n">
        <x:v>2.9</x:v>
      </x:c>
      <x:c r="J3049" t="n">
        <x:v>19</x:v>
      </x:c>
      <x:c r="K3049" t="n">
        <x:v>7</x:v>
      </x:c>
      <x:c r="L3049" t="str">
        <x:v>STORE-001</x:v>
      </x:c>
      <x:c r="M3049" s="22" t="n">
        <x:v>46229</x:v>
      </x:c>
      <x:c r="N3049" t="str">
        <x:v>SKU-028</x:v>
      </x:c>
      <x:c r="O3049" t="n">
        <x:v>1</x:v>
      </x:c>
      <x:c r="P3049" s="26" t="n">
        <x:f>F3049/O3049</x:f>
        <x:v>142.34</x:v>
      </x:c>
    </x:row>
    <x:row r="3050">
      <x:c r="A3050" t="n">
        <x:v>3049</x:v>
      </x:c>
      <x:c r="B3050" t="n">
        <x:v>68</x:v>
      </x:c>
      <x:c r="C3050" t="str">
        <x:v>Male</x:v>
      </x:c>
      <x:c r="D3050" t="str">
        <x:v>Sports</x:v>
      </x:c>
      <x:c r="E3050" t="str">
        <x:v>Dumbbells</x:v>
      </x:c>
      <x:c r="F3050" s="24" t="n">
        <x:v>149.12</x:v>
      </x:c>
      <x:c r="G3050" t="str">
        <x:v>Autumn</x:v>
      </x:c>
      <x:c r="H3050" t="str">
        <x:v>Card</x:v>
      </x:c>
      <x:c r="I3050" t="n">
        <x:v>4.7</x:v>
      </x:c>
      <x:c r="J3050" t="n">
        <x:v>30</x:v>
      </x:c>
      <x:c r="K3050" t="n">
        <x:v>10</x:v>
      </x:c>
      <x:c r="L3050" t="str">
        <x:v>STORE-001</x:v>
      </x:c>
      <x:c r="M3050" s="22" t="n">
        <x:v>46156</x:v>
      </x:c>
      <x:c r="N3050" t="str">
        <x:v>SKU-005</x:v>
      </x:c>
      <x:c r="O3050" t="n">
        <x:v>1</x:v>
      </x:c>
      <x:c r="P3050" s="26" t="n">
        <x:f>F3050/O3050</x:f>
        <x:v>149.12</x:v>
      </x:c>
    </x:row>
    <x:row r="3051">
      <x:c r="A3051" t="n">
        <x:v>3050</x:v>
      </x:c>
      <x:c r="B3051" t="n">
        <x:v>34</x:v>
      </x:c>
      <x:c r="C3051" t="str">
        <x:v>Female</x:v>
      </x:c>
      <x:c r="D3051" t="str">
        <x:v>Footwear</x:v>
      </x:c>
      <x:c r="E3051" t="str">
        <x:v>Formal Shoes</x:v>
      </x:c>
      <x:c r="F3051" s="24" t="n">
        <x:v>222.74</x:v>
      </x:c>
      <x:c r="G3051" t="str">
        <x:v>Winter</x:v>
      </x:c>
      <x:c r="H3051" t="str">
        <x:v>Card</x:v>
      </x:c>
      <x:c r="I3051" t="n">
        <x:v>4</x:v>
      </x:c>
      <x:c r="J3051" t="n">
        <x:v>18</x:v>
      </x:c>
      <x:c r="K3051" t="n">
        <x:v>4</x:v>
      </x:c>
      <x:c r="L3051" t="str">
        <x:v>STORE-001</x:v>
      </x:c>
      <x:c r="M3051" s="22" t="n">
        <x:v>46182</x:v>
      </x:c>
      <x:c r="N3051" t="str">
        <x:v>SKU-007</x:v>
      </x:c>
      <x:c r="O3051" t="n">
        <x:v>1</x:v>
      </x:c>
      <x:c r="P3051" s="26" t="n">
        <x:f>F3051/O3051</x:f>
        <x:v>222.74</x:v>
      </x:c>
    </x:row>
    <x:row r="3052">
      <x:c r="A3052" t="n">
        <x:v>3051</x:v>
      </x:c>
      <x:c r="B3052" t="n">
        <x:v>37</x:v>
      </x:c>
      <x:c r="C3052" t="str">
        <x:v>Female</x:v>
      </x:c>
      <x:c r="D3052" t="str">
        <x:v>Accessories</x:v>
      </x:c>
      <x:c r="E3052" t="str">
        <x:v>Wallet</x:v>
      </x:c>
      <x:c r="F3052" s="24" t="n">
        <x:v>23.58</x:v>
      </x:c>
      <x:c r="G3052" t="str">
        <x:v>Winter</x:v>
      </x:c>
      <x:c r="H3052" t="str">
        <x:v>Card</x:v>
      </x:c>
      <x:c r="I3052" t="n">
        <x:v>3.2</x:v>
      </x:c>
      <x:c r="J3052" t="n">
        <x:v>18</x:v>
      </x:c>
      <x:c r="K3052" t="n">
        <x:v>4</x:v>
      </x:c>
      <x:c r="L3052" t="str">
        <x:v>STORE-001</x:v>
      </x:c>
      <x:c r="M3052" s="22" t="n">
        <x:v>46186</x:v>
      </x:c>
      <x:c r="N3052" t="str">
        <x:v>SKU-029</x:v>
      </x:c>
      <x:c r="O3052" t="n">
        <x:v>2</x:v>
      </x:c>
      <x:c r="P3052" s="26" t="n">
        <x:f>F3052/O3052</x:f>
        <x:v>11.79</x:v>
      </x:c>
    </x:row>
    <x:row r="3053">
      <x:c r="A3053" t="n">
        <x:v>3052</x:v>
      </x:c>
      <x:c r="B3053" t="n">
        <x:v>48</x:v>
      </x:c>
      <x:c r="C3053" t="str">
        <x:v>Male</x:v>
      </x:c>
      <x:c r="D3053" t="str">
        <x:v>Electronics</x:v>
      </x:c>
      <x:c r="E3053" t="str">
        <x:v>Laptop</x:v>
      </x:c>
      <x:c r="F3053" s="24" t="n">
        <x:v>1298.54</x:v>
      </x:c>
      <x:c r="G3053" t="str">
        <x:v>Winter</x:v>
      </x:c>
      <x:c r="H3053" t="str">
        <x:v>Card</x:v>
      </x:c>
      <x:c r="I3053" t="n">
        <x:v>3.5</x:v>
      </x:c>
      <x:c r="J3053" t="n">
        <x:v>10</x:v>
      </x:c>
      <x:c r="K3053" t="n">
        <x:v>0</x:v>
      </x:c>
      <x:c r="L3053" t="str">
        <x:v>STORE-001</x:v>
      </x:c>
      <x:c r="M3053" s="22" t="n">
        <x:v>46175</x:v>
      </x:c>
      <x:c r="N3053" t="str">
        <x:v>SKU-014</x:v>
      </x:c>
      <x:c r="O3053" t="n">
        <x:v>1</x:v>
      </x:c>
      <x:c r="P3053" s="26" t="n">
        <x:f>F3053/O3053</x:f>
        <x:v>1298.54</x:v>
      </x:c>
    </x:row>
    <x:row r="3054">
      <x:c r="A3054" t="n">
        <x:v>3053</x:v>
      </x:c>
      <x:c r="B3054" t="n">
        <x:v>57</x:v>
      </x:c>
      <x:c r="C3054" t="str">
        <x:v>Female</x:v>
      </x:c>
      <x:c r="D3054" t="str">
        <x:v>Accessories</x:v>
      </x:c>
      <x:c r="E3054" t="str">
        <x:v>Sunglasses</x:v>
      </x:c>
      <x:c r="F3054" s="24" t="n">
        <x:v>147.6</x:v>
      </x:c>
      <x:c r="G3054" t="str">
        <x:v>Summer</x:v>
      </x:c>
      <x:c r="H3054" t="str">
        <x:v>Card</x:v>
      </x:c>
      <x:c r="I3054" t="n">
        <x:v>4</x:v>
      </x:c>
      <x:c r="J3054" t="n">
        <x:v>24</x:v>
      </x:c>
      <x:c r="K3054" t="n">
        <x:v>7</x:v>
      </x:c>
      <x:c r="L3054" t="str">
        <x:v>STORE-001</x:v>
      </x:c>
      <x:c r="M3054" s="22" t="n">
        <x:v>46049</x:v>
      </x:c>
      <x:c r="N3054" t="str">
        <x:v>SKU-026</x:v>
      </x:c>
      <x:c r="O3054" t="n">
        <x:v>1</x:v>
      </x:c>
      <x:c r="P3054" s="26" t="n">
        <x:f>F3054/O3054</x:f>
        <x:v>147.6</x:v>
      </x:c>
    </x:row>
    <x:row r="3055">
      <x:c r="A3055" t="n">
        <x:v>3054</x:v>
      </x:c>
      <x:c r="B3055" t="n">
        <x:v>46</x:v>
      </x:c>
      <x:c r="C3055" t="str">
        <x:v>Male</x:v>
      </x:c>
      <x:c r="D3055" t="str">
        <x:v>Electronics</x:v>
      </x:c>
      <x:c r="E3055" t="str">
        <x:v>Mobile Phone</x:v>
      </x:c>
      <x:c r="F3055" s="24" t="n">
        <x:v>1161.09</x:v>
      </x:c>
      <x:c r="G3055" t="str">
        <x:v>Autumn</x:v>
      </x:c>
      <x:c r="H3055" t="str">
        <x:v>Card</x:v>
      </x:c>
      <x:c r="I3055" t="n">
        <x:v>4.8</x:v>
      </x:c>
      <x:c r="J3055" t="n">
        <x:v>10</x:v>
      </x:c>
      <x:c r="K3055" t="n">
        <x:v>5</x:v>
      </x:c>
      <x:c r="L3055" t="str">
        <x:v>STORE-001</x:v>
      </x:c>
      <x:c r="M3055" s="22" t="n">
        <x:v>46156</x:v>
      </x:c>
      <x:c r="N3055" t="str">
        <x:v>SKU-016</x:v>
      </x:c>
      <x:c r="O3055" t="n">
        <x:v>1</x:v>
      </x:c>
      <x:c r="P3055" s="26" t="n">
        <x:f>F3055/O3055</x:f>
        <x:v>1161.09</x:v>
      </x:c>
    </x:row>
    <x:row r="3056">
      <x:c r="A3056" t="n">
        <x:v>3055</x:v>
      </x:c>
      <x:c r="B3056" t="n">
        <x:v>51</x:v>
      </x:c>
      <x:c r="C3056" t="str">
        <x:v>Female</x:v>
      </x:c>
      <x:c r="D3056" t="str">
        <x:v>Footwear</x:v>
      </x:c>
      <x:c r="E3056" t="str">
        <x:v>Sneakers</x:v>
      </x:c>
      <x:c r="F3056" s="24" t="n">
        <x:v>203.75</x:v>
      </x:c>
      <x:c r="G3056" t="str">
        <x:v>Autumn</x:v>
      </x:c>
      <x:c r="H3056" t="str">
        <x:v>Card</x:v>
      </x:c>
      <x:c r="I3056" t="n">
        <x:v>3.4</x:v>
      </x:c>
      <x:c r="J3056" t="n">
        <x:v>11</x:v>
      </x:c>
      <x:c r="K3056" t="n">
        <x:v>3</x:v>
      </x:c>
      <x:c r="L3056" t="str">
        <x:v>STORE-001</x:v>
      </x:c>
      <x:c r="M3056" s="22" t="n">
        <x:v>46115</x:v>
      </x:c>
      <x:c r="N3056" t="str">
        <x:v>SKU-025</x:v>
      </x:c>
      <x:c r="O3056" t="n">
        <x:v>1</x:v>
      </x:c>
      <x:c r="P3056" s="26" t="n">
        <x:f>F3056/O3056</x:f>
        <x:v>203.75</x:v>
      </x:c>
    </x:row>
    <x:row r="3057">
      <x:c r="A3057" t="n">
        <x:v>3056</x:v>
      </x:c>
      <x:c r="B3057" t="n">
        <x:v>57</x:v>
      </x:c>
      <x:c r="C3057" t="str">
        <x:v>Female</x:v>
      </x:c>
      <x:c r="D3057" t="str">
        <x:v>Home</x:v>
      </x:c>
      <x:c r="E3057" t="str">
        <x:v>Lamp</x:v>
      </x:c>
      <x:c r="F3057" s="24" t="n">
        <x:v>145.76</x:v>
      </x:c>
      <x:c r="G3057" t="str">
        <x:v>Summer</x:v>
      </x:c>
      <x:c r="H3057" t="str">
        <x:v>Card</x:v>
      </x:c>
      <x:c r="I3057" t="n">
        <x:v>3.2</x:v>
      </x:c>
      <x:c r="J3057" t="n">
        <x:v>14</x:v>
      </x:c>
      <x:c r="K3057" t="n">
        <x:v>7</x:v>
      </x:c>
      <x:c r="L3057" t="str">
        <x:v>STORE-001</x:v>
      </x:c>
      <x:c r="M3057" s="22" t="n">
        <x:v>46027</x:v>
      </x:c>
      <x:c r="N3057" t="str">
        <x:v>SKU-013</x:v>
      </x:c>
      <x:c r="O3057" t="n">
        <x:v>3</x:v>
      </x:c>
      <x:c r="P3057" s="26" t="n">
        <x:f>F3057/O3057</x:f>
        <x:v>48.586666666666666</x:v>
      </x:c>
    </x:row>
    <x:row r="3058">
      <x:c r="A3058" t="n">
        <x:v>3057</x:v>
      </x:c>
      <x:c r="B3058" t="n">
        <x:v>70</x:v>
      </x:c>
      <x:c r="C3058" t="str">
        <x:v>Female</x:v>
      </x:c>
      <x:c r="D3058" t="str">
        <x:v>Footwear</x:v>
      </x:c>
      <x:c r="E3058" t="str">
        <x:v>Formal Shoes</x:v>
      </x:c>
      <x:c r="F3058" s="24" t="n">
        <x:v>221.59</x:v>
      </x:c>
      <x:c r="G3058" t="str">
        <x:v>Spring</x:v>
      </x:c>
      <x:c r="H3058" t="str">
        <x:v>Card</x:v>
      </x:c>
      <x:c r="I3058" t="n">
        <x:v>3.8</x:v>
      </x:c>
      <x:c r="J3058" t="n">
        <x:v>13</x:v>
      </x:c>
      <x:c r="K3058" t="n">
        <x:v>4</x:v>
      </x:c>
      <x:c r="L3058" t="str">
        <x:v>STORE-001</x:v>
      </x:c>
      <x:c r="M3058" s="22" t="n">
        <x:v>45944</x:v>
      </x:c>
      <x:c r="N3058" t="str">
        <x:v>SKU-007</x:v>
      </x:c>
      <x:c r="O3058" t="n">
        <x:v>3</x:v>
      </x:c>
      <x:c r="P3058" s="26" t="n">
        <x:f>F3058/O3058</x:f>
        <x:v>73.86333333333333</x:v>
      </x:c>
    </x:row>
    <x:row r="3059">
      <x:c r="A3059" t="n">
        <x:v>3058</x:v>
      </x:c>
      <x:c r="B3059" t="n">
        <x:v>22</x:v>
      </x:c>
      <x:c r="C3059" t="str">
        <x:v>Female</x:v>
      </x:c>
      <x:c r="D3059" t="str">
        <x:v>Womens Clothing</x:v>
      </x:c>
      <x:c r="E3059" t="str">
        <x:v>Jeans</x:v>
      </x:c>
      <x:c r="F3059" s="24" t="n">
        <x:v>142.09</x:v>
      </x:c>
      <x:c r="G3059" t="str">
        <x:v>Summer</x:v>
      </x:c>
      <x:c r="H3059" t="str">
        <x:v>Card</x:v>
      </x:c>
      <x:c r="I3059" t="n">
        <x:v>3.7</x:v>
      </x:c>
      <x:c r="J3059" t="n">
        <x:v>14</x:v>
      </x:c>
      <x:c r="K3059" t="n">
        <x:v>2</x:v>
      </x:c>
      <x:c r="L3059" t="str">
        <x:v>STORE-001</x:v>
      </x:c>
      <x:c r="M3059" s="22" t="n">
        <x:v>46004</x:v>
      </x:c>
      <x:c r="N3059" t="str">
        <x:v>SKU-011</x:v>
      </x:c>
      <x:c r="O3059" t="n">
        <x:v>1</x:v>
      </x:c>
      <x:c r="P3059" s="26" t="n">
        <x:f>F3059/O3059</x:f>
        <x:v>142.09</x:v>
      </x:c>
    </x:row>
    <x:row r="3060">
      <x:c r="A3060" t="n">
        <x:v>3059</x:v>
      </x:c>
      <x:c r="B3060" t="n">
        <x:v>46</x:v>
      </x:c>
      <x:c r="C3060" t="str">
        <x:v>Male</x:v>
      </x:c>
      <x:c r="D3060" t="str">
        <x:v>Mens Clothing</x:v>
      </x:c>
      <x:c r="E3060" t="str">
        <x:v>Jeans</x:v>
      </x:c>
      <x:c r="F3060" s="24" t="n">
        <x:v>149.84</x:v>
      </x:c>
      <x:c r="G3060" t="str">
        <x:v>Winter</x:v>
      </x:c>
      <x:c r="H3060" t="str">
        <x:v>Card</x:v>
      </x:c>
      <x:c r="I3060" t="n">
        <x:v>3.9</x:v>
      </x:c>
      <x:c r="J3060" t="n">
        <x:v>8</x:v>
      </x:c>
      <x:c r="K3060" t="n">
        <x:v>4</x:v>
      </x:c>
      <x:c r="L3060" t="str">
        <x:v>STORE-001</x:v>
      </x:c>
      <x:c r="M3060" s="22" t="n">
        <x:v>46212</x:v>
      </x:c>
      <x:c r="N3060" t="str">
        <x:v>SKU-011</x:v>
      </x:c>
      <x:c r="O3060" t="n">
        <x:v>1</x:v>
      </x:c>
      <x:c r="P3060" s="26" t="n">
        <x:f>F3060/O3060</x:f>
        <x:v>149.84</x:v>
      </x:c>
    </x:row>
    <x:row r="3061">
      <x:c r="A3061" t="n">
        <x:v>3060</x:v>
      </x:c>
      <x:c r="B3061" t="n">
        <x:v>33</x:v>
      </x:c>
      <x:c r="C3061" t="str">
        <x:v>Female</x:v>
      </x:c>
      <x:c r="D3061" t="str">
        <x:v>Beauty</x:v>
      </x:c>
      <x:c r="E3061" t="str">
        <x:v>Perfume</x:v>
      </x:c>
      <x:c r="F3061" s="24" t="n">
        <x:v>47.94</x:v>
      </x:c>
      <x:c r="G3061" t="str">
        <x:v>Autumn</x:v>
      </x:c>
      <x:c r="H3061" t="str">
        <x:v>Cash on Delivery</x:v>
      </x:c>
      <x:c r="I3061" t="n">
        <x:v>3.8</x:v>
      </x:c>
      <x:c r="J3061" t="n">
        <x:v>12</x:v>
      </x:c>
      <x:c r="K3061" t="n">
        <x:v>6</x:v>
      </x:c>
      <x:c r="L3061" t="str">
        <x:v>STORE-001</x:v>
      </x:c>
      <x:c r="M3061" s="22" t="n">
        <x:v>46100</x:v>
      </x:c>
      <x:c r="N3061" t="str">
        <x:v>SKU-017</x:v>
      </x:c>
      <x:c r="O3061" t="n">
        <x:v>1</x:v>
      </x:c>
      <x:c r="P3061" s="26" t="n">
        <x:f>F3061/O3061</x:f>
        <x:v>47.94</x:v>
      </x:c>
    </x:row>
    <x:row r="3062">
      <x:c r="A3062" t="n">
        <x:v>3061</x:v>
      </x:c>
      <x:c r="B3062" t="n">
        <x:v>28</x:v>
      </x:c>
      <x:c r="C3062" t="str">
        <x:v>Male</x:v>
      </x:c>
      <x:c r="D3062" t="str">
        <x:v>Groceries</x:v>
      </x:c>
      <x:c r="E3062" t="str">
        <x:v>Cooking Oil</x:v>
      </x:c>
      <x:c r="F3062" s="24" t="n">
        <x:v>11.62</x:v>
      </x:c>
      <x:c r="G3062" t="str">
        <x:v>Autumn</x:v>
      </x:c>
      <x:c r="H3062" t="str">
        <x:v>Card</x:v>
      </x:c>
      <x:c r="I3062" t="n">
        <x:v>3.7</x:v>
      </x:c>
      <x:c r="J3062" t="n">
        <x:v>9</x:v>
      </x:c>
      <x:c r="K3062" t="n">
        <x:v>2</x:v>
      </x:c>
      <x:c r="L3062" t="str">
        <x:v>STORE-001</x:v>
      </x:c>
      <x:c r="M3062" s="22" t="n">
        <x:v>46112</x:v>
      </x:c>
      <x:c r="N3062" t="str">
        <x:v>SKU-002</x:v>
      </x:c>
      <x:c r="O3062" t="n">
        <x:v>2</x:v>
      </x:c>
      <x:c r="P3062" s="26" t="n">
        <x:f>F3062/O3062</x:f>
        <x:v>5.81</x:v>
      </x:c>
    </x:row>
    <x:row r="3063">
      <x:c r="A3063" t="n">
        <x:v>3062</x:v>
      </x:c>
      <x:c r="B3063" t="n">
        <x:v>39</x:v>
      </x:c>
      <x:c r="C3063" t="str">
        <x:v>Female</x:v>
      </x:c>
      <x:c r="D3063" t="str">
        <x:v>Womens Clothing</x:v>
      </x:c>
      <x:c r="E3063" t="str">
        <x:v>Dress</x:v>
      </x:c>
      <x:c r="F3063" s="24" t="n">
        <x:v>119.77</x:v>
      </x:c>
      <x:c r="G3063" t="str">
        <x:v>Winter</x:v>
      </x:c>
      <x:c r="H3063" t="str">
        <x:v>Card</x:v>
      </x:c>
      <x:c r="I3063" t="n">
        <x:v>4</x:v>
      </x:c>
      <x:c r="J3063" t="n">
        <x:v>24</x:v>
      </x:c>
      <x:c r="K3063" t="n">
        <x:v>7</x:v>
      </x:c>
      <x:c r="L3063" t="str">
        <x:v>STORE-001</x:v>
      </x:c>
      <x:c r="M3063" s="22" t="n">
        <x:v>46259</x:v>
      </x:c>
      <x:c r="N3063" t="str">
        <x:v>SKU-004</x:v>
      </x:c>
      <x:c r="O3063" t="n">
        <x:v>1</x:v>
      </x:c>
      <x:c r="P3063" s="26" t="n">
        <x:f>F3063/O3063</x:f>
        <x:v>119.77</x:v>
      </x:c>
    </x:row>
    <x:row r="3064">
      <x:c r="A3064" t="n">
        <x:v>3063</x:v>
      </x:c>
      <x:c r="B3064" t="n">
        <x:v>60</x:v>
      </x:c>
      <x:c r="C3064" t="str">
        <x:v>Male</x:v>
      </x:c>
      <x:c r="D3064" t="str">
        <x:v>Mens Clothing</x:v>
      </x:c>
      <x:c r="E3064" t="str">
        <x:v>T-Shirt</x:v>
      </x:c>
      <x:c r="F3064" s="24" t="n">
        <x:v>188.39</x:v>
      </x:c>
      <x:c r="G3064" t="str">
        <x:v>Summer</x:v>
      </x:c>
      <x:c r="H3064" t="str">
        <x:v>Card</x:v>
      </x:c>
      <x:c r="I3064" t="n">
        <x:v>3.4</x:v>
      </x:c>
      <x:c r="J3064" t="n">
        <x:v>23</x:v>
      </x:c>
      <x:c r="K3064" t="n">
        <x:v>9</x:v>
      </x:c>
      <x:c r="L3064" t="str">
        <x:v>STORE-001</x:v>
      </x:c>
      <x:c r="M3064" s="22" t="n">
        <x:v>46013</x:v>
      </x:c>
      <x:c r="N3064" t="str">
        <x:v>SKU-027</x:v>
      </x:c>
      <x:c r="O3064" t="n">
        <x:v>2</x:v>
      </x:c>
      <x:c r="P3064" s="26" t="n">
        <x:f>F3064/O3064</x:f>
        <x:v>94.195</x:v>
      </x:c>
    </x:row>
    <x:row r="3065">
      <x:c r="A3065" t="n">
        <x:v>3064</x:v>
      </x:c>
      <x:c r="B3065" t="n">
        <x:v>37</x:v>
      </x:c>
      <x:c r="C3065" t="str">
        <x:v>Male</x:v>
      </x:c>
      <x:c r="D3065" t="str">
        <x:v>Groceries</x:v>
      </x:c>
      <x:c r="E3065" t="str">
        <x:v>Cooking Oil</x:v>
      </x:c>
      <x:c r="F3065" s="24" t="n">
        <x:v>70.24</x:v>
      </x:c>
      <x:c r="G3065" t="str">
        <x:v>Autumn</x:v>
      </x:c>
      <x:c r="H3065" t="str">
        <x:v>Cash on Delivery</x:v>
      </x:c>
      <x:c r="I3065" t="n">
        <x:v>4.3</x:v>
      </x:c>
      <x:c r="J3065" t="n">
        <x:v>28</x:v>
      </x:c>
      <x:c r="K3065" t="n">
        <x:v>9</x:v>
      </x:c>
      <x:c r="L3065" t="str">
        <x:v>STORE-001</x:v>
      </x:c>
      <x:c r="M3065" s="22" t="n">
        <x:v>46163</x:v>
      </x:c>
      <x:c r="N3065" t="str">
        <x:v>SKU-002</x:v>
      </x:c>
      <x:c r="O3065" t="n">
        <x:v>2</x:v>
      </x:c>
      <x:c r="P3065" s="26" t="n">
        <x:f>F3065/O3065</x:f>
        <x:v>35.12</x:v>
      </x:c>
    </x:row>
    <x:row r="3066">
      <x:c r="A3066" t="n">
        <x:v>3065</x:v>
      </x:c>
      <x:c r="B3066" t="n">
        <x:v>40</x:v>
      </x:c>
      <x:c r="C3066" t="str">
        <x:v>Female</x:v>
      </x:c>
      <x:c r="D3066" t="str">
        <x:v>Womens Clothing</x:v>
      </x:c>
      <x:c r="E3066" t="str">
        <x:v>Top</x:v>
      </x:c>
      <x:c r="F3066" s="24" t="n">
        <x:v>167.11</x:v>
      </x:c>
      <x:c r="G3066" t="str">
        <x:v>Winter</x:v>
      </x:c>
      <x:c r="H3066" t="str">
        <x:v>Card</x:v>
      </x:c>
      <x:c r="I3066" t="n">
        <x:v>3.9</x:v>
      </x:c>
      <x:c r="J3066" t="n">
        <x:v>20</x:v>
      </x:c>
      <x:c r="K3066" t="n">
        <x:v>5</x:v>
      </x:c>
      <x:c r="L3066" t="str">
        <x:v>STORE-001</x:v>
      </x:c>
      <x:c r="M3066" s="22" t="n">
        <x:v>46241</x:v>
      </x:c>
      <x:c r="N3066" t="str">
        <x:v>SKU-028</x:v>
      </x:c>
      <x:c r="O3066" t="n">
        <x:v>1</x:v>
      </x:c>
      <x:c r="P3066" s="26" t="n">
        <x:f>F3066/O3066</x:f>
        <x:v>167.11</x:v>
      </x:c>
    </x:row>
    <x:row r="3067">
      <x:c r="A3067" t="n">
        <x:v>3066</x:v>
      </x:c>
      <x:c r="B3067" t="n">
        <x:v>56</x:v>
      </x:c>
      <x:c r="C3067" t="str">
        <x:v>Male</x:v>
      </x:c>
      <x:c r="D3067" t="str">
        <x:v>Mens Clothing</x:v>
      </x:c>
      <x:c r="E3067" t="str">
        <x:v>Jeans</x:v>
      </x:c>
      <x:c r="F3067" s="24" t="n">
        <x:v>108.75</x:v>
      </x:c>
      <x:c r="G3067" t="str">
        <x:v>Autumn</x:v>
      </x:c>
      <x:c r="H3067" t="str">
        <x:v>Card</x:v>
      </x:c>
      <x:c r="I3067" t="n">
        <x:v>4.4</x:v>
      </x:c>
      <x:c r="J3067" t="n">
        <x:v>22</x:v>
      </x:c>
      <x:c r="K3067" t="n">
        <x:v>6</x:v>
      </x:c>
      <x:c r="L3067" t="str">
        <x:v>STORE-001</x:v>
      </x:c>
      <x:c r="M3067" s="22" t="n">
        <x:v>46138</x:v>
      </x:c>
      <x:c r="N3067" t="str">
        <x:v>SKU-011</x:v>
      </x:c>
      <x:c r="O3067" t="n">
        <x:v>1</x:v>
      </x:c>
      <x:c r="P3067" s="26" t="n">
        <x:f>F3067/O3067</x:f>
        <x:v>108.75</x:v>
      </x:c>
    </x:row>
    <x:row r="3068">
      <x:c r="A3068" t="n">
        <x:v>3067</x:v>
      </x:c>
      <x:c r="B3068" t="n">
        <x:v>42</x:v>
      </x:c>
      <x:c r="C3068" t="str">
        <x:v>Male</x:v>
      </x:c>
      <x:c r="D3068" t="str">
        <x:v>Footwear</x:v>
      </x:c>
      <x:c r="E3068" t="str">
        <x:v>Formal Shoes</x:v>
      </x:c>
      <x:c r="F3068" s="24" t="n">
        <x:v>234.89</x:v>
      </x:c>
      <x:c r="G3068" t="str">
        <x:v>Winter</x:v>
      </x:c>
      <x:c r="H3068" t="str">
        <x:v>Card</x:v>
      </x:c>
      <x:c r="I3068" t="n">
        <x:v>4.1</x:v>
      </x:c>
      <x:c r="J3068" t="n">
        <x:v>4</x:v>
      </x:c>
      <x:c r="K3068" t="n">
        <x:v>2</x:v>
      </x:c>
      <x:c r="L3068" t="str">
        <x:v>STORE-001</x:v>
      </x:c>
      <x:c r="M3068" s="22" t="n">
        <x:v>46214</x:v>
      </x:c>
      <x:c r="N3068" t="str">
        <x:v>SKU-007</x:v>
      </x:c>
      <x:c r="O3068" t="n">
        <x:v>1</x:v>
      </x:c>
      <x:c r="P3068" s="26" t="n">
        <x:f>F3068/O3068</x:f>
        <x:v>234.89</x:v>
      </x:c>
    </x:row>
    <x:row r="3069">
      <x:c r="A3069" t="n">
        <x:v>3068</x:v>
      </x:c>
      <x:c r="B3069" t="n">
        <x:v>35</x:v>
      </x:c>
      <x:c r="C3069" t="str">
        <x:v>Female</x:v>
      </x:c>
      <x:c r="D3069" t="str">
        <x:v>Footwear</x:v>
      </x:c>
      <x:c r="E3069" t="str">
        <x:v>Sneakers</x:v>
      </x:c>
      <x:c r="F3069" s="24" t="n">
        <x:v>203.24</x:v>
      </x:c>
      <x:c r="G3069" t="str">
        <x:v>Spring</x:v>
      </x:c>
      <x:c r="H3069" t="str">
        <x:v>Card</x:v>
      </x:c>
      <x:c r="I3069" t="n">
        <x:v>3.8</x:v>
      </x:c>
      <x:c r="J3069" t="n">
        <x:v>20</x:v>
      </x:c>
      <x:c r="K3069" t="n">
        <x:v>5</x:v>
      </x:c>
      <x:c r="L3069" t="str">
        <x:v>STORE-001</x:v>
      </x:c>
      <x:c r="M3069" s="22" t="n">
        <x:v>46280</x:v>
      </x:c>
      <x:c r="N3069" t="str">
        <x:v>SKU-025</x:v>
      </x:c>
      <x:c r="O3069" t="n">
        <x:v>1</x:v>
      </x:c>
      <x:c r="P3069" s="26" t="n">
        <x:f>F3069/O3069</x:f>
        <x:v>203.24</x:v>
      </x:c>
    </x:row>
    <x:row r="3070">
      <x:c r="A3070" t="n">
        <x:v>3069</x:v>
      </x:c>
      <x:c r="B3070" t="n">
        <x:v>31</x:v>
      </x:c>
      <x:c r="C3070" t="str">
        <x:v>Male</x:v>
      </x:c>
      <x:c r="D3070" t="str">
        <x:v>Footwear</x:v>
      </x:c>
      <x:c r="E3070" t="str">
        <x:v>Formal Shoes</x:v>
      </x:c>
      <x:c r="F3070" s="24" t="n">
        <x:v>118.39</x:v>
      </x:c>
      <x:c r="G3070" t="str">
        <x:v>Winter</x:v>
      </x:c>
      <x:c r="H3070" t="str">
        <x:v>Card</x:v>
      </x:c>
      <x:c r="I3070" t="n">
        <x:v>4.4</x:v>
      </x:c>
      <x:c r="J3070" t="n">
        <x:v>15</x:v>
      </x:c>
      <x:c r="K3070" t="n">
        <x:v>5</x:v>
      </x:c>
      <x:c r="L3070" t="str">
        <x:v>STORE-001</x:v>
      </x:c>
      <x:c r="M3070" s="22" t="n">
        <x:v>46238</x:v>
      </x:c>
      <x:c r="N3070" t="str">
        <x:v>SKU-007</x:v>
      </x:c>
      <x:c r="O3070" t="n">
        <x:v>3</x:v>
      </x:c>
      <x:c r="P3070" s="26" t="n">
        <x:f>F3070/O3070</x:f>
        <x:v>39.46333333333333</x:v>
      </x:c>
    </x:row>
    <x:row r="3071">
      <x:c r="A3071" t="n">
        <x:v>3070</x:v>
      </x:c>
      <x:c r="B3071" t="n">
        <x:v>66</x:v>
      </x:c>
      <x:c r="C3071" t="str">
        <x:v>Female</x:v>
      </x:c>
      <x:c r="D3071" t="str">
        <x:v>Beauty</x:v>
      </x:c>
      <x:c r="E3071" t="str">
        <x:v>Perfume</x:v>
      </x:c>
      <x:c r="F3071" s="24" t="n">
        <x:v>105.89</x:v>
      </x:c>
      <x:c r="G3071" t="str">
        <x:v>Spring</x:v>
      </x:c>
      <x:c r="H3071" t="str">
        <x:v>Card</x:v>
      </x:c>
      <x:c r="I3071" t="n">
        <x:v>3.5</x:v>
      </x:c>
      <x:c r="J3071" t="n">
        <x:v>26</x:v>
      </x:c>
      <x:c r="K3071" t="n">
        <x:v>8</x:v>
      </x:c>
      <x:c r="L3071" t="str">
        <x:v>STORE-001</x:v>
      </x:c>
      <x:c r="M3071" s="22" t="n">
        <x:v>46270</x:v>
      </x:c>
      <x:c r="N3071" t="str">
        <x:v>SKU-017</x:v>
      </x:c>
      <x:c r="O3071" t="n">
        <x:v>1</x:v>
      </x:c>
      <x:c r="P3071" s="26" t="n">
        <x:f>F3071/O3071</x:f>
        <x:v>105.89</x:v>
      </x:c>
    </x:row>
    <x:row r="3072">
      <x:c r="A3072" t="n">
        <x:v>3071</x:v>
      </x:c>
      <x:c r="B3072" t="n">
        <x:v>59</x:v>
      </x:c>
      <x:c r="C3072" t="str">
        <x:v>Male</x:v>
      </x:c>
      <x:c r="D3072" t="str">
        <x:v>Electronics</x:v>
      </x:c>
      <x:c r="E3072" t="str">
        <x:v>Mobile Phone</x:v>
      </x:c>
      <x:c r="F3072" s="24" t="n">
        <x:v>2313.37</x:v>
      </x:c>
      <x:c r="G3072" t="str">
        <x:v>Summer</x:v>
      </x:c>
      <x:c r="H3072" t="str">
        <x:v>Card</x:v>
      </x:c>
      <x:c r="I3072" t="n">
        <x:v>3</x:v>
      </x:c>
      <x:c r="J3072" t="n">
        <x:v>18</x:v>
      </x:c>
      <x:c r="K3072" t="n">
        <x:v>4</x:v>
      </x:c>
      <x:c r="L3072" t="str">
        <x:v>STORE-001</x:v>
      </x:c>
      <x:c r="M3072" s="22" t="n">
        <x:v>46010</x:v>
      </x:c>
      <x:c r="N3072" t="str">
        <x:v>SKU-016</x:v>
      </x:c>
      <x:c r="O3072" t="n">
        <x:v>1</x:v>
      </x:c>
      <x:c r="P3072" s="26" t="n">
        <x:f>F3072/O3072</x:f>
        <x:v>2313.37</x:v>
      </x:c>
    </x:row>
    <x:row r="3073">
      <x:c r="A3073" t="n">
        <x:v>3072</x:v>
      </x:c>
      <x:c r="B3073" t="n">
        <x:v>34</x:v>
      </x:c>
      <x:c r="C3073" t="str">
        <x:v>Female</x:v>
      </x:c>
      <x:c r="D3073" t="str">
        <x:v>Home</x:v>
      </x:c>
      <x:c r="E3073" t="str">
        <x:v>Curtains</x:v>
      </x:c>
      <x:c r="F3073" s="24" t="n">
        <x:v>158.42</x:v>
      </x:c>
      <x:c r="G3073" t="str">
        <x:v>Winter</x:v>
      </x:c>
      <x:c r="H3073" t="str">
        <x:v>Card</x:v>
      </x:c>
      <x:c r="I3073" t="n">
        <x:v>4.7</x:v>
      </x:c>
      <x:c r="J3073" t="n">
        <x:v>17</x:v>
      </x:c>
      <x:c r="K3073" t="n">
        <x:v>6</x:v>
      </x:c>
      <x:c r="L3073" t="str">
        <x:v>STORE-001</x:v>
      </x:c>
      <x:c r="M3073" s="22" t="n">
        <x:v>46181</x:v>
      </x:c>
      <x:c r="N3073" t="str">
        <x:v>SKU-003</x:v>
      </x:c>
      <x:c r="O3073" t="n">
        <x:v>1</x:v>
      </x:c>
      <x:c r="P3073" s="26" t="n">
        <x:f>F3073/O3073</x:f>
        <x:v>158.42</x:v>
      </x:c>
    </x:row>
    <x:row r="3074">
      <x:c r="A3074" t="n">
        <x:v>3073</x:v>
      </x:c>
      <x:c r="B3074" t="n">
        <x:v>33</x:v>
      </x:c>
      <x:c r="C3074" t="str">
        <x:v>Male</x:v>
      </x:c>
      <x:c r="D3074" t="str">
        <x:v>Sports</x:v>
      </x:c>
      <x:c r="E3074" t="str">
        <x:v>Yoga Mat</x:v>
      </x:c>
      <x:c r="F3074" s="24" t="n">
        <x:v>59.3</x:v>
      </x:c>
      <x:c r="G3074" t="str">
        <x:v>Spring</x:v>
      </x:c>
      <x:c r="H3074" t="str">
        <x:v>Card</x:v>
      </x:c>
      <x:c r="I3074" t="n">
        <x:v>3</x:v>
      </x:c>
      <x:c r="J3074" t="n">
        <x:v>18</x:v>
      </x:c>
      <x:c r="K3074" t="n">
        <x:v>4</x:v>
      </x:c>
      <x:c r="L3074" t="str">
        <x:v>STORE-001</x:v>
      </x:c>
      <x:c r="M3074" s="22" t="n">
        <x:v>45961</x:v>
      </x:c>
      <x:c r="N3074" t="str">
        <x:v>SKU-030</x:v>
      </x:c>
      <x:c r="O3074" t="n">
        <x:v>1</x:v>
      </x:c>
      <x:c r="P3074" s="26" t="n">
        <x:f>F3074/O3074</x:f>
        <x:v>59.3</x:v>
      </x:c>
    </x:row>
    <x:row r="3075">
      <x:c r="A3075" t="n">
        <x:v>3074</x:v>
      </x:c>
      <x:c r="B3075" t="n">
        <x:v>40</x:v>
      </x:c>
      <x:c r="C3075" t="str">
        <x:v>Male</x:v>
      </x:c>
      <x:c r="D3075" t="str">
        <x:v>Mens Clothing</x:v>
      </x:c>
      <x:c r="E3075" t="str">
        <x:v>Shirt</x:v>
      </x:c>
      <x:c r="F3075" s="24" t="n">
        <x:v>191.84</x:v>
      </x:c>
      <x:c r="G3075" t="str">
        <x:v>Summer</x:v>
      </x:c>
      <x:c r="H3075" t="str">
        <x:v>Card</x:v>
      </x:c>
      <x:c r="I3075" t="n">
        <x:v>3.5</x:v>
      </x:c>
      <x:c r="J3075" t="n">
        <x:v>21</x:v>
      </x:c>
      <x:c r="K3075" t="n">
        <x:v>8</x:v>
      </x:c>
      <x:c r="L3075" t="str">
        <x:v>STORE-001</x:v>
      </x:c>
      <x:c r="M3075" s="22" t="n">
        <x:v>46065</x:v>
      </x:c>
      <x:c r="N3075" t="str">
        <x:v>SKU-020</x:v>
      </x:c>
      <x:c r="O3075" t="n">
        <x:v>1</x:v>
      </x:c>
      <x:c r="P3075" s="26" t="n">
        <x:f>F3075/O3075</x:f>
        <x:v>191.84</x:v>
      </x:c>
    </x:row>
    <x:row r="3076">
      <x:c r="A3076" t="n">
        <x:v>3075</x:v>
      </x:c>
      <x:c r="B3076" t="n">
        <x:v>38</x:v>
      </x:c>
      <x:c r="C3076" t="str">
        <x:v>Female</x:v>
      </x:c>
      <x:c r="D3076" t="str">
        <x:v>Home</x:v>
      </x:c>
      <x:c r="E3076" t="str">
        <x:v>Kitchen Set</x:v>
      </x:c>
      <x:c r="F3076" s="24" t="n">
        <x:v>164.04</x:v>
      </x:c>
      <x:c r="G3076" t="str">
        <x:v>Summer</x:v>
      </x:c>
      <x:c r="H3076" t="str">
        <x:v>Card</x:v>
      </x:c>
      <x:c r="I3076" t="n">
        <x:v>3.9</x:v>
      </x:c>
      <x:c r="J3076" t="n">
        <x:v>12</x:v>
      </x:c>
      <x:c r="K3076" t="n">
        <x:v>6</x:v>
      </x:c>
      <x:c r="L3076" t="str">
        <x:v>STORE-001</x:v>
      </x:c>
      <x:c r="M3076" s="22" t="n">
        <x:v>46010</x:v>
      </x:c>
      <x:c r="N3076" t="str">
        <x:v>SKU-012</x:v>
      </x:c>
      <x:c r="O3076" t="n">
        <x:v>1</x:v>
      </x:c>
      <x:c r="P3076" s="26" t="n">
        <x:f>F3076/O3076</x:f>
        <x:v>164.04</x:v>
      </x:c>
    </x:row>
    <x:row r="3077">
      <x:c r="A3077" t="n">
        <x:v>3076</x:v>
      </x:c>
      <x:c r="B3077" t="n">
        <x:v>65</x:v>
      </x:c>
      <x:c r="C3077" t="str">
        <x:v>Male</x:v>
      </x:c>
      <x:c r="D3077" t="str">
        <x:v>Footwear</x:v>
      </x:c>
      <x:c r="E3077" t="str">
        <x:v>Sneakers</x:v>
      </x:c>
      <x:c r="F3077" s="24" t="n">
        <x:v>84.56</x:v>
      </x:c>
      <x:c r="G3077" t="str">
        <x:v>Summer</x:v>
      </x:c>
      <x:c r="H3077" t="str">
        <x:v>Card</x:v>
      </x:c>
      <x:c r="I3077" t="n">
        <x:v>3.3</x:v>
      </x:c>
      <x:c r="J3077" t="n">
        <x:v>15</x:v>
      </x:c>
      <x:c r="K3077" t="n">
        <x:v>5</x:v>
      </x:c>
      <x:c r="L3077" t="str">
        <x:v>STORE-001</x:v>
      </x:c>
      <x:c r="M3077" s="22" t="n">
        <x:v>46027</x:v>
      </x:c>
      <x:c r="N3077" t="str">
        <x:v>SKU-025</x:v>
      </x:c>
      <x:c r="O3077" t="n">
        <x:v>2</x:v>
      </x:c>
      <x:c r="P3077" s="26" t="n">
        <x:f>F3077/O3077</x:f>
        <x:v>42.28</x:v>
      </x:c>
    </x:row>
    <x:row r="3078">
      <x:c r="A3078" t="n">
        <x:v>3077</x:v>
      </x:c>
      <x:c r="B3078" t="n">
        <x:v>37</x:v>
      </x:c>
      <x:c r="C3078" t="str">
        <x:v>Female</x:v>
      </x:c>
      <x:c r="D3078" t="str">
        <x:v>Womens Clothing</x:v>
      </x:c>
      <x:c r="E3078" t="str">
        <x:v>Skirt</x:v>
      </x:c>
      <x:c r="F3078" s="24" t="n">
        <x:v>54.47</x:v>
      </x:c>
      <x:c r="G3078" t="str">
        <x:v>Autumn</x:v>
      </x:c>
      <x:c r="H3078" t="str">
        <x:v>Cash on Delivery</x:v>
      </x:c>
      <x:c r="I3078" t="n">
        <x:v>3.9</x:v>
      </x:c>
      <x:c r="J3078" t="n">
        <x:v>15</x:v>
      </x:c>
      <x:c r="K3078" t="n">
        <x:v>5</x:v>
      </x:c>
      <x:c r="L3078" t="str">
        <x:v>STORE-001</x:v>
      </x:c>
      <x:c r="M3078" s="22" t="n">
        <x:v>46169</x:v>
      </x:c>
      <x:c r="N3078" t="str">
        <x:v>SKU-022</x:v>
      </x:c>
      <x:c r="O3078" t="n">
        <x:v>1</x:v>
      </x:c>
      <x:c r="P3078" s="26" t="n">
        <x:f>F3078/O3078</x:f>
        <x:v>54.47</x:v>
      </x:c>
    </x:row>
    <x:row r="3079">
      <x:c r="A3079" t="n">
        <x:v>3078</x:v>
      </x:c>
      <x:c r="B3079" t="n">
        <x:v>37</x:v>
      </x:c>
      <x:c r="C3079" t="str">
        <x:v>Female</x:v>
      </x:c>
      <x:c r="D3079" t="str">
        <x:v>Beauty</x:v>
      </x:c>
      <x:c r="E3079" t="str">
        <x:v>Makeup Set</x:v>
      </x:c>
      <x:c r="F3079" s="24" t="n">
        <x:v>52.5</x:v>
      </x:c>
      <x:c r="G3079" t="str">
        <x:v>Winter</x:v>
      </x:c>
      <x:c r="H3079" t="str">
        <x:v>Card</x:v>
      </x:c>
      <x:c r="I3079" t="n">
        <x:v>4.3</x:v>
      </x:c>
      <x:c r="J3079" t="n">
        <x:v>21</x:v>
      </x:c>
      <x:c r="K3079" t="n">
        <x:v>8</x:v>
      </x:c>
      <x:c r="L3079" t="str">
        <x:v>STORE-001</x:v>
      </x:c>
      <x:c r="M3079" s="22" t="n">
        <x:v>46216</x:v>
      </x:c>
      <x:c r="N3079" t="str">
        <x:v>SKU-015</x:v>
      </x:c>
      <x:c r="O3079" t="n">
        <x:v>3</x:v>
      </x:c>
      <x:c r="P3079" s="26" t="n">
        <x:f>F3079/O3079</x:f>
        <x:v>17.5</x:v>
      </x:c>
    </x:row>
    <x:row r="3080">
      <x:c r="A3080" t="n">
        <x:v>3079</x:v>
      </x:c>
      <x:c r="B3080" t="n">
        <x:v>46</x:v>
      </x:c>
      <x:c r="C3080" t="str">
        <x:v>Male</x:v>
      </x:c>
      <x:c r="D3080" t="str">
        <x:v>Electronics</x:v>
      </x:c>
      <x:c r="E3080" t="str">
        <x:v>Laptop</x:v>
      </x:c>
      <x:c r="F3080" s="24" t="n">
        <x:v>1239.45</x:v>
      </x:c>
      <x:c r="G3080" t="str">
        <x:v>Spring</x:v>
      </x:c>
      <x:c r="H3080" t="str">
        <x:v>Card</x:v>
      </x:c>
      <x:c r="I3080" t="n">
        <x:v>4.1</x:v>
      </x:c>
      <x:c r="J3080" t="n">
        <x:v>13</x:v>
      </x:c>
      <x:c r="K3080" t="n">
        <x:v>4</x:v>
      </x:c>
      <x:c r="L3080" t="str">
        <x:v>STORE-001</x:v>
      </x:c>
      <x:c r="M3080" s="22" t="n">
        <x:v>45938</x:v>
      </x:c>
      <x:c r="N3080" t="str">
        <x:v>SKU-014</x:v>
      </x:c>
      <x:c r="O3080" t="n">
        <x:v>1</x:v>
      </x:c>
      <x:c r="P3080" s="26" t="n">
        <x:f>F3080/O3080</x:f>
        <x:v>1239.45</x:v>
      </x:c>
    </x:row>
    <x:row r="3081">
      <x:c r="A3081" t="n">
        <x:v>3080</x:v>
      </x:c>
      <x:c r="B3081" t="n">
        <x:v>30</x:v>
      </x:c>
      <x:c r="C3081" t="str">
        <x:v>Female</x:v>
      </x:c>
      <x:c r="D3081" t="str">
        <x:v>Womens Clothing</x:v>
      </x:c>
      <x:c r="E3081" t="str">
        <x:v>Skirt</x:v>
      </x:c>
      <x:c r="F3081" s="24" t="n">
        <x:v>99.88</x:v>
      </x:c>
      <x:c r="G3081" t="str">
        <x:v>Winter</x:v>
      </x:c>
      <x:c r="H3081" t="str">
        <x:v>Card</x:v>
      </x:c>
      <x:c r="I3081" t="n">
        <x:v>3.3</x:v>
      </x:c>
      <x:c r="J3081" t="n">
        <x:v>14</x:v>
      </x:c>
      <x:c r="K3081" t="n">
        <x:v>2</x:v>
      </x:c>
      <x:c r="L3081" t="str">
        <x:v>STORE-001</x:v>
      </x:c>
      <x:c r="M3081" s="22" t="n">
        <x:v>46182</x:v>
      </x:c>
      <x:c r="N3081" t="str">
        <x:v>SKU-022</x:v>
      </x:c>
      <x:c r="O3081" t="n">
        <x:v>2</x:v>
      </x:c>
      <x:c r="P3081" s="26" t="n">
        <x:f>F3081/O3081</x:f>
        <x:v>49.94</x:v>
      </x:c>
    </x:row>
    <x:row r="3082">
      <x:c r="A3082" t="n">
        <x:v>3081</x:v>
      </x:c>
      <x:c r="B3082" t="n">
        <x:v>42</x:v>
      </x:c>
      <x:c r="C3082" t="str">
        <x:v>Female</x:v>
      </x:c>
      <x:c r="D3082" t="str">
        <x:v>Footwear</x:v>
      </x:c>
      <x:c r="E3082" t="str">
        <x:v>Sandals</x:v>
      </x:c>
      <x:c r="F3082" s="24" t="n">
        <x:v>73.33</x:v>
      </x:c>
      <x:c r="G3082" t="str">
        <x:v>Summer</x:v>
      </x:c>
      <x:c r="H3082" t="str">
        <x:v>Cash on Delivery</x:v>
      </x:c>
      <x:c r="I3082" t="n">
        <x:v>4.6</x:v>
      </x:c>
      <x:c r="J3082" t="n">
        <x:v>22</x:v>
      </x:c>
      <x:c r="K3082" t="n">
        <x:v>6</x:v>
      </x:c>
      <x:c r="L3082" t="str">
        <x:v>STORE-001</x:v>
      </x:c>
      <x:c r="M3082" s="22" t="n">
        <x:v>46002</x:v>
      </x:c>
      <x:c r="N3082" t="str">
        <x:v>SKU-019</x:v>
      </x:c>
      <x:c r="O3082" t="n">
        <x:v>2</x:v>
      </x:c>
      <x:c r="P3082" s="26" t="n">
        <x:f>F3082/O3082</x:f>
        <x:v>36.665</x:v>
      </x:c>
    </x:row>
    <x:row r="3083">
      <x:c r="A3083" t="n">
        <x:v>3082</x:v>
      </x:c>
      <x:c r="B3083" t="n">
        <x:v>25</x:v>
      </x:c>
      <x:c r="C3083" t="str">
        <x:v>Male</x:v>
      </x:c>
      <x:c r="D3083" t="str">
        <x:v>Electronics</x:v>
      </x:c>
      <x:c r="E3083" t="str">
        <x:v>Mobile Phone</x:v>
      </x:c>
      <x:c r="F3083" s="24" t="n">
        <x:v>727.7</x:v>
      </x:c>
      <x:c r="G3083" t="str">
        <x:v>Spring</x:v>
      </x:c>
      <x:c r="H3083" t="str">
        <x:v>Card</x:v>
      </x:c>
      <x:c r="I3083" t="n">
        <x:v>3.6</x:v>
      </x:c>
      <x:c r="J3083" t="n">
        <x:v>18</x:v>
      </x:c>
      <x:c r="K3083" t="n">
        <x:v>4</x:v>
      </x:c>
      <x:c r="L3083" t="str">
        <x:v>STORE-001</x:v>
      </x:c>
      <x:c r="M3083" s="22" t="n">
        <x:v>46273</x:v>
      </x:c>
      <x:c r="N3083" t="str">
        <x:v>SKU-016</x:v>
      </x:c>
      <x:c r="O3083" t="n">
        <x:v>1</x:v>
      </x:c>
      <x:c r="P3083" s="26" t="n">
        <x:f>F3083/O3083</x:f>
        <x:v>727.7</x:v>
      </x:c>
    </x:row>
    <x:row r="3084">
      <x:c r="A3084" t="n">
        <x:v>3083</x:v>
      </x:c>
      <x:c r="B3084" t="n">
        <x:v>48</x:v>
      </x:c>
      <x:c r="C3084" t="str">
        <x:v>Female</x:v>
      </x:c>
      <x:c r="D3084" t="str">
        <x:v>Accessories</x:v>
      </x:c>
      <x:c r="E3084" t="str">
        <x:v>Sunglasses</x:v>
      </x:c>
      <x:c r="F3084" s="24" t="n">
        <x:v>59.04</x:v>
      </x:c>
      <x:c r="G3084" t="str">
        <x:v>Winter</x:v>
      </x:c>
      <x:c r="H3084" t="str">
        <x:v>Card</x:v>
      </x:c>
      <x:c r="I3084" t="n">
        <x:v>4.1</x:v>
      </x:c>
      <x:c r="J3084" t="n">
        <x:v>18</x:v>
      </x:c>
      <x:c r="K3084" t="n">
        <x:v>9</x:v>
      </x:c>
      <x:c r="L3084" t="str">
        <x:v>STORE-001</x:v>
      </x:c>
      <x:c r="M3084" s="22" t="n">
        <x:v>46220</x:v>
      </x:c>
      <x:c r="N3084" t="str">
        <x:v>SKU-026</x:v>
      </x:c>
      <x:c r="O3084" t="n">
        <x:v>1</x:v>
      </x:c>
      <x:c r="P3084" s="26" t="n">
        <x:f>F3084/O3084</x:f>
        <x:v>59.04</x:v>
      </x:c>
    </x:row>
    <x:row r="3085">
      <x:c r="A3085" t="n">
        <x:v>3084</x:v>
      </x:c>
      <x:c r="B3085" t="n">
        <x:v>39</x:v>
      </x:c>
      <x:c r="C3085" t="str">
        <x:v>Female</x:v>
      </x:c>
      <x:c r="D3085" t="str">
        <x:v>Sports</x:v>
      </x:c>
      <x:c r="E3085" t="str">
        <x:v>Yoga Mat</x:v>
      </x:c>
      <x:c r="F3085" s="24" t="n">
        <x:v>178.47</x:v>
      </x:c>
      <x:c r="G3085" t="str">
        <x:v>Summer</x:v>
      </x:c>
      <x:c r="H3085" t="str">
        <x:v>Card</x:v>
      </x:c>
      <x:c r="I3085" t="n">
        <x:v>3.2</x:v>
      </x:c>
      <x:c r="J3085" t="n">
        <x:v>10</x:v>
      </x:c>
      <x:c r="K3085" t="n">
        <x:v>5</x:v>
      </x:c>
      <x:c r="L3085" t="str">
        <x:v>STORE-001</x:v>
      </x:c>
      <x:c r="M3085" s="22" t="n">
        <x:v>46059</x:v>
      </x:c>
      <x:c r="N3085" t="str">
        <x:v>SKU-030</x:v>
      </x:c>
      <x:c r="O3085" t="n">
        <x:v>3</x:v>
      </x:c>
      <x:c r="P3085" s="26" t="n">
        <x:f>F3085/O3085</x:f>
        <x:v>59.49</x:v>
      </x:c>
    </x:row>
    <x:row r="3086">
      <x:c r="A3086" t="n">
        <x:v>3085</x:v>
      </x:c>
      <x:c r="B3086" t="n">
        <x:v>51</x:v>
      </x:c>
      <x:c r="C3086" t="str">
        <x:v>Female</x:v>
      </x:c>
      <x:c r="D3086" t="str">
        <x:v>Accessories</x:v>
      </x:c>
      <x:c r="E3086" t="str">
        <x:v>Sunglasses</x:v>
      </x:c>
      <x:c r="F3086" s="24" t="n">
        <x:v>150.64</x:v>
      </x:c>
      <x:c r="G3086" t="str">
        <x:v>Spring</x:v>
      </x:c>
      <x:c r="H3086" t="str">
        <x:v>Card</x:v>
      </x:c>
      <x:c r="I3086" t="n">
        <x:v>3.6</x:v>
      </x:c>
      <x:c r="J3086" t="n">
        <x:v>17</x:v>
      </x:c>
      <x:c r="K3086" t="n">
        <x:v>6</x:v>
      </x:c>
      <x:c r="L3086" t="str">
        <x:v>STORE-001</x:v>
      </x:c>
      <x:c r="M3086" s="22" t="n">
        <x:v>46274</x:v>
      </x:c>
      <x:c r="N3086" t="str">
        <x:v>SKU-026</x:v>
      </x:c>
      <x:c r="O3086" t="n">
        <x:v>1</x:v>
      </x:c>
      <x:c r="P3086" s="26" t="n">
        <x:f>F3086/O3086</x:f>
        <x:v>150.64</x:v>
      </x:c>
    </x:row>
    <x:row r="3087">
      <x:c r="A3087" t="n">
        <x:v>3086</x:v>
      </x:c>
      <x:c r="B3087" t="n">
        <x:v>54</x:v>
      </x:c>
      <x:c r="C3087" t="str">
        <x:v>Male</x:v>
      </x:c>
      <x:c r="D3087" t="str">
        <x:v>Footwear</x:v>
      </x:c>
      <x:c r="E3087" t="str">
        <x:v>Formal Shoes</x:v>
      </x:c>
      <x:c r="F3087" s="24" t="n">
        <x:v>93.5</x:v>
      </x:c>
      <x:c r="G3087" t="str">
        <x:v>Winter</x:v>
      </x:c>
      <x:c r="H3087" t="str">
        <x:v>Cash on Delivery</x:v>
      </x:c>
      <x:c r="I3087" t="n">
        <x:v>3</x:v>
      </x:c>
      <x:c r="J3087" t="n">
        <x:v>17</x:v>
      </x:c>
      <x:c r="K3087" t="n">
        <x:v>6</x:v>
      </x:c>
      <x:c r="L3087" t="str">
        <x:v>STORE-001</x:v>
      </x:c>
      <x:c r="M3087" s="22" t="n">
        <x:v>46243</x:v>
      </x:c>
      <x:c r="N3087" t="str">
        <x:v>SKU-007</x:v>
      </x:c>
      <x:c r="O3087" t="n">
        <x:v>1</x:v>
      </x:c>
      <x:c r="P3087" s="26" t="n">
        <x:f>F3087/O3087</x:f>
        <x:v>93.5</x:v>
      </x:c>
    </x:row>
    <x:row r="3088">
      <x:c r="A3088" t="n">
        <x:v>3087</x:v>
      </x:c>
      <x:c r="B3088" t="n">
        <x:v>52</x:v>
      </x:c>
      <x:c r="C3088" t="str">
        <x:v>Male</x:v>
      </x:c>
      <x:c r="D3088" t="str">
        <x:v>Mens Clothing</x:v>
      </x:c>
      <x:c r="E3088" t="str">
        <x:v>T-Shirt</x:v>
      </x:c>
      <x:c r="F3088" s="24" t="n">
        <x:v>37.23</x:v>
      </x:c>
      <x:c r="G3088" t="str">
        <x:v>Winter</x:v>
      </x:c>
      <x:c r="H3088" t="str">
        <x:v>Card</x:v>
      </x:c>
      <x:c r="I3088" t="n">
        <x:v>3.9</x:v>
      </x:c>
      <x:c r="J3088" t="n">
        <x:v>9</x:v>
      </x:c>
      <x:c r="K3088" t="n">
        <x:v>2</x:v>
      </x:c>
      <x:c r="L3088" t="str">
        <x:v>STORE-001</x:v>
      </x:c>
      <x:c r="M3088" s="22" t="n">
        <x:v>46246</x:v>
      </x:c>
      <x:c r="N3088" t="str">
        <x:v>SKU-027</x:v>
      </x:c>
      <x:c r="O3088" t="n">
        <x:v>2</x:v>
      </x:c>
      <x:c r="P3088" s="26" t="n">
        <x:f>F3088/O3088</x:f>
        <x:v>18.615</x:v>
      </x:c>
    </x:row>
    <x:row r="3089">
      <x:c r="A3089" t="n">
        <x:v>3088</x:v>
      </x:c>
      <x:c r="B3089" t="n">
        <x:v>52</x:v>
      </x:c>
      <x:c r="C3089" t="str">
        <x:v>Female</x:v>
      </x:c>
      <x:c r="D3089" t="str">
        <x:v>Footwear</x:v>
      </x:c>
      <x:c r="E3089" t="str">
        <x:v>Sandals</x:v>
      </x:c>
      <x:c r="F3089" s="24" t="n">
        <x:v>203.27</x:v>
      </x:c>
      <x:c r="G3089" t="str">
        <x:v>Summer</x:v>
      </x:c>
      <x:c r="H3089" t="str">
        <x:v>Card</x:v>
      </x:c>
      <x:c r="I3089" t="n">
        <x:v>4.6</x:v>
      </x:c>
      <x:c r="J3089" t="n">
        <x:v>4</x:v>
      </x:c>
      <x:c r="K3089" t="n">
        <x:v>2</x:v>
      </x:c>
      <x:c r="L3089" t="str">
        <x:v>STORE-001</x:v>
      </x:c>
      <x:c r="M3089" s="22" t="n">
        <x:v>45994</x:v>
      </x:c>
      <x:c r="N3089" t="str">
        <x:v>SKU-019</x:v>
      </x:c>
      <x:c r="O3089" t="n">
        <x:v>3</x:v>
      </x:c>
      <x:c r="P3089" s="26" t="n">
        <x:f>F3089/O3089</x:f>
        <x:v>67.75666666666667</x:v>
      </x:c>
    </x:row>
    <x:row r="3090">
      <x:c r="A3090" t="n">
        <x:v>3089</x:v>
      </x:c>
      <x:c r="B3090" t="n">
        <x:v>26</x:v>
      </x:c>
      <x:c r="C3090" t="str">
        <x:v>Male</x:v>
      </x:c>
      <x:c r="D3090" t="str">
        <x:v>Sports</x:v>
      </x:c>
      <x:c r="E3090" t="str">
        <x:v>Football</x:v>
      </x:c>
      <x:c r="F3090" s="24" t="n">
        <x:v>178.08</x:v>
      </x:c>
      <x:c r="G3090" t="str">
        <x:v>Winter</x:v>
      </x:c>
      <x:c r="H3090" t="str">
        <x:v>Card</x:v>
      </x:c>
      <x:c r="I3090" t="n">
        <x:v>3.9</x:v>
      </x:c>
      <x:c r="J3090" t="n">
        <x:v>4</x:v>
      </x:c>
      <x:c r="K3090" t="n">
        <x:v>2</x:v>
      </x:c>
      <x:c r="L3090" t="str">
        <x:v>STORE-001</x:v>
      </x:c>
      <x:c r="M3090" s="22" t="n">
        <x:v>46263</x:v>
      </x:c>
      <x:c r="N3090" t="str">
        <x:v>SKU-006</x:v>
      </x:c>
      <x:c r="O3090" t="n">
        <x:v>2</x:v>
      </x:c>
      <x:c r="P3090" s="26" t="n">
        <x:f>F3090/O3090</x:f>
        <x:v>89.04</x:v>
      </x:c>
    </x:row>
    <x:row r="3091">
      <x:c r="A3091" t="n">
        <x:v>3090</x:v>
      </x:c>
      <x:c r="B3091" t="n">
        <x:v>66</x:v>
      </x:c>
      <x:c r="C3091" t="str">
        <x:v>Female</x:v>
      </x:c>
      <x:c r="D3091" t="str">
        <x:v>Accessories</x:v>
      </x:c>
      <x:c r="E3091" t="str">
        <x:v>Wallet</x:v>
      </x:c>
      <x:c r="F3091" s="24" t="n">
        <x:v>110.97</x:v>
      </x:c>
      <x:c r="G3091" t="str">
        <x:v>Winter</x:v>
      </x:c>
      <x:c r="H3091" t="str">
        <x:v>Card</x:v>
      </x:c>
      <x:c r="I3091" t="n">
        <x:v>3.7</x:v>
      </x:c>
      <x:c r="J3091" t="n">
        <x:v>13</x:v>
      </x:c>
      <x:c r="K3091" t="n">
        <x:v>4</x:v>
      </x:c>
      <x:c r="L3091" t="str">
        <x:v>STORE-001</x:v>
      </x:c>
      <x:c r="M3091" s="22" t="n">
        <x:v>46238</x:v>
      </x:c>
      <x:c r="N3091" t="str">
        <x:v>SKU-029</x:v>
      </x:c>
      <x:c r="O3091" t="n">
        <x:v>1</x:v>
      </x:c>
      <x:c r="P3091" s="26" t="n">
        <x:f>F3091/O3091</x:f>
        <x:v>110.97</x:v>
      </x:c>
    </x:row>
    <x:row r="3092">
      <x:c r="A3092" t="n">
        <x:v>3091</x:v>
      </x:c>
      <x:c r="B3092" t="n">
        <x:v>67</x:v>
      </x:c>
      <x:c r="C3092" t="str">
        <x:v>Male</x:v>
      </x:c>
      <x:c r="D3092" t="str">
        <x:v>Electronics</x:v>
      </x:c>
      <x:c r="E3092" t="str">
        <x:v>Mobile Phone</x:v>
      </x:c>
      <x:c r="F3092" s="24" t="n">
        <x:v>2107.08</x:v>
      </x:c>
      <x:c r="G3092" t="str">
        <x:v>Summer</x:v>
      </x:c>
      <x:c r="H3092" t="str">
        <x:v>Card</x:v>
      </x:c>
      <x:c r="I3092" t="n">
        <x:v>4.5</x:v>
      </x:c>
      <x:c r="J3092" t="n">
        <x:v>10</x:v>
      </x:c>
      <x:c r="K3092" t="n">
        <x:v>5</x:v>
      </x:c>
      <x:c r="L3092" t="str">
        <x:v>STORE-001</x:v>
      </x:c>
      <x:c r="M3092" s="22" t="n">
        <x:v>46050</x:v>
      </x:c>
      <x:c r="N3092" t="str">
        <x:v>SKU-016</x:v>
      </x:c>
      <x:c r="O3092" t="n">
        <x:v>1</x:v>
      </x:c>
      <x:c r="P3092" s="26" t="n">
        <x:f>F3092/O3092</x:f>
        <x:v>2107.08</x:v>
      </x:c>
    </x:row>
    <x:row r="3093">
      <x:c r="A3093" t="n">
        <x:v>3092</x:v>
      </x:c>
      <x:c r="B3093" t="n">
        <x:v>30</x:v>
      </x:c>
      <x:c r="C3093" t="str">
        <x:v>Female</x:v>
      </x:c>
      <x:c r="D3093" t="str">
        <x:v>Accessories</x:v>
      </x:c>
      <x:c r="E3093" t="str">
        <x:v>Handbag</x:v>
      </x:c>
      <x:c r="F3093" s="24" t="n">
        <x:v>143.83</x:v>
      </x:c>
      <x:c r="G3093" t="str">
        <x:v>Spring</x:v>
      </x:c>
      <x:c r="H3093" t="str">
        <x:v>Card</x:v>
      </x:c>
      <x:c r="I3093" t="n">
        <x:v>3.8</x:v>
      </x:c>
      <x:c r="J3093" t="n">
        <x:v>19</x:v>
      </x:c>
      <x:c r="K3093" t="n">
        <x:v>7</x:v>
      </x:c>
      <x:c r="L3093" t="str">
        <x:v>STORE-001</x:v>
      </x:c>
      <x:c r="M3093" s="22" t="n">
        <x:v>45938</x:v>
      </x:c>
      <x:c r="N3093" t="str">
        <x:v>SKU-008</x:v>
      </x:c>
      <x:c r="O3093" t="n">
        <x:v>1</x:v>
      </x:c>
      <x:c r="P3093" s="26" t="n">
        <x:f>F3093/O3093</x:f>
        <x:v>143.83</x:v>
      </x:c>
    </x:row>
    <x:row r="3094">
      <x:c r="A3094" t="n">
        <x:v>3093</x:v>
      </x:c>
      <x:c r="B3094" t="n">
        <x:v>37</x:v>
      </x:c>
      <x:c r="C3094" t="str">
        <x:v>Male</x:v>
      </x:c>
      <x:c r="D3094" t="str">
        <x:v>Sports</x:v>
      </x:c>
      <x:c r="E3094" t="str">
        <x:v>Dumbbells</x:v>
      </x:c>
      <x:c r="F3094" s="24" t="n">
        <x:v>140.4</x:v>
      </x:c>
      <x:c r="G3094" t="str">
        <x:v>Spring</x:v>
      </x:c>
      <x:c r="H3094" t="str">
        <x:v>Card</x:v>
      </x:c>
      <x:c r="I3094" t="n">
        <x:v>3.8</x:v>
      </x:c>
      <x:c r="J3094" t="n">
        <x:v>15</x:v>
      </x:c>
      <x:c r="K3094" t="n">
        <x:v>5</x:v>
      </x:c>
      <x:c r="L3094" t="str">
        <x:v>STORE-001</x:v>
      </x:c>
      <x:c r="M3094" s="22" t="n">
        <x:v>45941</x:v>
      </x:c>
      <x:c r="N3094" t="str">
        <x:v>SKU-005</x:v>
      </x:c>
      <x:c r="O3094" t="n">
        <x:v>1</x:v>
      </x:c>
      <x:c r="P3094" s="26" t="n">
        <x:f>F3094/O3094</x:f>
        <x:v>140.4</x:v>
      </x:c>
    </x:row>
    <x:row r="3095">
      <x:c r="A3095" t="n">
        <x:v>3094</x:v>
      </x:c>
      <x:c r="B3095" t="n">
        <x:v>64</x:v>
      </x:c>
      <x:c r="C3095" t="str">
        <x:v>Female</x:v>
      </x:c>
      <x:c r="D3095" t="str">
        <x:v>Beauty</x:v>
      </x:c>
      <x:c r="E3095" t="str">
        <x:v>Makeup Set</x:v>
      </x:c>
      <x:c r="F3095" s="24" t="n">
        <x:v>145.84</x:v>
      </x:c>
      <x:c r="G3095" t="str">
        <x:v>Winter</x:v>
      </x:c>
      <x:c r="H3095" t="str">
        <x:v>Card</x:v>
      </x:c>
      <x:c r="I3095" t="n">
        <x:v>4</x:v>
      </x:c>
      <x:c r="J3095" t="n">
        <x:v>4</x:v>
      </x:c>
      <x:c r="K3095" t="n">
        <x:v>2</x:v>
      </x:c>
      <x:c r="L3095" t="str">
        <x:v>STORE-001</x:v>
      </x:c>
      <x:c r="M3095" s="22" t="n">
        <x:v>46194</x:v>
      </x:c>
      <x:c r="N3095" t="str">
        <x:v>SKU-015</x:v>
      </x:c>
      <x:c r="O3095" t="n">
        <x:v>3</x:v>
      </x:c>
      <x:c r="P3095" s="26" t="n">
        <x:f>F3095/O3095</x:f>
        <x:v>48.61333333333334</x:v>
      </x:c>
    </x:row>
    <x:row r="3096">
      <x:c r="A3096" t="n">
        <x:v>3095</x:v>
      </x:c>
      <x:c r="B3096" t="n">
        <x:v>43</x:v>
      </x:c>
      <x:c r="C3096" t="str">
        <x:v>Male</x:v>
      </x:c>
      <x:c r="D3096" t="str">
        <x:v>Home</x:v>
      </x:c>
      <x:c r="E3096" t="str">
        <x:v>Curtains</x:v>
      </x:c>
      <x:c r="F3096" s="24" t="n">
        <x:v>50.1</x:v>
      </x:c>
      <x:c r="G3096" t="str">
        <x:v>Spring</x:v>
      </x:c>
      <x:c r="H3096" t="str">
        <x:v>Cash on Delivery</x:v>
      </x:c>
      <x:c r="I3096" t="n">
        <x:v>4.5</x:v>
      </x:c>
      <x:c r="J3096" t="n">
        <x:v>22</x:v>
      </x:c>
      <x:c r="K3096" t="n">
        <x:v>6</x:v>
      </x:c>
      <x:c r="L3096" t="str">
        <x:v>STORE-001</x:v>
      </x:c>
      <x:c r="M3096" s="22" t="n">
        <x:v>46289</x:v>
      </x:c>
      <x:c r="N3096" t="str">
        <x:v>SKU-003</x:v>
      </x:c>
      <x:c r="O3096" t="n">
        <x:v>1</x:v>
      </x:c>
      <x:c r="P3096" s="26" t="n">
        <x:f>F3096/O3096</x:f>
        <x:v>50.1</x:v>
      </x:c>
    </x:row>
    <x:row r="3097">
      <x:c r="A3097" t="n">
        <x:v>3096</x:v>
      </x:c>
      <x:c r="B3097" t="n">
        <x:v>56</x:v>
      </x:c>
      <x:c r="C3097" t="str">
        <x:v>Male</x:v>
      </x:c>
      <x:c r="D3097" t="str">
        <x:v>Electronics</x:v>
      </x:c>
      <x:c r="E3097" t="str">
        <x:v>Laptop</x:v>
      </x:c>
      <x:c r="F3097" s="24" t="n">
        <x:v>1390.67</x:v>
      </x:c>
      <x:c r="G3097" t="str">
        <x:v>Spring</x:v>
      </x:c>
      <x:c r="H3097" t="str">
        <x:v>Card</x:v>
      </x:c>
      <x:c r="I3097" t="n">
        <x:v>4.4</x:v>
      </x:c>
      <x:c r="J3097" t="n">
        <x:v>20</x:v>
      </x:c>
      <x:c r="K3097" t="n">
        <x:v>5</x:v>
      </x:c>
      <x:c r="L3097" t="str">
        <x:v>STORE-001</x:v>
      </x:c>
      <x:c r="M3097" s="22" t="n">
        <x:v>46286</x:v>
      </x:c>
      <x:c r="N3097" t="str">
        <x:v>SKU-014</x:v>
      </x:c>
      <x:c r="O3097" t="n">
        <x:v>2</x:v>
      </x:c>
      <x:c r="P3097" s="26" t="n">
        <x:f>F3097/O3097</x:f>
        <x:v>695.335</x:v>
      </x:c>
    </x:row>
    <x:row r="3098">
      <x:c r="A3098" t="n">
        <x:v>3097</x:v>
      </x:c>
      <x:c r="B3098" t="n">
        <x:v>42</x:v>
      </x:c>
      <x:c r="C3098" t="str">
        <x:v>Female</x:v>
      </x:c>
      <x:c r="D3098" t="str">
        <x:v>Sports</x:v>
      </x:c>
      <x:c r="E3098" t="str">
        <x:v>Dumbbells</x:v>
      </x:c>
      <x:c r="F3098" s="24" t="n">
        <x:v>54.94</x:v>
      </x:c>
      <x:c r="G3098" t="str">
        <x:v>Summer</x:v>
      </x:c>
      <x:c r="H3098" t="str">
        <x:v>Cash on Delivery</x:v>
      </x:c>
      <x:c r="I3098" t="n">
        <x:v>4</x:v>
      </x:c>
      <x:c r="J3098" t="n">
        <x:v>8</x:v>
      </x:c>
      <x:c r="K3098" t="n">
        <x:v>4</x:v>
      </x:c>
      <x:c r="L3098" t="str">
        <x:v>STORE-001</x:v>
      </x:c>
      <x:c r="M3098" s="22" t="n">
        <x:v>46017</x:v>
      </x:c>
      <x:c r="N3098" t="str">
        <x:v>SKU-005</x:v>
      </x:c>
      <x:c r="O3098" t="n">
        <x:v>2</x:v>
      </x:c>
      <x:c r="P3098" s="26" t="n">
        <x:f>F3098/O3098</x:f>
        <x:v>27.47</x:v>
      </x:c>
    </x:row>
    <x:row r="3099">
      <x:c r="A3099" t="n">
        <x:v>3098</x:v>
      </x:c>
      <x:c r="B3099" t="n">
        <x:v>61</x:v>
      </x:c>
      <x:c r="C3099" t="str">
        <x:v>Male</x:v>
      </x:c>
      <x:c r="D3099" t="str">
        <x:v>Footwear</x:v>
      </x:c>
      <x:c r="E3099" t="str">
        <x:v>Sandals</x:v>
      </x:c>
      <x:c r="F3099" s="24" t="n">
        <x:v>214.2</x:v>
      </x:c>
      <x:c r="G3099" t="str">
        <x:v>Spring</x:v>
      </x:c>
      <x:c r="H3099" t="str">
        <x:v>Card</x:v>
      </x:c>
      <x:c r="I3099" t="n">
        <x:v>4.9</x:v>
      </x:c>
      <x:c r="J3099" t="n">
        <x:v>20</x:v>
      </x:c>
      <x:c r="K3099" t="n">
        <x:v>5</x:v>
      </x:c>
      <x:c r="L3099" t="str">
        <x:v>STORE-001</x:v>
      </x:c>
      <x:c r="M3099" s="22" t="n">
        <x:v>45954</x:v>
      </x:c>
      <x:c r="N3099" t="str">
        <x:v>SKU-019</x:v>
      </x:c>
      <x:c r="O3099" t="n">
        <x:v>2</x:v>
      </x:c>
      <x:c r="P3099" s="26" t="n">
        <x:f>F3099/O3099</x:f>
        <x:v>107.1</x:v>
      </x:c>
    </x:row>
    <x:row r="3100">
      <x:c r="A3100" t="n">
        <x:v>3099</x:v>
      </x:c>
      <x:c r="B3100" t="n">
        <x:v>66</x:v>
      </x:c>
      <x:c r="C3100" t="str">
        <x:v>Male</x:v>
      </x:c>
      <x:c r="D3100" t="str">
        <x:v>Mens Clothing</x:v>
      </x:c>
      <x:c r="E3100" t="str">
        <x:v>Jacket</x:v>
      </x:c>
      <x:c r="F3100" s="24" t="n">
        <x:v>115.35</x:v>
      </x:c>
      <x:c r="G3100" t="str">
        <x:v>Winter</x:v>
      </x:c>
      <x:c r="H3100" t="str">
        <x:v>Card</x:v>
      </x:c>
      <x:c r="I3100" t="n">
        <x:v>4.4</x:v>
      </x:c>
      <x:c r="J3100" t="n">
        <x:v>8</x:v>
      </x:c>
      <x:c r="K3100" t="n">
        <x:v>4</x:v>
      </x:c>
      <x:c r="L3100" t="str">
        <x:v>STORE-001</x:v>
      </x:c>
      <x:c r="M3100" s="22" t="n">
        <x:v>46222</x:v>
      </x:c>
      <x:c r="N3100" t="str">
        <x:v>SKU-010</x:v>
      </x:c>
      <x:c r="O3100" t="n">
        <x:v>1</x:v>
      </x:c>
      <x:c r="P3100" s="26" t="n">
        <x:f>F3100/O3100</x:f>
        <x:v>115.35</x:v>
      </x:c>
    </x:row>
    <x:row r="3101">
      <x:c r="A3101" t="n">
        <x:v>3100</x:v>
      </x:c>
      <x:c r="B3101" t="n">
        <x:v>43</x:v>
      </x:c>
      <x:c r="C3101" t="str">
        <x:v>Male</x:v>
      </x:c>
      <x:c r="D3101" t="str">
        <x:v>Sports</x:v>
      </x:c>
      <x:c r="E3101" t="str">
        <x:v>Dumbbells</x:v>
      </x:c>
      <x:c r="F3101" s="24" t="n">
        <x:v>38.09</x:v>
      </x:c>
      <x:c r="G3101" t="str">
        <x:v>Autumn</x:v>
      </x:c>
      <x:c r="H3101" t="str">
        <x:v>Cash on Delivery</x:v>
      </x:c>
      <x:c r="I3101" t="n">
        <x:v>4.2</x:v>
      </x:c>
      <x:c r="J3101" t="n">
        <x:v>20</x:v>
      </x:c>
      <x:c r="K3101" t="n">
        <x:v>5</x:v>
      </x:c>
      <x:c r="L3101" t="str">
        <x:v>STORE-001</x:v>
      </x:c>
      <x:c r="M3101" s="22" t="n">
        <x:v>46082</x:v>
      </x:c>
      <x:c r="N3101" t="str">
        <x:v>SKU-005</x:v>
      </x:c>
      <x:c r="O3101" t="n">
        <x:v>3</x:v>
      </x:c>
      <x:c r="P3101" s="26" t="n">
        <x:f>F3101/O3101</x:f>
        <x:v>12.696666666666667</x:v>
      </x:c>
    </x:row>
    <x:row r="3102">
      <x:c r="A3102" t="n">
        <x:v>3101</x:v>
      </x:c>
      <x:c r="B3102" t="n">
        <x:v>22</x:v>
      </x:c>
      <x:c r="C3102" t="str">
        <x:v>Male</x:v>
      </x:c>
      <x:c r="D3102" t="str">
        <x:v>Electronics</x:v>
      </x:c>
      <x:c r="E3102" t="str">
        <x:v>Laptop</x:v>
      </x:c>
      <x:c r="F3102" s="24" t="n">
        <x:v>1683.66</x:v>
      </x:c>
      <x:c r="G3102" t="str">
        <x:v>Autumn</x:v>
      </x:c>
      <x:c r="H3102" t="str">
        <x:v>Card</x:v>
      </x:c>
      <x:c r="I3102" t="n">
        <x:v>4.5</x:v>
      </x:c>
      <x:c r="J3102" t="n">
        <x:v>20</x:v>
      </x:c>
      <x:c r="K3102" t="n">
        <x:v>5</x:v>
      </x:c>
      <x:c r="L3102" t="str">
        <x:v>STORE-001</x:v>
      </x:c>
      <x:c r="M3102" s="22" t="n">
        <x:v>46134</x:v>
      </x:c>
      <x:c r="N3102" t="str">
        <x:v>SKU-014</x:v>
      </x:c>
      <x:c r="O3102" t="n">
        <x:v>1</x:v>
      </x:c>
      <x:c r="P3102" s="26" t="n">
        <x:f>F3102/O3102</x:f>
        <x:v>1683.66</x:v>
      </x:c>
    </x:row>
    <x:row r="3103">
      <x:c r="A3103" t="n">
        <x:v>3102</x:v>
      </x:c>
      <x:c r="B3103" t="n">
        <x:v>21</x:v>
      </x:c>
      <x:c r="C3103" t="str">
        <x:v>Male</x:v>
      </x:c>
      <x:c r="D3103" t="str">
        <x:v>Electronics</x:v>
      </x:c>
      <x:c r="E3103" t="str">
        <x:v>Laptop</x:v>
      </x:c>
      <x:c r="F3103" s="24" t="n">
        <x:v>1599.75</x:v>
      </x:c>
      <x:c r="G3103" t="str">
        <x:v>Summer</x:v>
      </x:c>
      <x:c r="H3103" t="str">
        <x:v>Card</x:v>
      </x:c>
      <x:c r="I3103" t="n">
        <x:v>4.2</x:v>
      </x:c>
      <x:c r="J3103" t="n">
        <x:v>20</x:v>
      </x:c>
      <x:c r="K3103" t="n">
        <x:v>5</x:v>
      </x:c>
      <x:c r="L3103" t="str">
        <x:v>STORE-001</x:v>
      </x:c>
      <x:c r="M3103" s="22" t="n">
        <x:v>46003</x:v>
      </x:c>
      <x:c r="N3103" t="str">
        <x:v>SKU-014</x:v>
      </x:c>
      <x:c r="O3103" t="n">
        <x:v>1</x:v>
      </x:c>
      <x:c r="P3103" s="26" t="n">
        <x:f>F3103/O3103</x:f>
        <x:v>1599.75</x:v>
      </x:c>
    </x:row>
    <x:row r="3104">
      <x:c r="A3104" t="n">
        <x:v>3103</x:v>
      </x:c>
      <x:c r="B3104" t="n">
        <x:v>70</x:v>
      </x:c>
      <x:c r="C3104" t="str">
        <x:v>Female</x:v>
      </x:c>
      <x:c r="D3104" t="str">
        <x:v>Accessories</x:v>
      </x:c>
      <x:c r="E3104" t="str">
        <x:v>Wallet</x:v>
      </x:c>
      <x:c r="F3104" s="24" t="n">
        <x:v>55.1</x:v>
      </x:c>
      <x:c r="G3104" t="str">
        <x:v>Autumn</x:v>
      </x:c>
      <x:c r="H3104" t="str">
        <x:v>Cash on Delivery</x:v>
      </x:c>
      <x:c r="I3104" t="n">
        <x:v>3.7</x:v>
      </x:c>
      <x:c r="J3104" t="n">
        <x:v>18</x:v>
      </x:c>
      <x:c r="K3104" t="n">
        <x:v>4</x:v>
      </x:c>
      <x:c r="L3104" t="str">
        <x:v>STORE-001</x:v>
      </x:c>
      <x:c r="M3104" s="22" t="n">
        <x:v>46082</x:v>
      </x:c>
      <x:c r="N3104" t="str">
        <x:v>SKU-029</x:v>
      </x:c>
      <x:c r="O3104" t="n">
        <x:v>3</x:v>
      </x:c>
      <x:c r="P3104" s="26" t="n">
        <x:f>F3104/O3104</x:f>
        <x:v>18.366666666666667</x:v>
      </x:c>
    </x:row>
    <x:row r="3105">
      <x:c r="A3105" t="n">
        <x:v>3104</x:v>
      </x:c>
      <x:c r="B3105" t="n">
        <x:v>20</x:v>
      </x:c>
      <x:c r="C3105" t="str">
        <x:v>Female</x:v>
      </x:c>
      <x:c r="D3105" t="str">
        <x:v>Home</x:v>
      </x:c>
      <x:c r="E3105" t="str">
        <x:v>Curtains</x:v>
      </x:c>
      <x:c r="F3105" s="24" t="n">
        <x:v>246.01</x:v>
      </x:c>
      <x:c r="G3105" t="str">
        <x:v>Spring</x:v>
      </x:c>
      <x:c r="H3105" t="str">
        <x:v>Card</x:v>
      </x:c>
      <x:c r="I3105" t="n">
        <x:v>4.4</x:v>
      </x:c>
      <x:c r="J3105" t="n">
        <x:v>24</x:v>
      </x:c>
      <x:c r="K3105" t="n">
        <x:v>7</x:v>
      </x:c>
      <x:c r="L3105" t="str">
        <x:v>STORE-001</x:v>
      </x:c>
      <x:c r="M3105" s="22" t="n">
        <x:v>45942</x:v>
      </x:c>
      <x:c r="N3105" t="str">
        <x:v>SKU-003</x:v>
      </x:c>
      <x:c r="O3105" t="n">
        <x:v>1</x:v>
      </x:c>
      <x:c r="P3105" s="26" t="n">
        <x:f>F3105/O3105</x:f>
        <x:v>246.01</x:v>
      </x:c>
    </x:row>
    <x:row r="3106">
      <x:c r="A3106" t="n">
        <x:v>3105</x:v>
      </x:c>
      <x:c r="B3106" t="n">
        <x:v>24</x:v>
      </x:c>
      <x:c r="C3106" t="str">
        <x:v>Female</x:v>
      </x:c>
      <x:c r="D3106" t="str">
        <x:v>Sports</x:v>
      </x:c>
      <x:c r="E3106" t="str">
        <x:v>Dumbbells</x:v>
      </x:c>
      <x:c r="F3106" s="24" t="n">
        <x:v>235.97</x:v>
      </x:c>
      <x:c r="G3106" t="str">
        <x:v>Spring</x:v>
      </x:c>
      <x:c r="H3106" t="str">
        <x:v>Card</x:v>
      </x:c>
      <x:c r="I3106" t="n">
        <x:v>3.8</x:v>
      </x:c>
      <x:c r="J3106" t="n">
        <x:v>14</x:v>
      </x:c>
      <x:c r="K3106" t="n">
        <x:v>2</x:v>
      </x:c>
      <x:c r="L3106" t="str">
        <x:v>STORE-001</x:v>
      </x:c>
      <x:c r="M3106" s="22" t="n">
        <x:v>45963</x:v>
      </x:c>
      <x:c r="N3106" t="str">
        <x:v>SKU-005</x:v>
      </x:c>
      <x:c r="O3106" t="n">
        <x:v>2</x:v>
      </x:c>
      <x:c r="P3106" s="26" t="n">
        <x:f>F3106/O3106</x:f>
        <x:v>117.985</x:v>
      </x:c>
    </x:row>
    <x:row r="3107">
      <x:c r="A3107" t="n">
        <x:v>3106</x:v>
      </x:c>
      <x:c r="B3107" t="n">
        <x:v>53</x:v>
      </x:c>
      <x:c r="C3107" t="str">
        <x:v>Male</x:v>
      </x:c>
      <x:c r="D3107" t="str">
        <x:v>Sports</x:v>
      </x:c>
      <x:c r="E3107" t="str">
        <x:v>Yoga Mat</x:v>
      </x:c>
      <x:c r="F3107" s="24" t="n">
        <x:v>249.3</x:v>
      </x:c>
      <x:c r="G3107" t="str">
        <x:v>Winter</x:v>
      </x:c>
      <x:c r="H3107" t="str">
        <x:v>Card</x:v>
      </x:c>
      <x:c r="I3107" t="n">
        <x:v>3.9</x:v>
      </x:c>
      <x:c r="J3107" t="n">
        <x:v>18</x:v>
      </x:c>
      <x:c r="K3107" t="n">
        <x:v>4</x:v>
      </x:c>
      <x:c r="L3107" t="str">
        <x:v>STORE-001</x:v>
      </x:c>
      <x:c r="M3107" s="22" t="n">
        <x:v>46186</x:v>
      </x:c>
      <x:c r="N3107" t="str">
        <x:v>SKU-030</x:v>
      </x:c>
      <x:c r="O3107" t="n">
        <x:v>1</x:v>
      </x:c>
      <x:c r="P3107" s="26" t="n">
        <x:f>F3107/O3107</x:f>
        <x:v>249.3</x:v>
      </x:c>
    </x:row>
    <x:row r="3108">
      <x:c r="A3108" t="n">
        <x:v>3107</x:v>
      </x:c>
      <x:c r="B3108" t="n">
        <x:v>44</x:v>
      </x:c>
      <x:c r="C3108" t="str">
        <x:v>Male</x:v>
      </x:c>
      <x:c r="D3108" t="str">
        <x:v>Mens Clothing</x:v>
      </x:c>
      <x:c r="E3108" t="str">
        <x:v>Jacket</x:v>
      </x:c>
      <x:c r="F3108" s="24" t="n">
        <x:v>105.92</x:v>
      </x:c>
      <x:c r="G3108" t="str">
        <x:v>Autumn</x:v>
      </x:c>
      <x:c r="H3108" t="str">
        <x:v>Card</x:v>
      </x:c>
      <x:c r="I3108" t="n">
        <x:v>3.9</x:v>
      </x:c>
      <x:c r="J3108" t="n">
        <x:v>25</x:v>
      </x:c>
      <x:c r="K3108" t="n">
        <x:v>10</x:v>
      </x:c>
      <x:c r="L3108" t="str">
        <x:v>STORE-001</x:v>
      </x:c>
      <x:c r="M3108" s="22" t="n">
        <x:v>46162</x:v>
      </x:c>
      <x:c r="N3108" t="str">
        <x:v>SKU-010</x:v>
      </x:c>
      <x:c r="O3108" t="n">
        <x:v>1</x:v>
      </x:c>
      <x:c r="P3108" s="26" t="n">
        <x:f>F3108/O3108</x:f>
        <x:v>105.92</x:v>
      </x:c>
    </x:row>
    <x:row r="3109">
      <x:c r="A3109" t="n">
        <x:v>3108</x:v>
      </x:c>
      <x:c r="B3109" t="n">
        <x:v>54</x:v>
      </x:c>
      <x:c r="C3109" t="str">
        <x:v>Female</x:v>
      </x:c>
      <x:c r="D3109" t="str">
        <x:v>Footwear</x:v>
      </x:c>
      <x:c r="E3109" t="str">
        <x:v>Formal Shoes</x:v>
      </x:c>
      <x:c r="F3109" s="24" t="n">
        <x:v>104.74</x:v>
      </x:c>
      <x:c r="G3109" t="str">
        <x:v>Summer</x:v>
      </x:c>
      <x:c r="H3109" t="str">
        <x:v>Card</x:v>
      </x:c>
      <x:c r="I3109" t="n">
        <x:v>3.2</x:v>
      </x:c>
      <x:c r="J3109" t="n">
        <x:v>16</x:v>
      </x:c>
      <x:c r="K3109" t="n">
        <x:v>8</x:v>
      </x:c>
      <x:c r="L3109" t="str">
        <x:v>STORE-001</x:v>
      </x:c>
      <x:c r="M3109" s="22" t="n">
        <x:v>46047</x:v>
      </x:c>
      <x:c r="N3109" t="str">
        <x:v>SKU-007</x:v>
      </x:c>
      <x:c r="O3109" t="n">
        <x:v>1</x:v>
      </x:c>
      <x:c r="P3109" s="26" t="n">
        <x:f>F3109/O3109</x:f>
        <x:v>104.74</x:v>
      </x:c>
    </x:row>
    <x:row r="3110">
      <x:c r="A3110" t="n">
        <x:v>3109</x:v>
      </x:c>
      <x:c r="B3110" t="n">
        <x:v>62</x:v>
      </x:c>
      <x:c r="C3110" t="str">
        <x:v>Female</x:v>
      </x:c>
      <x:c r="D3110" t="str">
        <x:v>Groceries</x:v>
      </x:c>
      <x:c r="E3110" t="str">
        <x:v>Beverages</x:v>
      </x:c>
      <x:c r="F3110" s="24" t="n">
        <x:v>41.33</x:v>
      </x:c>
      <x:c r="G3110" t="str">
        <x:v>Summer</x:v>
      </x:c>
      <x:c r="H3110" t="str">
        <x:v>Cash on Delivery</x:v>
      </x:c>
      <x:c r="I3110" t="n">
        <x:v>2.1</x:v>
      </x:c>
      <x:c r="J3110" t="n">
        <x:v>10</x:v>
      </x:c>
      <x:c r="K3110" t="n">
        <x:v>5</x:v>
      </x:c>
      <x:c r="L3110" t="str">
        <x:v>STORE-001</x:v>
      </x:c>
      <x:c r="M3110" s="22" t="n">
        <x:v>46010</x:v>
      </x:c>
      <x:c r="N3110" t="str">
        <x:v>SKU-001</x:v>
      </x:c>
      <x:c r="O3110" t="n">
        <x:v>2</x:v>
      </x:c>
      <x:c r="P3110" s="26" t="n">
        <x:f>F3110/O3110</x:f>
        <x:v>20.665</x:v>
      </x:c>
    </x:row>
    <x:row r="3111">
      <x:c r="A3111" t="n">
        <x:v>3110</x:v>
      </x:c>
      <x:c r="B3111" t="n">
        <x:v>40</x:v>
      </x:c>
      <x:c r="C3111" t="str">
        <x:v>Female</x:v>
      </x:c>
      <x:c r="D3111" t="str">
        <x:v>Womens Clothing</x:v>
      </x:c>
      <x:c r="E3111" t="str">
        <x:v>Top</x:v>
      </x:c>
      <x:c r="F3111" s="24" t="n">
        <x:v>164.97</x:v>
      </x:c>
      <x:c r="G3111" t="str">
        <x:v>Spring</x:v>
      </x:c>
      <x:c r="H3111" t="str">
        <x:v>Card</x:v>
      </x:c>
      <x:c r="I3111" t="n">
        <x:v>4.3</x:v>
      </x:c>
      <x:c r="J3111" t="n">
        <x:v>22</x:v>
      </x:c>
      <x:c r="K3111" t="n">
        <x:v>6</x:v>
      </x:c>
      <x:c r="L3111" t="str">
        <x:v>STORE-001</x:v>
      </x:c>
      <x:c r="M3111" s="22" t="n">
        <x:v>46289</x:v>
      </x:c>
      <x:c r="N3111" t="str">
        <x:v>SKU-028</x:v>
      </x:c>
      <x:c r="O3111" t="n">
        <x:v>1</x:v>
      </x:c>
      <x:c r="P3111" s="26" t="n">
        <x:f>F3111/O3111</x:f>
        <x:v>164.97</x:v>
      </x:c>
    </x:row>
    <x:row r="3112">
      <x:c r="A3112" t="n">
        <x:v>3111</x:v>
      </x:c>
      <x:c r="B3112" t="n">
        <x:v>52</x:v>
      </x:c>
      <x:c r="C3112" t="str">
        <x:v>Male</x:v>
      </x:c>
      <x:c r="D3112" t="str">
        <x:v>Electronics</x:v>
      </x:c>
      <x:c r="E3112" t="str">
        <x:v>Headphones</x:v>
      </x:c>
      <x:c r="F3112" s="24" t="n">
        <x:v>1788.15</x:v>
      </x:c>
      <x:c r="G3112" t="str">
        <x:v>Winter</x:v>
      </x:c>
      <x:c r="H3112" t="str">
        <x:v>Card</x:v>
      </x:c>
      <x:c r="I3112" t="n">
        <x:v>4.6</x:v>
      </x:c>
      <x:c r="J3112" t="n">
        <x:v>8</x:v>
      </x:c>
      <x:c r="K3112" t="n">
        <x:v>4</x:v>
      </x:c>
      <x:c r="L3112" t="str">
        <x:v>STORE-001</x:v>
      </x:c>
      <x:c r="M3112" s="22" t="n">
        <x:v>46221</x:v>
      </x:c>
      <x:c r="N3112" t="str">
        <x:v>SKU-009</x:v>
      </x:c>
      <x:c r="O3112" t="n">
        <x:v>1</x:v>
      </x:c>
      <x:c r="P3112" s="26" t="n">
        <x:f>F3112/O3112</x:f>
        <x:v>1788.15</x:v>
      </x:c>
    </x:row>
    <x:row r="3113">
      <x:c r="A3113" t="n">
        <x:v>3112</x:v>
      </x:c>
      <x:c r="B3113" t="n">
        <x:v>52</x:v>
      </x:c>
      <x:c r="C3113" t="str">
        <x:v>Male</x:v>
      </x:c>
      <x:c r="D3113" t="str">
        <x:v>Footwear</x:v>
      </x:c>
      <x:c r="E3113" t="str">
        <x:v>Sneakers</x:v>
      </x:c>
      <x:c r="F3113" s="24" t="n">
        <x:v>157.54</x:v>
      </x:c>
      <x:c r="G3113" t="str">
        <x:v>Spring</x:v>
      </x:c>
      <x:c r="H3113" t="str">
        <x:v>Card</x:v>
      </x:c>
      <x:c r="I3113" t="n">
        <x:v>3.5</x:v>
      </x:c>
      <x:c r="J3113" t="n">
        <x:v>11</x:v>
      </x:c>
      <x:c r="K3113" t="n">
        <x:v>3</x:v>
      </x:c>
      <x:c r="L3113" t="str">
        <x:v>STORE-001</x:v>
      </x:c>
      <x:c r="M3113" s="22" t="n">
        <x:v>46269</x:v>
      </x:c>
      <x:c r="N3113" t="str">
        <x:v>SKU-025</x:v>
      </x:c>
      <x:c r="O3113" t="n">
        <x:v>2</x:v>
      </x:c>
      <x:c r="P3113" s="26" t="n">
        <x:f>F3113/O3113</x:f>
        <x:v>78.77</x:v>
      </x:c>
    </x:row>
    <x:row r="3114">
      <x:c r="A3114" t="n">
        <x:v>3113</x:v>
      </x:c>
      <x:c r="B3114" t="n">
        <x:v>44</x:v>
      </x:c>
      <x:c r="C3114" t="str">
        <x:v>Female</x:v>
      </x:c>
      <x:c r="D3114" t="str">
        <x:v>Footwear</x:v>
      </x:c>
      <x:c r="E3114" t="str">
        <x:v>Sandals</x:v>
      </x:c>
      <x:c r="F3114" s="24" t="n">
        <x:v>222.1</x:v>
      </x:c>
      <x:c r="G3114" t="str">
        <x:v>Spring</x:v>
      </x:c>
      <x:c r="H3114" t="str">
        <x:v>Card</x:v>
      </x:c>
      <x:c r="I3114" t="n">
        <x:v>2.6</x:v>
      </x:c>
      <x:c r="J3114" t="n">
        <x:v>10</x:v>
      </x:c>
      <x:c r="K3114" t="n">
        <x:v>5</x:v>
      </x:c>
      <x:c r="L3114" t="str">
        <x:v>STORE-001</x:v>
      </x:c>
      <x:c r="M3114" s="22" t="n">
        <x:v>45941</x:v>
      </x:c>
      <x:c r="N3114" t="str">
        <x:v>SKU-019</x:v>
      </x:c>
      <x:c r="O3114" t="n">
        <x:v>1</x:v>
      </x:c>
      <x:c r="P3114" s="26" t="n">
        <x:f>F3114/O3114</x:f>
        <x:v>222.1</x:v>
      </x:c>
    </x:row>
    <x:row r="3115">
      <x:c r="A3115" t="n">
        <x:v>3114</x:v>
      </x:c>
      <x:c r="B3115" t="n">
        <x:v>56</x:v>
      </x:c>
      <x:c r="C3115" t="str">
        <x:v>Female</x:v>
      </x:c>
      <x:c r="D3115" t="str">
        <x:v>Footwear</x:v>
      </x:c>
      <x:c r="E3115" t="str">
        <x:v>Sneakers</x:v>
      </x:c>
      <x:c r="F3115" s="24" t="n">
        <x:v>149.21</x:v>
      </x:c>
      <x:c r="G3115" t="str">
        <x:v>Winter</x:v>
      </x:c>
      <x:c r="H3115" t="str">
        <x:v>Card</x:v>
      </x:c>
      <x:c r="I3115" t="n">
        <x:v>4.1</x:v>
      </x:c>
      <x:c r="J3115" t="n">
        <x:v>17</x:v>
      </x:c>
      <x:c r="K3115" t="n">
        <x:v>6</x:v>
      </x:c>
      <x:c r="L3115" t="str">
        <x:v>STORE-001</x:v>
      </x:c>
      <x:c r="M3115" s="22" t="n">
        <x:v>46245</x:v>
      </x:c>
      <x:c r="N3115" t="str">
        <x:v>SKU-025</x:v>
      </x:c>
      <x:c r="O3115" t="n">
        <x:v>1</x:v>
      </x:c>
      <x:c r="P3115" s="26" t="n">
        <x:f>F3115/O3115</x:f>
        <x:v>149.21</x:v>
      </x:c>
    </x:row>
    <x:row r="3116">
      <x:c r="A3116" t="n">
        <x:v>3115</x:v>
      </x:c>
      <x:c r="B3116" t="n">
        <x:v>52</x:v>
      </x:c>
      <x:c r="C3116" t="str">
        <x:v>Female</x:v>
      </x:c>
      <x:c r="D3116" t="str">
        <x:v>Womens Clothing</x:v>
      </x:c>
      <x:c r="E3116" t="str">
        <x:v>Skirt</x:v>
      </x:c>
      <x:c r="F3116" s="24" t="n">
        <x:v>153.09</x:v>
      </x:c>
      <x:c r="G3116" t="str">
        <x:v>Winter</x:v>
      </x:c>
      <x:c r="H3116" t="str">
        <x:v>Card</x:v>
      </x:c>
      <x:c r="I3116" t="n">
        <x:v>3.8</x:v>
      </x:c>
      <x:c r="J3116" t="n">
        <x:v>8</x:v>
      </x:c>
      <x:c r="K3116" t="n">
        <x:v>4</x:v>
      </x:c>
      <x:c r="L3116" t="str">
        <x:v>STORE-001</x:v>
      </x:c>
      <x:c r="M3116" s="22" t="n">
        <x:v>46196</x:v>
      </x:c>
      <x:c r="N3116" t="str">
        <x:v>SKU-022</x:v>
      </x:c>
      <x:c r="O3116" t="n">
        <x:v>1</x:v>
      </x:c>
      <x:c r="P3116" s="26" t="n">
        <x:f>F3116/O3116</x:f>
        <x:v>153.09</x:v>
      </x:c>
    </x:row>
    <x:row r="3117">
      <x:c r="A3117" t="n">
        <x:v>3116</x:v>
      </x:c>
      <x:c r="B3117" t="n">
        <x:v>55</x:v>
      </x:c>
      <x:c r="C3117" t="str">
        <x:v>Female</x:v>
      </x:c>
      <x:c r="D3117" t="str">
        <x:v>Groceries</x:v>
      </x:c>
      <x:c r="E3117" t="str">
        <x:v>Beverages</x:v>
      </x:c>
      <x:c r="F3117" s="24" t="n">
        <x:v>68.41</x:v>
      </x:c>
      <x:c r="G3117" t="str">
        <x:v>Spring</x:v>
      </x:c>
      <x:c r="H3117" t="str">
        <x:v>Cash on Delivery</x:v>
      </x:c>
      <x:c r="I3117" t="n">
        <x:v>4.6</x:v>
      </x:c>
      <x:c r="J3117" t="n">
        <x:v>14</x:v>
      </x:c>
      <x:c r="K3117" t="n">
        <x:v>2</x:v>
      </x:c>
      <x:c r="L3117" t="str">
        <x:v>STORE-001</x:v>
      </x:c>
      <x:c r="M3117" s="22" t="n">
        <x:v>45980</x:v>
      </x:c>
      <x:c r="N3117" t="str">
        <x:v>SKU-001</x:v>
      </x:c>
      <x:c r="O3117" t="n">
        <x:v>3</x:v>
      </x:c>
      <x:c r="P3117" s="26" t="n">
        <x:f>F3117/O3117</x:f>
        <x:v>22.80333333333333</x:v>
      </x:c>
    </x:row>
    <x:row r="3118">
      <x:c r="A3118" t="n">
        <x:v>3117</x:v>
      </x:c>
      <x:c r="B3118" t="n">
        <x:v>55</x:v>
      </x:c>
      <x:c r="C3118" t="str">
        <x:v>Female</x:v>
      </x:c>
      <x:c r="D3118" t="str">
        <x:v>Accessories</x:v>
      </x:c>
      <x:c r="E3118" t="str">
        <x:v>Wallet</x:v>
      </x:c>
      <x:c r="F3118" s="24" t="n">
        <x:v>160.25</x:v>
      </x:c>
      <x:c r="G3118" t="str">
        <x:v>Summer</x:v>
      </x:c>
      <x:c r="H3118" t="str">
        <x:v>Card</x:v>
      </x:c>
      <x:c r="I3118" t="n">
        <x:v>3.5</x:v>
      </x:c>
      <x:c r="J3118" t="n">
        <x:v>6</x:v>
      </x:c>
      <x:c r="K3118" t="n">
        <x:v>3</x:v>
      </x:c>
      <x:c r="L3118" t="str">
        <x:v>STORE-001</x:v>
      </x:c>
      <x:c r="M3118" s="22" t="n">
        <x:v>46014</x:v>
      </x:c>
      <x:c r="N3118" t="str">
        <x:v>SKU-029</x:v>
      </x:c>
      <x:c r="O3118" t="n">
        <x:v>1</x:v>
      </x:c>
      <x:c r="P3118" s="26" t="n">
        <x:f>F3118/O3118</x:f>
        <x:v>160.25</x:v>
      </x:c>
    </x:row>
    <x:row r="3119">
      <x:c r="A3119" t="n">
        <x:v>3118</x:v>
      </x:c>
      <x:c r="B3119" t="n">
        <x:v>70</x:v>
      </x:c>
      <x:c r="C3119" t="str">
        <x:v>Female</x:v>
      </x:c>
      <x:c r="D3119" t="str">
        <x:v>Accessories</x:v>
      </x:c>
      <x:c r="E3119" t="str">
        <x:v>Handbag</x:v>
      </x:c>
      <x:c r="F3119" s="24" t="n">
        <x:v>63.39</x:v>
      </x:c>
      <x:c r="G3119" t="str">
        <x:v>Autumn</x:v>
      </x:c>
      <x:c r="H3119" t="str">
        <x:v>Cash on Delivery</x:v>
      </x:c>
      <x:c r="I3119" t="n">
        <x:v>3.3</x:v>
      </x:c>
      <x:c r="J3119" t="n">
        <x:v>14</x:v>
      </x:c>
      <x:c r="K3119" t="n">
        <x:v>2</x:v>
      </x:c>
      <x:c r="L3119" t="str">
        <x:v>STORE-001</x:v>
      </x:c>
      <x:c r="M3119" s="22" t="n">
        <x:v>46144</x:v>
      </x:c>
      <x:c r="N3119" t="str">
        <x:v>SKU-008</x:v>
      </x:c>
      <x:c r="O3119" t="n">
        <x:v>1</x:v>
      </x:c>
      <x:c r="P3119" s="26" t="n">
        <x:f>F3119/O3119</x:f>
        <x:v>63.39</x:v>
      </x:c>
    </x:row>
    <x:row r="3120">
      <x:c r="A3120" t="n">
        <x:v>3119</x:v>
      </x:c>
      <x:c r="B3120" t="n">
        <x:v>69</x:v>
      </x:c>
      <x:c r="C3120" t="str">
        <x:v>Male</x:v>
      </x:c>
      <x:c r="D3120" t="str">
        <x:v>Sports</x:v>
      </x:c>
      <x:c r="E3120" t="str">
        <x:v>Dumbbells</x:v>
      </x:c>
      <x:c r="F3120" s="24" t="n">
        <x:v>95.03</x:v>
      </x:c>
      <x:c r="G3120" t="str">
        <x:v>Winter</x:v>
      </x:c>
      <x:c r="H3120" t="str">
        <x:v>Card</x:v>
      </x:c>
      <x:c r="I3120" t="n">
        <x:v>2.8</x:v>
      </x:c>
      <x:c r="J3120" t="n">
        <x:v>16</x:v>
      </x:c>
      <x:c r="K3120" t="n">
        <x:v>3</x:v>
      </x:c>
      <x:c r="L3120" t="str">
        <x:v>STORE-001</x:v>
      </x:c>
      <x:c r="M3120" s="22" t="n">
        <x:v>46180</x:v>
      </x:c>
      <x:c r="N3120" t="str">
        <x:v>SKU-005</x:v>
      </x:c>
      <x:c r="O3120" t="n">
        <x:v>1</x:v>
      </x:c>
      <x:c r="P3120" s="26" t="n">
        <x:f>F3120/O3120</x:f>
        <x:v>95.03</x:v>
      </x:c>
    </x:row>
    <x:row r="3121">
      <x:c r="A3121" t="n">
        <x:v>3120</x:v>
      </x:c>
      <x:c r="B3121" t="n">
        <x:v>38</x:v>
      </x:c>
      <x:c r="C3121" t="str">
        <x:v>Female</x:v>
      </x:c>
      <x:c r="D3121" t="str">
        <x:v>Accessories</x:v>
      </x:c>
      <x:c r="E3121" t="str">
        <x:v>Sunglasses</x:v>
      </x:c>
      <x:c r="F3121" s="24" t="n">
        <x:v>171.81</x:v>
      </x:c>
      <x:c r="G3121" t="str">
        <x:v>Summer</x:v>
      </x:c>
      <x:c r="H3121" t="str">
        <x:v>Card</x:v>
      </x:c>
      <x:c r="I3121" t="n">
        <x:v>4.6</x:v>
      </x:c>
      <x:c r="J3121" t="n">
        <x:v>26</x:v>
      </x:c>
      <x:c r="K3121" t="n">
        <x:v>8</x:v>
      </x:c>
      <x:c r="L3121" t="str">
        <x:v>STORE-001</x:v>
      </x:c>
      <x:c r="M3121" s="22" t="n">
        <x:v>46027</x:v>
      </x:c>
      <x:c r="N3121" t="str">
        <x:v>SKU-026</x:v>
      </x:c>
      <x:c r="O3121" t="n">
        <x:v>1</x:v>
      </x:c>
      <x:c r="P3121" s="26" t="n">
        <x:f>F3121/O3121</x:f>
        <x:v>171.81</x:v>
      </x:c>
    </x:row>
    <x:row r="3122">
      <x:c r="A3122" t="n">
        <x:v>3121</x:v>
      </x:c>
      <x:c r="B3122" t="n">
        <x:v>53</x:v>
      </x:c>
      <x:c r="C3122" t="str">
        <x:v>Female</x:v>
      </x:c>
      <x:c r="D3122" t="str">
        <x:v>Womens Clothing</x:v>
      </x:c>
      <x:c r="E3122" t="str">
        <x:v>Skirt</x:v>
      </x:c>
      <x:c r="F3122" s="24" t="n">
        <x:v>195</x:v>
      </x:c>
      <x:c r="G3122" t="str">
        <x:v>Winter</x:v>
      </x:c>
      <x:c r="H3122" t="str">
        <x:v>Card</x:v>
      </x:c>
      <x:c r="I3122" t="n">
        <x:v>3.6</x:v>
      </x:c>
      <x:c r="J3122" t="n">
        <x:v>14</x:v>
      </x:c>
      <x:c r="K3122" t="n">
        <x:v>7</x:v>
      </x:c>
      <x:c r="L3122" t="str">
        <x:v>STORE-001</x:v>
      </x:c>
      <x:c r="M3122" s="22" t="n">
        <x:v>46190</x:v>
      </x:c>
      <x:c r="N3122" t="str">
        <x:v>SKU-022</x:v>
      </x:c>
      <x:c r="O3122" t="n">
        <x:v>1</x:v>
      </x:c>
      <x:c r="P3122" s="26" t="n">
        <x:f>F3122/O3122</x:f>
        <x:v>195</x:v>
      </x:c>
    </x:row>
    <x:row r="3123">
      <x:c r="A3123" t="n">
        <x:v>3122</x:v>
      </x:c>
      <x:c r="B3123" t="n">
        <x:v>51</x:v>
      </x:c>
      <x:c r="C3123" t="str">
        <x:v>Male</x:v>
      </x:c>
      <x:c r="D3123" t="str">
        <x:v>Electronics</x:v>
      </x:c>
      <x:c r="E3123" t="str">
        <x:v>Headphones</x:v>
      </x:c>
      <x:c r="F3123" s="24" t="n">
        <x:v>2502.92</x:v>
      </x:c>
      <x:c r="G3123" t="str">
        <x:v>Autumn</x:v>
      </x:c>
      <x:c r="H3123" t="str">
        <x:v>Card</x:v>
      </x:c>
      <x:c r="I3123" t="n">
        <x:v>1.9</x:v>
      </x:c>
      <x:c r="J3123" t="n">
        <x:v>28</x:v>
      </x:c>
      <x:c r="K3123" t="n">
        <x:v>9</x:v>
      </x:c>
      <x:c r="L3123" t="str">
        <x:v>STORE-001</x:v>
      </x:c>
      <x:c r="M3123" s="22" t="n">
        <x:v>46125</x:v>
      </x:c>
      <x:c r="N3123" t="str">
        <x:v>SKU-009</x:v>
      </x:c>
      <x:c r="O3123" t="n">
        <x:v>2</x:v>
      </x:c>
      <x:c r="P3123" s="26" t="n">
        <x:f>F3123/O3123</x:f>
        <x:v>1251.46</x:v>
      </x:c>
    </x:row>
    <x:row r="3124">
      <x:c r="A3124" t="n">
        <x:v>3123</x:v>
      </x:c>
      <x:c r="B3124" t="n">
        <x:v>29</x:v>
      </x:c>
      <x:c r="C3124" t="str">
        <x:v>Female</x:v>
      </x:c>
      <x:c r="D3124" t="str">
        <x:v>Footwear</x:v>
      </x:c>
      <x:c r="E3124" t="str">
        <x:v>Formal Shoes</x:v>
      </x:c>
      <x:c r="F3124" s="24" t="n">
        <x:v>133.44</x:v>
      </x:c>
      <x:c r="G3124" t="str">
        <x:v>Winter</x:v>
      </x:c>
      <x:c r="H3124" t="str">
        <x:v>Card</x:v>
      </x:c>
      <x:c r="I3124" t="n">
        <x:v>5</x:v>
      </x:c>
      <x:c r="J3124" t="n">
        <x:v>20</x:v>
      </x:c>
      <x:c r="K3124" t="n">
        <x:v>5</x:v>
      </x:c>
      <x:c r="L3124" t="str">
        <x:v>STORE-001</x:v>
      </x:c>
      <x:c r="M3124" s="22" t="n">
        <x:v>46265</x:v>
      </x:c>
      <x:c r="N3124" t="str">
        <x:v>SKU-007</x:v>
      </x:c>
      <x:c r="O3124" t="n">
        <x:v>1</x:v>
      </x:c>
      <x:c r="P3124" s="26" t="n">
        <x:f>F3124/O3124</x:f>
        <x:v>133.44</x:v>
      </x:c>
    </x:row>
    <x:row r="3125">
      <x:c r="A3125" t="n">
        <x:v>3124</x:v>
      </x:c>
      <x:c r="B3125" t="n">
        <x:v>20</x:v>
      </x:c>
      <x:c r="C3125" t="str">
        <x:v>Female</x:v>
      </x:c>
      <x:c r="D3125" t="str">
        <x:v>Accessories</x:v>
      </x:c>
      <x:c r="E3125" t="str">
        <x:v>Sunglasses</x:v>
      </x:c>
      <x:c r="F3125" s="24" t="n">
        <x:v>142.21</x:v>
      </x:c>
      <x:c r="G3125" t="str">
        <x:v>Summer</x:v>
      </x:c>
      <x:c r="H3125" t="str">
        <x:v>Card</x:v>
      </x:c>
      <x:c r="I3125" t="n">
        <x:v>3.8</x:v>
      </x:c>
      <x:c r="J3125" t="n">
        <x:v>13</x:v>
      </x:c>
      <x:c r="K3125" t="n">
        <x:v>4</x:v>
      </x:c>
      <x:c r="L3125" t="str">
        <x:v>STORE-001</x:v>
      </x:c>
      <x:c r="M3125" s="22" t="n">
        <x:v>46062</x:v>
      </x:c>
      <x:c r="N3125" t="str">
        <x:v>SKU-026</x:v>
      </x:c>
      <x:c r="O3125" t="n">
        <x:v>1</x:v>
      </x:c>
      <x:c r="P3125" s="26" t="n">
        <x:f>F3125/O3125</x:f>
        <x:v>142.21</x:v>
      </x:c>
    </x:row>
    <x:row r="3126">
      <x:c r="A3126" t="n">
        <x:v>3125</x:v>
      </x:c>
      <x:c r="B3126" t="n">
        <x:v>28</x:v>
      </x:c>
      <x:c r="C3126" t="str">
        <x:v>Male</x:v>
      </x:c>
      <x:c r="D3126" t="str">
        <x:v>Sports</x:v>
      </x:c>
      <x:c r="E3126" t="str">
        <x:v>Football</x:v>
      </x:c>
      <x:c r="F3126" s="24" t="n">
        <x:v>107.86</x:v>
      </x:c>
      <x:c r="G3126" t="str">
        <x:v>Winter</x:v>
      </x:c>
      <x:c r="H3126" t="str">
        <x:v>Card</x:v>
      </x:c>
      <x:c r="I3126" t="n">
        <x:v>2.8</x:v>
      </x:c>
      <x:c r="J3126" t="n">
        <x:v>15</x:v>
      </x:c>
      <x:c r="K3126" t="n">
        <x:v>5</x:v>
      </x:c>
      <x:c r="L3126" t="str">
        <x:v>STORE-001</x:v>
      </x:c>
      <x:c r="M3126" s="22" t="n">
        <x:v>46256</x:v>
      </x:c>
      <x:c r="N3126" t="str">
        <x:v>SKU-006</x:v>
      </x:c>
      <x:c r="O3126" t="n">
        <x:v>2</x:v>
      </x:c>
      <x:c r="P3126" s="26" t="n">
        <x:f>F3126/O3126</x:f>
        <x:v>53.93</x:v>
      </x:c>
    </x:row>
    <x:row r="3127">
      <x:c r="A3127" t="n">
        <x:v>3126</x:v>
      </x:c>
      <x:c r="B3127" t="n">
        <x:v>57</x:v>
      </x:c>
      <x:c r="C3127" t="str">
        <x:v>Male</x:v>
      </x:c>
      <x:c r="D3127" t="str">
        <x:v>Mens Clothing</x:v>
      </x:c>
      <x:c r="E3127" t="str">
        <x:v>T-Shirt</x:v>
      </x:c>
      <x:c r="F3127" s="24" t="n">
        <x:v>142.37</x:v>
      </x:c>
      <x:c r="G3127" t="str">
        <x:v>Summer</x:v>
      </x:c>
      <x:c r="H3127" t="str">
        <x:v>Card</x:v>
      </x:c>
      <x:c r="I3127" t="n">
        <x:v>4.3</x:v>
      </x:c>
      <x:c r="J3127" t="n">
        <x:v>11</x:v>
      </x:c>
      <x:c r="K3127" t="n">
        <x:v>3</x:v>
      </x:c>
      <x:c r="L3127" t="str">
        <x:v>STORE-001</x:v>
      </x:c>
      <x:c r="M3127" s="22" t="n">
        <x:v>46075</x:v>
      </x:c>
      <x:c r="N3127" t="str">
        <x:v>SKU-027</x:v>
      </x:c>
      <x:c r="O3127" t="n">
        <x:v>1</x:v>
      </x:c>
      <x:c r="P3127" s="26" t="n">
        <x:f>F3127/O3127</x:f>
        <x:v>142.37</x:v>
      </x:c>
    </x:row>
    <x:row r="3128">
      <x:c r="A3128" t="n">
        <x:v>3127</x:v>
      </x:c>
      <x:c r="B3128" t="n">
        <x:v>56</x:v>
      </x:c>
      <x:c r="C3128" t="str">
        <x:v>Male</x:v>
      </x:c>
      <x:c r="D3128" t="str">
        <x:v>Sports</x:v>
      </x:c>
      <x:c r="E3128" t="str">
        <x:v>Yoga Mat</x:v>
      </x:c>
      <x:c r="F3128" s="24" t="n">
        <x:v>198.31</x:v>
      </x:c>
      <x:c r="G3128" t="str">
        <x:v>Summer</x:v>
      </x:c>
      <x:c r="H3128" t="str">
        <x:v>Card</x:v>
      </x:c>
      <x:c r="I3128" t="n">
        <x:v>4.3</x:v>
      </x:c>
      <x:c r="J3128" t="n">
        <x:v>25</x:v>
      </x:c>
      <x:c r="K3128" t="n">
        <x:v>10</x:v>
      </x:c>
      <x:c r="L3128" t="str">
        <x:v>STORE-001</x:v>
      </x:c>
      <x:c r="M3128" s="22" t="n">
        <x:v>46041</x:v>
      </x:c>
      <x:c r="N3128" t="str">
        <x:v>SKU-030</x:v>
      </x:c>
      <x:c r="O3128" t="n">
        <x:v>1</x:v>
      </x:c>
      <x:c r="P3128" s="26" t="n">
        <x:f>F3128/O3128</x:f>
        <x:v>198.31</x:v>
      </x:c>
    </x:row>
    <x:row r="3129">
      <x:c r="A3129" t="n">
        <x:v>3128</x:v>
      </x:c>
      <x:c r="B3129" t="n">
        <x:v>27</x:v>
      </x:c>
      <x:c r="C3129" t="str">
        <x:v>Female</x:v>
      </x:c>
      <x:c r="D3129" t="str">
        <x:v>Beauty</x:v>
      </x:c>
      <x:c r="E3129" t="str">
        <x:v>Perfume</x:v>
      </x:c>
      <x:c r="F3129" s="24" t="n">
        <x:v>34.44</x:v>
      </x:c>
      <x:c r="G3129" t="str">
        <x:v>Winter</x:v>
      </x:c>
      <x:c r="H3129" t="str">
        <x:v>Card</x:v>
      </x:c>
      <x:c r="I3129" t="n">
        <x:v>3.4</x:v>
      </x:c>
      <x:c r="J3129" t="n">
        <x:v>4</x:v>
      </x:c>
      <x:c r="K3129" t="n">
        <x:v>2</x:v>
      </x:c>
      <x:c r="L3129" t="str">
        <x:v>STORE-001</x:v>
      </x:c>
      <x:c r="M3129" s="22" t="n">
        <x:v>46238</x:v>
      </x:c>
      <x:c r="N3129" t="str">
        <x:v>SKU-017</x:v>
      </x:c>
      <x:c r="O3129" t="n">
        <x:v>1</x:v>
      </x:c>
      <x:c r="P3129" s="26" t="n">
        <x:f>F3129/O3129</x:f>
        <x:v>34.44</x:v>
      </x:c>
    </x:row>
    <x:row r="3130">
      <x:c r="A3130" t="n">
        <x:v>3129</x:v>
      </x:c>
      <x:c r="B3130" t="n">
        <x:v>61</x:v>
      </x:c>
      <x:c r="C3130" t="str">
        <x:v>Female</x:v>
      </x:c>
      <x:c r="D3130" t="str">
        <x:v>Groceries</x:v>
      </x:c>
      <x:c r="E3130" t="str">
        <x:v>Snacks</x:v>
      </x:c>
      <x:c r="F3130" s="24" t="n">
        <x:v>22.87</x:v>
      </x:c>
      <x:c r="G3130" t="str">
        <x:v>Summer</x:v>
      </x:c>
      <x:c r="H3130" t="str">
        <x:v>Cash on Delivery</x:v>
      </x:c>
      <x:c r="I3130" t="n">
        <x:v>3.6</x:v>
      </x:c>
      <x:c r="J3130" t="n">
        <x:v>13</x:v>
      </x:c>
      <x:c r="K3130" t="n">
        <x:v>4</x:v>
      </x:c>
      <x:c r="L3130" t="str">
        <x:v>STORE-001</x:v>
      </x:c>
      <x:c r="M3130" s="22" t="n">
        <x:v>46022</x:v>
      </x:c>
      <x:c r="N3130" t="str">
        <x:v>SKU-024</x:v>
      </x:c>
      <x:c r="O3130" t="n">
        <x:v>1</x:v>
      </x:c>
      <x:c r="P3130" s="26" t="n">
        <x:f>F3130/O3130</x:f>
        <x:v>22.87</x:v>
      </x:c>
    </x:row>
    <x:row r="3131">
      <x:c r="A3131" t="n">
        <x:v>3130</x:v>
      </x:c>
      <x:c r="B3131" t="n">
        <x:v>44</x:v>
      </x:c>
      <x:c r="C3131" t="str">
        <x:v>Male</x:v>
      </x:c>
      <x:c r="D3131" t="str">
        <x:v>Footwear</x:v>
      </x:c>
      <x:c r="E3131" t="str">
        <x:v>Formal Shoes</x:v>
      </x:c>
      <x:c r="F3131" s="24" t="n">
        <x:v>143.17</x:v>
      </x:c>
      <x:c r="G3131" t="str">
        <x:v>Summer</x:v>
      </x:c>
      <x:c r="H3131" t="str">
        <x:v>Card</x:v>
      </x:c>
      <x:c r="I3131" t="n">
        <x:v>5</x:v>
      </x:c>
      <x:c r="J3131" t="n">
        <x:v>15</x:v>
      </x:c>
      <x:c r="K3131" t="n">
        <x:v>5</x:v>
      </x:c>
      <x:c r="L3131" t="str">
        <x:v>STORE-001</x:v>
      </x:c>
      <x:c r="M3131" s="22" t="n">
        <x:v>46023</x:v>
      </x:c>
      <x:c r="N3131" t="str">
        <x:v>SKU-007</x:v>
      </x:c>
      <x:c r="O3131" t="n">
        <x:v>2</x:v>
      </x:c>
      <x:c r="P3131" s="26" t="n">
        <x:f>F3131/O3131</x:f>
        <x:v>71.585</x:v>
      </x:c>
    </x:row>
    <x:row r="3132">
      <x:c r="A3132" t="n">
        <x:v>3131</x:v>
      </x:c>
      <x:c r="B3132" t="n">
        <x:v>67</x:v>
      </x:c>
      <x:c r="C3132" t="str">
        <x:v>Male</x:v>
      </x:c>
      <x:c r="D3132" t="str">
        <x:v>Electronics</x:v>
      </x:c>
      <x:c r="E3132" t="str">
        <x:v>Headphones</x:v>
      </x:c>
      <x:c r="F3132" s="24" t="n">
        <x:v>2411.19</x:v>
      </x:c>
      <x:c r="G3132" t="str">
        <x:v>Winter</x:v>
      </x:c>
      <x:c r="H3132" t="str">
        <x:v>Card</x:v>
      </x:c>
      <x:c r="I3132" t="n">
        <x:v>3.1</x:v>
      </x:c>
      <x:c r="J3132" t="n">
        <x:v>9</x:v>
      </x:c>
      <x:c r="K3132" t="n">
        <x:v>2</x:v>
      </x:c>
      <x:c r="L3132" t="str">
        <x:v>STORE-001</x:v>
      </x:c>
      <x:c r="M3132" s="22" t="n">
        <x:v>46192</x:v>
      </x:c>
      <x:c r="N3132" t="str">
        <x:v>SKU-009</x:v>
      </x:c>
      <x:c r="O3132" t="n">
        <x:v>1</x:v>
      </x:c>
      <x:c r="P3132" s="26" t="n">
        <x:f>F3132/O3132</x:f>
        <x:v>2411.19</x:v>
      </x:c>
    </x:row>
    <x:row r="3133">
      <x:c r="A3133" t="n">
        <x:v>3132</x:v>
      </x:c>
      <x:c r="B3133" t="n">
        <x:v>26</x:v>
      </x:c>
      <x:c r="C3133" t="str">
        <x:v>Male</x:v>
      </x:c>
      <x:c r="D3133" t="str">
        <x:v>Footwear</x:v>
      </x:c>
      <x:c r="E3133" t="str">
        <x:v>Formal Shoes</x:v>
      </x:c>
      <x:c r="F3133" s="24" t="n">
        <x:v>130.14</x:v>
      </x:c>
      <x:c r="G3133" t="str">
        <x:v>Spring</x:v>
      </x:c>
      <x:c r="H3133" t="str">
        <x:v>Card</x:v>
      </x:c>
      <x:c r="I3133" t="n">
        <x:v>4</x:v>
      </x:c>
      <x:c r="J3133" t="n">
        <x:v>29</x:v>
      </x:c>
      <x:c r="K3133" t="n">
        <x:v>12</x:v>
      </x:c>
      <x:c r="L3133" t="str">
        <x:v>STORE-001</x:v>
      </x:c>
      <x:c r="M3133" s="22" t="n">
        <x:v>46268</x:v>
      </x:c>
      <x:c r="N3133" t="str">
        <x:v>SKU-007</x:v>
      </x:c>
      <x:c r="O3133" t="n">
        <x:v>1</x:v>
      </x:c>
      <x:c r="P3133" s="26" t="n">
        <x:f>F3133/O3133</x:f>
        <x:v>130.14</x:v>
      </x:c>
    </x:row>
    <x:row r="3134">
      <x:c r="A3134" t="n">
        <x:v>3133</x:v>
      </x:c>
      <x:c r="B3134" t="n">
        <x:v>69</x:v>
      </x:c>
      <x:c r="C3134" t="str">
        <x:v>Female</x:v>
      </x:c>
      <x:c r="D3134" t="str">
        <x:v>Beauty</x:v>
      </x:c>
      <x:c r="E3134" t="str">
        <x:v>Perfume</x:v>
      </x:c>
      <x:c r="F3134" s="24" t="n">
        <x:v>52.81</x:v>
      </x:c>
      <x:c r="G3134" t="str">
        <x:v>Summer</x:v>
      </x:c>
      <x:c r="H3134" t="str">
        <x:v>Card</x:v>
      </x:c>
      <x:c r="I3134" t="n">
        <x:v>4.3</x:v>
      </x:c>
      <x:c r="J3134" t="n">
        <x:v>19</x:v>
      </x:c>
      <x:c r="K3134" t="n">
        <x:v>7</x:v>
      </x:c>
      <x:c r="L3134" t="str">
        <x:v>STORE-001</x:v>
      </x:c>
      <x:c r="M3134" s="22" t="n">
        <x:v>46059</x:v>
      </x:c>
      <x:c r="N3134" t="str">
        <x:v>SKU-017</x:v>
      </x:c>
      <x:c r="O3134" t="n">
        <x:v>1</x:v>
      </x:c>
      <x:c r="P3134" s="26" t="n">
        <x:f>F3134/O3134</x:f>
        <x:v>52.81</x:v>
      </x:c>
    </x:row>
    <x:row r="3135">
      <x:c r="A3135" t="n">
        <x:v>3134</x:v>
      </x:c>
      <x:c r="B3135" t="n">
        <x:v>62</x:v>
      </x:c>
      <x:c r="C3135" t="str">
        <x:v>Male</x:v>
      </x:c>
      <x:c r="D3135" t="str">
        <x:v>Footwear</x:v>
      </x:c>
      <x:c r="E3135" t="str">
        <x:v>Sneakers</x:v>
      </x:c>
      <x:c r="F3135" s="24" t="n">
        <x:v>232.72</x:v>
      </x:c>
      <x:c r="G3135" t="str">
        <x:v>Spring</x:v>
      </x:c>
      <x:c r="H3135" t="str">
        <x:v>Card</x:v>
      </x:c>
      <x:c r="I3135" t="n">
        <x:v>3.7</x:v>
      </x:c>
      <x:c r="J3135" t="n">
        <x:v>13</x:v>
      </x:c>
      <x:c r="K3135" t="n">
        <x:v>4</x:v>
      </x:c>
      <x:c r="L3135" t="str">
        <x:v>STORE-001</x:v>
      </x:c>
      <x:c r="M3135" s="22" t="n">
        <x:v>45962</x:v>
      </x:c>
      <x:c r="N3135" t="str">
        <x:v>SKU-025</x:v>
      </x:c>
      <x:c r="O3135" t="n">
        <x:v>1</x:v>
      </x:c>
      <x:c r="P3135" s="26" t="n">
        <x:f>F3135/O3135</x:f>
        <x:v>232.72</x:v>
      </x:c>
    </x:row>
    <x:row r="3136">
      <x:c r="A3136" t="n">
        <x:v>3135</x:v>
      </x:c>
      <x:c r="B3136" t="n">
        <x:v>47</x:v>
      </x:c>
      <x:c r="C3136" t="str">
        <x:v>Female</x:v>
      </x:c>
      <x:c r="D3136" t="str">
        <x:v>Beauty</x:v>
      </x:c>
      <x:c r="E3136" t="str">
        <x:v>Makeup Set</x:v>
      </x:c>
      <x:c r="F3136" s="24" t="n">
        <x:v>38.05</x:v>
      </x:c>
      <x:c r="G3136" t="str">
        <x:v>Summer</x:v>
      </x:c>
      <x:c r="H3136" t="str">
        <x:v>Cash on Delivery</x:v>
      </x:c>
      <x:c r="I3136" t="n">
        <x:v>3.4</x:v>
      </x:c>
      <x:c r="J3136" t="n">
        <x:v>23</x:v>
      </x:c>
      <x:c r="K3136" t="n">
        <x:v>9</x:v>
      </x:c>
      <x:c r="L3136" t="str">
        <x:v>STORE-001</x:v>
      </x:c>
      <x:c r="M3136" s="22" t="n">
        <x:v>46052</x:v>
      </x:c>
      <x:c r="N3136" t="str">
        <x:v>SKU-015</x:v>
      </x:c>
      <x:c r="O3136" t="n">
        <x:v>1</x:v>
      </x:c>
      <x:c r="P3136" s="26" t="n">
        <x:f>F3136/O3136</x:f>
        <x:v>38.05</x:v>
      </x:c>
    </x:row>
    <x:row r="3137">
      <x:c r="A3137" t="n">
        <x:v>3136</x:v>
      </x:c>
      <x:c r="B3137" t="n">
        <x:v>62</x:v>
      </x:c>
      <x:c r="C3137" t="str">
        <x:v>Male</x:v>
      </x:c>
      <x:c r="D3137" t="str">
        <x:v>Home</x:v>
      </x:c>
      <x:c r="E3137" t="str">
        <x:v>Kitchen Set</x:v>
      </x:c>
      <x:c r="F3137" s="24" t="n">
        <x:v>203.78</x:v>
      </x:c>
      <x:c r="G3137" t="str">
        <x:v>Summer</x:v>
      </x:c>
      <x:c r="H3137" t="str">
        <x:v>Card</x:v>
      </x:c>
      <x:c r="I3137" t="n">
        <x:v>3.4</x:v>
      </x:c>
      <x:c r="J3137" t="n">
        <x:v>18</x:v>
      </x:c>
      <x:c r="K3137" t="n">
        <x:v>4</x:v>
      </x:c>
      <x:c r="L3137" t="str">
        <x:v>STORE-001</x:v>
      </x:c>
      <x:c r="M3137" s="22" t="n">
        <x:v>45994</x:v>
      </x:c>
      <x:c r="N3137" t="str">
        <x:v>SKU-012</x:v>
      </x:c>
      <x:c r="O3137" t="n">
        <x:v>2</x:v>
      </x:c>
      <x:c r="P3137" s="26" t="n">
        <x:f>F3137/O3137</x:f>
        <x:v>101.89</x:v>
      </x:c>
    </x:row>
    <x:row r="3138">
      <x:c r="A3138" t="n">
        <x:v>3137</x:v>
      </x:c>
      <x:c r="B3138" t="n">
        <x:v>49</x:v>
      </x:c>
      <x:c r="C3138" t="str">
        <x:v>Male</x:v>
      </x:c>
      <x:c r="D3138" t="str">
        <x:v>Home</x:v>
      </x:c>
      <x:c r="E3138" t="str">
        <x:v>Curtains</x:v>
      </x:c>
      <x:c r="F3138" s="24" t="n">
        <x:v>73.31</x:v>
      </x:c>
      <x:c r="G3138" t="str">
        <x:v>Spring</x:v>
      </x:c>
      <x:c r="H3138" t="str">
        <x:v>Cash on Delivery</x:v>
      </x:c>
      <x:c r="I3138" t="n">
        <x:v>4.5</x:v>
      </x:c>
      <x:c r="J3138" t="n">
        <x:v>22</x:v>
      </x:c>
      <x:c r="K3138" t="n">
        <x:v>6</x:v>
      </x:c>
      <x:c r="L3138" t="str">
        <x:v>STORE-001</x:v>
      </x:c>
      <x:c r="M3138" s="22" t="n">
        <x:v>46274</x:v>
      </x:c>
      <x:c r="N3138" t="str">
        <x:v>SKU-003</x:v>
      </x:c>
      <x:c r="O3138" t="n">
        <x:v>1</x:v>
      </x:c>
      <x:c r="P3138" s="26" t="n">
        <x:f>F3138/O3138</x:f>
        <x:v>73.31</x:v>
      </x:c>
    </x:row>
    <x:row r="3139">
      <x:c r="A3139" t="n">
        <x:v>3138</x:v>
      </x:c>
      <x:c r="B3139" t="n">
        <x:v>52</x:v>
      </x:c>
      <x:c r="C3139" t="str">
        <x:v>Male</x:v>
      </x:c>
      <x:c r="D3139" t="str">
        <x:v>Footwear</x:v>
      </x:c>
      <x:c r="E3139" t="str">
        <x:v>Sandals</x:v>
      </x:c>
      <x:c r="F3139" s="24" t="n">
        <x:v>68.93</x:v>
      </x:c>
      <x:c r="G3139" t="str">
        <x:v>Winter</x:v>
      </x:c>
      <x:c r="H3139" t="str">
        <x:v>Cash on Delivery</x:v>
      </x:c>
      <x:c r="I3139" t="n">
        <x:v>2.3</x:v>
      </x:c>
      <x:c r="J3139" t="n">
        <x:v>24</x:v>
      </x:c>
      <x:c r="K3139" t="n">
        <x:v>7</x:v>
      </x:c>
      <x:c r="L3139" t="str">
        <x:v>STORE-001</x:v>
      </x:c>
      <x:c r="M3139" s="22" t="n">
        <x:v>46222</x:v>
      </x:c>
      <x:c r="N3139" t="str">
        <x:v>SKU-019</x:v>
      </x:c>
      <x:c r="O3139" t="n">
        <x:v>1</x:v>
      </x:c>
      <x:c r="P3139" s="26" t="n">
        <x:f>F3139/O3139</x:f>
        <x:v>68.93</x:v>
      </x:c>
    </x:row>
    <x:row r="3140">
      <x:c r="A3140" t="n">
        <x:v>3139</x:v>
      </x:c>
      <x:c r="B3140" t="n">
        <x:v>67</x:v>
      </x:c>
      <x:c r="C3140" t="str">
        <x:v>Male</x:v>
      </x:c>
      <x:c r="D3140" t="str">
        <x:v>Footwear</x:v>
      </x:c>
      <x:c r="E3140" t="str">
        <x:v>Sandals</x:v>
      </x:c>
      <x:c r="F3140" s="24" t="n">
        <x:v>55.02</x:v>
      </x:c>
      <x:c r="G3140" t="str">
        <x:v>Autumn</x:v>
      </x:c>
      <x:c r="H3140" t="str">
        <x:v>Cash on Delivery</x:v>
      </x:c>
      <x:c r="I3140" t="n">
        <x:v>3.4</x:v>
      </x:c>
      <x:c r="J3140" t="n">
        <x:v>23</x:v>
      </x:c>
      <x:c r="K3140" t="n">
        <x:v>9</x:v>
      </x:c>
      <x:c r="L3140" t="str">
        <x:v>STORE-001</x:v>
      </x:c>
      <x:c r="M3140" s="22" t="n">
        <x:v>46114</x:v>
      </x:c>
      <x:c r="N3140" t="str">
        <x:v>SKU-019</x:v>
      </x:c>
      <x:c r="O3140" t="n">
        <x:v>2</x:v>
      </x:c>
      <x:c r="P3140" s="26" t="n">
        <x:f>F3140/O3140</x:f>
        <x:v>27.51</x:v>
      </x:c>
    </x:row>
    <x:row r="3141">
      <x:c r="A3141" t="n">
        <x:v>3140</x:v>
      </x:c>
      <x:c r="B3141" t="n">
        <x:v>34</x:v>
      </x:c>
      <x:c r="C3141" t="str">
        <x:v>Female</x:v>
      </x:c>
      <x:c r="D3141" t="str">
        <x:v>Sports</x:v>
      </x:c>
      <x:c r="E3141" t="str">
        <x:v>Yoga Mat</x:v>
      </x:c>
      <x:c r="F3141" s="24" t="n">
        <x:v>199.1</x:v>
      </x:c>
      <x:c r="G3141" t="str">
        <x:v>Autumn</x:v>
      </x:c>
      <x:c r="H3141" t="str">
        <x:v>Card</x:v>
      </x:c>
      <x:c r="I3141" t="n">
        <x:v>4.3</x:v>
      </x:c>
      <x:c r="J3141" t="n">
        <x:v>11</x:v>
      </x:c>
      <x:c r="K3141" t="n">
        <x:v>3</x:v>
      </x:c>
      <x:c r="L3141" t="str">
        <x:v>STORE-001</x:v>
      </x:c>
      <x:c r="M3141" s="22" t="n">
        <x:v>46168</x:v>
      </x:c>
      <x:c r="N3141" t="str">
        <x:v>SKU-030</x:v>
      </x:c>
      <x:c r="O3141" t="n">
        <x:v>2</x:v>
      </x:c>
      <x:c r="P3141" s="26" t="n">
        <x:f>F3141/O3141</x:f>
        <x:v>99.55</x:v>
      </x:c>
    </x:row>
    <x:row r="3142">
      <x:c r="A3142" t="n">
        <x:v>3141</x:v>
      </x:c>
      <x:c r="B3142" t="n">
        <x:v>43</x:v>
      </x:c>
      <x:c r="C3142" t="str">
        <x:v>Male</x:v>
      </x:c>
      <x:c r="D3142" t="str">
        <x:v>Electronics</x:v>
      </x:c>
      <x:c r="E3142" t="str">
        <x:v>Smart Watch</x:v>
      </x:c>
      <x:c r="F3142" s="24" t="n">
        <x:v>1988.61</x:v>
      </x:c>
      <x:c r="G3142" t="str">
        <x:v>Spring</x:v>
      </x:c>
      <x:c r="H3142" t="str">
        <x:v>Card</x:v>
      </x:c>
      <x:c r="I3142" t="n">
        <x:v>3.8</x:v>
      </x:c>
      <x:c r="J3142" t="n">
        <x:v>17</x:v>
      </x:c>
      <x:c r="K3142" t="n">
        <x:v>6</x:v>
      </x:c>
      <x:c r="L3142" t="str">
        <x:v>STORE-001</x:v>
      </x:c>
      <x:c r="M3142" s="22" t="n">
        <x:v>46291</x:v>
      </x:c>
      <x:c r="N3142" t="str">
        <x:v>SKU-023</x:v>
      </x:c>
      <x:c r="O3142" t="n">
        <x:v>2</x:v>
      </x:c>
      <x:c r="P3142" s="26" t="n">
        <x:f>F3142/O3142</x:f>
        <x:v>994.305</x:v>
      </x:c>
    </x:row>
    <x:row r="3143">
      <x:c r="A3143" t="n">
        <x:v>3142</x:v>
      </x:c>
      <x:c r="B3143" t="n">
        <x:v>60</x:v>
      </x:c>
      <x:c r="C3143" t="str">
        <x:v>Female</x:v>
      </x:c>
      <x:c r="D3143" t="str">
        <x:v>Womens Clothing</x:v>
      </x:c>
      <x:c r="E3143" t="str">
        <x:v>Top</x:v>
      </x:c>
      <x:c r="F3143" s="24" t="n">
        <x:v>118.52</x:v>
      </x:c>
      <x:c r="G3143" t="str">
        <x:v>Winter</x:v>
      </x:c>
      <x:c r="H3143" t="str">
        <x:v>Card</x:v>
      </x:c>
      <x:c r="I3143" t="n">
        <x:v>3.4</x:v>
      </x:c>
      <x:c r="J3143" t="n">
        <x:v>16</x:v>
      </x:c>
      <x:c r="K3143" t="n">
        <x:v>3</x:v>
      </x:c>
      <x:c r="L3143" t="str">
        <x:v>STORE-001</x:v>
      </x:c>
      <x:c r="M3143" s="22" t="n">
        <x:v>46250</x:v>
      </x:c>
      <x:c r="N3143" t="str">
        <x:v>SKU-028</x:v>
      </x:c>
      <x:c r="O3143" t="n">
        <x:v>1</x:v>
      </x:c>
      <x:c r="P3143" s="26" t="n">
        <x:f>F3143/O3143</x:f>
        <x:v>118.52</x:v>
      </x:c>
    </x:row>
    <x:row r="3144">
      <x:c r="A3144" t="n">
        <x:v>3143</x:v>
      </x:c>
      <x:c r="B3144" t="n">
        <x:v>45</x:v>
      </x:c>
      <x:c r="C3144" t="str">
        <x:v>Female</x:v>
      </x:c>
      <x:c r="D3144" t="str">
        <x:v>Footwear</x:v>
      </x:c>
      <x:c r="E3144" t="str">
        <x:v>Sandals</x:v>
      </x:c>
      <x:c r="F3144" s="24" t="n">
        <x:v>80.17</x:v>
      </x:c>
      <x:c r="G3144" t="str">
        <x:v>Summer</x:v>
      </x:c>
      <x:c r="H3144" t="str">
        <x:v>Cash on Delivery</x:v>
      </x:c>
      <x:c r="I3144" t="n">
        <x:v>3.7</x:v>
      </x:c>
      <x:c r="J3144" t="n">
        <x:v>22</x:v>
      </x:c>
      <x:c r="K3144" t="n">
        <x:v>6</x:v>
      </x:c>
      <x:c r="L3144" t="str">
        <x:v>STORE-001</x:v>
      </x:c>
      <x:c r="M3144" s="22" t="n">
        <x:v>46069</x:v>
      </x:c>
      <x:c r="N3144" t="str">
        <x:v>SKU-019</x:v>
      </x:c>
      <x:c r="O3144" t="n">
        <x:v>2</x:v>
      </x:c>
      <x:c r="P3144" s="26" t="n">
        <x:f>F3144/O3144</x:f>
        <x:v>40.085</x:v>
      </x:c>
    </x:row>
    <x:row r="3145">
      <x:c r="A3145" t="n">
        <x:v>3144</x:v>
      </x:c>
      <x:c r="B3145" t="n">
        <x:v>53</x:v>
      </x:c>
      <x:c r="C3145" t="str">
        <x:v>Male</x:v>
      </x:c>
      <x:c r="D3145" t="str">
        <x:v>Electronics</x:v>
      </x:c>
      <x:c r="E3145" t="str">
        <x:v>Laptop</x:v>
      </x:c>
      <x:c r="F3145" s="24" t="n">
        <x:v>2987.4</x:v>
      </x:c>
      <x:c r="G3145" t="str">
        <x:v>Summer</x:v>
      </x:c>
      <x:c r="H3145" t="str">
        <x:v>Card</x:v>
      </x:c>
      <x:c r="I3145" t="n">
        <x:v>3.4</x:v>
      </x:c>
      <x:c r="J3145" t="n">
        <x:v>16</x:v>
      </x:c>
      <x:c r="K3145" t="n">
        <x:v>3</x:v>
      </x:c>
      <x:c r="L3145" t="str">
        <x:v>STORE-001</x:v>
      </x:c>
      <x:c r="M3145" s="22" t="n">
        <x:v>46044</x:v>
      </x:c>
      <x:c r="N3145" t="str">
        <x:v>SKU-014</x:v>
      </x:c>
      <x:c r="O3145" t="n">
        <x:v>1</x:v>
      </x:c>
      <x:c r="P3145" s="26" t="n">
        <x:f>F3145/O3145</x:f>
        <x:v>2987.4</x:v>
      </x:c>
    </x:row>
    <x:row r="3146">
      <x:c r="A3146" t="n">
        <x:v>3145</x:v>
      </x:c>
      <x:c r="B3146" t="n">
        <x:v>58</x:v>
      </x:c>
      <x:c r="C3146" t="str">
        <x:v>Female</x:v>
      </x:c>
      <x:c r="D3146" t="str">
        <x:v>Accessories</x:v>
      </x:c>
      <x:c r="E3146" t="str">
        <x:v>Handbag</x:v>
      </x:c>
      <x:c r="F3146" s="24" t="n">
        <x:v>101.38</x:v>
      </x:c>
      <x:c r="G3146" t="str">
        <x:v>Autumn</x:v>
      </x:c>
      <x:c r="H3146" t="str">
        <x:v>Card</x:v>
      </x:c>
      <x:c r="I3146" t="n">
        <x:v>3.3</x:v>
      </x:c>
      <x:c r="J3146" t="n">
        <x:v>18</x:v>
      </x:c>
      <x:c r="K3146" t="n">
        <x:v>4</x:v>
      </x:c>
      <x:c r="L3146" t="str">
        <x:v>STORE-001</x:v>
      </x:c>
      <x:c r="M3146" s="22" t="n">
        <x:v>46159</x:v>
      </x:c>
      <x:c r="N3146" t="str">
        <x:v>SKU-008</x:v>
      </x:c>
      <x:c r="O3146" t="n">
        <x:v>1</x:v>
      </x:c>
      <x:c r="P3146" s="26" t="n">
        <x:f>F3146/O3146</x:f>
        <x:v>101.38</x:v>
      </x:c>
    </x:row>
    <x:row r="3147">
      <x:c r="A3147" t="n">
        <x:v>3146</x:v>
      </x:c>
      <x:c r="B3147" t="n">
        <x:v>62</x:v>
      </x:c>
      <x:c r="C3147" t="str">
        <x:v>Female</x:v>
      </x:c>
      <x:c r="D3147" t="str">
        <x:v>Footwear</x:v>
      </x:c>
      <x:c r="E3147" t="str">
        <x:v>Sandals</x:v>
      </x:c>
      <x:c r="F3147" s="24" t="n">
        <x:v>120.82</x:v>
      </x:c>
      <x:c r="G3147" t="str">
        <x:v>Winter</x:v>
      </x:c>
      <x:c r="H3147" t="str">
        <x:v>Card</x:v>
      </x:c>
      <x:c r="I3147" t="n">
        <x:v>5</x:v>
      </x:c>
      <x:c r="J3147" t="n">
        <x:v>22</x:v>
      </x:c>
      <x:c r="K3147" t="n">
        <x:v>6</x:v>
      </x:c>
      <x:c r="L3147" t="str">
        <x:v>STORE-001</x:v>
      </x:c>
      <x:c r="M3147" s="22" t="n">
        <x:v>46265</x:v>
      </x:c>
      <x:c r="N3147" t="str">
        <x:v>SKU-019</x:v>
      </x:c>
      <x:c r="O3147" t="n">
        <x:v>1</x:v>
      </x:c>
      <x:c r="P3147" s="26" t="n">
        <x:f>F3147/O3147</x:f>
        <x:v>120.82</x:v>
      </x:c>
    </x:row>
    <x:row r="3148">
      <x:c r="A3148" t="n">
        <x:v>3147</x:v>
      </x:c>
      <x:c r="B3148" t="n">
        <x:v>45</x:v>
      </x:c>
      <x:c r="C3148" t="str">
        <x:v>Male</x:v>
      </x:c>
      <x:c r="D3148" t="str">
        <x:v>Sports</x:v>
      </x:c>
      <x:c r="E3148" t="str">
        <x:v>Yoga Mat</x:v>
      </x:c>
      <x:c r="F3148" s="24" t="n">
        <x:v>152.08</x:v>
      </x:c>
      <x:c r="G3148" t="str">
        <x:v>Autumn</x:v>
      </x:c>
      <x:c r="H3148" t="str">
        <x:v>Card</x:v>
      </x:c>
      <x:c r="I3148" t="n">
        <x:v>3.6</x:v>
      </x:c>
      <x:c r="J3148" t="n">
        <x:v>8</x:v>
      </x:c>
      <x:c r="K3148" t="n">
        <x:v>4</x:v>
      </x:c>
      <x:c r="L3148" t="str">
        <x:v>STORE-001</x:v>
      </x:c>
      <x:c r="M3148" s="22" t="n">
        <x:v>46100</x:v>
      </x:c>
      <x:c r="N3148" t="str">
        <x:v>SKU-030</x:v>
      </x:c>
      <x:c r="O3148" t="n">
        <x:v>1</x:v>
      </x:c>
      <x:c r="P3148" s="26" t="n">
        <x:f>F3148/O3148</x:f>
        <x:v>152.08</x:v>
      </x:c>
    </x:row>
    <x:row r="3149">
      <x:c r="A3149" t="n">
        <x:v>3148</x:v>
      </x:c>
      <x:c r="B3149" t="n">
        <x:v>28</x:v>
      </x:c>
      <x:c r="C3149" t="str">
        <x:v>Female</x:v>
      </x:c>
      <x:c r="D3149" t="str">
        <x:v>Accessories</x:v>
      </x:c>
      <x:c r="E3149" t="str">
        <x:v>Wallet</x:v>
      </x:c>
      <x:c r="F3149" s="24" t="n">
        <x:v>28.4</x:v>
      </x:c>
      <x:c r="G3149" t="str">
        <x:v>Winter</x:v>
      </x:c>
      <x:c r="H3149" t="str">
        <x:v>Card</x:v>
      </x:c>
      <x:c r="I3149" t="n">
        <x:v>3.5</x:v>
      </x:c>
      <x:c r="J3149" t="n">
        <x:v>14</x:v>
      </x:c>
      <x:c r="K3149" t="n">
        <x:v>2</x:v>
      </x:c>
      <x:c r="L3149" t="str">
        <x:v>STORE-001</x:v>
      </x:c>
      <x:c r="M3149" s="22" t="n">
        <x:v>46255</x:v>
      </x:c>
      <x:c r="N3149" t="str">
        <x:v>SKU-029</x:v>
      </x:c>
      <x:c r="O3149" t="n">
        <x:v>1</x:v>
      </x:c>
      <x:c r="P3149" s="26" t="n">
        <x:f>F3149/O3149</x:f>
        <x:v>28.4</x:v>
      </x:c>
    </x:row>
    <x:row r="3150">
      <x:c r="A3150" t="n">
        <x:v>3149</x:v>
      </x:c>
      <x:c r="B3150" t="n">
        <x:v>59</x:v>
      </x:c>
      <x:c r="C3150" t="str">
        <x:v>Female</x:v>
      </x:c>
      <x:c r="D3150" t="str">
        <x:v>Sports</x:v>
      </x:c>
      <x:c r="E3150" t="str">
        <x:v>Yoga Mat</x:v>
      </x:c>
      <x:c r="F3150" s="24" t="n">
        <x:v>27.33</x:v>
      </x:c>
      <x:c r="G3150" t="str">
        <x:v>Spring</x:v>
      </x:c>
      <x:c r="H3150" t="str">
        <x:v>Card</x:v>
      </x:c>
      <x:c r="I3150" t="n">
        <x:v>4.5</x:v>
      </x:c>
      <x:c r="J3150" t="n">
        <x:v>19</x:v>
      </x:c>
      <x:c r="K3150" t="n">
        <x:v>7</x:v>
      </x:c>
      <x:c r="L3150" t="str">
        <x:v>STORE-001</x:v>
      </x:c>
      <x:c r="M3150" s="22" t="n">
        <x:v>46268</x:v>
      </x:c>
      <x:c r="N3150" t="str">
        <x:v>SKU-030</x:v>
      </x:c>
      <x:c r="O3150" t="n">
        <x:v>3</x:v>
      </x:c>
      <x:c r="P3150" s="26" t="n">
        <x:f>F3150/O3150</x:f>
        <x:v>9.11</x:v>
      </x:c>
    </x:row>
    <x:row r="3151">
      <x:c r="A3151" t="n">
        <x:v>3150</x:v>
      </x:c>
      <x:c r="B3151" t="n">
        <x:v>70</x:v>
      </x:c>
      <x:c r="C3151" t="str">
        <x:v>Female</x:v>
      </x:c>
      <x:c r="D3151" t="str">
        <x:v>Sports</x:v>
      </x:c>
      <x:c r="E3151" t="str">
        <x:v>Yoga Mat</x:v>
      </x:c>
      <x:c r="F3151" s="24" t="n">
        <x:v>62.01</x:v>
      </x:c>
      <x:c r="G3151" t="str">
        <x:v>Autumn</x:v>
      </x:c>
      <x:c r="H3151" t="str">
        <x:v>Card</x:v>
      </x:c>
      <x:c r="I3151" t="n">
        <x:v>3.2</x:v>
      </x:c>
      <x:c r="J3151" t="n">
        <x:v>11</x:v>
      </x:c>
      <x:c r="K3151" t="n">
        <x:v>3</x:v>
      </x:c>
      <x:c r="L3151" t="str">
        <x:v>STORE-001</x:v>
      </x:c>
      <x:c r="M3151" s="22" t="n">
        <x:v>46097</x:v>
      </x:c>
      <x:c r="N3151" t="str">
        <x:v>SKU-030</x:v>
      </x:c>
      <x:c r="O3151" t="n">
        <x:v>1</x:v>
      </x:c>
      <x:c r="P3151" s="26" t="n">
        <x:f>F3151/O3151</x:f>
        <x:v>62.01</x:v>
      </x:c>
    </x:row>
    <x:row r="3152">
      <x:c r="A3152" t="n">
        <x:v>3151</x:v>
      </x:c>
      <x:c r="B3152" t="n">
        <x:v>32</x:v>
      </x:c>
      <x:c r="C3152" t="str">
        <x:v>Male</x:v>
      </x:c>
      <x:c r="D3152" t="str">
        <x:v>Footwear</x:v>
      </x:c>
      <x:c r="E3152" t="str">
        <x:v>Sandals</x:v>
      </x:c>
      <x:c r="F3152" s="24" t="n">
        <x:v>244.65</x:v>
      </x:c>
      <x:c r="G3152" t="str">
        <x:v>Autumn</x:v>
      </x:c>
      <x:c r="H3152" t="str">
        <x:v>Card</x:v>
      </x:c>
      <x:c r="I3152" t="n">
        <x:v>3.2</x:v>
      </x:c>
      <x:c r="J3152" t="n">
        <x:v>20</x:v>
      </x:c>
      <x:c r="K3152" t="n">
        <x:v>5</x:v>
      </x:c>
      <x:c r="L3152" t="str">
        <x:v>STORE-001</x:v>
      </x:c>
      <x:c r="M3152" s="22" t="n">
        <x:v>46108</x:v>
      </x:c>
      <x:c r="N3152" t="str">
        <x:v>SKU-019</x:v>
      </x:c>
      <x:c r="O3152" t="n">
        <x:v>2</x:v>
      </x:c>
      <x:c r="P3152" s="26" t="n">
        <x:f>F3152/O3152</x:f>
        <x:v>122.325</x:v>
      </x:c>
    </x:row>
    <x:row r="3153">
      <x:c r="A3153" t="n">
        <x:v>3152</x:v>
      </x:c>
      <x:c r="B3153" t="n">
        <x:v>30</x:v>
      </x:c>
      <x:c r="C3153" t="str">
        <x:v>Male</x:v>
      </x:c>
      <x:c r="D3153" t="str">
        <x:v>Electronics</x:v>
      </x:c>
      <x:c r="E3153" t="str">
        <x:v>Laptop</x:v>
      </x:c>
      <x:c r="F3153" s="24" t="n">
        <x:v>1948.26</x:v>
      </x:c>
      <x:c r="G3153" t="str">
        <x:v>Summer</x:v>
      </x:c>
      <x:c r="H3153" t="str">
        <x:v>Card</x:v>
      </x:c>
      <x:c r="I3153" t="n">
        <x:v>4.2</x:v>
      </x:c>
      <x:c r="J3153" t="n">
        <x:v>22</x:v>
      </x:c>
      <x:c r="K3153" t="n">
        <x:v>6</x:v>
      </x:c>
      <x:c r="L3153" t="str">
        <x:v>STORE-001</x:v>
      </x:c>
      <x:c r="M3153" s="22" t="n">
        <x:v>46023</x:v>
      </x:c>
      <x:c r="N3153" t="str">
        <x:v>SKU-014</x:v>
      </x:c>
      <x:c r="O3153" t="n">
        <x:v>1</x:v>
      </x:c>
      <x:c r="P3153" s="26" t="n">
        <x:f>F3153/O3153</x:f>
        <x:v>1948.26</x:v>
      </x:c>
    </x:row>
    <x:row r="3154">
      <x:c r="A3154" t="n">
        <x:v>3153</x:v>
      </x:c>
      <x:c r="B3154" t="n">
        <x:v>41</x:v>
      </x:c>
      <x:c r="C3154" t="str">
        <x:v>Male</x:v>
      </x:c>
      <x:c r="D3154" t="str">
        <x:v>Sports</x:v>
      </x:c>
      <x:c r="E3154" t="str">
        <x:v>Dumbbells</x:v>
      </x:c>
      <x:c r="F3154" s="24" t="n">
        <x:v>125.2</x:v>
      </x:c>
      <x:c r="G3154" t="str">
        <x:v>Winter</x:v>
      </x:c>
      <x:c r="H3154" t="str">
        <x:v>Card</x:v>
      </x:c>
      <x:c r="I3154" t="n">
        <x:v>3.7</x:v>
      </x:c>
      <x:c r="J3154" t="n">
        <x:v>8</x:v>
      </x:c>
      <x:c r="K3154" t="n">
        <x:v>4</x:v>
      </x:c>
      <x:c r="L3154" t="str">
        <x:v>STORE-001</x:v>
      </x:c>
      <x:c r="M3154" s="22" t="n">
        <x:v>46265</x:v>
      </x:c>
      <x:c r="N3154" t="str">
        <x:v>SKU-005</x:v>
      </x:c>
      <x:c r="O3154" t="n">
        <x:v>2</x:v>
      </x:c>
      <x:c r="P3154" s="26" t="n">
        <x:f>F3154/O3154</x:f>
        <x:v>62.6</x:v>
      </x:c>
    </x:row>
    <x:row r="3155">
      <x:c r="A3155" t="n">
        <x:v>3154</x:v>
      </x:c>
      <x:c r="B3155" t="n">
        <x:v>28</x:v>
      </x:c>
      <x:c r="C3155" t="str">
        <x:v>Male</x:v>
      </x:c>
      <x:c r="D3155" t="str">
        <x:v>Sports</x:v>
      </x:c>
      <x:c r="E3155" t="str">
        <x:v>Dumbbells</x:v>
      </x:c>
      <x:c r="F3155" s="24" t="n">
        <x:v>181.02</x:v>
      </x:c>
      <x:c r="G3155" t="str">
        <x:v>Autumn</x:v>
      </x:c>
      <x:c r="H3155" t="str">
        <x:v>Card</x:v>
      </x:c>
      <x:c r="I3155" t="n">
        <x:v>4.3</x:v>
      </x:c>
      <x:c r="J3155" t="n">
        <x:v>6</x:v>
      </x:c>
      <x:c r="K3155" t="n">
        <x:v>3</x:v>
      </x:c>
      <x:c r="L3155" t="str">
        <x:v>STORE-001</x:v>
      </x:c>
      <x:c r="M3155" s="22" t="n">
        <x:v>46120</x:v>
      </x:c>
      <x:c r="N3155" t="str">
        <x:v>SKU-005</x:v>
      </x:c>
      <x:c r="O3155" t="n">
        <x:v>1</x:v>
      </x:c>
      <x:c r="P3155" s="26" t="n">
        <x:f>F3155/O3155</x:f>
        <x:v>181.02</x:v>
      </x:c>
    </x:row>
    <x:row r="3156">
      <x:c r="A3156" t="n">
        <x:v>3155</x:v>
      </x:c>
      <x:c r="B3156" t="n">
        <x:v>34</x:v>
      </x:c>
      <x:c r="C3156" t="str">
        <x:v>Female</x:v>
      </x:c>
      <x:c r="D3156" t="str">
        <x:v>Sports</x:v>
      </x:c>
      <x:c r="E3156" t="str">
        <x:v>Football</x:v>
      </x:c>
      <x:c r="F3156" s="24" t="n">
        <x:v>44.83</x:v>
      </x:c>
      <x:c r="G3156" t="str">
        <x:v>Spring</x:v>
      </x:c>
      <x:c r="H3156" t="str">
        <x:v>Cash on Delivery</x:v>
      </x:c>
      <x:c r="I3156" t="n">
        <x:v>3.5</x:v>
      </x:c>
      <x:c r="J3156" t="n">
        <x:v>12</x:v>
      </x:c>
      <x:c r="K3156" t="n">
        <x:v>6</x:v>
      </x:c>
      <x:c r="L3156" t="str">
        <x:v>STORE-001</x:v>
      </x:c>
      <x:c r="M3156" s="22" t="n">
        <x:v>46274</x:v>
      </x:c>
      <x:c r="N3156" t="str">
        <x:v>SKU-006</x:v>
      </x:c>
      <x:c r="O3156" t="n">
        <x:v>1</x:v>
      </x:c>
      <x:c r="P3156" s="26" t="n">
        <x:f>F3156/O3156</x:f>
        <x:v>44.83</x:v>
      </x:c>
    </x:row>
    <x:row r="3157">
      <x:c r="A3157" t="n">
        <x:v>3156</x:v>
      </x:c>
      <x:c r="B3157" t="n">
        <x:v>60</x:v>
      </x:c>
      <x:c r="C3157" t="str">
        <x:v>Female</x:v>
      </x:c>
      <x:c r="D3157" t="str">
        <x:v>Beauty</x:v>
      </x:c>
      <x:c r="E3157" t="str">
        <x:v>Perfume</x:v>
      </x:c>
      <x:c r="F3157" s="24" t="n">
        <x:v>142.97</x:v>
      </x:c>
      <x:c r="G3157" t="str">
        <x:v>Summer</x:v>
      </x:c>
      <x:c r="H3157" t="str">
        <x:v>Card</x:v>
      </x:c>
      <x:c r="I3157" t="n">
        <x:v>5</x:v>
      </x:c>
      <x:c r="J3157" t="n">
        <x:v>34</x:v>
      </x:c>
      <x:c r="K3157" t="n">
        <x:v>12</x:v>
      </x:c>
      <x:c r="L3157" t="str">
        <x:v>STORE-001</x:v>
      </x:c>
      <x:c r="M3157" s="22" t="n">
        <x:v>45992</x:v>
      </x:c>
      <x:c r="N3157" t="str">
        <x:v>SKU-017</x:v>
      </x:c>
      <x:c r="O3157" t="n">
        <x:v>2</x:v>
      </x:c>
      <x:c r="P3157" s="26" t="n">
        <x:f>F3157/O3157</x:f>
        <x:v>71.485</x:v>
      </x:c>
    </x:row>
    <x:row r="3158">
      <x:c r="A3158" t="n">
        <x:v>3157</x:v>
      </x:c>
      <x:c r="B3158" t="n">
        <x:v>25</x:v>
      </x:c>
      <x:c r="C3158" t="str">
        <x:v>Female</x:v>
      </x:c>
      <x:c r="D3158" t="str">
        <x:v>Accessories</x:v>
      </x:c>
      <x:c r="E3158" t="str">
        <x:v>Handbag</x:v>
      </x:c>
      <x:c r="F3158" s="24" t="n">
        <x:v>147.25</x:v>
      </x:c>
      <x:c r="G3158" t="str">
        <x:v>Summer</x:v>
      </x:c>
      <x:c r="H3158" t="str">
        <x:v>Card</x:v>
      </x:c>
      <x:c r="I3158" t="n">
        <x:v>3.3</x:v>
      </x:c>
      <x:c r="J3158" t="n">
        <x:v>6</x:v>
      </x:c>
      <x:c r="K3158" t="n">
        <x:v>3</x:v>
      </x:c>
      <x:c r="L3158" t="str">
        <x:v>STORE-001</x:v>
      </x:c>
      <x:c r="M3158" s="22" t="n">
        <x:v>46061</x:v>
      </x:c>
      <x:c r="N3158" t="str">
        <x:v>SKU-008</x:v>
      </x:c>
      <x:c r="O3158" t="n">
        <x:v>1</x:v>
      </x:c>
      <x:c r="P3158" s="26" t="n">
        <x:f>F3158/O3158</x:f>
        <x:v>147.25</x:v>
      </x:c>
    </x:row>
    <x:row r="3159">
      <x:c r="A3159" t="n">
        <x:v>3158</x:v>
      </x:c>
      <x:c r="B3159" t="n">
        <x:v>23</x:v>
      </x:c>
      <x:c r="C3159" t="str">
        <x:v>Male</x:v>
      </x:c>
      <x:c r="D3159" t="str">
        <x:v>Electronics</x:v>
      </x:c>
      <x:c r="E3159" t="str">
        <x:v>Smart Watch</x:v>
      </x:c>
      <x:c r="F3159" s="24" t="n">
        <x:v>2464.03</x:v>
      </x:c>
      <x:c r="G3159" t="str">
        <x:v>Summer</x:v>
      </x:c>
      <x:c r="H3159" t="str">
        <x:v>Card</x:v>
      </x:c>
      <x:c r="I3159" t="n">
        <x:v>3</x:v>
      </x:c>
      <x:c r="J3159" t="n">
        <x:v>9</x:v>
      </x:c>
      <x:c r="K3159" t="n">
        <x:v>2</x:v>
      </x:c>
      <x:c r="L3159" t="str">
        <x:v>STORE-001</x:v>
      </x:c>
      <x:c r="M3159" s="22" t="n">
        <x:v>45999</x:v>
      </x:c>
      <x:c r="N3159" t="str">
        <x:v>SKU-023</x:v>
      </x:c>
      <x:c r="O3159" t="n">
        <x:v>1</x:v>
      </x:c>
      <x:c r="P3159" s="26" t="n">
        <x:f>F3159/O3159</x:f>
        <x:v>2464.03</x:v>
      </x:c>
    </x:row>
    <x:row r="3160">
      <x:c r="A3160" t="n">
        <x:v>3159</x:v>
      </x:c>
      <x:c r="B3160" t="n">
        <x:v>42</x:v>
      </x:c>
      <x:c r="C3160" t="str">
        <x:v>Female</x:v>
      </x:c>
      <x:c r="D3160" t="str">
        <x:v>Womens Clothing</x:v>
      </x:c>
      <x:c r="E3160" t="str">
        <x:v>Top</x:v>
      </x:c>
      <x:c r="F3160" s="24" t="n">
        <x:v>40.69</x:v>
      </x:c>
      <x:c r="G3160" t="str">
        <x:v>Autumn</x:v>
      </x:c>
      <x:c r="H3160" t="str">
        <x:v>Card</x:v>
      </x:c>
      <x:c r="I3160" t="n">
        <x:v>3.5</x:v>
      </x:c>
      <x:c r="J3160" t="n">
        <x:v>18</x:v>
      </x:c>
      <x:c r="K3160" t="n">
        <x:v>4</x:v>
      </x:c>
      <x:c r="L3160" t="str">
        <x:v>STORE-001</x:v>
      </x:c>
      <x:c r="M3160" s="22" t="n">
        <x:v>46086</x:v>
      </x:c>
      <x:c r="N3160" t="str">
        <x:v>SKU-028</x:v>
      </x:c>
      <x:c r="O3160" t="n">
        <x:v>1</x:v>
      </x:c>
      <x:c r="P3160" s="26" t="n">
        <x:f>F3160/O3160</x:f>
        <x:v>40.69</x:v>
      </x:c>
    </x:row>
    <x:row r="3161">
      <x:c r="A3161" t="n">
        <x:v>3160</x:v>
      </x:c>
      <x:c r="B3161" t="n">
        <x:v>70</x:v>
      </x:c>
      <x:c r="C3161" t="str">
        <x:v>Male</x:v>
      </x:c>
      <x:c r="D3161" t="str">
        <x:v>Electronics</x:v>
      </x:c>
      <x:c r="E3161" t="str">
        <x:v>Headphones</x:v>
      </x:c>
      <x:c r="F3161" s="24" t="n">
        <x:v>2039.35</x:v>
      </x:c>
      <x:c r="G3161" t="str">
        <x:v>Spring</x:v>
      </x:c>
      <x:c r="H3161" t="str">
        <x:v>Card</x:v>
      </x:c>
      <x:c r="I3161" t="n">
        <x:v>4.7</x:v>
      </x:c>
      <x:c r="J3161" t="n">
        <x:v>16</x:v>
      </x:c>
      <x:c r="K3161" t="n">
        <x:v>3</x:v>
      </x:c>
      <x:c r="L3161" t="str">
        <x:v>STORE-001</x:v>
      </x:c>
      <x:c r="M3161" s="22" t="n">
        <x:v>45986</x:v>
      </x:c>
      <x:c r="N3161" t="str">
        <x:v>SKU-009</x:v>
      </x:c>
      <x:c r="O3161" t="n">
        <x:v>1</x:v>
      </x:c>
      <x:c r="P3161" s="26" t="n">
        <x:f>F3161/O3161</x:f>
        <x:v>2039.35</x:v>
      </x:c>
    </x:row>
    <x:row r="3162">
      <x:c r="A3162" t="n">
        <x:v>3161</x:v>
      </x:c>
      <x:c r="B3162" t="n">
        <x:v>43</x:v>
      </x:c>
      <x:c r="C3162" t="str">
        <x:v>Female</x:v>
      </x:c>
      <x:c r="D3162" t="str">
        <x:v>Accessories</x:v>
      </x:c>
      <x:c r="E3162" t="str">
        <x:v>Handbag</x:v>
      </x:c>
      <x:c r="F3162" s="24" t="n">
        <x:v>140.85</x:v>
      </x:c>
      <x:c r="G3162" t="str">
        <x:v>Summer</x:v>
      </x:c>
      <x:c r="H3162" t="str">
        <x:v>Card</x:v>
      </x:c>
      <x:c r="I3162" t="n">
        <x:v>3.9</x:v>
      </x:c>
      <x:c r="J3162" t="n">
        <x:v>8</x:v>
      </x:c>
      <x:c r="K3162" t="n">
        <x:v>4</x:v>
      </x:c>
      <x:c r="L3162" t="str">
        <x:v>STORE-001</x:v>
      </x:c>
      <x:c r="M3162" s="22" t="n">
        <x:v>45997</x:v>
      </x:c>
      <x:c r="N3162" t="str">
        <x:v>SKU-008</x:v>
      </x:c>
      <x:c r="O3162" t="n">
        <x:v>1</x:v>
      </x:c>
      <x:c r="P3162" s="26" t="n">
        <x:f>F3162/O3162</x:f>
        <x:v>140.85</x:v>
      </x:c>
    </x:row>
    <x:row r="3163">
      <x:c r="A3163" t="n">
        <x:v>3162</x:v>
      </x:c>
      <x:c r="B3163" t="n">
        <x:v>59</x:v>
      </x:c>
      <x:c r="C3163" t="str">
        <x:v>Male</x:v>
      </x:c>
      <x:c r="D3163" t="str">
        <x:v>Mens Clothing</x:v>
      </x:c>
      <x:c r="E3163" t="str">
        <x:v>Jeans</x:v>
      </x:c>
      <x:c r="F3163" s="24" t="n">
        <x:v>126.38</x:v>
      </x:c>
      <x:c r="G3163" t="str">
        <x:v>Winter</x:v>
      </x:c>
      <x:c r="H3163" t="str">
        <x:v>Card</x:v>
      </x:c>
      <x:c r="I3163" t="n">
        <x:v>4</x:v>
      </x:c>
      <x:c r="J3163" t="n">
        <x:v>4</x:v>
      </x:c>
      <x:c r="K3163" t="n">
        <x:v>2</x:v>
      </x:c>
      <x:c r="L3163" t="str">
        <x:v>STORE-001</x:v>
      </x:c>
      <x:c r="M3163" s="22" t="n">
        <x:v>46235</x:v>
      </x:c>
      <x:c r="N3163" t="str">
        <x:v>SKU-011</x:v>
      </x:c>
      <x:c r="O3163" t="n">
        <x:v>1</x:v>
      </x:c>
      <x:c r="P3163" s="26" t="n">
        <x:f>F3163/O3163</x:f>
        <x:v>126.38</x:v>
      </x:c>
    </x:row>
    <x:row r="3164">
      <x:c r="A3164" t="n">
        <x:v>3163</x:v>
      </x:c>
      <x:c r="B3164" t="n">
        <x:v>46</x:v>
      </x:c>
      <x:c r="C3164" t="str">
        <x:v>Male</x:v>
      </x:c>
      <x:c r="D3164" t="str">
        <x:v>Footwear</x:v>
      </x:c>
      <x:c r="E3164" t="str">
        <x:v>Sandals</x:v>
      </x:c>
      <x:c r="F3164" s="24" t="n">
        <x:v>136.73</x:v>
      </x:c>
      <x:c r="G3164" t="str">
        <x:v>Spring</x:v>
      </x:c>
      <x:c r="H3164" t="str">
        <x:v>Card</x:v>
      </x:c>
      <x:c r="I3164" t="n">
        <x:v>4.6</x:v>
      </x:c>
      <x:c r="J3164" t="n">
        <x:v>17</x:v>
      </x:c>
      <x:c r="K3164" t="n">
        <x:v>6</x:v>
      </x:c>
      <x:c r="L3164" t="str">
        <x:v>STORE-001</x:v>
      </x:c>
      <x:c r="M3164" s="22" t="n">
        <x:v>45980</x:v>
      </x:c>
      <x:c r="N3164" t="str">
        <x:v>SKU-019</x:v>
      </x:c>
      <x:c r="O3164" t="n">
        <x:v>1</x:v>
      </x:c>
      <x:c r="P3164" s="26" t="n">
        <x:f>F3164/O3164</x:f>
        <x:v>136.73</x:v>
      </x:c>
    </x:row>
    <x:row r="3165">
      <x:c r="A3165" t="n">
        <x:v>3164</x:v>
      </x:c>
      <x:c r="B3165" t="n">
        <x:v>26</x:v>
      </x:c>
      <x:c r="C3165" t="str">
        <x:v>Female</x:v>
      </x:c>
      <x:c r="D3165" t="str">
        <x:v>Beauty</x:v>
      </x:c>
      <x:c r="E3165" t="str">
        <x:v>Makeup Set</x:v>
      </x:c>
      <x:c r="F3165" s="24" t="n">
        <x:v>32.35</x:v>
      </x:c>
      <x:c r="G3165" t="str">
        <x:v>Spring</x:v>
      </x:c>
      <x:c r="H3165" t="str">
        <x:v>Card</x:v>
      </x:c>
      <x:c r="I3165" t="n">
        <x:v>4.4</x:v>
      </x:c>
      <x:c r="J3165" t="n">
        <x:v>25</x:v>
      </x:c>
      <x:c r="K3165" t="n">
        <x:v>10</x:v>
      </x:c>
      <x:c r="L3165" t="str">
        <x:v>STORE-001</x:v>
      </x:c>
      <x:c r="M3165" s="22" t="n">
        <x:v>45961</x:v>
      </x:c>
      <x:c r="N3165" t="str">
        <x:v>SKU-015</x:v>
      </x:c>
      <x:c r="O3165" t="n">
        <x:v>1</x:v>
      </x:c>
      <x:c r="P3165" s="26" t="n">
        <x:f>F3165/O3165</x:f>
        <x:v>32.35</x:v>
      </x:c>
    </x:row>
    <x:row r="3166">
      <x:c r="A3166" t="n">
        <x:v>3165</x:v>
      </x:c>
      <x:c r="B3166" t="n">
        <x:v>51</x:v>
      </x:c>
      <x:c r="C3166" t="str">
        <x:v>Female</x:v>
      </x:c>
      <x:c r="D3166" t="str">
        <x:v>Womens Clothing</x:v>
      </x:c>
      <x:c r="E3166" t="str">
        <x:v>Top</x:v>
      </x:c>
      <x:c r="F3166" s="24" t="n">
        <x:v>104</x:v>
      </x:c>
      <x:c r="G3166" t="str">
        <x:v>Autumn</x:v>
      </x:c>
      <x:c r="H3166" t="str">
        <x:v>Card</x:v>
      </x:c>
      <x:c r="I3166" t="n">
        <x:v>4.2</x:v>
      </x:c>
      <x:c r="J3166" t="n">
        <x:v>14</x:v>
      </x:c>
      <x:c r="K3166" t="n">
        <x:v>2</x:v>
      </x:c>
      <x:c r="L3166" t="str">
        <x:v>STORE-001</x:v>
      </x:c>
      <x:c r="M3166" s="22" t="n">
        <x:v>46154</x:v>
      </x:c>
      <x:c r="N3166" t="str">
        <x:v>SKU-028</x:v>
      </x:c>
      <x:c r="O3166" t="n">
        <x:v>1</x:v>
      </x:c>
      <x:c r="P3166" s="26" t="n">
        <x:f>F3166/O3166</x:f>
        <x:v>104</x:v>
      </x:c>
    </x:row>
    <x:row r="3167">
      <x:c r="A3167" t="n">
        <x:v>3166</x:v>
      </x:c>
      <x:c r="B3167" t="n">
        <x:v>28</x:v>
      </x:c>
      <x:c r="C3167" t="str">
        <x:v>Female</x:v>
      </x:c>
      <x:c r="D3167" t="str">
        <x:v>Beauty</x:v>
      </x:c>
      <x:c r="E3167" t="str">
        <x:v>Makeup Set</x:v>
      </x:c>
      <x:c r="F3167" s="24" t="n">
        <x:v>128.02</x:v>
      </x:c>
      <x:c r="G3167" t="str">
        <x:v>Winter</x:v>
      </x:c>
      <x:c r="H3167" t="str">
        <x:v>Card</x:v>
      </x:c>
      <x:c r="I3167" t="n">
        <x:v>3.6</x:v>
      </x:c>
      <x:c r="J3167" t="n">
        <x:v>15</x:v>
      </x:c>
      <x:c r="K3167" t="n">
        <x:v>5</x:v>
      </x:c>
      <x:c r="L3167" t="str">
        <x:v>STORE-001</x:v>
      </x:c>
      <x:c r="M3167" s="22" t="n">
        <x:v>46221</x:v>
      </x:c>
      <x:c r="N3167" t="str">
        <x:v>SKU-015</x:v>
      </x:c>
      <x:c r="O3167" t="n">
        <x:v>3</x:v>
      </x:c>
      <x:c r="P3167" s="26" t="n">
        <x:f>F3167/O3167</x:f>
        <x:v>42.67333333333334</x:v>
      </x:c>
    </x:row>
    <x:row r="3168">
      <x:c r="A3168" t="n">
        <x:v>3167</x:v>
      </x:c>
      <x:c r="B3168" t="n">
        <x:v>31</x:v>
      </x:c>
      <x:c r="C3168" t="str">
        <x:v>Female</x:v>
      </x:c>
      <x:c r="D3168" t="str">
        <x:v>Footwear</x:v>
      </x:c>
      <x:c r="E3168" t="str">
        <x:v>Formal Shoes</x:v>
      </x:c>
      <x:c r="F3168" s="24" t="n">
        <x:v>59.9</x:v>
      </x:c>
      <x:c r="G3168" t="str">
        <x:v>Summer</x:v>
      </x:c>
      <x:c r="H3168" t="str">
        <x:v>Cash on Delivery</x:v>
      </x:c>
      <x:c r="I3168" t="n">
        <x:v>3.4</x:v>
      </x:c>
      <x:c r="J3168" t="n">
        <x:v>22</x:v>
      </x:c>
      <x:c r="K3168" t="n">
        <x:v>6</x:v>
      </x:c>
      <x:c r="L3168" t="str">
        <x:v>STORE-001</x:v>
      </x:c>
      <x:c r="M3168" s="22" t="n">
        <x:v>46005</x:v>
      </x:c>
      <x:c r="N3168" t="str">
        <x:v>SKU-007</x:v>
      </x:c>
      <x:c r="O3168" t="n">
        <x:v>1</x:v>
      </x:c>
      <x:c r="P3168" s="26" t="n">
        <x:f>F3168/O3168</x:f>
        <x:v>59.9</x:v>
      </x:c>
    </x:row>
    <x:row r="3169">
      <x:c r="A3169" t="n">
        <x:v>3168</x:v>
      </x:c>
      <x:c r="B3169" t="n">
        <x:v>57</x:v>
      </x:c>
      <x:c r="C3169" t="str">
        <x:v>Male</x:v>
      </x:c>
      <x:c r="D3169" t="str">
        <x:v>Electronics</x:v>
      </x:c>
      <x:c r="E3169" t="str">
        <x:v>Smart Watch</x:v>
      </x:c>
      <x:c r="F3169" s="24" t="n">
        <x:v>2940.66</x:v>
      </x:c>
      <x:c r="G3169" t="str">
        <x:v>Autumn</x:v>
      </x:c>
      <x:c r="H3169" t="str">
        <x:v>Card</x:v>
      </x:c>
      <x:c r="I3169" t="n">
        <x:v>3.1</x:v>
      </x:c>
      <x:c r="J3169" t="n">
        <x:v>10</x:v>
      </x:c>
      <x:c r="K3169" t="n">
        <x:v>5</x:v>
      </x:c>
      <x:c r="L3169" t="str">
        <x:v>STORE-001</x:v>
      </x:c>
      <x:c r="M3169" s="22" t="n">
        <x:v>46129</x:v>
      </x:c>
      <x:c r="N3169" t="str">
        <x:v>SKU-023</x:v>
      </x:c>
      <x:c r="O3169" t="n">
        <x:v>2</x:v>
      </x:c>
      <x:c r="P3169" s="26" t="n">
        <x:f>F3169/O3169</x:f>
        <x:v>1470.33</x:v>
      </x:c>
    </x:row>
    <x:row r="3170">
      <x:c r="A3170" t="n">
        <x:v>3169</x:v>
      </x:c>
      <x:c r="B3170" t="n">
        <x:v>60</x:v>
      </x:c>
      <x:c r="C3170" t="str">
        <x:v>Male</x:v>
      </x:c>
      <x:c r="D3170" t="str">
        <x:v>Sports</x:v>
      </x:c>
      <x:c r="E3170" t="str">
        <x:v>Dumbbells</x:v>
      </x:c>
      <x:c r="F3170" s="24" t="n">
        <x:v>99.99</x:v>
      </x:c>
      <x:c r="G3170" t="str">
        <x:v>Autumn</x:v>
      </x:c>
      <x:c r="H3170" t="str">
        <x:v>Cash on Delivery</x:v>
      </x:c>
      <x:c r="I3170" t="n">
        <x:v>2.5</x:v>
      </x:c>
      <x:c r="J3170" t="n">
        <x:v>18</x:v>
      </x:c>
      <x:c r="K3170" t="n">
        <x:v>4</x:v>
      </x:c>
      <x:c r="L3170" t="str">
        <x:v>STORE-001</x:v>
      </x:c>
      <x:c r="M3170" s="22" t="n">
        <x:v>46163</x:v>
      </x:c>
      <x:c r="N3170" t="str">
        <x:v>SKU-005</x:v>
      </x:c>
      <x:c r="O3170" t="n">
        <x:v>1</x:v>
      </x:c>
      <x:c r="P3170" s="26" t="n">
        <x:f>F3170/O3170</x:f>
        <x:v>99.99</x:v>
      </x:c>
    </x:row>
    <x:row r="3171">
      <x:c r="A3171" t="n">
        <x:v>3170</x:v>
      </x:c>
      <x:c r="B3171" t="n">
        <x:v>43</x:v>
      </x:c>
      <x:c r="C3171" t="str">
        <x:v>Female</x:v>
      </x:c>
      <x:c r="D3171" t="str">
        <x:v>Accessories</x:v>
      </x:c>
      <x:c r="E3171" t="str">
        <x:v>Wallet</x:v>
      </x:c>
      <x:c r="F3171" s="24" t="n">
        <x:v>35.09</x:v>
      </x:c>
      <x:c r="G3171" t="str">
        <x:v>Spring</x:v>
      </x:c>
      <x:c r="H3171" t="str">
        <x:v>Card</x:v>
      </x:c>
      <x:c r="I3171" t="n">
        <x:v>4.5</x:v>
      </x:c>
      <x:c r="J3171" t="n">
        <x:v>20</x:v>
      </x:c>
      <x:c r="K3171" t="n">
        <x:v>5</x:v>
      </x:c>
      <x:c r="L3171" t="str">
        <x:v>STORE-001</x:v>
      </x:c>
      <x:c r="M3171" s="22" t="n">
        <x:v>46279</x:v>
      </x:c>
      <x:c r="N3171" t="str">
        <x:v>SKU-029</x:v>
      </x:c>
      <x:c r="O3171" t="n">
        <x:v>2</x:v>
      </x:c>
      <x:c r="P3171" s="26" t="n">
        <x:f>F3171/O3171</x:f>
        <x:v>17.545</x:v>
      </x:c>
    </x:row>
    <x:row r="3172">
      <x:c r="A3172" t="n">
        <x:v>3171</x:v>
      </x:c>
      <x:c r="B3172" t="n">
        <x:v>32</x:v>
      </x:c>
      <x:c r="C3172" t="str">
        <x:v>Male</x:v>
      </x:c>
      <x:c r="D3172" t="str">
        <x:v>Mens Clothing</x:v>
      </x:c>
      <x:c r="E3172" t="str">
        <x:v>Jeans</x:v>
      </x:c>
      <x:c r="F3172" s="24" t="n">
        <x:v>174.21</x:v>
      </x:c>
      <x:c r="G3172" t="str">
        <x:v>Summer</x:v>
      </x:c>
      <x:c r="H3172" t="str">
        <x:v>Card</x:v>
      </x:c>
      <x:c r="I3172" t="n">
        <x:v>3.2</x:v>
      </x:c>
      <x:c r="J3172" t="n">
        <x:v>8</x:v>
      </x:c>
      <x:c r="K3172" t="n">
        <x:v>4</x:v>
      </x:c>
      <x:c r="L3172" t="str">
        <x:v>STORE-001</x:v>
      </x:c>
      <x:c r="M3172" s="22" t="n">
        <x:v>46054</x:v>
      </x:c>
      <x:c r="N3172" t="str">
        <x:v>SKU-011</x:v>
      </x:c>
      <x:c r="O3172" t="n">
        <x:v>2</x:v>
      </x:c>
      <x:c r="P3172" s="26" t="n">
        <x:f>F3172/O3172</x:f>
        <x:v>87.105</x:v>
      </x:c>
    </x:row>
    <x:row r="3173">
      <x:c r="A3173" t="n">
        <x:v>3172</x:v>
      </x:c>
      <x:c r="B3173" t="n">
        <x:v>52</x:v>
      </x:c>
      <x:c r="C3173" t="str">
        <x:v>Male</x:v>
      </x:c>
      <x:c r="D3173" t="str">
        <x:v>Electronics</x:v>
      </x:c>
      <x:c r="E3173" t="str">
        <x:v>Laptop</x:v>
      </x:c>
      <x:c r="F3173" s="24" t="n">
        <x:v>1090.05</x:v>
      </x:c>
      <x:c r="G3173" t="str">
        <x:v>Winter</x:v>
      </x:c>
      <x:c r="H3173" t="str">
        <x:v>Card</x:v>
      </x:c>
      <x:c r="I3173" t="n">
        <x:v>3.6</x:v>
      </x:c>
      <x:c r="J3173" t="n">
        <x:v>13</x:v>
      </x:c>
      <x:c r="K3173" t="n">
        <x:v>4</x:v>
      </x:c>
      <x:c r="L3173" t="str">
        <x:v>STORE-001</x:v>
      </x:c>
      <x:c r="M3173" s="22" t="n">
        <x:v>46199</x:v>
      </x:c>
      <x:c r="N3173" t="str">
        <x:v>SKU-014</x:v>
      </x:c>
      <x:c r="O3173" t="n">
        <x:v>1</x:v>
      </x:c>
      <x:c r="P3173" s="26" t="n">
        <x:f>F3173/O3173</x:f>
        <x:v>1090.05</x:v>
      </x:c>
    </x:row>
    <x:row r="3174">
      <x:c r="A3174" t="n">
        <x:v>3173</x:v>
      </x:c>
      <x:c r="B3174" t="n">
        <x:v>69</x:v>
      </x:c>
      <x:c r="C3174" t="str">
        <x:v>Male</x:v>
      </x:c>
      <x:c r="D3174" t="str">
        <x:v>Sports</x:v>
      </x:c>
      <x:c r="E3174" t="str">
        <x:v>Yoga Mat</x:v>
      </x:c>
      <x:c r="F3174" s="24" t="n">
        <x:v>36.8</x:v>
      </x:c>
      <x:c r="G3174" t="str">
        <x:v>Summer</x:v>
      </x:c>
      <x:c r="H3174" t="str">
        <x:v>Card</x:v>
      </x:c>
      <x:c r="I3174" t="n">
        <x:v>3.7</x:v>
      </x:c>
      <x:c r="J3174" t="n">
        <x:v>30</x:v>
      </x:c>
      <x:c r="K3174" t="n">
        <x:v>10</x:v>
      </x:c>
      <x:c r="L3174" t="str">
        <x:v>STORE-001</x:v>
      </x:c>
      <x:c r="M3174" s="22" t="n">
        <x:v>46002</x:v>
      </x:c>
      <x:c r="N3174" t="str">
        <x:v>SKU-030</x:v>
      </x:c>
      <x:c r="O3174" t="n">
        <x:v>1</x:v>
      </x:c>
      <x:c r="P3174" s="26" t="n">
        <x:f>F3174/O3174</x:f>
        <x:v>36.8</x:v>
      </x:c>
    </x:row>
    <x:row r="3175">
      <x:c r="A3175" t="n">
        <x:v>3174</x:v>
      </x:c>
      <x:c r="B3175" t="n">
        <x:v>64</x:v>
      </x:c>
      <x:c r="C3175" t="str">
        <x:v>Male</x:v>
      </x:c>
      <x:c r="D3175" t="str">
        <x:v>Sports</x:v>
      </x:c>
      <x:c r="E3175" t="str">
        <x:v>Dumbbells</x:v>
      </x:c>
      <x:c r="F3175" s="24" t="n">
        <x:v>242.59</x:v>
      </x:c>
      <x:c r="G3175" t="str">
        <x:v>Winter</x:v>
      </x:c>
      <x:c r="H3175" t="str">
        <x:v>Card</x:v>
      </x:c>
      <x:c r="I3175" t="n">
        <x:v>4.3</x:v>
      </x:c>
      <x:c r="J3175" t="n">
        <x:v>9</x:v>
      </x:c>
      <x:c r="K3175" t="n">
        <x:v>2</x:v>
      </x:c>
      <x:c r="L3175" t="str">
        <x:v>STORE-001</x:v>
      </x:c>
      <x:c r="M3175" s="22" t="n">
        <x:v>46191</x:v>
      </x:c>
      <x:c r="N3175" t="str">
        <x:v>SKU-005</x:v>
      </x:c>
      <x:c r="O3175" t="n">
        <x:v>1</x:v>
      </x:c>
      <x:c r="P3175" s="26" t="n">
        <x:f>F3175/O3175</x:f>
        <x:v>242.59</x:v>
      </x:c>
    </x:row>
    <x:row r="3176">
      <x:c r="A3176" t="n">
        <x:v>3175</x:v>
      </x:c>
      <x:c r="B3176" t="n">
        <x:v>68</x:v>
      </x:c>
      <x:c r="C3176" t="str">
        <x:v>Male</x:v>
      </x:c>
      <x:c r="D3176" t="str">
        <x:v>Electronics</x:v>
      </x:c>
      <x:c r="E3176" t="str">
        <x:v>Smart Watch</x:v>
      </x:c>
      <x:c r="F3176" s="24" t="n">
        <x:v>1208.17</x:v>
      </x:c>
      <x:c r="G3176" t="str">
        <x:v>Spring</x:v>
      </x:c>
      <x:c r="H3176" t="str">
        <x:v>Card</x:v>
      </x:c>
      <x:c r="I3176" t="n">
        <x:v>3.6</x:v>
      </x:c>
      <x:c r="J3176" t="n">
        <x:v>12</x:v>
      </x:c>
      <x:c r="K3176" t="n">
        <x:v>6</x:v>
      </x:c>
      <x:c r="L3176" t="str">
        <x:v>STORE-001</x:v>
      </x:c>
      <x:c r="M3176" s="22" t="n">
        <x:v>46269</x:v>
      </x:c>
      <x:c r="N3176" t="str">
        <x:v>SKU-023</x:v>
      </x:c>
      <x:c r="O3176" t="n">
        <x:v>2</x:v>
      </x:c>
      <x:c r="P3176" s="26" t="n">
        <x:f>F3176/O3176</x:f>
        <x:v>604.085</x:v>
      </x:c>
    </x:row>
    <x:row r="3177">
      <x:c r="A3177" t="n">
        <x:v>3176</x:v>
      </x:c>
      <x:c r="B3177" t="n">
        <x:v>24</x:v>
      </x:c>
      <x:c r="C3177" t="str">
        <x:v>Female</x:v>
      </x:c>
      <x:c r="D3177" t="str">
        <x:v>Footwear</x:v>
      </x:c>
      <x:c r="E3177" t="str">
        <x:v>Sandals</x:v>
      </x:c>
      <x:c r="F3177" s="24" t="n">
        <x:v>144.42</x:v>
      </x:c>
      <x:c r="G3177" t="str">
        <x:v>Summer</x:v>
      </x:c>
      <x:c r="H3177" t="str">
        <x:v>Card</x:v>
      </x:c>
      <x:c r="I3177" t="n">
        <x:v>4.4</x:v>
      </x:c>
      <x:c r="J3177" t="n">
        <x:v>4</x:v>
      </x:c>
      <x:c r="K3177" t="n">
        <x:v>2</x:v>
      </x:c>
      <x:c r="L3177" t="str">
        <x:v>STORE-001</x:v>
      </x:c>
      <x:c r="M3177" s="22" t="n">
        <x:v>46072</x:v>
      </x:c>
      <x:c r="N3177" t="str">
        <x:v>SKU-019</x:v>
      </x:c>
      <x:c r="O3177" t="n">
        <x:v>1</x:v>
      </x:c>
      <x:c r="P3177" s="26" t="n">
        <x:f>F3177/O3177</x:f>
        <x:v>144.42</x:v>
      </x:c>
    </x:row>
    <x:row r="3178">
      <x:c r="A3178" t="n">
        <x:v>3177</x:v>
      </x:c>
      <x:c r="B3178" t="n">
        <x:v>57</x:v>
      </x:c>
      <x:c r="C3178" t="str">
        <x:v>Male</x:v>
      </x:c>
      <x:c r="D3178" t="str">
        <x:v>Mens Clothing</x:v>
      </x:c>
      <x:c r="E3178" t="str">
        <x:v>Shirt</x:v>
      </x:c>
      <x:c r="F3178" s="24" t="n">
        <x:v>74.47</x:v>
      </x:c>
      <x:c r="G3178" t="str">
        <x:v>Autumn</x:v>
      </x:c>
      <x:c r="H3178" t="str">
        <x:v>Cash on Delivery</x:v>
      </x:c>
      <x:c r="I3178" t="n">
        <x:v>3.2</x:v>
      </x:c>
      <x:c r="J3178" t="n">
        <x:v>16</x:v>
      </x:c>
      <x:c r="K3178" t="n">
        <x:v>3</x:v>
      </x:c>
      <x:c r="L3178" t="str">
        <x:v>STORE-001</x:v>
      </x:c>
      <x:c r="M3178" s="22" t="n">
        <x:v>46109</x:v>
      </x:c>
      <x:c r="N3178" t="str">
        <x:v>SKU-020</x:v>
      </x:c>
      <x:c r="O3178" t="n">
        <x:v>1</x:v>
      </x:c>
      <x:c r="P3178" s="26" t="n">
        <x:f>F3178/O3178</x:f>
        <x:v>74.47</x:v>
      </x:c>
    </x:row>
    <x:row r="3179">
      <x:c r="A3179" t="n">
        <x:v>3178</x:v>
      </x:c>
      <x:c r="B3179" t="n">
        <x:v>22</x:v>
      </x:c>
      <x:c r="C3179" t="str">
        <x:v>Female</x:v>
      </x:c>
      <x:c r="D3179" t="str">
        <x:v>Footwear</x:v>
      </x:c>
      <x:c r="E3179" t="str">
        <x:v>Formal Shoes</x:v>
      </x:c>
      <x:c r="F3179" s="24" t="n">
        <x:v>248.95</x:v>
      </x:c>
      <x:c r="G3179" t="str">
        <x:v>Spring</x:v>
      </x:c>
      <x:c r="H3179" t="str">
        <x:v>Card</x:v>
      </x:c>
      <x:c r="I3179" t="n">
        <x:v>2.7</x:v>
      </x:c>
      <x:c r="J3179" t="n">
        <x:v>10</x:v>
      </x:c>
      <x:c r="K3179" t="n">
        <x:v>5</x:v>
      </x:c>
      <x:c r="L3179" t="str">
        <x:v>STORE-001</x:v>
      </x:c>
      <x:c r="M3179" s="22" t="n">
        <x:v>46291</x:v>
      </x:c>
      <x:c r="N3179" t="str">
        <x:v>SKU-007</x:v>
      </x:c>
      <x:c r="O3179" t="n">
        <x:v>1</x:v>
      </x:c>
      <x:c r="P3179" s="26" t="n">
        <x:f>F3179/O3179</x:f>
        <x:v>248.95</x:v>
      </x:c>
    </x:row>
    <x:row r="3180">
      <x:c r="A3180" t="n">
        <x:v>3179</x:v>
      </x:c>
      <x:c r="B3180" t="n">
        <x:v>49</x:v>
      </x:c>
      <x:c r="C3180" t="str">
        <x:v>Male</x:v>
      </x:c>
      <x:c r="D3180" t="str">
        <x:v>Sports</x:v>
      </x:c>
      <x:c r="E3180" t="str">
        <x:v>Yoga Mat</x:v>
      </x:c>
      <x:c r="F3180" s="24" t="n">
        <x:v>84.57</x:v>
      </x:c>
      <x:c r="G3180" t="str">
        <x:v>Winter</x:v>
      </x:c>
      <x:c r="H3180" t="str">
        <x:v>Card</x:v>
      </x:c>
      <x:c r="I3180" t="n">
        <x:v>3.3</x:v>
      </x:c>
      <x:c r="J3180" t="n">
        <x:v>18</x:v>
      </x:c>
      <x:c r="K3180" t="n">
        <x:v>4</x:v>
      </x:c>
      <x:c r="L3180" t="str">
        <x:v>STORE-001</x:v>
      </x:c>
      <x:c r="M3180" s="22" t="n">
        <x:v>46259</x:v>
      </x:c>
      <x:c r="N3180" t="str">
        <x:v>SKU-030</x:v>
      </x:c>
      <x:c r="O3180" t="n">
        <x:v>2</x:v>
      </x:c>
      <x:c r="P3180" s="26" t="n">
        <x:f>F3180/O3180</x:f>
        <x:v>42.285</x:v>
      </x:c>
    </x:row>
    <x:row r="3181">
      <x:c r="A3181" t="n">
        <x:v>3180</x:v>
      </x:c>
      <x:c r="B3181" t="n">
        <x:v>65</x:v>
      </x:c>
      <x:c r="C3181" t="str">
        <x:v>Female</x:v>
      </x:c>
      <x:c r="D3181" t="str">
        <x:v>Footwear</x:v>
      </x:c>
      <x:c r="E3181" t="str">
        <x:v>Formal Shoes</x:v>
      </x:c>
      <x:c r="F3181" s="24" t="n">
        <x:v>182.69</x:v>
      </x:c>
      <x:c r="G3181" t="str">
        <x:v>Winter</x:v>
      </x:c>
      <x:c r="H3181" t="str">
        <x:v>Card</x:v>
      </x:c>
      <x:c r="I3181" t="n">
        <x:v>4.2</x:v>
      </x:c>
      <x:c r="J3181" t="n">
        <x:v>8</x:v>
      </x:c>
      <x:c r="K3181" t="n">
        <x:v>4</x:v>
      </x:c>
      <x:c r="L3181" t="str">
        <x:v>STORE-001</x:v>
      </x:c>
      <x:c r="M3181" s="22" t="n">
        <x:v>46190</x:v>
      </x:c>
      <x:c r="N3181" t="str">
        <x:v>SKU-007</x:v>
      </x:c>
      <x:c r="O3181" t="n">
        <x:v>2</x:v>
      </x:c>
      <x:c r="P3181" s="26" t="n">
        <x:f>F3181/O3181</x:f>
        <x:v>91.345</x:v>
      </x:c>
    </x:row>
    <x:row r="3182">
      <x:c r="A3182" t="n">
        <x:v>3181</x:v>
      </x:c>
      <x:c r="B3182" t="n">
        <x:v>63</x:v>
      </x:c>
      <x:c r="C3182" t="str">
        <x:v>Female</x:v>
      </x:c>
      <x:c r="D3182" t="str">
        <x:v>Footwear</x:v>
      </x:c>
      <x:c r="E3182" t="str">
        <x:v>Sandals</x:v>
      </x:c>
      <x:c r="F3182" s="24" t="n">
        <x:v>95.84</x:v>
      </x:c>
      <x:c r="G3182" t="str">
        <x:v>Winter</x:v>
      </x:c>
      <x:c r="H3182" t="str">
        <x:v>Card</x:v>
      </x:c>
      <x:c r="I3182" t="n">
        <x:v>2.5</x:v>
      </x:c>
      <x:c r="J3182" t="n">
        <x:v>11</x:v>
      </x:c>
      <x:c r="K3182" t="n">
        <x:v>3</x:v>
      </x:c>
      <x:c r="L3182" t="str">
        <x:v>STORE-001</x:v>
      </x:c>
      <x:c r="M3182" s="22" t="n">
        <x:v>46233</x:v>
      </x:c>
      <x:c r="N3182" t="str">
        <x:v>SKU-019</x:v>
      </x:c>
      <x:c r="O3182" t="n">
        <x:v>1</x:v>
      </x:c>
      <x:c r="P3182" s="26" t="n">
        <x:f>F3182/O3182</x:f>
        <x:v>95.84</x:v>
      </x:c>
    </x:row>
    <x:row r="3183">
      <x:c r="A3183" t="n">
        <x:v>3182</x:v>
      </x:c>
      <x:c r="B3183" t="n">
        <x:v>37</x:v>
      </x:c>
      <x:c r="C3183" t="str">
        <x:v>Male</x:v>
      </x:c>
      <x:c r="D3183" t="str">
        <x:v>Mens Clothing</x:v>
      </x:c>
      <x:c r="E3183" t="str">
        <x:v>Shirt</x:v>
      </x:c>
      <x:c r="F3183" s="24" t="n">
        <x:v>174.37</x:v>
      </x:c>
      <x:c r="G3183" t="str">
        <x:v>Summer</x:v>
      </x:c>
      <x:c r="H3183" t="str">
        <x:v>Card</x:v>
      </x:c>
      <x:c r="I3183" t="n">
        <x:v>4.3</x:v>
      </x:c>
      <x:c r="J3183" t="n">
        <x:v>8</x:v>
      </x:c>
      <x:c r="K3183" t="n">
        <x:v>4</x:v>
      </x:c>
      <x:c r="L3183" t="str">
        <x:v>STORE-001</x:v>
      </x:c>
      <x:c r="M3183" s="22" t="n">
        <x:v>46063</x:v>
      </x:c>
      <x:c r="N3183" t="str">
        <x:v>SKU-020</x:v>
      </x:c>
      <x:c r="O3183" t="n">
        <x:v>1</x:v>
      </x:c>
      <x:c r="P3183" s="26" t="n">
        <x:f>F3183/O3183</x:f>
        <x:v>174.37</x:v>
      </x:c>
    </x:row>
    <x:row r="3184">
      <x:c r="A3184" t="n">
        <x:v>3183</x:v>
      </x:c>
      <x:c r="B3184" t="n">
        <x:v>35</x:v>
      </x:c>
      <x:c r="C3184" t="str">
        <x:v>Male</x:v>
      </x:c>
      <x:c r="D3184" t="str">
        <x:v>Sports</x:v>
      </x:c>
      <x:c r="E3184" t="str">
        <x:v>Football</x:v>
      </x:c>
      <x:c r="F3184" s="24" t="n">
        <x:v>203.49</x:v>
      </x:c>
      <x:c r="G3184" t="str">
        <x:v>Spring</x:v>
      </x:c>
      <x:c r="H3184" t="str">
        <x:v>Card</x:v>
      </x:c>
      <x:c r="I3184" t="n">
        <x:v>2.8</x:v>
      </x:c>
      <x:c r="J3184" t="n">
        <x:v>6</x:v>
      </x:c>
      <x:c r="K3184" t="n">
        <x:v>3</x:v>
      </x:c>
      <x:c r="L3184" t="str">
        <x:v>STORE-001</x:v>
      </x:c>
      <x:c r="M3184" s="22" t="n">
        <x:v>46290</x:v>
      </x:c>
      <x:c r="N3184" t="str">
        <x:v>SKU-006</x:v>
      </x:c>
      <x:c r="O3184" t="n">
        <x:v>2</x:v>
      </x:c>
      <x:c r="P3184" s="26" t="n">
        <x:f>F3184/O3184</x:f>
        <x:v>101.745</x:v>
      </x:c>
    </x:row>
    <x:row r="3185">
      <x:c r="A3185" t="n">
        <x:v>3184</x:v>
      </x:c>
      <x:c r="B3185" t="n">
        <x:v>22</x:v>
      </x:c>
      <x:c r="C3185" t="str">
        <x:v>Male</x:v>
      </x:c>
      <x:c r="D3185" t="str">
        <x:v>Footwear</x:v>
      </x:c>
      <x:c r="E3185" t="str">
        <x:v>Formal Shoes</x:v>
      </x:c>
      <x:c r="F3185" s="24" t="n">
        <x:v>125.93</x:v>
      </x:c>
      <x:c r="G3185" t="str">
        <x:v>Summer</x:v>
      </x:c>
      <x:c r="H3185" t="str">
        <x:v>Card</x:v>
      </x:c>
      <x:c r="I3185" t="n">
        <x:v>4.8</x:v>
      </x:c>
      <x:c r="J3185" t="n">
        <x:v>10</x:v>
      </x:c>
      <x:c r="K3185" t="n">
        <x:v>5</x:v>
      </x:c>
      <x:c r="L3185" t="str">
        <x:v>STORE-001</x:v>
      </x:c>
      <x:c r="M3185" s="22" t="n">
        <x:v>46046</x:v>
      </x:c>
      <x:c r="N3185" t="str">
        <x:v>SKU-007</x:v>
      </x:c>
      <x:c r="O3185" t="n">
        <x:v>1</x:v>
      </x:c>
      <x:c r="P3185" s="26" t="n">
        <x:f>F3185/O3185</x:f>
        <x:v>125.93</x:v>
      </x:c>
    </x:row>
    <x:row r="3186">
      <x:c r="A3186" t="n">
        <x:v>3185</x:v>
      </x:c>
      <x:c r="B3186" t="n">
        <x:v>40</x:v>
      </x:c>
      <x:c r="C3186" t="str">
        <x:v>Female</x:v>
      </x:c>
      <x:c r="D3186" t="str">
        <x:v>Accessories</x:v>
      </x:c>
      <x:c r="E3186" t="str">
        <x:v>Handbag</x:v>
      </x:c>
      <x:c r="F3186" s="24" t="n">
        <x:v>59.58</x:v>
      </x:c>
      <x:c r="G3186" t="str">
        <x:v>Summer</x:v>
      </x:c>
      <x:c r="H3186" t="str">
        <x:v>Cash on Delivery</x:v>
      </x:c>
      <x:c r="I3186" t="n">
        <x:v>3.1</x:v>
      </x:c>
      <x:c r="J3186" t="n">
        <x:v>10</x:v>
      </x:c>
      <x:c r="K3186" t="n">
        <x:v>5</x:v>
      </x:c>
      <x:c r="L3186" t="str">
        <x:v>STORE-001</x:v>
      </x:c>
      <x:c r="M3186" s="22" t="n">
        <x:v>46055</x:v>
      </x:c>
      <x:c r="N3186" t="str">
        <x:v>SKU-008</x:v>
      </x:c>
      <x:c r="O3186" t="n">
        <x:v>1</x:v>
      </x:c>
      <x:c r="P3186" s="26" t="n">
        <x:f>F3186/O3186</x:f>
        <x:v>59.58</x:v>
      </x:c>
    </x:row>
    <x:row r="3187">
      <x:c r="A3187" t="n">
        <x:v>3186</x:v>
      </x:c>
      <x:c r="B3187" t="n">
        <x:v>40</x:v>
      </x:c>
      <x:c r="C3187" t="str">
        <x:v>Male</x:v>
      </x:c>
      <x:c r="D3187" t="str">
        <x:v>Sports</x:v>
      </x:c>
      <x:c r="E3187" t="str">
        <x:v>Yoga Mat</x:v>
      </x:c>
      <x:c r="F3187" s="24" t="n">
        <x:v>82.63</x:v>
      </x:c>
      <x:c r="G3187" t="str">
        <x:v>Spring</x:v>
      </x:c>
      <x:c r="H3187" t="str">
        <x:v>Card</x:v>
      </x:c>
      <x:c r="I3187" t="n">
        <x:v>2.7</x:v>
      </x:c>
      <x:c r="J3187" t="n">
        <x:v>13</x:v>
      </x:c>
      <x:c r="K3187" t="n">
        <x:v>4</x:v>
      </x:c>
      <x:c r="L3187" t="str">
        <x:v>STORE-001</x:v>
      </x:c>
      <x:c r="M3187" s="22" t="n">
        <x:v>45969</x:v>
      </x:c>
      <x:c r="N3187" t="str">
        <x:v>SKU-030</x:v>
      </x:c>
      <x:c r="O3187" t="n">
        <x:v>1</x:v>
      </x:c>
      <x:c r="P3187" s="26" t="n">
        <x:f>F3187/O3187</x:f>
        <x:v>82.63</x:v>
      </x:c>
    </x:row>
    <x:row r="3188">
      <x:c r="A3188" t="n">
        <x:v>3187</x:v>
      </x:c>
      <x:c r="B3188" t="n">
        <x:v>68</x:v>
      </x:c>
      <x:c r="C3188" t="str">
        <x:v>Female</x:v>
      </x:c>
      <x:c r="D3188" t="str">
        <x:v>Home</x:v>
      </x:c>
      <x:c r="E3188" t="str">
        <x:v>Lamp</x:v>
      </x:c>
      <x:c r="F3188" s="24" t="n">
        <x:v>178.28</x:v>
      </x:c>
      <x:c r="G3188" t="str">
        <x:v>Spring</x:v>
      </x:c>
      <x:c r="H3188" t="str">
        <x:v>Card</x:v>
      </x:c>
      <x:c r="I3188" t="n">
        <x:v>3.2</x:v>
      </x:c>
      <x:c r="J3188" t="n">
        <x:v>15</x:v>
      </x:c>
      <x:c r="K3188" t="n">
        <x:v>5</x:v>
      </x:c>
      <x:c r="L3188" t="str">
        <x:v>STORE-001</x:v>
      </x:c>
      <x:c r="M3188" s="22" t="n">
        <x:v>45973</x:v>
      </x:c>
      <x:c r="N3188" t="str">
        <x:v>SKU-013</x:v>
      </x:c>
      <x:c r="O3188" t="n">
        <x:v>1</x:v>
      </x:c>
      <x:c r="P3188" s="26" t="n">
        <x:f>F3188/O3188</x:f>
        <x:v>178.28</x:v>
      </x:c>
    </x:row>
    <x:row r="3189">
      <x:c r="A3189" t="n">
        <x:v>3188</x:v>
      </x:c>
      <x:c r="B3189" t="n">
        <x:v>46</x:v>
      </x:c>
      <x:c r="C3189" t="str">
        <x:v>Male</x:v>
      </x:c>
      <x:c r="D3189" t="str">
        <x:v>Sports</x:v>
      </x:c>
      <x:c r="E3189" t="str">
        <x:v>Football</x:v>
      </x:c>
      <x:c r="F3189" s="24" t="n">
        <x:v>205.44</x:v>
      </x:c>
      <x:c r="G3189" t="str">
        <x:v>Winter</x:v>
      </x:c>
      <x:c r="H3189" t="str">
        <x:v>Card</x:v>
      </x:c>
      <x:c r="I3189" t="n">
        <x:v>3.2</x:v>
      </x:c>
      <x:c r="J3189" t="n">
        <x:v>16</x:v>
      </x:c>
      <x:c r="K3189" t="n">
        <x:v>8</x:v>
      </x:c>
      <x:c r="L3189" t="str">
        <x:v>STORE-001</x:v>
      </x:c>
      <x:c r="M3189" s="22" t="n">
        <x:v>46205</x:v>
      </x:c>
      <x:c r="N3189" t="str">
        <x:v>SKU-006</x:v>
      </x:c>
      <x:c r="O3189" t="n">
        <x:v>1</x:v>
      </x:c>
      <x:c r="P3189" s="26" t="n">
        <x:f>F3189/O3189</x:f>
        <x:v>205.44</x:v>
      </x:c>
    </x:row>
    <x:row r="3190">
      <x:c r="A3190" t="n">
        <x:v>3189</x:v>
      </x:c>
      <x:c r="B3190" t="n">
        <x:v>35</x:v>
      </x:c>
      <x:c r="C3190" t="str">
        <x:v>Male</x:v>
      </x:c>
      <x:c r="D3190" t="str">
        <x:v>Mens Clothing</x:v>
      </x:c>
      <x:c r="E3190" t="str">
        <x:v>Shirt</x:v>
      </x:c>
      <x:c r="F3190" s="24" t="n">
        <x:v>165.66</x:v>
      </x:c>
      <x:c r="G3190" t="str">
        <x:v>Spring</x:v>
      </x:c>
      <x:c r="H3190" t="str">
        <x:v>Card</x:v>
      </x:c>
      <x:c r="I3190" t="n">
        <x:v>2.9</x:v>
      </x:c>
      <x:c r="J3190" t="n">
        <x:v>12</x:v>
      </x:c>
      <x:c r="K3190" t="n">
        <x:v>6</x:v>
      </x:c>
      <x:c r="L3190" t="str">
        <x:v>STORE-001</x:v>
      </x:c>
      <x:c r="M3190" s="22" t="n">
        <x:v>45933</x:v>
      </x:c>
      <x:c r="N3190" t="str">
        <x:v>SKU-020</x:v>
      </x:c>
      <x:c r="O3190" t="n">
        <x:v>2</x:v>
      </x:c>
      <x:c r="P3190" s="26" t="n">
        <x:f>F3190/O3190</x:f>
        <x:v>82.83</x:v>
      </x:c>
    </x:row>
    <x:row r="3191">
      <x:c r="A3191" t="n">
        <x:v>3190</x:v>
      </x:c>
      <x:c r="B3191" t="n">
        <x:v>28</x:v>
      </x:c>
      <x:c r="C3191" t="str">
        <x:v>Male</x:v>
      </x:c>
      <x:c r="D3191" t="str">
        <x:v>Groceries</x:v>
      </x:c>
      <x:c r="E3191" t="str">
        <x:v>Snacks</x:v>
      </x:c>
      <x:c r="F3191" s="24" t="n">
        <x:v>30.88</x:v>
      </x:c>
      <x:c r="G3191" t="str">
        <x:v>Summer</x:v>
      </x:c>
      <x:c r="H3191" t="str">
        <x:v>Cash on Delivery</x:v>
      </x:c>
      <x:c r="I3191" t="n">
        <x:v>4.1</x:v>
      </x:c>
      <x:c r="J3191" t="n">
        <x:v>8</x:v>
      </x:c>
      <x:c r="K3191" t="n">
        <x:v>4</x:v>
      </x:c>
      <x:c r="L3191" t="str">
        <x:v>STORE-001</x:v>
      </x:c>
      <x:c r="M3191" s="22" t="n">
        <x:v>46003</x:v>
      </x:c>
      <x:c r="N3191" t="str">
        <x:v>SKU-024</x:v>
      </x:c>
      <x:c r="O3191" t="n">
        <x:v>5</x:v>
      </x:c>
      <x:c r="P3191" s="26" t="n">
        <x:f>F3191/O3191</x:f>
        <x:v>6.176</x:v>
      </x:c>
    </x:row>
    <x:row r="3192">
      <x:c r="A3192" t="n">
        <x:v>3191</x:v>
      </x:c>
      <x:c r="B3192" t="n">
        <x:v>66</x:v>
      </x:c>
      <x:c r="C3192" t="str">
        <x:v>Male</x:v>
      </x:c>
      <x:c r="D3192" t="str">
        <x:v>Mens Clothing</x:v>
      </x:c>
      <x:c r="E3192" t="str">
        <x:v>Jacket</x:v>
      </x:c>
      <x:c r="F3192" s="24" t="n">
        <x:v>38.61</x:v>
      </x:c>
      <x:c r="G3192" t="str">
        <x:v>Summer</x:v>
      </x:c>
      <x:c r="H3192" t="str">
        <x:v>Cash on Delivery</x:v>
      </x:c>
      <x:c r="I3192" t="n">
        <x:v>2.9</x:v>
      </x:c>
      <x:c r="J3192" t="n">
        <x:v>15</x:v>
      </x:c>
      <x:c r="K3192" t="n">
        <x:v>5</x:v>
      </x:c>
      <x:c r="L3192" t="str">
        <x:v>STORE-001</x:v>
      </x:c>
      <x:c r="M3192" s="22" t="n">
        <x:v>46069</x:v>
      </x:c>
      <x:c r="N3192" t="str">
        <x:v>SKU-010</x:v>
      </x:c>
      <x:c r="O3192" t="n">
        <x:v>1</x:v>
      </x:c>
      <x:c r="P3192" s="26" t="n">
        <x:f>F3192/O3192</x:f>
        <x:v>38.61</x:v>
      </x:c>
    </x:row>
    <x:row r="3193">
      <x:c r="A3193" t="n">
        <x:v>3192</x:v>
      </x:c>
      <x:c r="B3193" t="n">
        <x:v>41</x:v>
      </x:c>
      <x:c r="C3193" t="str">
        <x:v>Female</x:v>
      </x:c>
      <x:c r="D3193" t="str">
        <x:v>Accessories</x:v>
      </x:c>
      <x:c r="E3193" t="str">
        <x:v>Handbag</x:v>
      </x:c>
      <x:c r="F3193" s="24" t="n">
        <x:v>45.01</x:v>
      </x:c>
      <x:c r="G3193" t="str">
        <x:v>Spring</x:v>
      </x:c>
      <x:c r="H3193" t="str">
        <x:v>Cash on Delivery</x:v>
      </x:c>
      <x:c r="I3193" t="n">
        <x:v>4.7</x:v>
      </x:c>
      <x:c r="J3193" t="n">
        <x:v>22</x:v>
      </x:c>
      <x:c r="K3193" t="n">
        <x:v>6</x:v>
      </x:c>
      <x:c r="L3193" t="str">
        <x:v>STORE-001</x:v>
      </x:c>
      <x:c r="M3193" s="22" t="n">
        <x:v>45954</x:v>
      </x:c>
      <x:c r="N3193" t="str">
        <x:v>SKU-008</x:v>
      </x:c>
      <x:c r="O3193" t="n">
        <x:v>1</x:v>
      </x:c>
      <x:c r="P3193" s="26" t="n">
        <x:f>F3193/O3193</x:f>
        <x:v>45.01</x:v>
      </x:c>
    </x:row>
    <x:row r="3194">
      <x:c r="A3194" t="n">
        <x:v>3193</x:v>
      </x:c>
      <x:c r="B3194" t="n">
        <x:v>57</x:v>
      </x:c>
      <x:c r="C3194" t="str">
        <x:v>Male</x:v>
      </x:c>
      <x:c r="D3194" t="str">
        <x:v>Sports</x:v>
      </x:c>
      <x:c r="E3194" t="str">
        <x:v>Dumbbells</x:v>
      </x:c>
      <x:c r="F3194" s="24" t="n">
        <x:v>175.22</x:v>
      </x:c>
      <x:c r="G3194" t="str">
        <x:v>Autumn</x:v>
      </x:c>
      <x:c r="H3194" t="str">
        <x:v>Card</x:v>
      </x:c>
      <x:c r="I3194" t="n">
        <x:v>3.6</x:v>
      </x:c>
      <x:c r="J3194" t="n">
        <x:v>22</x:v>
      </x:c>
      <x:c r="K3194" t="n">
        <x:v>6</x:v>
      </x:c>
      <x:c r="L3194" t="str">
        <x:v>STORE-001</x:v>
      </x:c>
      <x:c r="M3194" s="22" t="n">
        <x:v>46136</x:v>
      </x:c>
      <x:c r="N3194" t="str">
        <x:v>SKU-005</x:v>
      </x:c>
      <x:c r="O3194" t="n">
        <x:v>3</x:v>
      </x:c>
      <x:c r="P3194" s="26" t="n">
        <x:f>F3194/O3194</x:f>
        <x:v>58.406666666666666</x:v>
      </x:c>
    </x:row>
    <x:row r="3195">
      <x:c r="A3195" t="n">
        <x:v>3194</x:v>
      </x:c>
      <x:c r="B3195" t="n">
        <x:v>22</x:v>
      </x:c>
      <x:c r="C3195" t="str">
        <x:v>Male</x:v>
      </x:c>
      <x:c r="D3195" t="str">
        <x:v>Footwear</x:v>
      </x:c>
      <x:c r="E3195" t="str">
        <x:v>Sandals</x:v>
      </x:c>
      <x:c r="F3195" s="24" t="n">
        <x:v>243.43</x:v>
      </x:c>
      <x:c r="G3195" t="str">
        <x:v>Winter</x:v>
      </x:c>
      <x:c r="H3195" t="str">
        <x:v>Card</x:v>
      </x:c>
      <x:c r="I3195" t="n">
        <x:v>4</x:v>
      </x:c>
      <x:c r="J3195" t="n">
        <x:v>12</x:v>
      </x:c>
      <x:c r="K3195" t="n">
        <x:v>6</x:v>
      </x:c>
      <x:c r="L3195" t="str">
        <x:v>STORE-001</x:v>
      </x:c>
      <x:c r="M3195" s="22" t="n">
        <x:v>46244</x:v>
      </x:c>
      <x:c r="N3195" t="str">
        <x:v>SKU-019</x:v>
      </x:c>
      <x:c r="O3195" t="n">
        <x:v>2</x:v>
      </x:c>
      <x:c r="P3195" s="26" t="n">
        <x:f>F3195/O3195</x:f>
        <x:v>121.715</x:v>
      </x:c>
    </x:row>
    <x:row r="3196">
      <x:c r="A3196" t="n">
        <x:v>3195</x:v>
      </x:c>
      <x:c r="B3196" t="n">
        <x:v>62</x:v>
      </x:c>
      <x:c r="C3196" t="str">
        <x:v>Female</x:v>
      </x:c>
      <x:c r="D3196" t="str">
        <x:v>Womens Clothing</x:v>
      </x:c>
      <x:c r="E3196" t="str">
        <x:v>Dress</x:v>
      </x:c>
      <x:c r="F3196" s="24" t="n">
        <x:v>117.16</x:v>
      </x:c>
      <x:c r="G3196" t="str">
        <x:v>Summer</x:v>
      </x:c>
      <x:c r="H3196" t="str">
        <x:v>Card</x:v>
      </x:c>
      <x:c r="I3196" t="n">
        <x:v>3.9</x:v>
      </x:c>
      <x:c r="J3196" t="n">
        <x:v>23</x:v>
      </x:c>
      <x:c r="K3196" t="n">
        <x:v>9</x:v>
      </x:c>
      <x:c r="L3196" t="str">
        <x:v>STORE-001</x:v>
      </x:c>
      <x:c r="M3196" s="22" t="n">
        <x:v>46076</x:v>
      </x:c>
      <x:c r="N3196" t="str">
        <x:v>SKU-004</x:v>
      </x:c>
      <x:c r="O3196" t="n">
        <x:v>1</x:v>
      </x:c>
      <x:c r="P3196" s="26" t="n">
        <x:f>F3196/O3196</x:f>
        <x:v>117.16</x:v>
      </x:c>
    </x:row>
    <x:row r="3197">
      <x:c r="A3197" t="n">
        <x:v>3196</x:v>
      </x:c>
      <x:c r="B3197" t="n">
        <x:v>56</x:v>
      </x:c>
      <x:c r="C3197" t="str">
        <x:v>Female</x:v>
      </x:c>
      <x:c r="D3197" t="str">
        <x:v>Beauty</x:v>
      </x:c>
      <x:c r="E3197" t="str">
        <x:v>Skincare Kit</x:v>
      </x:c>
      <x:c r="F3197" s="24" t="n">
        <x:v>58.22</x:v>
      </x:c>
      <x:c r="G3197" t="str">
        <x:v>Winter</x:v>
      </x:c>
      <x:c r="H3197" t="str">
        <x:v>Cash on Delivery</x:v>
      </x:c>
      <x:c r="I3197" t="n">
        <x:v>2.8</x:v>
      </x:c>
      <x:c r="J3197" t="n">
        <x:v>20</x:v>
      </x:c>
      <x:c r="K3197" t="n">
        <x:v>5</x:v>
      </x:c>
      <x:c r="L3197" t="str">
        <x:v>STORE-001</x:v>
      </x:c>
      <x:c r="M3197" s="22" t="n">
        <x:v>46223</x:v>
      </x:c>
      <x:c r="N3197" t="str">
        <x:v>SKU-021</x:v>
      </x:c>
      <x:c r="O3197" t="n">
        <x:v>1</x:v>
      </x:c>
      <x:c r="P3197" s="26" t="n">
        <x:f>F3197/O3197</x:f>
        <x:v>58.22</x:v>
      </x:c>
    </x:row>
    <x:row r="3198">
      <x:c r="A3198" t="n">
        <x:v>3197</x:v>
      </x:c>
      <x:c r="B3198" t="n">
        <x:v>21</x:v>
      </x:c>
      <x:c r="C3198" t="str">
        <x:v>Male</x:v>
      </x:c>
      <x:c r="D3198" t="str">
        <x:v>Footwear</x:v>
      </x:c>
      <x:c r="E3198" t="str">
        <x:v>Sneakers</x:v>
      </x:c>
      <x:c r="F3198" s="24" t="n">
        <x:v>155.55</x:v>
      </x:c>
      <x:c r="G3198" t="str">
        <x:v>Autumn</x:v>
      </x:c>
      <x:c r="H3198" t="str">
        <x:v>Card</x:v>
      </x:c>
      <x:c r="I3198" t="n">
        <x:v>5</x:v>
      </x:c>
      <x:c r="J3198" t="n">
        <x:v>30</x:v>
      </x:c>
      <x:c r="K3198" t="n">
        <x:v>10</x:v>
      </x:c>
      <x:c r="L3198" t="str">
        <x:v>STORE-001</x:v>
      </x:c>
      <x:c r="M3198" s="22" t="n">
        <x:v>46099</x:v>
      </x:c>
      <x:c r="N3198" t="str">
        <x:v>SKU-025</x:v>
      </x:c>
      <x:c r="O3198" t="n">
        <x:v>2</x:v>
      </x:c>
      <x:c r="P3198" s="26" t="n">
        <x:f>F3198/O3198</x:f>
        <x:v>77.775</x:v>
      </x:c>
    </x:row>
    <x:row r="3199">
      <x:c r="A3199" t="n">
        <x:v>3198</x:v>
      </x:c>
      <x:c r="B3199" t="n">
        <x:v>44</x:v>
      </x:c>
      <x:c r="C3199" t="str">
        <x:v>Male</x:v>
      </x:c>
      <x:c r="D3199" t="str">
        <x:v>Mens Clothing</x:v>
      </x:c>
      <x:c r="E3199" t="str">
        <x:v>T-Shirt</x:v>
      </x:c>
      <x:c r="F3199" s="24" t="n">
        <x:v>121.79</x:v>
      </x:c>
      <x:c r="G3199" t="str">
        <x:v>Winter</x:v>
      </x:c>
      <x:c r="H3199" t="str">
        <x:v>Card</x:v>
      </x:c>
      <x:c r="I3199" t="n">
        <x:v>4.8</x:v>
      </x:c>
      <x:c r="J3199" t="n">
        <x:v>16</x:v>
      </x:c>
      <x:c r="K3199" t="n">
        <x:v>3</x:v>
      </x:c>
      <x:c r="L3199" t="str">
        <x:v>STORE-001</x:v>
      </x:c>
      <x:c r="M3199" s="22" t="n">
        <x:v>46178</x:v>
      </x:c>
      <x:c r="N3199" t="str">
        <x:v>SKU-027</x:v>
      </x:c>
      <x:c r="O3199" t="n">
        <x:v>1</x:v>
      </x:c>
      <x:c r="P3199" s="26" t="n">
        <x:f>F3199/O3199</x:f>
        <x:v>121.79</x:v>
      </x:c>
    </x:row>
    <x:row r="3200">
      <x:c r="A3200" t="n">
        <x:v>3199</x:v>
      </x:c>
      <x:c r="B3200" t="n">
        <x:v>24</x:v>
      </x:c>
      <x:c r="C3200" t="str">
        <x:v>Male</x:v>
      </x:c>
      <x:c r="D3200" t="str">
        <x:v>Mens Clothing</x:v>
      </x:c>
      <x:c r="E3200" t="str">
        <x:v>Jacket</x:v>
      </x:c>
      <x:c r="F3200" s="24" t="n">
        <x:v>77.77</x:v>
      </x:c>
      <x:c r="G3200" t="str">
        <x:v>Summer</x:v>
      </x:c>
      <x:c r="H3200" t="str">
        <x:v>Cash on Delivery</x:v>
      </x:c>
      <x:c r="I3200" t="n">
        <x:v>3</x:v>
      </x:c>
      <x:c r="J3200" t="n">
        <x:v>25</x:v>
      </x:c>
      <x:c r="K3200" t="n">
        <x:v>10</x:v>
      </x:c>
      <x:c r="L3200" t="str">
        <x:v>STORE-001</x:v>
      </x:c>
      <x:c r="M3200" s="22" t="n">
        <x:v>46073</x:v>
      </x:c>
      <x:c r="N3200" t="str">
        <x:v>SKU-010</x:v>
      </x:c>
      <x:c r="O3200" t="n">
        <x:v>2</x:v>
      </x:c>
      <x:c r="P3200" s="26" t="n">
        <x:f>F3200/O3200</x:f>
        <x:v>38.885</x:v>
      </x:c>
    </x:row>
    <x:row r="3201">
      <x:c r="A3201" t="n">
        <x:v>3200</x:v>
      </x:c>
      <x:c r="B3201" t="n">
        <x:v>34</x:v>
      </x:c>
      <x:c r="C3201" t="str">
        <x:v>Male</x:v>
      </x:c>
      <x:c r="D3201" t="str">
        <x:v>Sports</x:v>
      </x:c>
      <x:c r="E3201" t="str">
        <x:v>Yoga Mat</x:v>
      </x:c>
      <x:c r="F3201" s="24" t="n">
        <x:v>91.22</x:v>
      </x:c>
      <x:c r="G3201" t="str">
        <x:v>Spring</x:v>
      </x:c>
      <x:c r="H3201" t="str">
        <x:v>Cash on Delivery</x:v>
      </x:c>
      <x:c r="I3201" t="n">
        <x:v>3.2</x:v>
      </x:c>
      <x:c r="J3201" t="n">
        <x:v>14</x:v>
      </x:c>
      <x:c r="K3201" t="n">
        <x:v>2</x:v>
      </x:c>
      <x:c r="L3201" t="str">
        <x:v>STORE-001</x:v>
      </x:c>
      <x:c r="M3201" s="22" t="n">
        <x:v>46271</x:v>
      </x:c>
      <x:c r="N3201" t="str">
        <x:v>SKU-030</x:v>
      </x:c>
      <x:c r="O3201" t="n">
        <x:v>1</x:v>
      </x:c>
      <x:c r="P3201" s="26" t="n">
        <x:f>F3201/O3201</x:f>
        <x:v>91.22</x:v>
      </x:c>
    </x:row>
    <x:row r="3202">
      <x:c r="A3202" t="n">
        <x:v>3201</x:v>
      </x:c>
      <x:c r="B3202" t="n">
        <x:v>68</x:v>
      </x:c>
      <x:c r="C3202" t="str">
        <x:v>Female</x:v>
      </x:c>
      <x:c r="D3202" t="str">
        <x:v>Footwear</x:v>
      </x:c>
      <x:c r="E3202" t="str">
        <x:v>Sandals</x:v>
      </x:c>
      <x:c r="F3202" s="24" t="n">
        <x:v>49.34</x:v>
      </x:c>
      <x:c r="G3202" t="str">
        <x:v>Summer</x:v>
      </x:c>
      <x:c r="H3202" t="str">
        <x:v>Cash on Delivery</x:v>
      </x:c>
      <x:c r="I3202" t="n">
        <x:v>3.8</x:v>
      </x:c>
      <x:c r="J3202" t="n">
        <x:v>22</x:v>
      </x:c>
      <x:c r="K3202" t="n">
        <x:v>6</x:v>
      </x:c>
      <x:c r="L3202" t="str">
        <x:v>STORE-001</x:v>
      </x:c>
      <x:c r="M3202" s="22" t="n">
        <x:v>46012</x:v>
      </x:c>
      <x:c r="N3202" t="str">
        <x:v>SKU-019</x:v>
      </x:c>
      <x:c r="O3202" t="n">
        <x:v>1</x:v>
      </x:c>
      <x:c r="P3202" s="26" t="n">
        <x:f>F3202/O3202</x:f>
        <x:v>49.34</x:v>
      </x:c>
    </x:row>
    <x:row r="3203">
      <x:c r="A3203" t="n">
        <x:v>3202</x:v>
      </x:c>
      <x:c r="B3203" t="n">
        <x:v>59</x:v>
      </x:c>
      <x:c r="C3203" t="str">
        <x:v>Male</x:v>
      </x:c>
      <x:c r="D3203" t="str">
        <x:v>Electronics</x:v>
      </x:c>
      <x:c r="E3203" t="str">
        <x:v>Smart Watch</x:v>
      </x:c>
      <x:c r="F3203" s="24" t="n">
        <x:v>1412.35</x:v>
      </x:c>
      <x:c r="G3203" t="str">
        <x:v>Spring</x:v>
      </x:c>
      <x:c r="H3203" t="str">
        <x:v>Card</x:v>
      </x:c>
      <x:c r="I3203" t="n">
        <x:v>2.8</x:v>
      </x:c>
      <x:c r="J3203" t="n">
        <x:v>11</x:v>
      </x:c>
      <x:c r="K3203" t="n">
        <x:v>3</x:v>
      </x:c>
      <x:c r="L3203" t="str">
        <x:v>STORE-001</x:v>
      </x:c>
      <x:c r="M3203" s="22" t="n">
        <x:v>46280</x:v>
      </x:c>
      <x:c r="N3203" t="str">
        <x:v>SKU-023</x:v>
      </x:c>
      <x:c r="O3203" t="n">
        <x:v>2</x:v>
      </x:c>
      <x:c r="P3203" s="26" t="n">
        <x:f>F3203/O3203</x:f>
        <x:v>706.175</x:v>
      </x:c>
    </x:row>
    <x:row r="3204">
      <x:c r="A3204" t="n">
        <x:v>3203</x:v>
      </x:c>
      <x:c r="B3204" t="n">
        <x:v>70</x:v>
      </x:c>
      <x:c r="C3204" t="str">
        <x:v>Female</x:v>
      </x:c>
      <x:c r="D3204" t="str">
        <x:v>Sports</x:v>
      </x:c>
      <x:c r="E3204" t="str">
        <x:v>Dumbbells</x:v>
      </x:c>
      <x:c r="F3204" s="24" t="n">
        <x:v>191.53</x:v>
      </x:c>
      <x:c r="G3204" t="str">
        <x:v>Autumn</x:v>
      </x:c>
      <x:c r="H3204" t="str">
        <x:v>Card</x:v>
      </x:c>
      <x:c r="I3204" t="n">
        <x:v>3</x:v>
      </x:c>
      <x:c r="J3204" t="n">
        <x:v>9</x:v>
      </x:c>
      <x:c r="K3204" t="n">
        <x:v>2</x:v>
      </x:c>
      <x:c r="L3204" t="str">
        <x:v>STORE-001</x:v>
      </x:c>
      <x:c r="M3204" s="22" t="n">
        <x:v>46085</x:v>
      </x:c>
      <x:c r="N3204" t="str">
        <x:v>SKU-005</x:v>
      </x:c>
      <x:c r="O3204" t="n">
        <x:v>3</x:v>
      </x:c>
      <x:c r="P3204" s="26" t="n">
        <x:f>F3204/O3204</x:f>
        <x:v>63.843333333333334</x:v>
      </x:c>
    </x:row>
    <x:row r="3205">
      <x:c r="A3205" t="n">
        <x:v>3204</x:v>
      </x:c>
      <x:c r="B3205" t="n">
        <x:v>70</x:v>
      </x:c>
      <x:c r="C3205" t="str">
        <x:v>Female</x:v>
      </x:c>
      <x:c r="D3205" t="str">
        <x:v>Beauty</x:v>
      </x:c>
      <x:c r="E3205" t="str">
        <x:v>Perfume</x:v>
      </x:c>
      <x:c r="F3205" s="24" t="n">
        <x:v>132.43</x:v>
      </x:c>
      <x:c r="G3205" t="str">
        <x:v>Summer</x:v>
      </x:c>
      <x:c r="H3205" t="str">
        <x:v>Card</x:v>
      </x:c>
      <x:c r="I3205" t="n">
        <x:v>4.3</x:v>
      </x:c>
      <x:c r="J3205" t="n">
        <x:v>16</x:v>
      </x:c>
      <x:c r="K3205" t="n">
        <x:v>3</x:v>
      </x:c>
      <x:c r="L3205" t="str">
        <x:v>STORE-001</x:v>
      </x:c>
      <x:c r="M3205" s="22" t="n">
        <x:v>46008</x:v>
      </x:c>
      <x:c r="N3205" t="str">
        <x:v>SKU-017</x:v>
      </x:c>
      <x:c r="O3205" t="n">
        <x:v>2</x:v>
      </x:c>
      <x:c r="P3205" s="26" t="n">
        <x:f>F3205/O3205</x:f>
        <x:v>66.215</x:v>
      </x:c>
    </x:row>
    <x:row r="3206">
      <x:c r="A3206" t="n">
        <x:v>3205</x:v>
      </x:c>
      <x:c r="B3206" t="n">
        <x:v>48</x:v>
      </x:c>
      <x:c r="C3206" t="str">
        <x:v>Female</x:v>
      </x:c>
      <x:c r="D3206" t="str">
        <x:v>Beauty</x:v>
      </x:c>
      <x:c r="E3206" t="str">
        <x:v>Skincare Kit</x:v>
      </x:c>
      <x:c r="F3206" s="24" t="n">
        <x:v>69.75</x:v>
      </x:c>
      <x:c r="G3206" t="str">
        <x:v>Winter</x:v>
      </x:c>
      <x:c r="H3206" t="str">
        <x:v>Card</x:v>
      </x:c>
      <x:c r="I3206" t="n">
        <x:v>3.7</x:v>
      </x:c>
      <x:c r="J3206" t="n">
        <x:v>2</x:v>
      </x:c>
      <x:c r="K3206" t="n">
        <x:v>1</x:v>
      </x:c>
      <x:c r="L3206" t="str">
        <x:v>STORE-001</x:v>
      </x:c>
      <x:c r="M3206" s="22" t="n">
        <x:v>46236</x:v>
      </x:c>
      <x:c r="N3206" t="str">
        <x:v>SKU-021</x:v>
      </x:c>
      <x:c r="O3206" t="n">
        <x:v>1</x:v>
      </x:c>
      <x:c r="P3206" s="26" t="n">
        <x:f>F3206/O3206</x:f>
        <x:v>69.75</x:v>
      </x:c>
    </x:row>
    <x:row r="3207">
      <x:c r="A3207" t="n">
        <x:v>3206</x:v>
      </x:c>
      <x:c r="B3207" t="n">
        <x:v>35</x:v>
      </x:c>
      <x:c r="C3207" t="str">
        <x:v>Male</x:v>
      </x:c>
      <x:c r="D3207" t="str">
        <x:v>Footwear</x:v>
      </x:c>
      <x:c r="E3207" t="str">
        <x:v>Formal Shoes</x:v>
      </x:c>
      <x:c r="F3207" s="24" t="n">
        <x:v>85.09</x:v>
      </x:c>
      <x:c r="G3207" t="str">
        <x:v>Spring</x:v>
      </x:c>
      <x:c r="H3207" t="str">
        <x:v>Card</x:v>
      </x:c>
      <x:c r="I3207" t="n">
        <x:v>2.8</x:v>
      </x:c>
      <x:c r="J3207" t="n">
        <x:v>20</x:v>
      </x:c>
      <x:c r="K3207" t="n">
        <x:v>5</x:v>
      </x:c>
      <x:c r="L3207" t="str">
        <x:v>STORE-001</x:v>
      </x:c>
      <x:c r="M3207" s="22" t="n">
        <x:v>46273</x:v>
      </x:c>
      <x:c r="N3207" t="str">
        <x:v>SKU-007</x:v>
      </x:c>
      <x:c r="O3207" t="n">
        <x:v>1</x:v>
      </x:c>
      <x:c r="P3207" s="26" t="n">
        <x:f>F3207/O3207</x:f>
        <x:v>85.09</x:v>
      </x:c>
    </x:row>
    <x:row r="3208">
      <x:c r="A3208" t="n">
        <x:v>3207</x:v>
      </x:c>
      <x:c r="B3208" t="n">
        <x:v>61</x:v>
      </x:c>
      <x:c r="C3208" t="str">
        <x:v>Male</x:v>
      </x:c>
      <x:c r="D3208" t="str">
        <x:v>Mens Clothing</x:v>
      </x:c>
      <x:c r="E3208" t="str">
        <x:v>Shirt</x:v>
      </x:c>
      <x:c r="F3208" s="24" t="n">
        <x:v>46.79</x:v>
      </x:c>
      <x:c r="G3208" t="str">
        <x:v>Winter</x:v>
      </x:c>
      <x:c r="H3208" t="str">
        <x:v>Cash on Delivery</x:v>
      </x:c>
      <x:c r="I3208" t="n">
        <x:v>3.8</x:v>
      </x:c>
      <x:c r="J3208" t="n">
        <x:v>13</x:v>
      </x:c>
      <x:c r="K3208" t="n">
        <x:v>4</x:v>
      </x:c>
      <x:c r="L3208" t="str">
        <x:v>STORE-001</x:v>
      </x:c>
      <x:c r="M3208" s="22" t="n">
        <x:v>46216</x:v>
      </x:c>
      <x:c r="N3208" t="str">
        <x:v>SKU-020</x:v>
      </x:c>
      <x:c r="O3208" t="n">
        <x:v>2</x:v>
      </x:c>
      <x:c r="P3208" s="26" t="n">
        <x:f>F3208/O3208</x:f>
        <x:v>23.395</x:v>
      </x:c>
    </x:row>
    <x:row r="3209">
      <x:c r="A3209" t="n">
        <x:v>3208</x:v>
      </x:c>
      <x:c r="B3209" t="n">
        <x:v>55</x:v>
      </x:c>
      <x:c r="C3209" t="str">
        <x:v>Male</x:v>
      </x:c>
      <x:c r="D3209" t="str">
        <x:v>Sports</x:v>
      </x:c>
      <x:c r="E3209" t="str">
        <x:v>Football</x:v>
      </x:c>
      <x:c r="F3209" s="24" t="n">
        <x:v>164.44</x:v>
      </x:c>
      <x:c r="G3209" t="str">
        <x:v>Autumn</x:v>
      </x:c>
      <x:c r="H3209" t="str">
        <x:v>Card</x:v>
      </x:c>
      <x:c r="I3209" t="n">
        <x:v>3.7</x:v>
      </x:c>
      <x:c r="J3209" t="n">
        <x:v>12</x:v>
      </x:c>
      <x:c r="K3209" t="n">
        <x:v>6</x:v>
      </x:c>
      <x:c r="L3209" t="str">
        <x:v>STORE-001</x:v>
      </x:c>
      <x:c r="M3209" s="22" t="n">
        <x:v>46159</x:v>
      </x:c>
      <x:c r="N3209" t="str">
        <x:v>SKU-006</x:v>
      </x:c>
      <x:c r="O3209" t="n">
        <x:v>1</x:v>
      </x:c>
      <x:c r="P3209" s="26" t="n">
        <x:f>F3209/O3209</x:f>
        <x:v>164.44</x:v>
      </x:c>
    </x:row>
    <x:row r="3210">
      <x:c r="A3210" t="n">
        <x:v>3209</x:v>
      </x:c>
      <x:c r="B3210" t="n">
        <x:v>50</x:v>
      </x:c>
      <x:c r="C3210" t="str">
        <x:v>Male</x:v>
      </x:c>
      <x:c r="D3210" t="str">
        <x:v>Mens Clothing</x:v>
      </x:c>
      <x:c r="E3210" t="str">
        <x:v>Jacket</x:v>
      </x:c>
      <x:c r="F3210" s="24" t="n">
        <x:v>73.98</x:v>
      </x:c>
      <x:c r="G3210" t="str">
        <x:v>Spring</x:v>
      </x:c>
      <x:c r="H3210" t="str">
        <x:v>Card</x:v>
      </x:c>
      <x:c r="I3210" t="n">
        <x:v>5</x:v>
      </x:c>
      <x:c r="J3210" t="n">
        <x:v>23</x:v>
      </x:c>
      <x:c r="K3210" t="n">
        <x:v>9</x:v>
      </x:c>
      <x:c r="L3210" t="str">
        <x:v>STORE-001</x:v>
      </x:c>
      <x:c r="M3210" s="22" t="n">
        <x:v>46294</x:v>
      </x:c>
      <x:c r="N3210" t="str">
        <x:v>SKU-010</x:v>
      </x:c>
      <x:c r="O3210" t="n">
        <x:v>2</x:v>
      </x:c>
      <x:c r="P3210" s="26" t="n">
        <x:f>F3210/O3210</x:f>
        <x:v>36.99</x:v>
      </x:c>
    </x:row>
    <x:row r="3211">
      <x:c r="A3211" t="n">
        <x:v>3210</x:v>
      </x:c>
      <x:c r="B3211" t="n">
        <x:v>23</x:v>
      </x:c>
      <x:c r="C3211" t="str">
        <x:v>Female</x:v>
      </x:c>
      <x:c r="D3211" t="str">
        <x:v>Beauty</x:v>
      </x:c>
      <x:c r="E3211" t="str">
        <x:v>Makeup Set</x:v>
      </x:c>
      <x:c r="F3211" s="24" t="n">
        <x:v>145.91</x:v>
      </x:c>
      <x:c r="G3211" t="str">
        <x:v>Summer</x:v>
      </x:c>
      <x:c r="H3211" t="str">
        <x:v>Card</x:v>
      </x:c>
      <x:c r="I3211" t="n">
        <x:v>3.3</x:v>
      </x:c>
      <x:c r="J3211" t="n">
        <x:v>18</x:v>
      </x:c>
      <x:c r="K3211" t="n">
        <x:v>4</x:v>
      </x:c>
      <x:c r="L3211" t="str">
        <x:v>STORE-001</x:v>
      </x:c>
      <x:c r="M3211" s="22" t="n">
        <x:v>46004</x:v>
      </x:c>
      <x:c r="N3211" t="str">
        <x:v>SKU-015</x:v>
      </x:c>
      <x:c r="O3211" t="n">
        <x:v>1</x:v>
      </x:c>
      <x:c r="P3211" s="26" t="n">
        <x:f>F3211/O3211</x:f>
        <x:v>145.91</x:v>
      </x:c>
    </x:row>
    <x:row r="3212">
      <x:c r="A3212" t="n">
        <x:v>3211</x:v>
      </x:c>
      <x:c r="B3212" t="n">
        <x:v>26</x:v>
      </x:c>
      <x:c r="C3212" t="str">
        <x:v>Male</x:v>
      </x:c>
      <x:c r="D3212" t="str">
        <x:v>Footwear</x:v>
      </x:c>
      <x:c r="E3212" t="str">
        <x:v>Sandals</x:v>
      </x:c>
      <x:c r="F3212" s="24" t="n">
        <x:v>189.03</x:v>
      </x:c>
      <x:c r="G3212" t="str">
        <x:v>Summer</x:v>
      </x:c>
      <x:c r="H3212" t="str">
        <x:v>Card</x:v>
      </x:c>
      <x:c r="I3212" t="n">
        <x:v>4.2</x:v>
      </x:c>
      <x:c r="J3212" t="n">
        <x:v>10</x:v>
      </x:c>
      <x:c r="K3212" t="n">
        <x:v>5</x:v>
      </x:c>
      <x:c r="L3212" t="str">
        <x:v>STORE-001</x:v>
      </x:c>
      <x:c r="M3212" s="22" t="n">
        <x:v>46036</x:v>
      </x:c>
      <x:c r="N3212" t="str">
        <x:v>SKU-019</x:v>
      </x:c>
      <x:c r="O3212" t="n">
        <x:v>1</x:v>
      </x:c>
      <x:c r="P3212" s="26" t="n">
        <x:f>F3212/O3212</x:f>
        <x:v>189.03</x:v>
      </x:c>
    </x:row>
    <x:row r="3213">
      <x:c r="A3213" t="n">
        <x:v>3212</x:v>
      </x:c>
      <x:c r="B3213" t="n">
        <x:v>41</x:v>
      </x:c>
      <x:c r="C3213" t="str">
        <x:v>Female</x:v>
      </x:c>
      <x:c r="D3213" t="str">
        <x:v>Beauty</x:v>
      </x:c>
      <x:c r="E3213" t="str">
        <x:v>Makeup Set</x:v>
      </x:c>
      <x:c r="F3213" s="24" t="n">
        <x:v>105.87</x:v>
      </x:c>
      <x:c r="G3213" t="str">
        <x:v>Summer</x:v>
      </x:c>
      <x:c r="H3213" t="str">
        <x:v>Card</x:v>
      </x:c>
      <x:c r="I3213" t="n">
        <x:v>4.9</x:v>
      </x:c>
      <x:c r="J3213" t="n">
        <x:v>13</x:v>
      </x:c>
      <x:c r="K3213" t="n">
        <x:v>4</x:v>
      </x:c>
      <x:c r="L3213" t="str">
        <x:v>STORE-001</x:v>
      </x:c>
      <x:c r="M3213" s="22" t="n">
        <x:v>46001</x:v>
      </x:c>
      <x:c r="N3213" t="str">
        <x:v>SKU-015</x:v>
      </x:c>
      <x:c r="O3213" t="n">
        <x:v>1</x:v>
      </x:c>
      <x:c r="P3213" s="26" t="n">
        <x:f>F3213/O3213</x:f>
        <x:v>105.87</x:v>
      </x:c>
    </x:row>
    <x:row r="3214">
      <x:c r="A3214" t="n">
        <x:v>3213</x:v>
      </x:c>
      <x:c r="B3214" t="n">
        <x:v>45</x:v>
      </x:c>
      <x:c r="C3214" t="str">
        <x:v>Male</x:v>
      </x:c>
      <x:c r="D3214" t="str">
        <x:v>Home</x:v>
      </x:c>
      <x:c r="E3214" t="str">
        <x:v>Curtains</x:v>
      </x:c>
      <x:c r="F3214" s="24" t="n">
        <x:v>170.97</x:v>
      </x:c>
      <x:c r="G3214" t="str">
        <x:v>Winter</x:v>
      </x:c>
      <x:c r="H3214" t="str">
        <x:v>Card</x:v>
      </x:c>
      <x:c r="I3214" t="n">
        <x:v>4.4</x:v>
      </x:c>
      <x:c r="J3214" t="n">
        <x:v>12</x:v>
      </x:c>
      <x:c r="K3214" t="n">
        <x:v>6</x:v>
      </x:c>
      <x:c r="L3214" t="str">
        <x:v>STORE-001</x:v>
      </x:c>
      <x:c r="M3214" s="22" t="n">
        <x:v>46181</x:v>
      </x:c>
      <x:c r="N3214" t="str">
        <x:v>SKU-003</x:v>
      </x:c>
      <x:c r="O3214" t="n">
        <x:v>3</x:v>
      </x:c>
      <x:c r="P3214" s="26" t="n">
        <x:f>F3214/O3214</x:f>
        <x:v>56.99</x:v>
      </x:c>
    </x:row>
    <x:row r="3215">
      <x:c r="A3215" t="n">
        <x:v>3214</x:v>
      </x:c>
      <x:c r="B3215" t="n">
        <x:v>27</x:v>
      </x:c>
      <x:c r="C3215" t="str">
        <x:v>Female</x:v>
      </x:c>
      <x:c r="D3215" t="str">
        <x:v>Footwear</x:v>
      </x:c>
      <x:c r="E3215" t="str">
        <x:v>Sneakers</x:v>
      </x:c>
      <x:c r="F3215" s="24" t="n">
        <x:v>77.2</x:v>
      </x:c>
      <x:c r="G3215" t="str">
        <x:v>Winter</x:v>
      </x:c>
      <x:c r="H3215" t="str">
        <x:v>Cash on Delivery</x:v>
      </x:c>
      <x:c r="I3215" t="n">
        <x:v>4.2</x:v>
      </x:c>
      <x:c r="J3215" t="n">
        <x:v>15</x:v>
      </x:c>
      <x:c r="K3215" t="n">
        <x:v>5</x:v>
      </x:c>
      <x:c r="L3215" t="str">
        <x:v>STORE-001</x:v>
      </x:c>
      <x:c r="M3215" s="22" t="n">
        <x:v>46199</x:v>
      </x:c>
      <x:c r="N3215" t="str">
        <x:v>SKU-025</x:v>
      </x:c>
      <x:c r="O3215" t="n">
        <x:v>2</x:v>
      </x:c>
      <x:c r="P3215" s="26" t="n">
        <x:f>F3215/O3215</x:f>
        <x:v>38.6</x:v>
      </x:c>
    </x:row>
    <x:row r="3216">
      <x:c r="A3216" t="n">
        <x:v>3215</x:v>
      </x:c>
      <x:c r="B3216" t="n">
        <x:v>21</x:v>
      </x:c>
      <x:c r="C3216" t="str">
        <x:v>Female</x:v>
      </x:c>
      <x:c r="D3216" t="str">
        <x:v>Beauty</x:v>
      </x:c>
      <x:c r="E3216" t="str">
        <x:v>Skincare Kit</x:v>
      </x:c>
      <x:c r="F3216" s="24" t="n">
        <x:v>147</x:v>
      </x:c>
      <x:c r="G3216" t="str">
        <x:v>Winter</x:v>
      </x:c>
      <x:c r="H3216" t="str">
        <x:v>Card</x:v>
      </x:c>
      <x:c r="I3216" t="n">
        <x:v>3.4</x:v>
      </x:c>
      <x:c r="J3216" t="n">
        <x:v>8</x:v>
      </x:c>
      <x:c r="K3216" t="n">
        <x:v>4</x:v>
      </x:c>
      <x:c r="L3216" t="str">
        <x:v>STORE-001</x:v>
      </x:c>
      <x:c r="M3216" s="22" t="n">
        <x:v>46208</x:v>
      </x:c>
      <x:c r="N3216" t="str">
        <x:v>SKU-021</x:v>
      </x:c>
      <x:c r="O3216" t="n">
        <x:v>1</x:v>
      </x:c>
      <x:c r="P3216" s="26" t="n">
        <x:f>F3216/O3216</x:f>
        <x:v>147</x:v>
      </x:c>
    </x:row>
    <x:row r="3217">
      <x:c r="A3217" t="n">
        <x:v>3216</x:v>
      </x:c>
      <x:c r="B3217" t="n">
        <x:v>46</x:v>
      </x:c>
      <x:c r="C3217" t="str">
        <x:v>Female</x:v>
      </x:c>
      <x:c r="D3217" t="str">
        <x:v>Womens Clothing</x:v>
      </x:c>
      <x:c r="E3217" t="str">
        <x:v>Skirt</x:v>
      </x:c>
      <x:c r="F3217" s="24" t="n">
        <x:v>30.57</x:v>
      </x:c>
      <x:c r="G3217" t="str">
        <x:v>Winter</x:v>
      </x:c>
      <x:c r="H3217" t="str">
        <x:v>Card</x:v>
      </x:c>
      <x:c r="I3217" t="n">
        <x:v>4.2</x:v>
      </x:c>
      <x:c r="J3217" t="n">
        <x:v>6</x:v>
      </x:c>
      <x:c r="K3217" t="n">
        <x:v>3</x:v>
      </x:c>
      <x:c r="L3217" t="str">
        <x:v>STORE-001</x:v>
      </x:c>
      <x:c r="M3217" s="22" t="n">
        <x:v>46204</x:v>
      </x:c>
      <x:c r="N3217" t="str">
        <x:v>SKU-022</x:v>
      </x:c>
      <x:c r="O3217" t="n">
        <x:v>1</x:v>
      </x:c>
      <x:c r="P3217" s="26" t="n">
        <x:f>F3217/O3217</x:f>
        <x:v>30.57</x:v>
      </x:c>
    </x:row>
    <x:row r="3218">
      <x:c r="A3218" t="n">
        <x:v>3217</x:v>
      </x:c>
      <x:c r="B3218" t="n">
        <x:v>23</x:v>
      </x:c>
      <x:c r="C3218" t="str">
        <x:v>Male</x:v>
      </x:c>
      <x:c r="D3218" t="str">
        <x:v>Footwear</x:v>
      </x:c>
      <x:c r="E3218" t="str">
        <x:v>Sneakers</x:v>
      </x:c>
      <x:c r="F3218" s="24" t="n">
        <x:v>232.37</x:v>
      </x:c>
      <x:c r="G3218" t="str">
        <x:v>Autumn</x:v>
      </x:c>
      <x:c r="H3218" t="str">
        <x:v>Card</x:v>
      </x:c>
      <x:c r="I3218" t="n">
        <x:v>4.2</x:v>
      </x:c>
      <x:c r="J3218" t="n">
        <x:v>23</x:v>
      </x:c>
      <x:c r="K3218" t="n">
        <x:v>9</x:v>
      </x:c>
      <x:c r="L3218" t="str">
        <x:v>STORE-001</x:v>
      </x:c>
      <x:c r="M3218" s="22" t="n">
        <x:v>46120</x:v>
      </x:c>
      <x:c r="N3218" t="str">
        <x:v>SKU-025</x:v>
      </x:c>
      <x:c r="O3218" t="n">
        <x:v>1</x:v>
      </x:c>
      <x:c r="P3218" s="26" t="n">
        <x:f>F3218/O3218</x:f>
        <x:v>232.37</x:v>
      </x:c>
    </x:row>
    <x:row r="3219">
      <x:c r="A3219" t="n">
        <x:v>3218</x:v>
      </x:c>
      <x:c r="B3219" t="n">
        <x:v>59</x:v>
      </x:c>
      <x:c r="C3219" t="str">
        <x:v>Male</x:v>
      </x:c>
      <x:c r="D3219" t="str">
        <x:v>Sports</x:v>
      </x:c>
      <x:c r="E3219" t="str">
        <x:v>Yoga Mat</x:v>
      </x:c>
      <x:c r="F3219" s="24" t="n">
        <x:v>234.52</x:v>
      </x:c>
      <x:c r="G3219" t="str">
        <x:v>Winter</x:v>
      </x:c>
      <x:c r="H3219" t="str">
        <x:v>Card</x:v>
      </x:c>
      <x:c r="I3219" t="n">
        <x:v>4.1</x:v>
      </x:c>
      <x:c r="J3219" t="n">
        <x:v>22</x:v>
      </x:c>
      <x:c r="K3219" t="n">
        <x:v>6</x:v>
      </x:c>
      <x:c r="L3219" t="str">
        <x:v>STORE-001</x:v>
      </x:c>
      <x:c r="M3219" s="22" t="n">
        <x:v>46202</x:v>
      </x:c>
      <x:c r="N3219" t="str">
        <x:v>SKU-030</x:v>
      </x:c>
      <x:c r="O3219" t="n">
        <x:v>1</x:v>
      </x:c>
      <x:c r="P3219" s="26" t="n">
        <x:f>F3219/O3219</x:f>
        <x:v>234.52</x:v>
      </x:c>
    </x:row>
    <x:row r="3220">
      <x:c r="A3220" t="n">
        <x:v>3219</x:v>
      </x:c>
      <x:c r="B3220" t="n">
        <x:v>52</x:v>
      </x:c>
      <x:c r="C3220" t="str">
        <x:v>Female</x:v>
      </x:c>
      <x:c r="D3220" t="str">
        <x:v>Beauty</x:v>
      </x:c>
      <x:c r="E3220" t="str">
        <x:v>Perfume</x:v>
      </x:c>
      <x:c r="F3220" s="24" t="n">
        <x:v>130.99</x:v>
      </x:c>
      <x:c r="G3220" t="str">
        <x:v>Winter</x:v>
      </x:c>
      <x:c r="H3220" t="str">
        <x:v>Card</x:v>
      </x:c>
      <x:c r="I3220" t="n">
        <x:v>5</x:v>
      </x:c>
      <x:c r="J3220" t="n">
        <x:v>24</x:v>
      </x:c>
      <x:c r="K3220" t="n">
        <x:v>7</x:v>
      </x:c>
      <x:c r="L3220" t="str">
        <x:v>STORE-001</x:v>
      </x:c>
      <x:c r="M3220" s="22" t="n">
        <x:v>46226</x:v>
      </x:c>
      <x:c r="N3220" t="str">
        <x:v>SKU-017</x:v>
      </x:c>
      <x:c r="O3220" t="n">
        <x:v>2</x:v>
      </x:c>
      <x:c r="P3220" s="26" t="n">
        <x:f>F3220/O3220</x:f>
        <x:v>65.495</x:v>
      </x:c>
    </x:row>
    <x:row r="3221">
      <x:c r="A3221" t="n">
        <x:v>3220</x:v>
      </x:c>
      <x:c r="B3221" t="n">
        <x:v>36</x:v>
      </x:c>
      <x:c r="C3221" t="str">
        <x:v>Male</x:v>
      </x:c>
      <x:c r="D3221" t="str">
        <x:v>Sports</x:v>
      </x:c>
      <x:c r="E3221" t="str">
        <x:v>Football</x:v>
      </x:c>
      <x:c r="F3221" s="24" t="n">
        <x:v>51.47</x:v>
      </x:c>
      <x:c r="G3221" t="str">
        <x:v>Winter</x:v>
      </x:c>
      <x:c r="H3221" t="str">
        <x:v>Card</x:v>
      </x:c>
      <x:c r="I3221" t="n">
        <x:v>2.4</x:v>
      </x:c>
      <x:c r="J3221" t="n">
        <x:v>6</x:v>
      </x:c>
      <x:c r="K3221" t="n">
        <x:v>3</x:v>
      </x:c>
      <x:c r="L3221" t="str">
        <x:v>STORE-001</x:v>
      </x:c>
      <x:c r="M3221" s="22" t="n">
        <x:v>46257</x:v>
      </x:c>
      <x:c r="N3221" t="str">
        <x:v>SKU-006</x:v>
      </x:c>
      <x:c r="O3221" t="n">
        <x:v>1</x:v>
      </x:c>
      <x:c r="P3221" s="26" t="n">
        <x:f>F3221/O3221</x:f>
        <x:v>51.47</x:v>
      </x:c>
    </x:row>
    <x:row r="3222">
      <x:c r="A3222" t="n">
        <x:v>3221</x:v>
      </x:c>
      <x:c r="B3222" t="n">
        <x:v>40</x:v>
      </x:c>
      <x:c r="C3222" t="str">
        <x:v>Female</x:v>
      </x:c>
      <x:c r="D3222" t="str">
        <x:v>Accessories</x:v>
      </x:c>
      <x:c r="E3222" t="str">
        <x:v>Sunglasses</x:v>
      </x:c>
      <x:c r="F3222" s="24" t="n">
        <x:v>160.63</x:v>
      </x:c>
      <x:c r="G3222" t="str">
        <x:v>Summer</x:v>
      </x:c>
      <x:c r="H3222" t="str">
        <x:v>Card</x:v>
      </x:c>
      <x:c r="I3222" t="n">
        <x:v>2.8</x:v>
      </x:c>
      <x:c r="J3222" t="n">
        <x:v>14</x:v>
      </x:c>
      <x:c r="K3222" t="n">
        <x:v>7</x:v>
      </x:c>
      <x:c r="L3222" t="str">
        <x:v>STORE-001</x:v>
      </x:c>
      <x:c r="M3222" s="22" t="n">
        <x:v>46010</x:v>
      </x:c>
      <x:c r="N3222" t="str">
        <x:v>SKU-026</x:v>
      </x:c>
      <x:c r="O3222" t="n">
        <x:v>2</x:v>
      </x:c>
      <x:c r="P3222" s="26" t="n">
        <x:f>F3222/O3222</x:f>
        <x:v>80.315</x:v>
      </x:c>
    </x:row>
    <x:row r="3223">
      <x:c r="A3223" t="n">
        <x:v>3222</x:v>
      </x:c>
      <x:c r="B3223" t="n">
        <x:v>50</x:v>
      </x:c>
      <x:c r="C3223" t="str">
        <x:v>Male</x:v>
      </x:c>
      <x:c r="D3223" t="str">
        <x:v>Home</x:v>
      </x:c>
      <x:c r="E3223" t="str">
        <x:v>Kitchen Set</x:v>
      </x:c>
      <x:c r="F3223" s="24" t="n">
        <x:v>122.41</x:v>
      </x:c>
      <x:c r="G3223" t="str">
        <x:v>Spring</x:v>
      </x:c>
      <x:c r="H3223" t="str">
        <x:v>Card</x:v>
      </x:c>
      <x:c r="I3223" t="n">
        <x:v>3.9</x:v>
      </x:c>
      <x:c r="J3223" t="n">
        <x:v>16</x:v>
      </x:c>
      <x:c r="K3223" t="n">
        <x:v>8</x:v>
      </x:c>
      <x:c r="L3223" t="str">
        <x:v>STORE-001</x:v>
      </x:c>
      <x:c r="M3223" s="22" t="n">
        <x:v>46293</x:v>
      </x:c>
      <x:c r="N3223" t="str">
        <x:v>SKU-012</x:v>
      </x:c>
      <x:c r="O3223" t="n">
        <x:v>1</x:v>
      </x:c>
      <x:c r="P3223" s="26" t="n">
        <x:f>F3223/O3223</x:f>
        <x:v>122.41</x:v>
      </x:c>
    </x:row>
    <x:row r="3224">
      <x:c r="A3224" t="n">
        <x:v>3223</x:v>
      </x:c>
      <x:c r="B3224" t="n">
        <x:v>39</x:v>
      </x:c>
      <x:c r="C3224" t="str">
        <x:v>Male</x:v>
      </x:c>
      <x:c r="D3224" t="str">
        <x:v>Home</x:v>
      </x:c>
      <x:c r="E3224" t="str">
        <x:v>Lamp</x:v>
      </x:c>
      <x:c r="F3224" s="24" t="n">
        <x:v>113.22</x:v>
      </x:c>
      <x:c r="G3224" t="str">
        <x:v>Spring</x:v>
      </x:c>
      <x:c r="H3224" t="str">
        <x:v>Card</x:v>
      </x:c>
      <x:c r="I3224" t="n">
        <x:v>3.1</x:v>
      </x:c>
      <x:c r="J3224" t="n">
        <x:v>30</x:v>
      </x:c>
      <x:c r="K3224" t="n">
        <x:v>10</x:v>
      </x:c>
      <x:c r="L3224" t="str">
        <x:v>STORE-001</x:v>
      </x:c>
      <x:c r="M3224" s="22" t="n">
        <x:v>46285</x:v>
      </x:c>
      <x:c r="N3224" t="str">
        <x:v>SKU-013</x:v>
      </x:c>
      <x:c r="O3224" t="n">
        <x:v>2</x:v>
      </x:c>
      <x:c r="P3224" s="26" t="n">
        <x:f>F3224/O3224</x:f>
        <x:v>56.61</x:v>
      </x:c>
    </x:row>
    <x:row r="3225">
      <x:c r="A3225" t="n">
        <x:v>3224</x:v>
      </x:c>
      <x:c r="B3225" t="n">
        <x:v>65</x:v>
      </x:c>
      <x:c r="C3225" t="str">
        <x:v>Female</x:v>
      </x:c>
      <x:c r="D3225" t="str">
        <x:v>Beauty</x:v>
      </x:c>
      <x:c r="E3225" t="str">
        <x:v>Makeup Set</x:v>
      </x:c>
      <x:c r="F3225" s="24" t="n">
        <x:v>84.88</x:v>
      </x:c>
      <x:c r="G3225" t="str">
        <x:v>Winter</x:v>
      </x:c>
      <x:c r="H3225" t="str">
        <x:v>Cash on Delivery</x:v>
      </x:c>
      <x:c r="I3225" t="n">
        <x:v>2.7</x:v>
      </x:c>
      <x:c r="J3225" t="n">
        <x:v>18</x:v>
      </x:c>
      <x:c r="K3225" t="n">
        <x:v>4</x:v>
      </x:c>
      <x:c r="L3225" t="str">
        <x:v>STORE-001</x:v>
      </x:c>
      <x:c r="M3225" s="22" t="n">
        <x:v>46187</x:v>
      </x:c>
      <x:c r="N3225" t="str">
        <x:v>SKU-015</x:v>
      </x:c>
      <x:c r="O3225" t="n">
        <x:v>1</x:v>
      </x:c>
      <x:c r="P3225" s="26" t="n">
        <x:f>F3225/O3225</x:f>
        <x:v>84.88</x:v>
      </x:c>
    </x:row>
    <x:row r="3226">
      <x:c r="A3226" t="n">
        <x:v>3225</x:v>
      </x:c>
      <x:c r="B3226" t="n">
        <x:v>52</x:v>
      </x:c>
      <x:c r="C3226" t="str">
        <x:v>Female</x:v>
      </x:c>
      <x:c r="D3226" t="str">
        <x:v>Beauty</x:v>
      </x:c>
      <x:c r="E3226" t="str">
        <x:v>Skincare Kit</x:v>
      </x:c>
      <x:c r="F3226" s="24" t="n">
        <x:v>22.73</x:v>
      </x:c>
      <x:c r="G3226" t="str">
        <x:v>Spring</x:v>
      </x:c>
      <x:c r="H3226" t="str">
        <x:v>Card</x:v>
      </x:c>
      <x:c r="I3226" t="n">
        <x:v>3.4</x:v>
      </x:c>
      <x:c r="J3226" t="n">
        <x:v>6</x:v>
      </x:c>
      <x:c r="K3226" t="n">
        <x:v>3</x:v>
      </x:c>
      <x:c r="L3226" t="str">
        <x:v>STORE-001</x:v>
      </x:c>
      <x:c r="M3226" s="22" t="n">
        <x:v>46295</x:v>
      </x:c>
      <x:c r="N3226" t="str">
        <x:v>SKU-021</x:v>
      </x:c>
      <x:c r="O3226" t="n">
        <x:v>1</x:v>
      </x:c>
      <x:c r="P3226" s="26" t="n">
        <x:f>F3226/O3226</x:f>
        <x:v>22.73</x:v>
      </x:c>
    </x:row>
    <x:row r="3227">
      <x:c r="A3227" t="n">
        <x:v>3226</x:v>
      </x:c>
      <x:c r="B3227" t="n">
        <x:v>54</x:v>
      </x:c>
      <x:c r="C3227" t="str">
        <x:v>Female</x:v>
      </x:c>
      <x:c r="D3227" t="str">
        <x:v>Footwear</x:v>
      </x:c>
      <x:c r="E3227" t="str">
        <x:v>Sneakers</x:v>
      </x:c>
      <x:c r="F3227" s="24" t="n">
        <x:v>226.11</x:v>
      </x:c>
      <x:c r="G3227" t="str">
        <x:v>Summer</x:v>
      </x:c>
      <x:c r="H3227" t="str">
        <x:v>Card</x:v>
      </x:c>
      <x:c r="I3227" t="n">
        <x:v>4.5</x:v>
      </x:c>
      <x:c r="J3227" t="n">
        <x:v>17</x:v>
      </x:c>
      <x:c r="K3227" t="n">
        <x:v>6</x:v>
      </x:c>
      <x:c r="L3227" t="str">
        <x:v>STORE-001</x:v>
      </x:c>
      <x:c r="M3227" s="22" t="n">
        <x:v>46029</x:v>
      </x:c>
      <x:c r="N3227" t="str">
        <x:v>SKU-025</x:v>
      </x:c>
      <x:c r="O3227" t="n">
        <x:v>1</x:v>
      </x:c>
      <x:c r="P3227" s="26" t="n">
        <x:f>F3227/O3227</x:f>
        <x:v>226.11</x:v>
      </x:c>
    </x:row>
    <x:row r="3228">
      <x:c r="A3228" t="n">
        <x:v>3227</x:v>
      </x:c>
      <x:c r="B3228" t="n">
        <x:v>64</x:v>
      </x:c>
      <x:c r="C3228" t="str">
        <x:v>Female</x:v>
      </x:c>
      <x:c r="D3228" t="str">
        <x:v>Sports</x:v>
      </x:c>
      <x:c r="E3228" t="str">
        <x:v>Yoga Mat</x:v>
      </x:c>
      <x:c r="F3228" s="24" t="n">
        <x:v>208.59</x:v>
      </x:c>
      <x:c r="G3228" t="str">
        <x:v>Spring</x:v>
      </x:c>
      <x:c r="H3228" t="str">
        <x:v>Card</x:v>
      </x:c>
      <x:c r="I3228" t="n">
        <x:v>2.8</x:v>
      </x:c>
      <x:c r="J3228" t="n">
        <x:v>8</x:v>
      </x:c>
      <x:c r="K3228" t="n">
        <x:v>4</x:v>
      </x:c>
      <x:c r="L3228" t="str">
        <x:v>STORE-001</x:v>
      </x:c>
      <x:c r="M3228" s="22" t="n">
        <x:v>45989</x:v>
      </x:c>
      <x:c r="N3228" t="str">
        <x:v>SKU-030</x:v>
      </x:c>
      <x:c r="O3228" t="n">
        <x:v>1</x:v>
      </x:c>
      <x:c r="P3228" s="26" t="n">
        <x:f>F3228/O3228</x:f>
        <x:v>208.59</x:v>
      </x:c>
    </x:row>
    <x:row r="3229">
      <x:c r="A3229" t="n">
        <x:v>3228</x:v>
      </x:c>
      <x:c r="B3229" t="n">
        <x:v>53</x:v>
      </x:c>
      <x:c r="C3229" t="str">
        <x:v>Male</x:v>
      </x:c>
      <x:c r="D3229" t="str">
        <x:v>Sports</x:v>
      </x:c>
      <x:c r="E3229" t="str">
        <x:v>Football</x:v>
      </x:c>
      <x:c r="F3229" s="24" t="n">
        <x:v>120.33</x:v>
      </x:c>
      <x:c r="G3229" t="str">
        <x:v>Spring</x:v>
      </x:c>
      <x:c r="H3229" t="str">
        <x:v>Card</x:v>
      </x:c>
      <x:c r="I3229" t="n">
        <x:v>3.7</x:v>
      </x:c>
      <x:c r="J3229" t="n">
        <x:v>6</x:v>
      </x:c>
      <x:c r="K3229" t="n">
        <x:v>3</x:v>
      </x:c>
      <x:c r="L3229" t="str">
        <x:v>STORE-001</x:v>
      </x:c>
      <x:c r="M3229" s="22" t="n">
        <x:v>46287</x:v>
      </x:c>
      <x:c r="N3229" t="str">
        <x:v>SKU-006</x:v>
      </x:c>
      <x:c r="O3229" t="n">
        <x:v>1</x:v>
      </x:c>
      <x:c r="P3229" s="26" t="n">
        <x:f>F3229/O3229</x:f>
        <x:v>120.33</x:v>
      </x:c>
    </x:row>
    <x:row r="3230">
      <x:c r="A3230" t="n">
        <x:v>3229</x:v>
      </x:c>
      <x:c r="B3230" t="n">
        <x:v>29</x:v>
      </x:c>
      <x:c r="C3230" t="str">
        <x:v>Male</x:v>
      </x:c>
      <x:c r="D3230" t="str">
        <x:v>Groceries</x:v>
      </x:c>
      <x:c r="E3230" t="str">
        <x:v>Rice Pack</x:v>
      </x:c>
      <x:c r="F3230" s="24" t="n">
        <x:v>41.86</x:v>
      </x:c>
      <x:c r="G3230" t="str">
        <x:v>Spring</x:v>
      </x:c>
      <x:c r="H3230" t="str">
        <x:v>Cash on Delivery</x:v>
      </x:c>
      <x:c r="I3230" t="n">
        <x:v>4</x:v>
      </x:c>
      <x:c r="J3230" t="n">
        <x:v>18</x:v>
      </x:c>
      <x:c r="K3230" t="n">
        <x:v>4</x:v>
      </x:c>
      <x:c r="L3230" t="str">
        <x:v>STORE-001</x:v>
      </x:c>
      <x:c r="M3230" s="22" t="n">
        <x:v>46292</x:v>
      </x:c>
      <x:c r="N3230" t="str">
        <x:v>SKU-018</x:v>
      </x:c>
      <x:c r="O3230" t="n">
        <x:v>4</x:v>
      </x:c>
      <x:c r="P3230" s="26" t="n">
        <x:f>F3230/O3230</x:f>
        <x:v>10.465</x:v>
      </x:c>
    </x:row>
    <x:row r="3231">
      <x:c r="A3231" t="n">
        <x:v>3230</x:v>
      </x:c>
      <x:c r="B3231" t="n">
        <x:v>50</x:v>
      </x:c>
      <x:c r="C3231" t="str">
        <x:v>Male</x:v>
      </x:c>
      <x:c r="D3231" t="str">
        <x:v>Sports</x:v>
      </x:c>
      <x:c r="E3231" t="str">
        <x:v>Dumbbells</x:v>
      </x:c>
      <x:c r="F3231" s="24" t="n">
        <x:v>31.06</x:v>
      </x:c>
      <x:c r="G3231" t="str">
        <x:v>Winter</x:v>
      </x:c>
      <x:c r="H3231" t="str">
        <x:v>Card</x:v>
      </x:c>
      <x:c r="I3231" t="n">
        <x:v>3</x:v>
      </x:c>
      <x:c r="J3231" t="n">
        <x:v>12</x:v>
      </x:c>
      <x:c r="K3231" t="n">
        <x:v>6</x:v>
      </x:c>
      <x:c r="L3231" t="str">
        <x:v>STORE-001</x:v>
      </x:c>
      <x:c r="M3231" s="22" t="n">
        <x:v>46221</x:v>
      </x:c>
      <x:c r="N3231" t="str">
        <x:v>SKU-005</x:v>
      </x:c>
      <x:c r="O3231" t="n">
        <x:v>1</x:v>
      </x:c>
      <x:c r="P3231" s="26" t="n">
        <x:f>F3231/O3231</x:f>
        <x:v>31.06</x:v>
      </x:c>
    </x:row>
    <x:row r="3232">
      <x:c r="A3232" t="n">
        <x:v>3231</x:v>
      </x:c>
      <x:c r="B3232" t="n">
        <x:v>51</x:v>
      </x:c>
      <x:c r="C3232" t="str">
        <x:v>Male</x:v>
      </x:c>
      <x:c r="D3232" t="str">
        <x:v>Footwear</x:v>
      </x:c>
      <x:c r="E3232" t="str">
        <x:v>Sandals</x:v>
      </x:c>
      <x:c r="F3232" s="24" t="n">
        <x:v>46.87</x:v>
      </x:c>
      <x:c r="G3232" t="str">
        <x:v>Summer</x:v>
      </x:c>
      <x:c r="H3232" t="str">
        <x:v>Cash on Delivery</x:v>
      </x:c>
      <x:c r="I3232" t="n">
        <x:v>3.5</x:v>
      </x:c>
      <x:c r="J3232" t="n">
        <x:v>15</x:v>
      </x:c>
      <x:c r="K3232" t="n">
        <x:v>5</x:v>
      </x:c>
      <x:c r="L3232" t="str">
        <x:v>STORE-001</x:v>
      </x:c>
      <x:c r="M3232" s="22" t="n">
        <x:v>46059</x:v>
      </x:c>
      <x:c r="N3232" t="str">
        <x:v>SKU-019</x:v>
      </x:c>
      <x:c r="O3232" t="n">
        <x:v>1</x:v>
      </x:c>
      <x:c r="P3232" s="26" t="n">
        <x:f>F3232/O3232</x:f>
        <x:v>46.87</x:v>
      </x:c>
    </x:row>
    <x:row r="3233">
      <x:c r="A3233" t="n">
        <x:v>3232</x:v>
      </x:c>
      <x:c r="B3233" t="n">
        <x:v>70</x:v>
      </x:c>
      <x:c r="C3233" t="str">
        <x:v>Female</x:v>
      </x:c>
      <x:c r="D3233" t="str">
        <x:v>Accessories</x:v>
      </x:c>
      <x:c r="E3233" t="str">
        <x:v>Wallet</x:v>
      </x:c>
      <x:c r="F3233" s="24" t="n">
        <x:v>124.66</x:v>
      </x:c>
      <x:c r="G3233" t="str">
        <x:v>Spring</x:v>
      </x:c>
      <x:c r="H3233" t="str">
        <x:v>Card</x:v>
      </x:c>
      <x:c r="I3233" t="n">
        <x:v>4.6</x:v>
      </x:c>
      <x:c r="J3233" t="n">
        <x:v>19</x:v>
      </x:c>
      <x:c r="K3233" t="n">
        <x:v>7</x:v>
      </x:c>
      <x:c r="L3233" t="str">
        <x:v>STORE-001</x:v>
      </x:c>
      <x:c r="M3233" s="22" t="n">
        <x:v>45988</x:v>
      </x:c>
      <x:c r="N3233" t="str">
        <x:v>SKU-029</x:v>
      </x:c>
      <x:c r="O3233" t="n">
        <x:v>1</x:v>
      </x:c>
      <x:c r="P3233" s="26" t="n">
        <x:f>F3233/O3233</x:f>
        <x:v>124.66</x:v>
      </x:c>
    </x:row>
    <x:row r="3234">
      <x:c r="A3234" t="n">
        <x:v>3233</x:v>
      </x:c>
      <x:c r="B3234" t="n">
        <x:v>32</x:v>
      </x:c>
      <x:c r="C3234" t="str">
        <x:v>Female</x:v>
      </x:c>
      <x:c r="D3234" t="str">
        <x:v>Home</x:v>
      </x:c>
      <x:c r="E3234" t="str">
        <x:v>Lamp</x:v>
      </x:c>
      <x:c r="F3234" s="24" t="n">
        <x:v>101.07</x:v>
      </x:c>
      <x:c r="G3234" t="str">
        <x:v>Winter</x:v>
      </x:c>
      <x:c r="H3234" t="str">
        <x:v>Card</x:v>
      </x:c>
      <x:c r="I3234" t="n">
        <x:v>3.6</x:v>
      </x:c>
      <x:c r="J3234" t="n">
        <x:v>6</x:v>
      </x:c>
      <x:c r="K3234" t="n">
        <x:v>3</x:v>
      </x:c>
      <x:c r="L3234" t="str">
        <x:v>STORE-001</x:v>
      </x:c>
      <x:c r="M3234" s="22" t="n">
        <x:v>46202</x:v>
      </x:c>
      <x:c r="N3234" t="str">
        <x:v>SKU-013</x:v>
      </x:c>
      <x:c r="O3234" t="n">
        <x:v>3</x:v>
      </x:c>
      <x:c r="P3234" s="26" t="n">
        <x:f>F3234/O3234</x:f>
        <x:v>33.69</x:v>
      </x:c>
    </x:row>
    <x:row r="3235">
      <x:c r="A3235" t="n">
        <x:v>3234</x:v>
      </x:c>
      <x:c r="B3235" t="n">
        <x:v>69</x:v>
      </x:c>
      <x:c r="C3235" t="str">
        <x:v>Male</x:v>
      </x:c>
      <x:c r="D3235" t="str">
        <x:v>Sports</x:v>
      </x:c>
      <x:c r="E3235" t="str">
        <x:v>Football</x:v>
      </x:c>
      <x:c r="F3235" s="24" t="n">
        <x:v>169.69</x:v>
      </x:c>
      <x:c r="G3235" t="str">
        <x:v>Autumn</x:v>
      </x:c>
      <x:c r="H3235" t="str">
        <x:v>Card</x:v>
      </x:c>
      <x:c r="I3235" t="n">
        <x:v>3.8</x:v>
      </x:c>
      <x:c r="J3235" t="n">
        <x:v>4</x:v>
      </x:c>
      <x:c r="K3235" t="n">
        <x:v>2</x:v>
      </x:c>
      <x:c r="L3235" t="str">
        <x:v>STORE-001</x:v>
      </x:c>
      <x:c r="M3235" s="22" t="n">
        <x:v>46122</x:v>
      </x:c>
      <x:c r="N3235" t="str">
        <x:v>SKU-006</x:v>
      </x:c>
      <x:c r="O3235" t="n">
        <x:v>2</x:v>
      </x:c>
      <x:c r="P3235" s="26" t="n">
        <x:f>F3235/O3235</x:f>
        <x:v>84.845</x:v>
      </x:c>
    </x:row>
    <x:row r="3236">
      <x:c r="A3236" t="n">
        <x:v>3235</x:v>
      </x:c>
      <x:c r="B3236" t="n">
        <x:v>38</x:v>
      </x:c>
      <x:c r="C3236" t="str">
        <x:v>Female</x:v>
      </x:c>
      <x:c r="D3236" t="str">
        <x:v>Accessories</x:v>
      </x:c>
      <x:c r="E3236" t="str">
        <x:v>Handbag</x:v>
      </x:c>
      <x:c r="F3236" s="24" t="n">
        <x:v>123.74</x:v>
      </x:c>
      <x:c r="G3236" t="str">
        <x:v>Autumn</x:v>
      </x:c>
      <x:c r="H3236" t="str">
        <x:v>Card</x:v>
      </x:c>
      <x:c r="I3236" t="n">
        <x:v>3.8</x:v>
      </x:c>
      <x:c r="J3236" t="n">
        <x:v>14</x:v>
      </x:c>
      <x:c r="K3236" t="n">
        <x:v>7</x:v>
      </x:c>
      <x:c r="L3236" t="str">
        <x:v>STORE-001</x:v>
      </x:c>
      <x:c r="M3236" s="22" t="n">
        <x:v>46086</x:v>
      </x:c>
      <x:c r="N3236" t="str">
        <x:v>SKU-008</x:v>
      </x:c>
      <x:c r="O3236" t="n">
        <x:v>4</x:v>
      </x:c>
      <x:c r="P3236" s="26" t="n">
        <x:f>F3236/O3236</x:f>
        <x:v>30.935</x:v>
      </x:c>
    </x:row>
    <x:row r="3237">
      <x:c r="A3237" t="n">
        <x:v>3236</x:v>
      </x:c>
      <x:c r="B3237" t="n">
        <x:v>45</x:v>
      </x:c>
      <x:c r="C3237" t="str">
        <x:v>Male</x:v>
      </x:c>
      <x:c r="D3237" t="str">
        <x:v>Footwear</x:v>
      </x:c>
      <x:c r="E3237" t="str">
        <x:v>Sneakers</x:v>
      </x:c>
      <x:c r="F3237" s="24" t="n">
        <x:v>118.39</x:v>
      </x:c>
      <x:c r="G3237" t="str">
        <x:v>Winter</x:v>
      </x:c>
      <x:c r="H3237" t="str">
        <x:v>Card</x:v>
      </x:c>
      <x:c r="I3237" t="n">
        <x:v>5</x:v>
      </x:c>
      <x:c r="J3237" t="n">
        <x:v>18</x:v>
      </x:c>
      <x:c r="K3237" t="n">
        <x:v>4</x:v>
      </x:c>
      <x:c r="L3237" t="str">
        <x:v>STORE-001</x:v>
      </x:c>
      <x:c r="M3237" s="22" t="n">
        <x:v>46259</x:v>
      </x:c>
      <x:c r="N3237" t="str">
        <x:v>SKU-025</x:v>
      </x:c>
      <x:c r="O3237" t="n">
        <x:v>1</x:v>
      </x:c>
      <x:c r="P3237" s="26" t="n">
        <x:f>F3237/O3237</x:f>
        <x:v>118.39</x:v>
      </x:c>
    </x:row>
    <x:row r="3238">
      <x:c r="A3238" t="n">
        <x:v>3237</x:v>
      </x:c>
      <x:c r="B3238" t="n">
        <x:v>47</x:v>
      </x:c>
      <x:c r="C3238" t="str">
        <x:v>Female</x:v>
      </x:c>
      <x:c r="D3238" t="str">
        <x:v>Accessories</x:v>
      </x:c>
      <x:c r="E3238" t="str">
        <x:v>Handbag</x:v>
      </x:c>
      <x:c r="F3238" s="24" t="n">
        <x:v>167.42</x:v>
      </x:c>
      <x:c r="G3238" t="str">
        <x:v>Autumn</x:v>
      </x:c>
      <x:c r="H3238" t="str">
        <x:v>Card</x:v>
      </x:c>
      <x:c r="I3238" t="n">
        <x:v>4.1</x:v>
      </x:c>
      <x:c r="J3238" t="n">
        <x:v>13</x:v>
      </x:c>
      <x:c r="K3238" t="n">
        <x:v>4</x:v>
      </x:c>
      <x:c r="L3238" t="str">
        <x:v>STORE-001</x:v>
      </x:c>
      <x:c r="M3238" s="22" t="n">
        <x:v>46108</x:v>
      </x:c>
      <x:c r="N3238" t="str">
        <x:v>SKU-008</x:v>
      </x:c>
      <x:c r="O3238" t="n">
        <x:v>1</x:v>
      </x:c>
      <x:c r="P3238" s="26" t="n">
        <x:f>F3238/O3238</x:f>
        <x:v>167.42</x:v>
      </x:c>
    </x:row>
    <x:row r="3239">
      <x:c r="A3239" t="n">
        <x:v>3238</x:v>
      </x:c>
      <x:c r="B3239" t="n">
        <x:v>65</x:v>
      </x:c>
      <x:c r="C3239" t="str">
        <x:v>Male</x:v>
      </x:c>
      <x:c r="D3239" t="str">
        <x:v>Home</x:v>
      </x:c>
      <x:c r="E3239" t="str">
        <x:v>Curtains</x:v>
      </x:c>
      <x:c r="F3239" s="24" t="n">
        <x:v>113.63</x:v>
      </x:c>
      <x:c r="G3239" t="str">
        <x:v>Autumn</x:v>
      </x:c>
      <x:c r="H3239" t="str">
        <x:v>Card</x:v>
      </x:c>
      <x:c r="I3239" t="n">
        <x:v>3.2</x:v>
      </x:c>
      <x:c r="J3239" t="n">
        <x:v>8</x:v>
      </x:c>
      <x:c r="K3239" t="n">
        <x:v>4</x:v>
      </x:c>
      <x:c r="L3239" t="str">
        <x:v>STORE-001</x:v>
      </x:c>
      <x:c r="M3239" s="22" t="n">
        <x:v>46135</x:v>
      </x:c>
      <x:c r="N3239" t="str">
        <x:v>SKU-003</x:v>
      </x:c>
      <x:c r="O3239" t="n">
        <x:v>1</x:v>
      </x:c>
      <x:c r="P3239" s="26" t="n">
        <x:f>F3239/O3239</x:f>
        <x:v>113.63</x:v>
      </x:c>
    </x:row>
    <x:row r="3240">
      <x:c r="A3240" t="n">
        <x:v>3239</x:v>
      </x:c>
      <x:c r="B3240" t="n">
        <x:v>62</x:v>
      </x:c>
      <x:c r="C3240" t="str">
        <x:v>Female</x:v>
      </x:c>
      <x:c r="D3240" t="str">
        <x:v>Accessories</x:v>
      </x:c>
      <x:c r="E3240" t="str">
        <x:v>Handbag</x:v>
      </x:c>
      <x:c r="F3240" s="24" t="n">
        <x:v>61.6</x:v>
      </x:c>
      <x:c r="G3240" t="str">
        <x:v>Autumn</x:v>
      </x:c>
      <x:c r="H3240" t="str">
        <x:v>Card</x:v>
      </x:c>
      <x:c r="I3240" t="n">
        <x:v>3.9</x:v>
      </x:c>
      <x:c r="J3240" t="n">
        <x:v>10</x:v>
      </x:c>
      <x:c r="K3240" t="n">
        <x:v>5</x:v>
      </x:c>
      <x:c r="L3240" t="str">
        <x:v>STORE-001</x:v>
      </x:c>
      <x:c r="M3240" s="22" t="n">
        <x:v>46148</x:v>
      </x:c>
      <x:c r="N3240" t="str">
        <x:v>SKU-008</x:v>
      </x:c>
      <x:c r="O3240" t="n">
        <x:v>1</x:v>
      </x:c>
      <x:c r="P3240" s="26" t="n">
        <x:f>F3240/O3240</x:f>
        <x:v>61.6</x:v>
      </x:c>
    </x:row>
    <x:row r="3241">
      <x:c r="A3241" t="n">
        <x:v>3240</x:v>
      </x:c>
      <x:c r="B3241" t="n">
        <x:v>41</x:v>
      </x:c>
      <x:c r="C3241" t="str">
        <x:v>Female</x:v>
      </x:c>
      <x:c r="D3241" t="str">
        <x:v>Beauty</x:v>
      </x:c>
      <x:c r="E3241" t="str">
        <x:v>Makeup Set</x:v>
      </x:c>
      <x:c r="F3241" s="24" t="n">
        <x:v>29.6</x:v>
      </x:c>
      <x:c r="G3241" t="str">
        <x:v>Autumn</x:v>
      </x:c>
      <x:c r="H3241" t="str">
        <x:v>Card</x:v>
      </x:c>
      <x:c r="I3241" t="n">
        <x:v>3.5</x:v>
      </x:c>
      <x:c r="J3241" t="n">
        <x:v>8</x:v>
      </x:c>
      <x:c r="K3241" t="n">
        <x:v>4</x:v>
      </x:c>
      <x:c r="L3241" t="str">
        <x:v>STORE-001</x:v>
      </x:c>
      <x:c r="M3241" s="22" t="n">
        <x:v>46143</x:v>
      </x:c>
      <x:c r="N3241" t="str">
        <x:v>SKU-015</x:v>
      </x:c>
      <x:c r="O3241" t="n">
        <x:v>1</x:v>
      </x:c>
      <x:c r="P3241" s="26" t="n">
        <x:f>F3241/O3241</x:f>
        <x:v>29.6</x:v>
      </x:c>
    </x:row>
    <x:row r="3242">
      <x:c r="A3242" t="n">
        <x:v>3241</x:v>
      </x:c>
      <x:c r="B3242" t="n">
        <x:v>60</x:v>
      </x:c>
      <x:c r="C3242" t="str">
        <x:v>Female</x:v>
      </x:c>
      <x:c r="D3242" t="str">
        <x:v>Beauty</x:v>
      </x:c>
      <x:c r="E3242" t="str">
        <x:v>Makeup Set</x:v>
      </x:c>
      <x:c r="F3242" s="24" t="n">
        <x:v>29.4</x:v>
      </x:c>
      <x:c r="G3242" t="str">
        <x:v>Autumn</x:v>
      </x:c>
      <x:c r="H3242" t="str">
        <x:v>Cash on Delivery</x:v>
      </x:c>
      <x:c r="I3242" t="n">
        <x:v>4.2</x:v>
      </x:c>
      <x:c r="J3242" t="n">
        <x:v>11</x:v>
      </x:c>
      <x:c r="K3242" t="n">
        <x:v>3</x:v>
      </x:c>
      <x:c r="L3242" t="str">
        <x:v>STORE-001</x:v>
      </x:c>
      <x:c r="M3242" s="22" t="n">
        <x:v>46126</x:v>
      </x:c>
      <x:c r="N3242" t="str">
        <x:v>SKU-015</x:v>
      </x:c>
      <x:c r="O3242" t="n">
        <x:v>1</x:v>
      </x:c>
      <x:c r="P3242" s="26" t="n">
        <x:f>F3242/O3242</x:f>
        <x:v>29.4</x:v>
      </x:c>
    </x:row>
    <x:row r="3243">
      <x:c r="A3243" t="n">
        <x:v>3242</x:v>
      </x:c>
      <x:c r="B3243" t="n">
        <x:v>36</x:v>
      </x:c>
      <x:c r="C3243" t="str">
        <x:v>Female</x:v>
      </x:c>
      <x:c r="D3243" t="str">
        <x:v>Sports</x:v>
      </x:c>
      <x:c r="E3243" t="str">
        <x:v>Yoga Mat</x:v>
      </x:c>
      <x:c r="F3243" s="24" t="n">
        <x:v>172.71</x:v>
      </x:c>
      <x:c r="G3243" t="str">
        <x:v>Summer</x:v>
      </x:c>
      <x:c r="H3243" t="str">
        <x:v>Card</x:v>
      </x:c>
      <x:c r="I3243" t="n">
        <x:v>4.4</x:v>
      </x:c>
      <x:c r="J3243" t="n">
        <x:v>12</x:v>
      </x:c>
      <x:c r="K3243" t="n">
        <x:v>6</x:v>
      </x:c>
      <x:c r="L3243" t="str">
        <x:v>STORE-001</x:v>
      </x:c>
      <x:c r="M3243" s="22" t="n">
        <x:v>46012</x:v>
      </x:c>
      <x:c r="N3243" t="str">
        <x:v>SKU-030</x:v>
      </x:c>
      <x:c r="O3243" t="n">
        <x:v>2</x:v>
      </x:c>
      <x:c r="P3243" s="26" t="n">
        <x:f>F3243/O3243</x:f>
        <x:v>86.355</x:v>
      </x:c>
    </x:row>
    <x:row r="3244">
      <x:c r="A3244" t="n">
        <x:v>3243</x:v>
      </x:c>
      <x:c r="B3244" t="n">
        <x:v>47</x:v>
      </x:c>
      <x:c r="C3244" t="str">
        <x:v>Male</x:v>
      </x:c>
      <x:c r="D3244" t="str">
        <x:v>Footwear</x:v>
      </x:c>
      <x:c r="E3244" t="str">
        <x:v>Sandals</x:v>
      </x:c>
      <x:c r="F3244" s="24" t="n">
        <x:v>142.61</x:v>
      </x:c>
      <x:c r="G3244" t="str">
        <x:v>Winter</x:v>
      </x:c>
      <x:c r="H3244" t="str">
        <x:v>Card</x:v>
      </x:c>
      <x:c r="I3244" t="n">
        <x:v>3.8</x:v>
      </x:c>
      <x:c r="J3244" t="n">
        <x:v>20</x:v>
      </x:c>
      <x:c r="K3244" t="n">
        <x:v>5</x:v>
      </x:c>
      <x:c r="L3244" t="str">
        <x:v>STORE-001</x:v>
      </x:c>
      <x:c r="M3244" s="22" t="n">
        <x:v>46228</x:v>
      </x:c>
      <x:c r="N3244" t="str">
        <x:v>SKU-019</x:v>
      </x:c>
      <x:c r="O3244" t="n">
        <x:v>1</x:v>
      </x:c>
      <x:c r="P3244" s="26" t="n">
        <x:f>F3244/O3244</x:f>
        <x:v>142.61</x:v>
      </x:c>
    </x:row>
    <x:row r="3245">
      <x:c r="A3245" t="n">
        <x:v>3244</x:v>
      </x:c>
      <x:c r="B3245" t="n">
        <x:v>66</x:v>
      </x:c>
      <x:c r="C3245" t="str">
        <x:v>Female</x:v>
      </x:c>
      <x:c r="D3245" t="str">
        <x:v>Footwear</x:v>
      </x:c>
      <x:c r="E3245" t="str">
        <x:v>Sandals</x:v>
      </x:c>
      <x:c r="F3245" s="24" t="n">
        <x:v>214.77</x:v>
      </x:c>
      <x:c r="G3245" t="str">
        <x:v>Spring</x:v>
      </x:c>
      <x:c r="H3245" t="str">
        <x:v>Card</x:v>
      </x:c>
      <x:c r="I3245" t="n">
        <x:v>2.9</x:v>
      </x:c>
      <x:c r="J3245" t="n">
        <x:v>11</x:v>
      </x:c>
      <x:c r="K3245" t="n">
        <x:v>3</x:v>
      </x:c>
      <x:c r="L3245" t="str">
        <x:v>STORE-001</x:v>
      </x:c>
      <x:c r="M3245" s="22" t="n">
        <x:v>45988</x:v>
      </x:c>
      <x:c r="N3245" t="str">
        <x:v>SKU-019</x:v>
      </x:c>
      <x:c r="O3245" t="n">
        <x:v>2</x:v>
      </x:c>
      <x:c r="P3245" s="26" t="n">
        <x:f>F3245/O3245</x:f>
        <x:v>107.385</x:v>
      </x:c>
    </x:row>
    <x:row r="3246">
      <x:c r="A3246" t="n">
        <x:v>3245</x:v>
      </x:c>
      <x:c r="B3246" t="n">
        <x:v>50</x:v>
      </x:c>
      <x:c r="C3246" t="str">
        <x:v>Male</x:v>
      </x:c>
      <x:c r="D3246" t="str">
        <x:v>Mens Clothing</x:v>
      </x:c>
      <x:c r="E3246" t="str">
        <x:v>T-Shirt</x:v>
      </x:c>
      <x:c r="F3246" s="24" t="n">
        <x:v>178.6</x:v>
      </x:c>
      <x:c r="G3246" t="str">
        <x:v>Spring</x:v>
      </x:c>
      <x:c r="H3246" t="str">
        <x:v>Card</x:v>
      </x:c>
      <x:c r="I3246" t="n">
        <x:v>3.6</x:v>
      </x:c>
      <x:c r="J3246" t="n">
        <x:v>11</x:v>
      </x:c>
      <x:c r="K3246" t="n">
        <x:v>3</x:v>
      </x:c>
      <x:c r="L3246" t="str">
        <x:v>STORE-001</x:v>
      </x:c>
      <x:c r="M3246" s="22" t="n">
        <x:v>45955</x:v>
      </x:c>
      <x:c r="N3246" t="str">
        <x:v>SKU-027</x:v>
      </x:c>
      <x:c r="O3246" t="n">
        <x:v>1</x:v>
      </x:c>
      <x:c r="P3246" s="26" t="n">
        <x:f>F3246/O3246</x:f>
        <x:v>178.6</x:v>
      </x:c>
    </x:row>
    <x:row r="3247">
      <x:c r="A3247" t="n">
        <x:v>3246</x:v>
      </x:c>
      <x:c r="B3247" t="n">
        <x:v>55</x:v>
      </x:c>
      <x:c r="C3247" t="str">
        <x:v>Female</x:v>
      </x:c>
      <x:c r="D3247" t="str">
        <x:v>Home</x:v>
      </x:c>
      <x:c r="E3247" t="str">
        <x:v>Kitchen Set</x:v>
      </x:c>
      <x:c r="F3247" s="24" t="n">
        <x:v>41.18</x:v>
      </x:c>
      <x:c r="G3247" t="str">
        <x:v>Spring</x:v>
      </x:c>
      <x:c r="H3247" t="str">
        <x:v>Card</x:v>
      </x:c>
      <x:c r="I3247" t="n">
        <x:v>4.8</x:v>
      </x:c>
      <x:c r="J3247" t="n">
        <x:v>18</x:v>
      </x:c>
      <x:c r="K3247" t="n">
        <x:v>9</x:v>
      </x:c>
      <x:c r="L3247" t="str">
        <x:v>STORE-001</x:v>
      </x:c>
      <x:c r="M3247" s="22" t="n">
        <x:v>45934</x:v>
      </x:c>
      <x:c r="N3247" t="str">
        <x:v>SKU-012</x:v>
      </x:c>
      <x:c r="O3247" t="n">
        <x:v>3</x:v>
      </x:c>
      <x:c r="P3247" s="26" t="n">
        <x:f>F3247/O3247</x:f>
        <x:v>13.726666666666667</x:v>
      </x:c>
    </x:row>
    <x:row r="3248">
      <x:c r="A3248" t="n">
        <x:v>3247</x:v>
      </x:c>
      <x:c r="B3248" t="n">
        <x:v>54</x:v>
      </x:c>
      <x:c r="C3248" t="str">
        <x:v>Female</x:v>
      </x:c>
      <x:c r="D3248" t="str">
        <x:v>Beauty</x:v>
      </x:c>
      <x:c r="E3248" t="str">
        <x:v>Skincare Kit</x:v>
      </x:c>
      <x:c r="F3248" s="24" t="n">
        <x:v>117.16</x:v>
      </x:c>
      <x:c r="G3248" t="str">
        <x:v>Winter</x:v>
      </x:c>
      <x:c r="H3248" t="str">
        <x:v>Card</x:v>
      </x:c>
      <x:c r="I3248" t="n">
        <x:v>4.3</x:v>
      </x:c>
      <x:c r="J3248" t="n">
        <x:v>28</x:v>
      </x:c>
      <x:c r="K3248" t="n">
        <x:v>9</x:v>
      </x:c>
      <x:c r="L3248" t="str">
        <x:v>STORE-001</x:v>
      </x:c>
      <x:c r="M3248" s="22" t="n">
        <x:v>46201</x:v>
      </x:c>
      <x:c r="N3248" t="str">
        <x:v>SKU-021</x:v>
      </x:c>
      <x:c r="O3248" t="n">
        <x:v>3</x:v>
      </x:c>
      <x:c r="P3248" s="26" t="n">
        <x:f>F3248/O3248</x:f>
        <x:v>39.053333333333335</x:v>
      </x:c>
    </x:row>
    <x:row r="3249">
      <x:c r="A3249" t="n">
        <x:v>3248</x:v>
      </x:c>
      <x:c r="B3249" t="n">
        <x:v>21</x:v>
      </x:c>
      <x:c r="C3249" t="str">
        <x:v>Male</x:v>
      </x:c>
      <x:c r="D3249" t="str">
        <x:v>Sports</x:v>
      </x:c>
      <x:c r="E3249" t="str">
        <x:v>Dumbbells</x:v>
      </x:c>
      <x:c r="F3249" s="24" t="n">
        <x:v>65.96</x:v>
      </x:c>
      <x:c r="G3249" t="str">
        <x:v>Summer</x:v>
      </x:c>
      <x:c r="H3249" t="str">
        <x:v>Card</x:v>
      </x:c>
      <x:c r="I3249" t="n">
        <x:v>5</x:v>
      </x:c>
      <x:c r="J3249" t="n">
        <x:v>22</x:v>
      </x:c>
      <x:c r="K3249" t="n">
        <x:v>6</x:v>
      </x:c>
      <x:c r="L3249" t="str">
        <x:v>STORE-001</x:v>
      </x:c>
      <x:c r="M3249" s="22" t="n">
        <x:v>46012</x:v>
      </x:c>
      <x:c r="N3249" t="str">
        <x:v>SKU-005</x:v>
      </x:c>
      <x:c r="O3249" t="n">
        <x:v>1</x:v>
      </x:c>
      <x:c r="P3249" s="26" t="n">
        <x:f>F3249/O3249</x:f>
        <x:v>65.96</x:v>
      </x:c>
    </x:row>
    <x:row r="3250">
      <x:c r="A3250" t="n">
        <x:v>3249</x:v>
      </x:c>
      <x:c r="B3250" t="n">
        <x:v>41</x:v>
      </x:c>
      <x:c r="C3250" t="str">
        <x:v>Female</x:v>
      </x:c>
      <x:c r="D3250" t="str">
        <x:v>Beauty</x:v>
      </x:c>
      <x:c r="E3250" t="str">
        <x:v>Perfume</x:v>
      </x:c>
      <x:c r="F3250" s="24" t="n">
        <x:v>48.64</x:v>
      </x:c>
      <x:c r="G3250" t="str">
        <x:v>Summer</x:v>
      </x:c>
      <x:c r="H3250" t="str">
        <x:v>Card</x:v>
      </x:c>
      <x:c r="I3250" t="n">
        <x:v>2.7</x:v>
      </x:c>
      <x:c r="J3250" t="n">
        <x:v>8</x:v>
      </x:c>
      <x:c r="K3250" t="n">
        <x:v>4</x:v>
      </x:c>
      <x:c r="L3250" t="str">
        <x:v>STORE-001</x:v>
      </x:c>
      <x:c r="M3250" s="22" t="n">
        <x:v>46006</x:v>
      </x:c>
      <x:c r="N3250" t="str">
        <x:v>SKU-017</x:v>
      </x:c>
      <x:c r="O3250" t="n">
        <x:v>1</x:v>
      </x:c>
      <x:c r="P3250" s="26" t="n">
        <x:f>F3250/O3250</x:f>
        <x:v>48.64</x:v>
      </x:c>
    </x:row>
    <x:row r="3251">
      <x:c r="A3251" t="n">
        <x:v>3250</x:v>
      </x:c>
      <x:c r="B3251" t="n">
        <x:v>58</x:v>
      </x:c>
      <x:c r="C3251" t="str">
        <x:v>Male</x:v>
      </x:c>
      <x:c r="D3251" t="str">
        <x:v>Sports</x:v>
      </x:c>
      <x:c r="E3251" t="str">
        <x:v>Dumbbells</x:v>
      </x:c>
      <x:c r="F3251" s="24" t="n">
        <x:v>246.31</x:v>
      </x:c>
      <x:c r="G3251" t="str">
        <x:v>Winter</x:v>
      </x:c>
      <x:c r="H3251" t="str">
        <x:v>Card</x:v>
      </x:c>
      <x:c r="I3251" t="n">
        <x:v>3.9</x:v>
      </x:c>
      <x:c r="J3251" t="n">
        <x:v>20</x:v>
      </x:c>
      <x:c r="K3251" t="n">
        <x:v>5</x:v>
      </x:c>
      <x:c r="L3251" t="str">
        <x:v>STORE-001</x:v>
      </x:c>
      <x:c r="M3251" s="22" t="n">
        <x:v>46229</x:v>
      </x:c>
      <x:c r="N3251" t="str">
        <x:v>SKU-005</x:v>
      </x:c>
      <x:c r="O3251" t="n">
        <x:v>1</x:v>
      </x:c>
      <x:c r="P3251" s="26" t="n">
        <x:f>F3251/O3251</x:f>
        <x:v>246.31</x:v>
      </x:c>
    </x:row>
    <x:row r="3252">
      <x:c r="A3252" t="n">
        <x:v>3251</x:v>
      </x:c>
      <x:c r="B3252" t="n">
        <x:v>56</x:v>
      </x:c>
      <x:c r="C3252" t="str">
        <x:v>Male</x:v>
      </x:c>
      <x:c r="D3252" t="str">
        <x:v>Electronics</x:v>
      </x:c>
      <x:c r="E3252" t="str">
        <x:v>Mobile Phone</x:v>
      </x:c>
      <x:c r="F3252" s="24" t="n">
        <x:v>648.62</x:v>
      </x:c>
      <x:c r="G3252" t="str">
        <x:v>Summer</x:v>
      </x:c>
      <x:c r="H3252" t="str">
        <x:v>Card</x:v>
      </x:c>
      <x:c r="I3252" t="n">
        <x:v>3.3</x:v>
      </x:c>
      <x:c r="J3252" t="n">
        <x:v>12</x:v>
      </x:c>
      <x:c r="K3252" t="n">
        <x:v>6</x:v>
      </x:c>
      <x:c r="L3252" t="str">
        <x:v>STORE-001</x:v>
      </x:c>
      <x:c r="M3252" s="22" t="n">
        <x:v>46019</x:v>
      </x:c>
      <x:c r="N3252" t="str">
        <x:v>SKU-016</x:v>
      </x:c>
      <x:c r="O3252" t="n">
        <x:v>1</x:v>
      </x:c>
      <x:c r="P3252" s="26" t="n">
        <x:f>F3252/O3252</x:f>
        <x:v>648.62</x:v>
      </x:c>
    </x:row>
    <x:row r="3253">
      <x:c r="A3253" t="n">
        <x:v>3252</x:v>
      </x:c>
      <x:c r="B3253" t="n">
        <x:v>51</x:v>
      </x:c>
      <x:c r="C3253" t="str">
        <x:v>Female</x:v>
      </x:c>
      <x:c r="D3253" t="str">
        <x:v>Groceries</x:v>
      </x:c>
      <x:c r="E3253" t="str">
        <x:v>Snacks</x:v>
      </x:c>
      <x:c r="F3253" s="24" t="n">
        <x:v>67.67</x:v>
      </x:c>
      <x:c r="G3253" t="str">
        <x:v>Autumn</x:v>
      </x:c>
      <x:c r="H3253" t="str">
        <x:v>Cash on Delivery</x:v>
      </x:c>
      <x:c r="I3253" t="n">
        <x:v>3.9</x:v>
      </x:c>
      <x:c r="J3253" t="n">
        <x:v>18</x:v>
      </x:c>
      <x:c r="K3253" t="n">
        <x:v>4</x:v>
      </x:c>
      <x:c r="L3253" t="str">
        <x:v>STORE-001</x:v>
      </x:c>
      <x:c r="M3253" s="22" t="n">
        <x:v>46100</x:v>
      </x:c>
      <x:c r="N3253" t="str">
        <x:v>SKU-024</x:v>
      </x:c>
      <x:c r="O3253" t="n">
        <x:v>4</x:v>
      </x:c>
      <x:c r="P3253" s="26" t="n">
        <x:f>F3253/O3253</x:f>
        <x:v>16.9175</x:v>
      </x:c>
    </x:row>
    <x:row r="3254">
      <x:c r="A3254" t="n">
        <x:v>3253</x:v>
      </x:c>
      <x:c r="B3254" t="n">
        <x:v>38</x:v>
      </x:c>
      <x:c r="C3254" t="str">
        <x:v>Male</x:v>
      </x:c>
      <x:c r="D3254" t="str">
        <x:v>Mens Clothing</x:v>
      </x:c>
      <x:c r="E3254" t="str">
        <x:v>T-Shirt</x:v>
      </x:c>
      <x:c r="F3254" s="24" t="n">
        <x:v>154.49</x:v>
      </x:c>
      <x:c r="G3254" t="str">
        <x:v>Autumn</x:v>
      </x:c>
      <x:c r="H3254" t="str">
        <x:v>Card</x:v>
      </x:c>
      <x:c r="I3254" t="n">
        <x:v>3.2</x:v>
      </x:c>
      <x:c r="J3254" t="n">
        <x:v>11</x:v>
      </x:c>
      <x:c r="K3254" t="n">
        <x:v>3</x:v>
      </x:c>
      <x:c r="L3254" t="str">
        <x:v>STORE-001</x:v>
      </x:c>
      <x:c r="M3254" s="22" t="n">
        <x:v>46100</x:v>
      </x:c>
      <x:c r="N3254" t="str">
        <x:v>SKU-027</x:v>
      </x:c>
      <x:c r="O3254" t="n">
        <x:v>1</x:v>
      </x:c>
      <x:c r="P3254" s="26" t="n">
        <x:f>F3254/O3254</x:f>
        <x:v>154.49</x:v>
      </x:c>
    </x:row>
    <x:row r="3255">
      <x:c r="A3255" t="n">
        <x:v>3254</x:v>
      </x:c>
      <x:c r="B3255" t="n">
        <x:v>29</x:v>
      </x:c>
      <x:c r="C3255" t="str">
        <x:v>Male</x:v>
      </x:c>
      <x:c r="D3255" t="str">
        <x:v>Sports</x:v>
      </x:c>
      <x:c r="E3255" t="str">
        <x:v>Yoga Mat</x:v>
      </x:c>
      <x:c r="F3255" s="24" t="n">
        <x:v>51.12</x:v>
      </x:c>
      <x:c r="G3255" t="str">
        <x:v>Spring</x:v>
      </x:c>
      <x:c r="H3255" t="str">
        <x:v>Card</x:v>
      </x:c>
      <x:c r="I3255" t="n">
        <x:v>4.9</x:v>
      </x:c>
      <x:c r="J3255" t="n">
        <x:v>30</x:v>
      </x:c>
      <x:c r="K3255" t="n">
        <x:v>10</x:v>
      </x:c>
      <x:c r="L3255" t="str">
        <x:v>STORE-001</x:v>
      </x:c>
      <x:c r="M3255" s="22" t="n">
        <x:v>45991</x:v>
      </x:c>
      <x:c r="N3255" t="str">
        <x:v>SKU-030</x:v>
      </x:c>
      <x:c r="O3255" t="n">
        <x:v>1</x:v>
      </x:c>
      <x:c r="P3255" s="26" t="n">
        <x:f>F3255/O3255</x:f>
        <x:v>51.12</x:v>
      </x:c>
    </x:row>
    <x:row r="3256">
      <x:c r="A3256" t="n">
        <x:v>3255</x:v>
      </x:c>
      <x:c r="B3256" t="n">
        <x:v>70</x:v>
      </x:c>
      <x:c r="C3256" t="str">
        <x:v>Female</x:v>
      </x:c>
      <x:c r="D3256" t="str">
        <x:v>Accessories</x:v>
      </x:c>
      <x:c r="E3256" t="str">
        <x:v>Wallet</x:v>
      </x:c>
      <x:c r="F3256" s="24" t="n">
        <x:v>115.94</x:v>
      </x:c>
      <x:c r="G3256" t="str">
        <x:v>Spring</x:v>
      </x:c>
      <x:c r="H3256" t="str">
        <x:v>Card</x:v>
      </x:c>
      <x:c r="I3256" t="n">
        <x:v>4.4</x:v>
      </x:c>
      <x:c r="J3256" t="n">
        <x:v>6</x:v>
      </x:c>
      <x:c r="K3256" t="n">
        <x:v>3</x:v>
      </x:c>
      <x:c r="L3256" t="str">
        <x:v>STORE-001</x:v>
      </x:c>
      <x:c r="M3256" s="22" t="n">
        <x:v>46273</x:v>
      </x:c>
      <x:c r="N3256" t="str">
        <x:v>SKU-029</x:v>
      </x:c>
      <x:c r="O3256" t="n">
        <x:v>1</x:v>
      </x:c>
      <x:c r="P3256" s="26" t="n">
        <x:f>F3256/O3256</x:f>
        <x:v>115.94</x:v>
      </x:c>
    </x:row>
    <x:row r="3257">
      <x:c r="A3257" t="n">
        <x:v>3256</x:v>
      </x:c>
      <x:c r="B3257" t="n">
        <x:v>49</x:v>
      </x:c>
      <x:c r="C3257" t="str">
        <x:v>Female</x:v>
      </x:c>
      <x:c r="D3257" t="str">
        <x:v>Beauty</x:v>
      </x:c>
      <x:c r="E3257" t="str">
        <x:v>Perfume</x:v>
      </x:c>
      <x:c r="F3257" s="24" t="n">
        <x:v>132.49</x:v>
      </x:c>
      <x:c r="G3257" t="str">
        <x:v>Winter</x:v>
      </x:c>
      <x:c r="H3257" t="str">
        <x:v>Card</x:v>
      </x:c>
      <x:c r="I3257" t="n">
        <x:v>2.3</x:v>
      </x:c>
      <x:c r="J3257" t="n">
        <x:v>15</x:v>
      </x:c>
      <x:c r="K3257" t="n">
        <x:v>5</x:v>
      </x:c>
      <x:c r="L3257" t="str">
        <x:v>STORE-001</x:v>
      </x:c>
      <x:c r="M3257" s="22" t="n">
        <x:v>46178</x:v>
      </x:c>
      <x:c r="N3257" t="str">
        <x:v>SKU-017</x:v>
      </x:c>
      <x:c r="O3257" t="n">
        <x:v>1</x:v>
      </x:c>
      <x:c r="P3257" s="26" t="n">
        <x:f>F3257/O3257</x:f>
        <x:v>132.49</x:v>
      </x:c>
    </x:row>
    <x:row r="3258">
      <x:c r="A3258" t="n">
        <x:v>3257</x:v>
      </x:c>
      <x:c r="B3258" t="n">
        <x:v>69</x:v>
      </x:c>
      <x:c r="C3258" t="str">
        <x:v>Male</x:v>
      </x:c>
      <x:c r="D3258" t="str">
        <x:v>Footwear</x:v>
      </x:c>
      <x:c r="E3258" t="str">
        <x:v>Sandals</x:v>
      </x:c>
      <x:c r="F3258" s="24" t="n">
        <x:v>194.63</x:v>
      </x:c>
      <x:c r="G3258" t="str">
        <x:v>Winter</x:v>
      </x:c>
      <x:c r="H3258" t="str">
        <x:v>Card</x:v>
      </x:c>
      <x:c r="I3258" t="n">
        <x:v>4.7</x:v>
      </x:c>
      <x:c r="J3258" t="n">
        <x:v>9</x:v>
      </x:c>
      <x:c r="K3258" t="n">
        <x:v>2</x:v>
      </x:c>
      <x:c r="L3258" t="str">
        <x:v>STORE-001</x:v>
      </x:c>
      <x:c r="M3258" s="22" t="n">
        <x:v>46184</x:v>
      </x:c>
      <x:c r="N3258" t="str">
        <x:v>SKU-019</x:v>
      </x:c>
      <x:c r="O3258" t="n">
        <x:v>2</x:v>
      </x:c>
      <x:c r="P3258" s="26" t="n">
        <x:f>F3258/O3258</x:f>
        <x:v>97.315</x:v>
      </x:c>
    </x:row>
    <x:row r="3259">
      <x:c r="A3259" t="n">
        <x:v>3258</x:v>
      </x:c>
      <x:c r="B3259" t="n">
        <x:v>34</x:v>
      </x:c>
      <x:c r="C3259" t="str">
        <x:v>Male</x:v>
      </x:c>
      <x:c r="D3259" t="str">
        <x:v>Footwear</x:v>
      </x:c>
      <x:c r="E3259" t="str">
        <x:v>Formal Shoes</x:v>
      </x:c>
      <x:c r="F3259" s="24" t="n">
        <x:v>113.73</x:v>
      </x:c>
      <x:c r="G3259" t="str">
        <x:v>Autumn</x:v>
      </x:c>
      <x:c r="H3259" t="str">
        <x:v>Card</x:v>
      </x:c>
      <x:c r="I3259" t="n">
        <x:v>3.6</x:v>
      </x:c>
      <x:c r="J3259" t="n">
        <x:v>21</x:v>
      </x:c>
      <x:c r="K3259" t="n">
        <x:v>8</x:v>
      </x:c>
      <x:c r="L3259" t="str">
        <x:v>STORE-001</x:v>
      </x:c>
      <x:c r="M3259" s="22" t="n">
        <x:v>46151</x:v>
      </x:c>
      <x:c r="N3259" t="str">
        <x:v>SKU-007</x:v>
      </x:c>
      <x:c r="O3259" t="n">
        <x:v>1</x:v>
      </x:c>
      <x:c r="P3259" s="26" t="n">
        <x:f>F3259/O3259</x:f>
        <x:v>113.73</x:v>
      </x:c>
    </x:row>
    <x:row r="3260">
      <x:c r="A3260" t="n">
        <x:v>3259</x:v>
      </x:c>
      <x:c r="B3260" t="n">
        <x:v>58</x:v>
      </x:c>
      <x:c r="C3260" t="str">
        <x:v>Female</x:v>
      </x:c>
      <x:c r="D3260" t="str">
        <x:v>Sports</x:v>
      </x:c>
      <x:c r="E3260" t="str">
        <x:v>Yoga Mat</x:v>
      </x:c>
      <x:c r="F3260" s="24" t="n">
        <x:v>84.1</x:v>
      </x:c>
      <x:c r="G3260" t="str">
        <x:v>Spring</x:v>
      </x:c>
      <x:c r="H3260" t="str">
        <x:v>Card</x:v>
      </x:c>
      <x:c r="I3260" t="n">
        <x:v>3.8</x:v>
      </x:c>
      <x:c r="J3260" t="n">
        <x:v>16</x:v>
      </x:c>
      <x:c r="K3260" t="n">
        <x:v>3</x:v>
      </x:c>
      <x:c r="L3260" t="str">
        <x:v>STORE-001</x:v>
      </x:c>
      <x:c r="M3260" s="22" t="n">
        <x:v>46280</x:v>
      </x:c>
      <x:c r="N3260" t="str">
        <x:v>SKU-030</x:v>
      </x:c>
      <x:c r="O3260" t="n">
        <x:v>1</x:v>
      </x:c>
      <x:c r="P3260" s="26" t="n">
        <x:f>F3260/O3260</x:f>
        <x:v>84.1</x:v>
      </x:c>
    </x:row>
    <x:row r="3261">
      <x:c r="A3261" t="n">
        <x:v>3260</x:v>
      </x:c>
      <x:c r="B3261" t="n">
        <x:v>60</x:v>
      </x:c>
      <x:c r="C3261" t="str">
        <x:v>Male</x:v>
      </x:c>
      <x:c r="D3261" t="str">
        <x:v>Electronics</x:v>
      </x:c>
      <x:c r="E3261" t="str">
        <x:v>Smart Watch</x:v>
      </x:c>
      <x:c r="F3261" s="24" t="n">
        <x:v>2936.08</x:v>
      </x:c>
      <x:c r="G3261" t="str">
        <x:v>Summer</x:v>
      </x:c>
      <x:c r="H3261" t="str">
        <x:v>Card</x:v>
      </x:c>
      <x:c r="I3261" t="n">
        <x:v>5</x:v>
      </x:c>
      <x:c r="J3261" t="n">
        <x:v>20</x:v>
      </x:c>
      <x:c r="K3261" t="n">
        <x:v>5</x:v>
      </x:c>
      <x:c r="L3261" t="str">
        <x:v>STORE-001</x:v>
      </x:c>
      <x:c r="M3261" s="22" t="n">
        <x:v>46023</x:v>
      </x:c>
      <x:c r="N3261" t="str">
        <x:v>SKU-023</x:v>
      </x:c>
      <x:c r="O3261" t="n">
        <x:v>1</x:v>
      </x:c>
      <x:c r="P3261" s="26" t="n">
        <x:f>F3261/O3261</x:f>
        <x:v>2936.08</x:v>
      </x:c>
    </x:row>
    <x:row r="3262">
      <x:c r="A3262" t="n">
        <x:v>3261</x:v>
      </x:c>
      <x:c r="B3262" t="n">
        <x:v>51</x:v>
      </x:c>
      <x:c r="C3262" t="str">
        <x:v>Male</x:v>
      </x:c>
      <x:c r="D3262" t="str">
        <x:v>Electronics</x:v>
      </x:c>
      <x:c r="E3262" t="str">
        <x:v>Smart Watch</x:v>
      </x:c>
      <x:c r="F3262" s="24" t="n">
        <x:v>1369.63</x:v>
      </x:c>
      <x:c r="G3262" t="str">
        <x:v>Summer</x:v>
      </x:c>
      <x:c r="H3262" t="str">
        <x:v>Card</x:v>
      </x:c>
      <x:c r="I3262" t="n">
        <x:v>3</x:v>
      </x:c>
      <x:c r="J3262" t="n">
        <x:v>10</x:v>
      </x:c>
      <x:c r="K3262" t="n">
        <x:v>5</x:v>
      </x:c>
      <x:c r="L3262" t="str">
        <x:v>STORE-001</x:v>
      </x:c>
      <x:c r="M3262" s="22" t="n">
        <x:v>46011</x:v>
      </x:c>
      <x:c r="N3262" t="str">
        <x:v>SKU-023</x:v>
      </x:c>
      <x:c r="O3262" t="n">
        <x:v>1</x:v>
      </x:c>
      <x:c r="P3262" s="26" t="n">
        <x:f>F3262/O3262</x:f>
        <x:v>1369.63</x:v>
      </x:c>
    </x:row>
    <x:row r="3263">
      <x:c r="A3263" t="n">
        <x:v>3262</x:v>
      </x:c>
      <x:c r="B3263" t="n">
        <x:v>68</x:v>
      </x:c>
      <x:c r="C3263" t="str">
        <x:v>Female</x:v>
      </x:c>
      <x:c r="D3263" t="str">
        <x:v>Beauty</x:v>
      </x:c>
      <x:c r="E3263" t="str">
        <x:v>Makeup Set</x:v>
      </x:c>
      <x:c r="F3263" s="24" t="n">
        <x:v>23.21</x:v>
      </x:c>
      <x:c r="G3263" t="str">
        <x:v>Autumn</x:v>
      </x:c>
      <x:c r="H3263" t="str">
        <x:v>Card</x:v>
      </x:c>
      <x:c r="I3263" t="n">
        <x:v>5</x:v>
      </x:c>
      <x:c r="J3263" t="n">
        <x:v>11</x:v>
      </x:c>
      <x:c r="K3263" t="n">
        <x:v>3</x:v>
      </x:c>
      <x:c r="L3263" t="str">
        <x:v>STORE-001</x:v>
      </x:c>
      <x:c r="M3263" s="22" t="n">
        <x:v>46126</x:v>
      </x:c>
      <x:c r="N3263" t="str">
        <x:v>SKU-015</x:v>
      </x:c>
      <x:c r="O3263" t="n">
        <x:v>2</x:v>
      </x:c>
      <x:c r="P3263" s="26" t="n">
        <x:f>F3263/O3263</x:f>
        <x:v>11.605</x:v>
      </x:c>
    </x:row>
    <x:row r="3264">
      <x:c r="A3264" t="n">
        <x:v>3263</x:v>
      </x:c>
      <x:c r="B3264" t="n">
        <x:v>40</x:v>
      </x:c>
      <x:c r="C3264" t="str">
        <x:v>Male</x:v>
      </x:c>
      <x:c r="D3264" t="str">
        <x:v>Sports</x:v>
      </x:c>
      <x:c r="E3264" t="str">
        <x:v>Yoga Mat</x:v>
      </x:c>
      <x:c r="F3264" s="24" t="n">
        <x:v>231.3</x:v>
      </x:c>
      <x:c r="G3264" t="str">
        <x:v>Winter</x:v>
      </x:c>
      <x:c r="H3264" t="str">
        <x:v>Card</x:v>
      </x:c>
      <x:c r="I3264" t="n">
        <x:v>4</x:v>
      </x:c>
      <x:c r="J3264" t="n">
        <x:v>8</x:v>
      </x:c>
      <x:c r="K3264" t="n">
        <x:v>4</x:v>
      </x:c>
      <x:c r="L3264" t="str">
        <x:v>STORE-001</x:v>
      </x:c>
      <x:c r="M3264" s="22" t="n">
        <x:v>46237</x:v>
      </x:c>
      <x:c r="N3264" t="str">
        <x:v>SKU-030</x:v>
      </x:c>
      <x:c r="O3264" t="n">
        <x:v>1</x:v>
      </x:c>
      <x:c r="P3264" s="26" t="n">
        <x:f>F3264/O3264</x:f>
        <x:v>231.3</x:v>
      </x:c>
    </x:row>
    <x:row r="3265">
      <x:c r="A3265" t="n">
        <x:v>3264</x:v>
      </x:c>
      <x:c r="B3265" t="n">
        <x:v>31</x:v>
      </x:c>
      <x:c r="C3265" t="str">
        <x:v>Male</x:v>
      </x:c>
      <x:c r="D3265" t="str">
        <x:v>Sports</x:v>
      </x:c>
      <x:c r="E3265" t="str">
        <x:v>Football</x:v>
      </x:c>
      <x:c r="F3265" s="24" t="n">
        <x:v>212.05</x:v>
      </x:c>
      <x:c r="G3265" t="str">
        <x:v>Autumn</x:v>
      </x:c>
      <x:c r="H3265" t="str">
        <x:v>Card</x:v>
      </x:c>
      <x:c r="I3265" t="n">
        <x:v>3.5</x:v>
      </x:c>
      <x:c r="J3265" t="n">
        <x:v>15</x:v>
      </x:c>
      <x:c r="K3265" t="n">
        <x:v>5</x:v>
      </x:c>
      <x:c r="L3265" t="str">
        <x:v>STORE-001</x:v>
      </x:c>
      <x:c r="M3265" s="22" t="n">
        <x:v>46155</x:v>
      </x:c>
      <x:c r="N3265" t="str">
        <x:v>SKU-006</x:v>
      </x:c>
      <x:c r="O3265" t="n">
        <x:v>2</x:v>
      </x:c>
      <x:c r="P3265" s="26" t="n">
        <x:f>F3265/O3265</x:f>
        <x:v>106.025</x:v>
      </x:c>
    </x:row>
    <x:row r="3266">
      <x:c r="A3266" t="n">
        <x:v>3265</x:v>
      </x:c>
      <x:c r="B3266" t="n">
        <x:v>20</x:v>
      </x:c>
      <x:c r="C3266" t="str">
        <x:v>Female</x:v>
      </x:c>
      <x:c r="D3266" t="str">
        <x:v>Womens Clothing</x:v>
      </x:c>
      <x:c r="E3266" t="str">
        <x:v>Top</x:v>
      </x:c>
      <x:c r="F3266" s="24" t="n">
        <x:v>78.09</x:v>
      </x:c>
      <x:c r="G3266" t="str">
        <x:v>Winter</x:v>
      </x:c>
      <x:c r="H3266" t="str">
        <x:v>Cash on Delivery</x:v>
      </x:c>
      <x:c r="I3266" t="n">
        <x:v>4.1</x:v>
      </x:c>
      <x:c r="J3266" t="n">
        <x:v>8</x:v>
      </x:c>
      <x:c r="K3266" t="n">
        <x:v>4</x:v>
      </x:c>
      <x:c r="L3266" t="str">
        <x:v>STORE-001</x:v>
      </x:c>
      <x:c r="M3266" s="22" t="n">
        <x:v>46206</x:v>
      </x:c>
      <x:c r="N3266" t="str">
        <x:v>SKU-028</x:v>
      </x:c>
      <x:c r="O3266" t="n">
        <x:v>1</x:v>
      </x:c>
      <x:c r="P3266" s="26" t="n">
        <x:f>F3266/O3266</x:f>
        <x:v>78.09</x:v>
      </x:c>
    </x:row>
    <x:row r="3267">
      <x:c r="A3267" t="n">
        <x:v>3266</x:v>
      </x:c>
      <x:c r="B3267" t="n">
        <x:v>35</x:v>
      </x:c>
      <x:c r="C3267" t="str">
        <x:v>Male</x:v>
      </x:c>
      <x:c r="D3267" t="str">
        <x:v>Sports</x:v>
      </x:c>
      <x:c r="E3267" t="str">
        <x:v>Yoga Mat</x:v>
      </x:c>
      <x:c r="F3267" s="24" t="n">
        <x:v>189.56</x:v>
      </x:c>
      <x:c r="G3267" t="str">
        <x:v>Autumn</x:v>
      </x:c>
      <x:c r="H3267" t="str">
        <x:v>Card</x:v>
      </x:c>
      <x:c r="I3267" t="n">
        <x:v>4.5</x:v>
      </x:c>
      <x:c r="J3267" t="n">
        <x:v>11</x:v>
      </x:c>
      <x:c r="K3267" t="n">
        <x:v>3</x:v>
      </x:c>
      <x:c r="L3267" t="str">
        <x:v>STORE-001</x:v>
      </x:c>
      <x:c r="M3267" s="22" t="n">
        <x:v>46112</x:v>
      </x:c>
      <x:c r="N3267" t="str">
        <x:v>SKU-030</x:v>
      </x:c>
      <x:c r="O3267" t="n">
        <x:v>2</x:v>
      </x:c>
      <x:c r="P3267" s="26" t="n">
        <x:f>F3267/O3267</x:f>
        <x:v>94.78</x:v>
      </x:c>
    </x:row>
    <x:row r="3268">
      <x:c r="A3268" t="n">
        <x:v>3267</x:v>
      </x:c>
      <x:c r="B3268" t="n">
        <x:v>39</x:v>
      </x:c>
      <x:c r="C3268" t="str">
        <x:v>Female</x:v>
      </x:c>
      <x:c r="D3268" t="str">
        <x:v>Footwear</x:v>
      </x:c>
      <x:c r="E3268" t="str">
        <x:v>Formal Shoes</x:v>
      </x:c>
      <x:c r="F3268" s="24" t="n">
        <x:v>143.79</x:v>
      </x:c>
      <x:c r="G3268" t="str">
        <x:v>Summer</x:v>
      </x:c>
      <x:c r="H3268" t="str">
        <x:v>Card</x:v>
      </x:c>
      <x:c r="I3268" t="n">
        <x:v>4.9</x:v>
      </x:c>
      <x:c r="J3268" t="n">
        <x:v>16</x:v>
      </x:c>
      <x:c r="K3268" t="n">
        <x:v>3</x:v>
      </x:c>
      <x:c r="L3268" t="str">
        <x:v>STORE-001</x:v>
      </x:c>
      <x:c r="M3268" s="22" t="n">
        <x:v>46075</x:v>
      </x:c>
      <x:c r="N3268" t="str">
        <x:v>SKU-007</x:v>
      </x:c>
      <x:c r="O3268" t="n">
        <x:v>2</x:v>
      </x:c>
      <x:c r="P3268" s="26" t="n">
        <x:f>F3268/O3268</x:f>
        <x:v>71.895</x:v>
      </x:c>
    </x:row>
    <x:row r="3269">
      <x:c r="A3269" t="n">
        <x:v>3268</x:v>
      </x:c>
      <x:c r="B3269" t="n">
        <x:v>56</x:v>
      </x:c>
      <x:c r="C3269" t="str">
        <x:v>Male</x:v>
      </x:c>
      <x:c r="D3269" t="str">
        <x:v>Groceries</x:v>
      </x:c>
      <x:c r="E3269" t="str">
        <x:v>Snacks</x:v>
      </x:c>
      <x:c r="F3269" s="24" t="n">
        <x:v>43.68</x:v>
      </x:c>
      <x:c r="G3269" t="str">
        <x:v>Summer</x:v>
      </x:c>
      <x:c r="H3269" t="str">
        <x:v>Cash on Delivery</x:v>
      </x:c>
      <x:c r="I3269" t="n">
        <x:v>3.9</x:v>
      </x:c>
      <x:c r="J3269" t="n">
        <x:v>27</x:v>
      </x:c>
      <x:c r="K3269" t="n">
        <x:v>11</x:v>
      </x:c>
      <x:c r="L3269" t="str">
        <x:v>STORE-001</x:v>
      </x:c>
      <x:c r="M3269" s="22" t="n">
        <x:v>46062</x:v>
      </x:c>
      <x:c r="N3269" t="str">
        <x:v>SKU-024</x:v>
      </x:c>
      <x:c r="O3269" t="n">
        <x:v>1</x:v>
      </x:c>
      <x:c r="P3269" s="26" t="n">
        <x:f>F3269/O3269</x:f>
        <x:v>43.68</x:v>
      </x:c>
    </x:row>
    <x:row r="3270">
      <x:c r="A3270" t="n">
        <x:v>3269</x:v>
      </x:c>
      <x:c r="B3270" t="n">
        <x:v>58</x:v>
      </x:c>
      <x:c r="C3270" t="str">
        <x:v>Female</x:v>
      </x:c>
      <x:c r="D3270" t="str">
        <x:v>Beauty</x:v>
      </x:c>
      <x:c r="E3270" t="str">
        <x:v>Skincare Kit</x:v>
      </x:c>
      <x:c r="F3270" s="24" t="n">
        <x:v>68.57</x:v>
      </x:c>
      <x:c r="G3270" t="str">
        <x:v>Autumn</x:v>
      </x:c>
      <x:c r="H3270" t="str">
        <x:v>Card</x:v>
      </x:c>
      <x:c r="I3270" t="n">
        <x:v>4.3</x:v>
      </x:c>
      <x:c r="J3270" t="n">
        <x:v>18</x:v>
      </x:c>
      <x:c r="K3270" t="n">
        <x:v>4</x:v>
      </x:c>
      <x:c r="L3270" t="str">
        <x:v>STORE-001</x:v>
      </x:c>
      <x:c r="M3270" s="22" t="n">
        <x:v>46102</x:v>
      </x:c>
      <x:c r="N3270" t="str">
        <x:v>SKU-021</x:v>
      </x:c>
      <x:c r="O3270" t="n">
        <x:v>1</x:v>
      </x:c>
      <x:c r="P3270" s="26" t="n">
        <x:f>F3270/O3270</x:f>
        <x:v>68.57</x:v>
      </x:c>
    </x:row>
    <x:row r="3271">
      <x:c r="A3271" t="n">
        <x:v>3270</x:v>
      </x:c>
      <x:c r="B3271" t="n">
        <x:v>68</x:v>
      </x:c>
      <x:c r="C3271" t="str">
        <x:v>Female</x:v>
      </x:c>
      <x:c r="D3271" t="str">
        <x:v>Footwear</x:v>
      </x:c>
      <x:c r="E3271" t="str">
        <x:v>Sandals</x:v>
      </x:c>
      <x:c r="F3271" s="24" t="n">
        <x:v>69.56</x:v>
      </x:c>
      <x:c r="G3271" t="str">
        <x:v>Winter</x:v>
      </x:c>
      <x:c r="H3271" t="str">
        <x:v>Cash on Delivery</x:v>
      </x:c>
      <x:c r="I3271" t="n">
        <x:v>4.9</x:v>
      </x:c>
      <x:c r="J3271" t="n">
        <x:v>21</x:v>
      </x:c>
      <x:c r="K3271" t="n">
        <x:v>8</x:v>
      </x:c>
      <x:c r="L3271" t="str">
        <x:v>STORE-001</x:v>
      </x:c>
      <x:c r="M3271" s="22" t="n">
        <x:v>46206</x:v>
      </x:c>
      <x:c r="N3271" t="str">
        <x:v>SKU-019</x:v>
      </x:c>
      <x:c r="O3271" t="n">
        <x:v>1</x:v>
      </x:c>
      <x:c r="P3271" s="26" t="n">
        <x:f>F3271/O3271</x:f>
        <x:v>69.56</x:v>
      </x:c>
    </x:row>
    <x:row r="3272">
      <x:c r="A3272" t="n">
        <x:v>3271</x:v>
      </x:c>
      <x:c r="B3272" t="n">
        <x:v>22</x:v>
      </x:c>
      <x:c r="C3272" t="str">
        <x:v>Female</x:v>
      </x:c>
      <x:c r="D3272" t="str">
        <x:v>Home</x:v>
      </x:c>
      <x:c r="E3272" t="str">
        <x:v>Lamp</x:v>
      </x:c>
      <x:c r="F3272" s="24" t="n">
        <x:v>242.3</x:v>
      </x:c>
      <x:c r="G3272" t="str">
        <x:v>Autumn</x:v>
      </x:c>
      <x:c r="H3272" t="str">
        <x:v>Card</x:v>
      </x:c>
      <x:c r="I3272" t="n">
        <x:v>4.5</x:v>
      </x:c>
      <x:c r="J3272" t="n">
        <x:v>22</x:v>
      </x:c>
      <x:c r="K3272" t="n">
        <x:v>6</x:v>
      </x:c>
      <x:c r="L3272" t="str">
        <x:v>STORE-001</x:v>
      </x:c>
      <x:c r="M3272" s="22" t="n">
        <x:v>46141</x:v>
      </x:c>
      <x:c r="N3272" t="str">
        <x:v>SKU-013</x:v>
      </x:c>
      <x:c r="O3272" t="n">
        <x:v>2</x:v>
      </x:c>
      <x:c r="P3272" s="26" t="n">
        <x:f>F3272/O3272</x:f>
        <x:v>121.15</x:v>
      </x:c>
    </x:row>
    <x:row r="3273">
      <x:c r="A3273" t="n">
        <x:v>3272</x:v>
      </x:c>
      <x:c r="B3273" t="n">
        <x:v>20</x:v>
      </x:c>
      <x:c r="C3273" t="str">
        <x:v>Female</x:v>
      </x:c>
      <x:c r="D3273" t="str">
        <x:v>Beauty</x:v>
      </x:c>
      <x:c r="E3273" t="str">
        <x:v>Perfume</x:v>
      </x:c>
      <x:c r="F3273" s="24" t="n">
        <x:v>140.2</x:v>
      </x:c>
      <x:c r="G3273" t="str">
        <x:v>Spring</x:v>
      </x:c>
      <x:c r="H3273" t="str">
        <x:v>Card</x:v>
      </x:c>
      <x:c r="I3273" t="n">
        <x:v>4.1</x:v>
      </x:c>
      <x:c r="J3273" t="n">
        <x:v>19</x:v>
      </x:c>
      <x:c r="K3273" t="n">
        <x:v>7</x:v>
      </x:c>
      <x:c r="L3273" t="str">
        <x:v>STORE-001</x:v>
      </x:c>
      <x:c r="M3273" s="22" t="n">
        <x:v>46277</x:v>
      </x:c>
      <x:c r="N3273" t="str">
        <x:v>SKU-017</x:v>
      </x:c>
      <x:c r="O3273" t="n">
        <x:v>4</x:v>
      </x:c>
      <x:c r="P3273" s="26" t="n">
        <x:f>F3273/O3273</x:f>
        <x:v>35.05</x:v>
      </x:c>
    </x:row>
    <x:row r="3274">
      <x:c r="A3274" t="n">
        <x:v>3273</x:v>
      </x:c>
      <x:c r="B3274" t="n">
        <x:v>64</x:v>
      </x:c>
      <x:c r="C3274" t="str">
        <x:v>Male</x:v>
      </x:c>
      <x:c r="D3274" t="str">
        <x:v>Home</x:v>
      </x:c>
      <x:c r="E3274" t="str">
        <x:v>Curtains</x:v>
      </x:c>
      <x:c r="F3274" s="24" t="n">
        <x:v>79.9</x:v>
      </x:c>
      <x:c r="G3274" t="str">
        <x:v>Spring</x:v>
      </x:c>
      <x:c r="H3274" t="str">
        <x:v>Card</x:v>
      </x:c>
      <x:c r="I3274" t="n">
        <x:v>3.3</x:v>
      </x:c>
      <x:c r="J3274" t="n">
        <x:v>26</x:v>
      </x:c>
      <x:c r="K3274" t="n">
        <x:v>8</x:v>
      </x:c>
      <x:c r="L3274" t="str">
        <x:v>STORE-001</x:v>
      </x:c>
      <x:c r="M3274" s="22" t="n">
        <x:v>45974</x:v>
      </x:c>
      <x:c r="N3274" t="str">
        <x:v>SKU-003</x:v>
      </x:c>
      <x:c r="O3274" t="n">
        <x:v>2</x:v>
      </x:c>
      <x:c r="P3274" s="26" t="n">
        <x:f>F3274/O3274</x:f>
        <x:v>39.95</x:v>
      </x:c>
    </x:row>
    <x:row r="3275">
      <x:c r="A3275" t="n">
        <x:v>3274</x:v>
      </x:c>
      <x:c r="B3275" t="n">
        <x:v>33</x:v>
      </x:c>
      <x:c r="C3275" t="str">
        <x:v>Male</x:v>
      </x:c>
      <x:c r="D3275" t="str">
        <x:v>Footwear</x:v>
      </x:c>
      <x:c r="E3275" t="str">
        <x:v>Sandals</x:v>
      </x:c>
      <x:c r="F3275" s="24" t="n">
        <x:v>248.65</x:v>
      </x:c>
      <x:c r="G3275" t="str">
        <x:v>Autumn</x:v>
      </x:c>
      <x:c r="H3275" t="str">
        <x:v>Card</x:v>
      </x:c>
      <x:c r="I3275" t="n">
        <x:v>3.8</x:v>
      </x:c>
      <x:c r="J3275" t="n">
        <x:v>15</x:v>
      </x:c>
      <x:c r="K3275" t="n">
        <x:v>5</x:v>
      </x:c>
      <x:c r="L3275" t="str">
        <x:v>STORE-001</x:v>
      </x:c>
      <x:c r="M3275" s="22" t="n">
        <x:v>46110</x:v>
      </x:c>
      <x:c r="N3275" t="str">
        <x:v>SKU-019</x:v>
      </x:c>
      <x:c r="O3275" t="n">
        <x:v>2</x:v>
      </x:c>
      <x:c r="P3275" s="26" t="n">
        <x:f>F3275/O3275</x:f>
        <x:v>124.325</x:v>
      </x:c>
    </x:row>
    <x:row r="3276">
      <x:c r="A3276" t="n">
        <x:v>3275</x:v>
      </x:c>
      <x:c r="B3276" t="n">
        <x:v>45</x:v>
      </x:c>
      <x:c r="C3276" t="str">
        <x:v>Male</x:v>
      </x:c>
      <x:c r="D3276" t="str">
        <x:v>Footwear</x:v>
      </x:c>
      <x:c r="E3276" t="str">
        <x:v>Sneakers</x:v>
      </x:c>
      <x:c r="F3276" s="24" t="n">
        <x:v>227.4</x:v>
      </x:c>
      <x:c r="G3276" t="str">
        <x:v>Winter</x:v>
      </x:c>
      <x:c r="H3276" t="str">
        <x:v>Card</x:v>
      </x:c>
      <x:c r="I3276" t="n">
        <x:v>3.8</x:v>
      </x:c>
      <x:c r="J3276" t="n">
        <x:v>15</x:v>
      </x:c>
      <x:c r="K3276" t="n">
        <x:v>5</x:v>
      </x:c>
      <x:c r="L3276" t="str">
        <x:v>STORE-001</x:v>
      </x:c>
      <x:c r="M3276" s="22" t="n">
        <x:v>46222</x:v>
      </x:c>
      <x:c r="N3276" t="str">
        <x:v>SKU-025</x:v>
      </x:c>
      <x:c r="O3276" t="n">
        <x:v>3</x:v>
      </x:c>
      <x:c r="P3276" s="26" t="n">
        <x:f>F3276/O3276</x:f>
        <x:v>75.8</x:v>
      </x:c>
    </x:row>
    <x:row r="3277">
      <x:c r="A3277" t="n">
        <x:v>3276</x:v>
      </x:c>
      <x:c r="B3277" t="n">
        <x:v>24</x:v>
      </x:c>
      <x:c r="C3277" t="str">
        <x:v>Male</x:v>
      </x:c>
      <x:c r="D3277" t="str">
        <x:v>Sports</x:v>
      </x:c>
      <x:c r="E3277" t="str">
        <x:v>Dumbbells</x:v>
      </x:c>
      <x:c r="F3277" s="24" t="n">
        <x:v>153.18</x:v>
      </x:c>
      <x:c r="G3277" t="str">
        <x:v>Spring</x:v>
      </x:c>
      <x:c r="H3277" t="str">
        <x:v>Card</x:v>
      </x:c>
      <x:c r="I3277" t="n">
        <x:v>3.2</x:v>
      </x:c>
      <x:c r="J3277" t="n">
        <x:v>15</x:v>
      </x:c>
      <x:c r="K3277" t="n">
        <x:v>5</x:v>
      </x:c>
      <x:c r="L3277" t="str">
        <x:v>STORE-001</x:v>
      </x:c>
      <x:c r="M3277" s="22" t="n">
        <x:v>45969</x:v>
      </x:c>
      <x:c r="N3277" t="str">
        <x:v>SKU-005</x:v>
      </x:c>
      <x:c r="O3277" t="n">
        <x:v>1</x:v>
      </x:c>
      <x:c r="P3277" s="26" t="n">
        <x:f>F3277/O3277</x:f>
        <x:v>153.18</x:v>
      </x:c>
    </x:row>
    <x:row r="3278">
      <x:c r="A3278" t="n">
        <x:v>3277</x:v>
      </x:c>
      <x:c r="B3278" t="n">
        <x:v>24</x:v>
      </x:c>
      <x:c r="C3278" t="str">
        <x:v>Male</x:v>
      </x:c>
      <x:c r="D3278" t="str">
        <x:v>Mens Clothing</x:v>
      </x:c>
      <x:c r="E3278" t="str">
        <x:v>T-Shirt</x:v>
      </x:c>
      <x:c r="F3278" s="24" t="n">
        <x:v>101.1</x:v>
      </x:c>
      <x:c r="G3278" t="str">
        <x:v>Spring</x:v>
      </x:c>
      <x:c r="H3278" t="str">
        <x:v>Card</x:v>
      </x:c>
      <x:c r="I3278" t="n">
        <x:v>2.9</x:v>
      </x:c>
      <x:c r="J3278" t="n">
        <x:v>10</x:v>
      </x:c>
      <x:c r="K3278" t="n">
        <x:v>5</x:v>
      </x:c>
      <x:c r="L3278" t="str">
        <x:v>STORE-001</x:v>
      </x:c>
      <x:c r="M3278" s="22" t="n">
        <x:v>45981</x:v>
      </x:c>
      <x:c r="N3278" t="str">
        <x:v>SKU-027</x:v>
      </x:c>
      <x:c r="O3278" t="n">
        <x:v>1</x:v>
      </x:c>
      <x:c r="P3278" s="26" t="n">
        <x:f>F3278/O3278</x:f>
        <x:v>101.1</x:v>
      </x:c>
    </x:row>
    <x:row r="3279">
      <x:c r="A3279" t="n">
        <x:v>3278</x:v>
      </x:c>
      <x:c r="B3279" t="n">
        <x:v>70</x:v>
      </x:c>
      <x:c r="C3279" t="str">
        <x:v>Male</x:v>
      </x:c>
      <x:c r="D3279" t="str">
        <x:v>Mens Clothing</x:v>
      </x:c>
      <x:c r="E3279" t="str">
        <x:v>Jacket</x:v>
      </x:c>
      <x:c r="F3279" s="24" t="n">
        <x:v>128.5</x:v>
      </x:c>
      <x:c r="G3279" t="str">
        <x:v>Summer</x:v>
      </x:c>
      <x:c r="H3279" t="str">
        <x:v>Card</x:v>
      </x:c>
      <x:c r="I3279" t="n">
        <x:v>4.4</x:v>
      </x:c>
      <x:c r="J3279" t="n">
        <x:v>17</x:v>
      </x:c>
      <x:c r="K3279" t="n">
        <x:v>6</x:v>
      </x:c>
      <x:c r="L3279" t="str">
        <x:v>STORE-001</x:v>
      </x:c>
      <x:c r="M3279" s="22" t="n">
        <x:v>46073</x:v>
      </x:c>
      <x:c r="N3279" t="str">
        <x:v>SKU-010</x:v>
      </x:c>
      <x:c r="O3279" t="n">
        <x:v>2</x:v>
      </x:c>
      <x:c r="P3279" s="26" t="n">
        <x:f>F3279/O3279</x:f>
        <x:v>64.25</x:v>
      </x:c>
    </x:row>
    <x:row r="3280">
      <x:c r="A3280" t="n">
        <x:v>3279</x:v>
      </x:c>
      <x:c r="B3280" t="n">
        <x:v>49</x:v>
      </x:c>
      <x:c r="C3280" t="str">
        <x:v>Female</x:v>
      </x:c>
      <x:c r="D3280" t="str">
        <x:v>Sports</x:v>
      </x:c>
      <x:c r="E3280" t="str">
        <x:v>Yoga Mat</x:v>
      </x:c>
      <x:c r="F3280" s="24" t="n">
        <x:v>93.21</x:v>
      </x:c>
      <x:c r="G3280" t="str">
        <x:v>Summer</x:v>
      </x:c>
      <x:c r="H3280" t="str">
        <x:v>Cash on Delivery</x:v>
      </x:c>
      <x:c r="I3280" t="n">
        <x:v>4</x:v>
      </x:c>
      <x:c r="J3280" t="n">
        <x:v>8</x:v>
      </x:c>
      <x:c r="K3280" t="n">
        <x:v>4</x:v>
      </x:c>
      <x:c r="L3280" t="str">
        <x:v>STORE-001</x:v>
      </x:c>
      <x:c r="M3280" s="22" t="n">
        <x:v>46069</x:v>
      </x:c>
      <x:c r="N3280" t="str">
        <x:v>SKU-030</x:v>
      </x:c>
      <x:c r="O3280" t="n">
        <x:v>2</x:v>
      </x:c>
      <x:c r="P3280" s="26" t="n">
        <x:f>F3280/O3280</x:f>
        <x:v>46.605</x:v>
      </x:c>
    </x:row>
    <x:row r="3281">
      <x:c r="A3281" t="n">
        <x:v>3280</x:v>
      </x:c>
      <x:c r="B3281" t="n">
        <x:v>69</x:v>
      </x:c>
      <x:c r="C3281" t="str">
        <x:v>Male</x:v>
      </x:c>
      <x:c r="D3281" t="str">
        <x:v>Mens Clothing</x:v>
      </x:c>
      <x:c r="E3281" t="str">
        <x:v>T-Shirt</x:v>
      </x:c>
      <x:c r="F3281" s="24" t="n">
        <x:v>120.7</x:v>
      </x:c>
      <x:c r="G3281" t="str">
        <x:v>Winter</x:v>
      </x:c>
      <x:c r="H3281" t="str">
        <x:v>Card</x:v>
      </x:c>
      <x:c r="I3281" t="n">
        <x:v>3.9</x:v>
      </x:c>
      <x:c r="J3281" t="n">
        <x:v>10</x:v>
      </x:c>
      <x:c r="K3281" t="n">
        <x:v>5</x:v>
      </x:c>
      <x:c r="L3281" t="str">
        <x:v>STORE-001</x:v>
      </x:c>
      <x:c r="M3281" s="22" t="n">
        <x:v>46235</x:v>
      </x:c>
      <x:c r="N3281" t="str">
        <x:v>SKU-027</x:v>
      </x:c>
      <x:c r="O3281" t="n">
        <x:v>1</x:v>
      </x:c>
      <x:c r="P3281" s="26" t="n">
        <x:f>F3281/O3281</x:f>
        <x:v>120.7</x:v>
      </x:c>
    </x:row>
    <x:row r="3282">
      <x:c r="A3282" t="n">
        <x:v>3281</x:v>
      </x:c>
      <x:c r="B3282" t="n">
        <x:v>36</x:v>
      </x:c>
      <x:c r="C3282" t="str">
        <x:v>Male</x:v>
      </x:c>
      <x:c r="D3282" t="str">
        <x:v>Mens Clothing</x:v>
      </x:c>
      <x:c r="E3282" t="str">
        <x:v>Shirt</x:v>
      </x:c>
      <x:c r="F3282" s="24" t="n">
        <x:v>76.16</x:v>
      </x:c>
      <x:c r="G3282" t="str">
        <x:v>Summer</x:v>
      </x:c>
      <x:c r="H3282" t="str">
        <x:v>Cash on Delivery</x:v>
      </x:c>
      <x:c r="I3282" t="n">
        <x:v>4.3</x:v>
      </x:c>
      <x:c r="J3282" t="n">
        <x:v>10</x:v>
      </x:c>
      <x:c r="K3282" t="n">
        <x:v>5</x:v>
      </x:c>
      <x:c r="L3282" t="str">
        <x:v>STORE-001</x:v>
      </x:c>
      <x:c r="M3282" s="22" t="n">
        <x:v>46036</x:v>
      </x:c>
      <x:c r="N3282" t="str">
        <x:v>SKU-020</x:v>
      </x:c>
      <x:c r="O3282" t="n">
        <x:v>1</x:v>
      </x:c>
      <x:c r="P3282" s="26" t="n">
        <x:f>F3282/O3282</x:f>
        <x:v>76.16</x:v>
      </x:c>
    </x:row>
    <x:row r="3283">
      <x:c r="A3283" t="n">
        <x:v>3282</x:v>
      </x:c>
      <x:c r="B3283" t="n">
        <x:v>25</x:v>
      </x:c>
      <x:c r="C3283" t="str">
        <x:v>Male</x:v>
      </x:c>
      <x:c r="D3283" t="str">
        <x:v>Sports</x:v>
      </x:c>
      <x:c r="E3283" t="str">
        <x:v>Yoga Mat</x:v>
      </x:c>
      <x:c r="F3283" s="24" t="n">
        <x:v>226.66</x:v>
      </x:c>
      <x:c r="G3283" t="str">
        <x:v>Winter</x:v>
      </x:c>
      <x:c r="H3283" t="str">
        <x:v>Card</x:v>
      </x:c>
      <x:c r="I3283" t="n">
        <x:v>3.8</x:v>
      </x:c>
      <x:c r="J3283" t="n">
        <x:v>24</x:v>
      </x:c>
      <x:c r="K3283" t="n">
        <x:v>7</x:v>
      </x:c>
      <x:c r="L3283" t="str">
        <x:v>STORE-001</x:v>
      </x:c>
      <x:c r="M3283" s="22" t="n">
        <x:v>46231</x:v>
      </x:c>
      <x:c r="N3283" t="str">
        <x:v>SKU-030</x:v>
      </x:c>
      <x:c r="O3283" t="n">
        <x:v>1</x:v>
      </x:c>
      <x:c r="P3283" s="26" t="n">
        <x:f>F3283/O3283</x:f>
        <x:v>226.66</x:v>
      </x:c>
    </x:row>
    <x:row r="3284">
      <x:c r="A3284" t="n">
        <x:v>3283</x:v>
      </x:c>
      <x:c r="B3284" t="n">
        <x:v>63</x:v>
      </x:c>
      <x:c r="C3284" t="str">
        <x:v>Male</x:v>
      </x:c>
      <x:c r="D3284" t="str">
        <x:v>Sports</x:v>
      </x:c>
      <x:c r="E3284" t="str">
        <x:v>Yoga Mat</x:v>
      </x:c>
      <x:c r="F3284" s="24" t="n">
        <x:v>130.2</x:v>
      </x:c>
      <x:c r="G3284" t="str">
        <x:v>Winter</x:v>
      </x:c>
      <x:c r="H3284" t="str">
        <x:v>Card</x:v>
      </x:c>
      <x:c r="I3284" t="n">
        <x:v>2.6</x:v>
      </x:c>
      <x:c r="J3284" t="n">
        <x:v>4</x:v>
      </x:c>
      <x:c r="K3284" t="n">
        <x:v>2</x:v>
      </x:c>
      <x:c r="L3284" t="str">
        <x:v>STORE-001</x:v>
      </x:c>
      <x:c r="M3284" s="22" t="n">
        <x:v>46198</x:v>
      </x:c>
      <x:c r="N3284" t="str">
        <x:v>SKU-030</x:v>
      </x:c>
      <x:c r="O3284" t="n">
        <x:v>1</x:v>
      </x:c>
      <x:c r="P3284" s="26" t="n">
        <x:f>F3284/O3284</x:f>
        <x:v>130.2</x:v>
      </x:c>
    </x:row>
    <x:row r="3285">
      <x:c r="A3285" t="n">
        <x:v>3284</x:v>
      </x:c>
      <x:c r="B3285" t="n">
        <x:v>57</x:v>
      </x:c>
      <x:c r="C3285" t="str">
        <x:v>Male</x:v>
      </x:c>
      <x:c r="D3285" t="str">
        <x:v>Footwear</x:v>
      </x:c>
      <x:c r="E3285" t="str">
        <x:v>Sandals</x:v>
      </x:c>
      <x:c r="F3285" s="24" t="n">
        <x:v>52.67</x:v>
      </x:c>
      <x:c r="G3285" t="str">
        <x:v>Winter</x:v>
      </x:c>
      <x:c r="H3285" t="str">
        <x:v>Card</x:v>
      </x:c>
      <x:c r="I3285" t="n">
        <x:v>4.3</x:v>
      </x:c>
      <x:c r="J3285" t="n">
        <x:v>16</x:v>
      </x:c>
      <x:c r="K3285" t="n">
        <x:v>3</x:v>
      </x:c>
      <x:c r="L3285" t="str">
        <x:v>STORE-001</x:v>
      </x:c>
      <x:c r="M3285" s="22" t="n">
        <x:v>46239</x:v>
      </x:c>
      <x:c r="N3285" t="str">
        <x:v>SKU-019</x:v>
      </x:c>
      <x:c r="O3285" t="n">
        <x:v>1</x:v>
      </x:c>
      <x:c r="P3285" s="26" t="n">
        <x:f>F3285/O3285</x:f>
        <x:v>52.67</x:v>
      </x:c>
    </x:row>
    <x:row r="3286">
      <x:c r="A3286" t="n">
        <x:v>3285</x:v>
      </x:c>
      <x:c r="B3286" t="n">
        <x:v>21</x:v>
      </x:c>
      <x:c r="C3286" t="str">
        <x:v>Female</x:v>
      </x:c>
      <x:c r="D3286" t="str">
        <x:v>Womens Clothing</x:v>
      </x:c>
      <x:c r="E3286" t="str">
        <x:v>Jeans</x:v>
      </x:c>
      <x:c r="F3286" s="24" t="n">
        <x:v>151.32</x:v>
      </x:c>
      <x:c r="G3286" t="str">
        <x:v>Summer</x:v>
      </x:c>
      <x:c r="H3286" t="str">
        <x:v>Card</x:v>
      </x:c>
      <x:c r="I3286" t="n">
        <x:v>3</x:v>
      </x:c>
      <x:c r="J3286" t="n">
        <x:v>24</x:v>
      </x:c>
      <x:c r="K3286" t="n">
        <x:v>7</x:v>
      </x:c>
      <x:c r="L3286" t="str">
        <x:v>STORE-001</x:v>
      </x:c>
      <x:c r="M3286" s="22" t="n">
        <x:v>46079</x:v>
      </x:c>
      <x:c r="N3286" t="str">
        <x:v>SKU-011</x:v>
      </x:c>
      <x:c r="O3286" t="n">
        <x:v>1</x:v>
      </x:c>
      <x:c r="P3286" s="26" t="n">
        <x:f>F3286/O3286</x:f>
        <x:v>151.32</x:v>
      </x:c>
    </x:row>
    <x:row r="3287">
      <x:c r="A3287" t="n">
        <x:v>3286</x:v>
      </x:c>
      <x:c r="B3287" t="n">
        <x:v>57</x:v>
      </x:c>
      <x:c r="C3287" t="str">
        <x:v>Male</x:v>
      </x:c>
      <x:c r="D3287" t="str">
        <x:v>Footwear</x:v>
      </x:c>
      <x:c r="E3287" t="str">
        <x:v>Sneakers</x:v>
      </x:c>
      <x:c r="F3287" s="24" t="n">
        <x:v>49.11</x:v>
      </x:c>
      <x:c r="G3287" t="str">
        <x:v>Autumn</x:v>
      </x:c>
      <x:c r="H3287" t="str">
        <x:v>Cash on Delivery</x:v>
      </x:c>
      <x:c r="I3287" t="n">
        <x:v>3.3</x:v>
      </x:c>
      <x:c r="J3287" t="n">
        <x:v>18</x:v>
      </x:c>
      <x:c r="K3287" t="n">
        <x:v>4</x:v>
      </x:c>
      <x:c r="L3287" t="str">
        <x:v>STORE-001</x:v>
      </x:c>
      <x:c r="M3287" s="22" t="n">
        <x:v>46156</x:v>
      </x:c>
      <x:c r="N3287" t="str">
        <x:v>SKU-025</x:v>
      </x:c>
      <x:c r="O3287" t="n">
        <x:v>1</x:v>
      </x:c>
      <x:c r="P3287" s="26" t="n">
        <x:f>F3287/O3287</x:f>
        <x:v>49.11</x:v>
      </x:c>
    </x:row>
    <x:row r="3288">
      <x:c r="A3288" t="n">
        <x:v>3287</x:v>
      </x:c>
      <x:c r="B3288" t="n">
        <x:v>50</x:v>
      </x:c>
      <x:c r="C3288" t="str">
        <x:v>Female</x:v>
      </x:c>
      <x:c r="D3288" t="str">
        <x:v>Beauty</x:v>
      </x:c>
      <x:c r="E3288" t="str">
        <x:v>Skincare Kit</x:v>
      </x:c>
      <x:c r="F3288" s="24" t="n">
        <x:v>71.64</x:v>
      </x:c>
      <x:c r="G3288" t="str">
        <x:v>Winter</x:v>
      </x:c>
      <x:c r="H3288" t="str">
        <x:v>Cash on Delivery</x:v>
      </x:c>
      <x:c r="I3288" t="n">
        <x:v>4.5</x:v>
      </x:c>
      <x:c r="J3288" t="n">
        <x:v>20</x:v>
      </x:c>
      <x:c r="K3288" t="n">
        <x:v>5</x:v>
      </x:c>
      <x:c r="L3288" t="str">
        <x:v>STORE-001</x:v>
      </x:c>
      <x:c r="M3288" s="22" t="n">
        <x:v>46218</x:v>
      </x:c>
      <x:c r="N3288" t="str">
        <x:v>SKU-021</x:v>
      </x:c>
      <x:c r="O3288" t="n">
        <x:v>2</x:v>
      </x:c>
      <x:c r="P3288" s="26" t="n">
        <x:f>F3288/O3288</x:f>
        <x:v>35.82</x:v>
      </x:c>
    </x:row>
    <x:row r="3289">
      <x:c r="A3289" t="n">
        <x:v>3288</x:v>
      </x:c>
      <x:c r="B3289" t="n">
        <x:v>30</x:v>
      </x:c>
      <x:c r="C3289" t="str">
        <x:v>Male</x:v>
      </x:c>
      <x:c r="D3289" t="str">
        <x:v>Home</x:v>
      </x:c>
      <x:c r="E3289" t="str">
        <x:v>Lamp</x:v>
      </x:c>
      <x:c r="F3289" s="24" t="n">
        <x:v>165.95</x:v>
      </x:c>
      <x:c r="G3289" t="str">
        <x:v>Autumn</x:v>
      </x:c>
      <x:c r="H3289" t="str">
        <x:v>Card</x:v>
      </x:c>
      <x:c r="I3289" t="n">
        <x:v>4.5</x:v>
      </x:c>
      <x:c r="J3289" t="n">
        <x:v>18</x:v>
      </x:c>
      <x:c r="K3289" t="n">
        <x:v>4</x:v>
      </x:c>
      <x:c r="L3289" t="str">
        <x:v>STORE-001</x:v>
      </x:c>
      <x:c r="M3289" s="22" t="n">
        <x:v>46098</x:v>
      </x:c>
      <x:c r="N3289" t="str">
        <x:v>SKU-013</x:v>
      </x:c>
      <x:c r="O3289" t="n">
        <x:v>1</x:v>
      </x:c>
      <x:c r="P3289" s="26" t="n">
        <x:f>F3289/O3289</x:f>
        <x:v>165.95</x:v>
      </x:c>
    </x:row>
    <x:row r="3290">
      <x:c r="A3290" t="n">
        <x:v>3289</x:v>
      </x:c>
      <x:c r="B3290" t="n">
        <x:v>62</x:v>
      </x:c>
      <x:c r="C3290" t="str">
        <x:v>Male</x:v>
      </x:c>
      <x:c r="D3290" t="str">
        <x:v>Sports</x:v>
      </x:c>
      <x:c r="E3290" t="str">
        <x:v>Football</x:v>
      </x:c>
      <x:c r="F3290" s="24" t="n">
        <x:v>248.99</x:v>
      </x:c>
      <x:c r="G3290" t="str">
        <x:v>Autumn</x:v>
      </x:c>
      <x:c r="H3290" t="str">
        <x:v>Card</x:v>
      </x:c>
      <x:c r="I3290" t="n">
        <x:v>2.8</x:v>
      </x:c>
      <x:c r="J3290" t="n">
        <x:v>13</x:v>
      </x:c>
      <x:c r="K3290" t="n">
        <x:v>4</x:v>
      </x:c>
      <x:c r="L3290" t="str">
        <x:v>STORE-001</x:v>
      </x:c>
      <x:c r="M3290" s="22" t="n">
        <x:v>46124</x:v>
      </x:c>
      <x:c r="N3290" t="str">
        <x:v>SKU-006</x:v>
      </x:c>
      <x:c r="O3290" t="n">
        <x:v>2</x:v>
      </x:c>
      <x:c r="P3290" s="26" t="n">
        <x:f>F3290/O3290</x:f>
        <x:v>124.495</x:v>
      </x:c>
    </x:row>
    <x:row r="3291">
      <x:c r="A3291" t="n">
        <x:v>3290</x:v>
      </x:c>
      <x:c r="B3291" t="n">
        <x:v>35</x:v>
      </x:c>
      <x:c r="C3291" t="str">
        <x:v>Male</x:v>
      </x:c>
      <x:c r="D3291" t="str">
        <x:v>Electronics</x:v>
      </x:c>
      <x:c r="E3291" t="str">
        <x:v>Laptop</x:v>
      </x:c>
      <x:c r="F3291" s="24" t="n">
        <x:v>2952.94</x:v>
      </x:c>
      <x:c r="G3291" t="str">
        <x:v>Spring</x:v>
      </x:c>
      <x:c r="H3291" t="str">
        <x:v>Card</x:v>
      </x:c>
      <x:c r="I3291" t="n">
        <x:v>3</x:v>
      </x:c>
      <x:c r="J3291" t="n">
        <x:v>11</x:v>
      </x:c>
      <x:c r="K3291" t="n">
        <x:v>3</x:v>
      </x:c>
      <x:c r="L3291" t="str">
        <x:v>STORE-001</x:v>
      </x:c>
      <x:c r="M3291" s="22" t="n">
        <x:v>45937</x:v>
      </x:c>
      <x:c r="N3291" t="str">
        <x:v>SKU-014</x:v>
      </x:c>
      <x:c r="O3291" t="n">
        <x:v>1</x:v>
      </x:c>
      <x:c r="P3291" s="26" t="n">
        <x:f>F3291/O3291</x:f>
        <x:v>2952.94</x:v>
      </x:c>
    </x:row>
    <x:row r="3292">
      <x:c r="A3292" t="n">
        <x:v>3291</x:v>
      </x:c>
      <x:c r="B3292" t="n">
        <x:v>20</x:v>
      </x:c>
      <x:c r="C3292" t="str">
        <x:v>Male</x:v>
      </x:c>
      <x:c r="D3292" t="str">
        <x:v>Sports</x:v>
      </x:c>
      <x:c r="E3292" t="str">
        <x:v>Football</x:v>
      </x:c>
      <x:c r="F3292" s="24" t="n">
        <x:v>226.69</x:v>
      </x:c>
      <x:c r="G3292" t="str">
        <x:v>Summer</x:v>
      </x:c>
      <x:c r="H3292" t="str">
        <x:v>Card</x:v>
      </x:c>
      <x:c r="I3292" t="n">
        <x:v>4</x:v>
      </x:c>
      <x:c r="J3292" t="n">
        <x:v>17</x:v>
      </x:c>
      <x:c r="K3292" t="n">
        <x:v>6</x:v>
      </x:c>
      <x:c r="L3292" t="str">
        <x:v>STORE-001</x:v>
      </x:c>
      <x:c r="M3292" s="22" t="n">
        <x:v>46029</x:v>
      </x:c>
      <x:c r="N3292" t="str">
        <x:v>SKU-006</x:v>
      </x:c>
      <x:c r="O3292" t="n">
        <x:v>2</x:v>
      </x:c>
      <x:c r="P3292" s="26" t="n">
        <x:f>F3292/O3292</x:f>
        <x:v>113.345</x:v>
      </x:c>
    </x:row>
    <x:row r="3293">
      <x:c r="A3293" t="n">
        <x:v>3292</x:v>
      </x:c>
      <x:c r="B3293" t="n">
        <x:v>41</x:v>
      </x:c>
      <x:c r="C3293" t="str">
        <x:v>Male</x:v>
      </x:c>
      <x:c r="D3293" t="str">
        <x:v>Mens Clothing</x:v>
      </x:c>
      <x:c r="E3293" t="str">
        <x:v>T-Shirt</x:v>
      </x:c>
      <x:c r="F3293" s="24" t="n">
        <x:v>136.81</x:v>
      </x:c>
      <x:c r="G3293" t="str">
        <x:v>Autumn</x:v>
      </x:c>
      <x:c r="H3293" t="str">
        <x:v>Card</x:v>
      </x:c>
      <x:c r="I3293" t="n">
        <x:v>4</x:v>
      </x:c>
      <x:c r="J3293" t="n">
        <x:v>9</x:v>
      </x:c>
      <x:c r="K3293" t="n">
        <x:v>2</x:v>
      </x:c>
      <x:c r="L3293" t="str">
        <x:v>STORE-001</x:v>
      </x:c>
      <x:c r="M3293" s="22" t="n">
        <x:v>46111</x:v>
      </x:c>
      <x:c r="N3293" t="str">
        <x:v>SKU-027</x:v>
      </x:c>
      <x:c r="O3293" t="n">
        <x:v>2</x:v>
      </x:c>
      <x:c r="P3293" s="26" t="n">
        <x:f>F3293/O3293</x:f>
        <x:v>68.405</x:v>
      </x:c>
    </x:row>
    <x:row r="3294">
      <x:c r="A3294" t="n">
        <x:v>3293</x:v>
      </x:c>
      <x:c r="B3294" t="n">
        <x:v>60</x:v>
      </x:c>
      <x:c r="C3294" t="str">
        <x:v>Female</x:v>
      </x:c>
      <x:c r="D3294" t="str">
        <x:v>Footwear</x:v>
      </x:c>
      <x:c r="E3294" t="str">
        <x:v>Formal Shoes</x:v>
      </x:c>
      <x:c r="F3294" s="24" t="n">
        <x:v>191.66</x:v>
      </x:c>
      <x:c r="G3294" t="str">
        <x:v>Spring</x:v>
      </x:c>
      <x:c r="H3294" t="str">
        <x:v>Card</x:v>
      </x:c>
      <x:c r="I3294" t="n">
        <x:v>5</x:v>
      </x:c>
      <x:c r="J3294" t="n">
        <x:v>9</x:v>
      </x:c>
      <x:c r="K3294" t="n">
        <x:v>2</x:v>
      </x:c>
      <x:c r="L3294" t="str">
        <x:v>STORE-001</x:v>
      </x:c>
      <x:c r="M3294" s="22" t="n">
        <x:v>45982</x:v>
      </x:c>
      <x:c r="N3294" t="str">
        <x:v>SKU-007</x:v>
      </x:c>
      <x:c r="O3294" t="n">
        <x:v>1</x:v>
      </x:c>
      <x:c r="P3294" s="26" t="n">
        <x:f>F3294/O3294</x:f>
        <x:v>191.66</x:v>
      </x:c>
    </x:row>
    <x:row r="3295">
      <x:c r="A3295" t="n">
        <x:v>3294</x:v>
      </x:c>
      <x:c r="B3295" t="n">
        <x:v>34</x:v>
      </x:c>
      <x:c r="C3295" t="str">
        <x:v>Female</x:v>
      </x:c>
      <x:c r="D3295" t="str">
        <x:v>Womens Clothing</x:v>
      </x:c>
      <x:c r="E3295" t="str">
        <x:v>Dress</x:v>
      </x:c>
      <x:c r="F3295" s="24" t="n">
        <x:v>82.77</x:v>
      </x:c>
      <x:c r="G3295" t="str">
        <x:v>Winter</x:v>
      </x:c>
      <x:c r="H3295" t="str">
        <x:v>Cash on Delivery</x:v>
      </x:c>
      <x:c r="I3295" t="n">
        <x:v>3.5</x:v>
      </x:c>
      <x:c r="J3295" t="n">
        <x:v>32</x:v>
      </x:c>
      <x:c r="K3295" t="n">
        <x:v>11</x:v>
      </x:c>
      <x:c r="L3295" t="str">
        <x:v>STORE-001</x:v>
      </x:c>
      <x:c r="M3295" s="22" t="n">
        <x:v>46212</x:v>
      </x:c>
      <x:c r="N3295" t="str">
        <x:v>SKU-004</x:v>
      </x:c>
      <x:c r="O3295" t="n">
        <x:v>1</x:v>
      </x:c>
      <x:c r="P3295" s="26" t="n">
        <x:f>F3295/O3295</x:f>
        <x:v>82.77</x:v>
      </x:c>
    </x:row>
    <x:row r="3296">
      <x:c r="A3296" t="n">
        <x:v>3295</x:v>
      </x:c>
      <x:c r="B3296" t="n">
        <x:v>52</x:v>
      </x:c>
      <x:c r="C3296" t="str">
        <x:v>Female</x:v>
      </x:c>
      <x:c r="D3296" t="str">
        <x:v>Footwear</x:v>
      </x:c>
      <x:c r="E3296" t="str">
        <x:v>Sandals</x:v>
      </x:c>
      <x:c r="F3296" s="24" t="n">
        <x:v>50.19</x:v>
      </x:c>
      <x:c r="G3296" t="str">
        <x:v>Summer</x:v>
      </x:c>
      <x:c r="H3296" t="str">
        <x:v>Card</x:v>
      </x:c>
      <x:c r="I3296" t="n">
        <x:v>4.2</x:v>
      </x:c>
      <x:c r="J3296" t="n">
        <x:v>17</x:v>
      </x:c>
      <x:c r="K3296" t="n">
        <x:v>6</x:v>
      </x:c>
      <x:c r="L3296" t="str">
        <x:v>STORE-001</x:v>
      </x:c>
      <x:c r="M3296" s="22" t="n">
        <x:v>46009</x:v>
      </x:c>
      <x:c r="N3296" t="str">
        <x:v>SKU-019</x:v>
      </x:c>
      <x:c r="O3296" t="n">
        <x:v>1</x:v>
      </x:c>
      <x:c r="P3296" s="26" t="n">
        <x:f>F3296/O3296</x:f>
        <x:v>50.19</x:v>
      </x:c>
    </x:row>
    <x:row r="3297">
      <x:c r="A3297" t="n">
        <x:v>3296</x:v>
      </x:c>
      <x:c r="B3297" t="n">
        <x:v>43</x:v>
      </x:c>
      <x:c r="C3297" t="str">
        <x:v>Female</x:v>
      </x:c>
      <x:c r="D3297" t="str">
        <x:v>Accessories</x:v>
      </x:c>
      <x:c r="E3297" t="str">
        <x:v>Sunglasses</x:v>
      </x:c>
      <x:c r="F3297" s="24" t="n">
        <x:v>170.71</x:v>
      </x:c>
      <x:c r="G3297" t="str">
        <x:v>Winter</x:v>
      </x:c>
      <x:c r="H3297" t="str">
        <x:v>Card</x:v>
      </x:c>
      <x:c r="I3297" t="n">
        <x:v>3</x:v>
      </x:c>
      <x:c r="J3297" t="n">
        <x:v>15</x:v>
      </x:c>
      <x:c r="K3297" t="n">
        <x:v>5</x:v>
      </x:c>
      <x:c r="L3297" t="str">
        <x:v>STORE-001</x:v>
      </x:c>
      <x:c r="M3297" s="22" t="n">
        <x:v>46231</x:v>
      </x:c>
      <x:c r="N3297" t="str">
        <x:v>SKU-026</x:v>
      </x:c>
      <x:c r="O3297" t="n">
        <x:v>2</x:v>
      </x:c>
      <x:c r="P3297" s="26" t="n">
        <x:f>F3297/O3297</x:f>
        <x:v>85.355</x:v>
      </x:c>
    </x:row>
    <x:row r="3298">
      <x:c r="A3298" t="n">
        <x:v>3297</x:v>
      </x:c>
      <x:c r="B3298" t="n">
        <x:v>22</x:v>
      </x:c>
      <x:c r="C3298" t="str">
        <x:v>Male</x:v>
      </x:c>
      <x:c r="D3298" t="str">
        <x:v>Mens Clothing</x:v>
      </x:c>
      <x:c r="E3298" t="str">
        <x:v>Jacket</x:v>
      </x:c>
      <x:c r="F3298" s="24" t="n">
        <x:v>57.55</x:v>
      </x:c>
      <x:c r="G3298" t="str">
        <x:v>Summer</x:v>
      </x:c>
      <x:c r="H3298" t="str">
        <x:v>Cash on Delivery</x:v>
      </x:c>
      <x:c r="I3298" t="n">
        <x:v>3.4</x:v>
      </x:c>
      <x:c r="J3298" t="n">
        <x:v>10</x:v>
      </x:c>
      <x:c r="K3298" t="n">
        <x:v>5</x:v>
      </x:c>
      <x:c r="L3298" t="str">
        <x:v>STORE-001</x:v>
      </x:c>
      <x:c r="M3298" s="22" t="n">
        <x:v>46045</x:v>
      </x:c>
      <x:c r="N3298" t="str">
        <x:v>SKU-010</x:v>
      </x:c>
      <x:c r="O3298" t="n">
        <x:v>1</x:v>
      </x:c>
      <x:c r="P3298" s="26" t="n">
        <x:f>F3298/O3298</x:f>
        <x:v>57.55</x:v>
      </x:c>
    </x:row>
    <x:row r="3299">
      <x:c r="A3299" t="n">
        <x:v>3298</x:v>
      </x:c>
      <x:c r="B3299" t="n">
        <x:v>25</x:v>
      </x:c>
      <x:c r="C3299" t="str">
        <x:v>Male</x:v>
      </x:c>
      <x:c r="D3299" t="str">
        <x:v>Electronics</x:v>
      </x:c>
      <x:c r="E3299" t="str">
        <x:v>Smart Watch</x:v>
      </x:c>
      <x:c r="F3299" s="24" t="n">
        <x:v>1659.69</x:v>
      </x:c>
      <x:c r="G3299" t="str">
        <x:v>Autumn</x:v>
      </x:c>
      <x:c r="H3299" t="str">
        <x:v>Card</x:v>
      </x:c>
      <x:c r="I3299" t="n">
        <x:v>4.1</x:v>
      </x:c>
      <x:c r="J3299" t="n">
        <x:v>11</x:v>
      </x:c>
      <x:c r="K3299" t="n">
        <x:v>3</x:v>
      </x:c>
      <x:c r="L3299" t="str">
        <x:v>STORE-001</x:v>
      </x:c>
      <x:c r="M3299" s="22" t="n">
        <x:v>46107</x:v>
      </x:c>
      <x:c r="N3299" t="str">
        <x:v>SKU-023</x:v>
      </x:c>
      <x:c r="O3299" t="n">
        <x:v>1</x:v>
      </x:c>
      <x:c r="P3299" s="26" t="n">
        <x:f>F3299/O3299</x:f>
        <x:v>1659.69</x:v>
      </x:c>
    </x:row>
    <x:row r="3300">
      <x:c r="A3300" t="n">
        <x:v>3299</x:v>
      </x:c>
      <x:c r="B3300" t="n">
        <x:v>50</x:v>
      </x:c>
      <x:c r="C3300" t="str">
        <x:v>Male</x:v>
      </x:c>
      <x:c r="D3300" t="str">
        <x:v>Sports</x:v>
      </x:c>
      <x:c r="E3300" t="str">
        <x:v>Football</x:v>
      </x:c>
      <x:c r="F3300" s="24" t="n">
        <x:v>99.86</x:v>
      </x:c>
      <x:c r="G3300" t="str">
        <x:v>Spring</x:v>
      </x:c>
      <x:c r="H3300" t="str">
        <x:v>Card</x:v>
      </x:c>
      <x:c r="I3300" t="n">
        <x:v>3.2</x:v>
      </x:c>
      <x:c r="J3300" t="n">
        <x:v>22</x:v>
      </x:c>
      <x:c r="K3300" t="n">
        <x:v>6</x:v>
      </x:c>
      <x:c r="L3300" t="str">
        <x:v>STORE-001</x:v>
      </x:c>
      <x:c r="M3300" s="22" t="n">
        <x:v>46291</x:v>
      </x:c>
      <x:c r="N3300" t="str">
        <x:v>SKU-006</x:v>
      </x:c>
      <x:c r="O3300" t="n">
        <x:v>2</x:v>
      </x:c>
      <x:c r="P3300" s="26" t="n">
        <x:f>F3300/O3300</x:f>
        <x:v>49.93</x:v>
      </x:c>
    </x:row>
    <x:row r="3301">
      <x:c r="A3301" t="n">
        <x:v>3300</x:v>
      </x:c>
      <x:c r="B3301" t="n">
        <x:v>61</x:v>
      </x:c>
      <x:c r="C3301" t="str">
        <x:v>Female</x:v>
      </x:c>
      <x:c r="D3301" t="str">
        <x:v>Footwear</x:v>
      </x:c>
      <x:c r="E3301" t="str">
        <x:v>Formal Shoes</x:v>
      </x:c>
      <x:c r="F3301" s="24" t="n">
        <x:v>101.31</x:v>
      </x:c>
      <x:c r="G3301" t="str">
        <x:v>Summer</x:v>
      </x:c>
      <x:c r="H3301" t="str">
        <x:v>Card</x:v>
      </x:c>
      <x:c r="I3301" t="n">
        <x:v>3.6</x:v>
      </x:c>
      <x:c r="J3301" t="n">
        <x:v>16</x:v>
      </x:c>
      <x:c r="K3301" t="n">
        <x:v>3</x:v>
      </x:c>
      <x:c r="L3301" t="str">
        <x:v>STORE-001</x:v>
      </x:c>
      <x:c r="M3301" s="22" t="n">
        <x:v>46060</x:v>
      </x:c>
      <x:c r="N3301" t="str">
        <x:v>SKU-007</x:v>
      </x:c>
      <x:c r="O3301" t="n">
        <x:v>2</x:v>
      </x:c>
      <x:c r="P3301" s="26" t="n">
        <x:f>F3301/O3301</x:f>
        <x:v>50.655</x:v>
      </x:c>
    </x:row>
    <x:row r="3302">
      <x:c r="A3302" t="n">
        <x:v>3301</x:v>
      </x:c>
      <x:c r="B3302" t="n">
        <x:v>37</x:v>
      </x:c>
      <x:c r="C3302" t="str">
        <x:v>Male</x:v>
      </x:c>
      <x:c r="D3302" t="str">
        <x:v>Electronics</x:v>
      </x:c>
      <x:c r="E3302" t="str">
        <x:v>Laptop</x:v>
      </x:c>
      <x:c r="F3302" s="24" t="n">
        <x:v>1894.44</x:v>
      </x:c>
      <x:c r="G3302" t="str">
        <x:v>Winter</x:v>
      </x:c>
      <x:c r="H3302" t="str">
        <x:v>Card</x:v>
      </x:c>
      <x:c r="I3302" t="n">
        <x:v>4.3</x:v>
      </x:c>
      <x:c r="J3302" t="n">
        <x:v>12</x:v>
      </x:c>
      <x:c r="K3302" t="n">
        <x:v>6</x:v>
      </x:c>
      <x:c r="L3302" t="str">
        <x:v>STORE-001</x:v>
      </x:c>
      <x:c r="M3302" s="22" t="n">
        <x:v>46252</x:v>
      </x:c>
      <x:c r="N3302" t="str">
        <x:v>SKU-014</x:v>
      </x:c>
      <x:c r="O3302" t="n">
        <x:v>1</x:v>
      </x:c>
      <x:c r="P3302" s="26" t="n">
        <x:f>F3302/O3302</x:f>
        <x:v>1894.44</x:v>
      </x:c>
    </x:row>
    <x:row r="3303">
      <x:c r="A3303" t="n">
        <x:v>3302</x:v>
      </x:c>
      <x:c r="B3303" t="n">
        <x:v>44</x:v>
      </x:c>
      <x:c r="C3303" t="str">
        <x:v>Female</x:v>
      </x:c>
      <x:c r="D3303" t="str">
        <x:v>Footwear</x:v>
      </x:c>
      <x:c r="E3303" t="str">
        <x:v>Sneakers</x:v>
      </x:c>
      <x:c r="F3303" s="24" t="n">
        <x:v>110.78</x:v>
      </x:c>
      <x:c r="G3303" t="str">
        <x:v>Spring</x:v>
      </x:c>
      <x:c r="H3303" t="str">
        <x:v>Card</x:v>
      </x:c>
      <x:c r="I3303" t="n">
        <x:v>3.3</x:v>
      </x:c>
      <x:c r="J3303" t="n">
        <x:v>20</x:v>
      </x:c>
      <x:c r="K3303" t="n">
        <x:v>5</x:v>
      </x:c>
      <x:c r="L3303" t="str">
        <x:v>STORE-001</x:v>
      </x:c>
      <x:c r="M3303" s="22" t="n">
        <x:v>45971</x:v>
      </x:c>
      <x:c r="N3303" t="str">
        <x:v>SKU-025</x:v>
      </x:c>
      <x:c r="O3303" t="n">
        <x:v>2</x:v>
      </x:c>
      <x:c r="P3303" s="26" t="n">
        <x:f>F3303/O3303</x:f>
        <x:v>55.39</x:v>
      </x:c>
    </x:row>
    <x:row r="3304">
      <x:c r="A3304" t="n">
        <x:v>3303</x:v>
      </x:c>
      <x:c r="B3304" t="n">
        <x:v>45</x:v>
      </x:c>
      <x:c r="C3304" t="str">
        <x:v>Female</x:v>
      </x:c>
      <x:c r="D3304" t="str">
        <x:v>Beauty</x:v>
      </x:c>
      <x:c r="E3304" t="str">
        <x:v>Makeup Set</x:v>
      </x:c>
      <x:c r="F3304" s="24" t="n">
        <x:v>40.99</x:v>
      </x:c>
      <x:c r="G3304" t="str">
        <x:v>Spring</x:v>
      </x:c>
      <x:c r="H3304" t="str">
        <x:v>Card</x:v>
      </x:c>
      <x:c r="I3304" t="n">
        <x:v>3.8</x:v>
      </x:c>
      <x:c r="J3304" t="n">
        <x:v>14</x:v>
      </x:c>
      <x:c r="K3304" t="n">
        <x:v>2</x:v>
      </x:c>
      <x:c r="L3304" t="str">
        <x:v>STORE-001</x:v>
      </x:c>
      <x:c r="M3304" s="22" t="n">
        <x:v>45971</x:v>
      </x:c>
      <x:c r="N3304" t="str">
        <x:v>SKU-015</x:v>
      </x:c>
      <x:c r="O3304" t="n">
        <x:v>1</x:v>
      </x:c>
      <x:c r="P3304" s="26" t="n">
        <x:f>F3304/O3304</x:f>
        <x:v>40.99</x:v>
      </x:c>
    </x:row>
    <x:row r="3305">
      <x:c r="A3305" t="n">
        <x:v>3304</x:v>
      </x:c>
      <x:c r="B3305" t="n">
        <x:v>66</x:v>
      </x:c>
      <x:c r="C3305" t="str">
        <x:v>Female</x:v>
      </x:c>
      <x:c r="D3305" t="str">
        <x:v>Womens Clothing</x:v>
      </x:c>
      <x:c r="E3305" t="str">
        <x:v>Dress</x:v>
      </x:c>
      <x:c r="F3305" s="24" t="n">
        <x:v>45.9</x:v>
      </x:c>
      <x:c r="G3305" t="str">
        <x:v>Summer</x:v>
      </x:c>
      <x:c r="H3305" t="str">
        <x:v>Cash on Delivery</x:v>
      </x:c>
      <x:c r="I3305" t="n">
        <x:v>3.5</x:v>
      </x:c>
      <x:c r="J3305" t="n">
        <x:v>16</x:v>
      </x:c>
      <x:c r="K3305" t="n">
        <x:v>8</x:v>
      </x:c>
      <x:c r="L3305" t="str">
        <x:v>STORE-001</x:v>
      </x:c>
      <x:c r="M3305" s="22" t="n">
        <x:v>46054</x:v>
      </x:c>
      <x:c r="N3305" t="str">
        <x:v>SKU-004</x:v>
      </x:c>
      <x:c r="O3305" t="n">
        <x:v>2</x:v>
      </x:c>
      <x:c r="P3305" s="26" t="n">
        <x:f>F3305/O3305</x:f>
        <x:v>22.95</x:v>
      </x:c>
    </x:row>
    <x:row r="3306">
      <x:c r="A3306" t="n">
        <x:v>3305</x:v>
      </x:c>
      <x:c r="B3306" t="n">
        <x:v>61</x:v>
      </x:c>
      <x:c r="C3306" t="str">
        <x:v>Female</x:v>
      </x:c>
      <x:c r="D3306" t="str">
        <x:v>Accessories</x:v>
      </x:c>
      <x:c r="E3306" t="str">
        <x:v>Wallet</x:v>
      </x:c>
      <x:c r="F3306" s="24" t="n">
        <x:v>48.25</x:v>
      </x:c>
      <x:c r="G3306" t="str">
        <x:v>Winter</x:v>
      </x:c>
      <x:c r="H3306" t="str">
        <x:v>Card</x:v>
      </x:c>
      <x:c r="I3306" t="n">
        <x:v>3.6</x:v>
      </x:c>
      <x:c r="J3306" t="n">
        <x:v>10</x:v>
      </x:c>
      <x:c r="K3306" t="n">
        <x:v>5</x:v>
      </x:c>
      <x:c r="L3306" t="str">
        <x:v>STORE-001</x:v>
      </x:c>
      <x:c r="M3306" s="22" t="n">
        <x:v>46246</x:v>
      </x:c>
      <x:c r="N3306" t="str">
        <x:v>SKU-029</x:v>
      </x:c>
      <x:c r="O3306" t="n">
        <x:v>2</x:v>
      </x:c>
      <x:c r="P3306" s="26" t="n">
        <x:f>F3306/O3306</x:f>
        <x:v>24.125</x:v>
      </x:c>
    </x:row>
    <x:row r="3307">
      <x:c r="A3307" t="n">
        <x:v>3306</x:v>
      </x:c>
      <x:c r="B3307" t="n">
        <x:v>49</x:v>
      </x:c>
      <x:c r="C3307" t="str">
        <x:v>Male</x:v>
      </x:c>
      <x:c r="D3307" t="str">
        <x:v>Electronics</x:v>
      </x:c>
      <x:c r="E3307" t="str">
        <x:v>Mobile Phone</x:v>
      </x:c>
      <x:c r="F3307" s="24" t="n">
        <x:v>2743.44</x:v>
      </x:c>
      <x:c r="G3307" t="str">
        <x:v>Summer</x:v>
      </x:c>
      <x:c r="H3307" t="str">
        <x:v>Card</x:v>
      </x:c>
      <x:c r="I3307" t="n">
        <x:v>4.7</x:v>
      </x:c>
      <x:c r="J3307" t="n">
        <x:v>20</x:v>
      </x:c>
      <x:c r="K3307" t="n">
        <x:v>5</x:v>
      </x:c>
      <x:c r="L3307" t="str">
        <x:v>STORE-001</x:v>
      </x:c>
      <x:c r="M3307" s="22" t="n">
        <x:v>46055</x:v>
      </x:c>
      <x:c r="N3307" t="str">
        <x:v>SKU-016</x:v>
      </x:c>
      <x:c r="O3307" t="n">
        <x:v>1</x:v>
      </x:c>
      <x:c r="P3307" s="26" t="n">
        <x:f>F3307/O3307</x:f>
        <x:v>2743.44</x:v>
      </x:c>
    </x:row>
    <x:row r="3308">
      <x:c r="A3308" t="n">
        <x:v>3307</x:v>
      </x:c>
      <x:c r="B3308" t="n">
        <x:v>21</x:v>
      </x:c>
      <x:c r="C3308" t="str">
        <x:v>Female</x:v>
      </x:c>
      <x:c r="D3308" t="str">
        <x:v>Womens Clothing</x:v>
      </x:c>
      <x:c r="E3308" t="str">
        <x:v>Top</x:v>
      </x:c>
      <x:c r="F3308" s="24" t="n">
        <x:v>103.61</x:v>
      </x:c>
      <x:c r="G3308" t="str">
        <x:v>Autumn</x:v>
      </x:c>
      <x:c r="H3308" t="str">
        <x:v>Card</x:v>
      </x:c>
      <x:c r="I3308" t="n">
        <x:v>3.8</x:v>
      </x:c>
      <x:c r="J3308" t="n">
        <x:v>10</x:v>
      </x:c>
      <x:c r="K3308" t="n">
        <x:v>5</x:v>
      </x:c>
      <x:c r="L3308" t="str">
        <x:v>STORE-001</x:v>
      </x:c>
      <x:c r="M3308" s="22" t="n">
        <x:v>46147</x:v>
      </x:c>
      <x:c r="N3308" t="str">
        <x:v>SKU-028</x:v>
      </x:c>
      <x:c r="O3308" t="n">
        <x:v>1</x:v>
      </x:c>
      <x:c r="P3308" s="26" t="n">
        <x:f>F3308/O3308</x:f>
        <x:v>103.61</x:v>
      </x:c>
    </x:row>
    <x:row r="3309">
      <x:c r="A3309" t="n">
        <x:v>3308</x:v>
      </x:c>
      <x:c r="B3309" t="n">
        <x:v>28</x:v>
      </x:c>
      <x:c r="C3309" t="str">
        <x:v>Male</x:v>
      </x:c>
      <x:c r="D3309" t="str">
        <x:v>Electronics</x:v>
      </x:c>
      <x:c r="E3309" t="str">
        <x:v>Mobile Phone</x:v>
      </x:c>
      <x:c r="F3309" s="24" t="n">
        <x:v>2722.53</x:v>
      </x:c>
      <x:c r="G3309" t="str">
        <x:v>Spring</x:v>
      </x:c>
      <x:c r="H3309" t="str">
        <x:v>Card</x:v>
      </x:c>
      <x:c r="I3309" t="n">
        <x:v>3.9</x:v>
      </x:c>
      <x:c r="J3309" t="n">
        <x:v>17</x:v>
      </x:c>
      <x:c r="K3309" t="n">
        <x:v>6</x:v>
      </x:c>
      <x:c r="L3309" t="str">
        <x:v>STORE-001</x:v>
      </x:c>
      <x:c r="M3309" s="22" t="n">
        <x:v>46291</x:v>
      </x:c>
      <x:c r="N3309" t="str">
        <x:v>SKU-016</x:v>
      </x:c>
      <x:c r="O3309" t="n">
        <x:v>1</x:v>
      </x:c>
      <x:c r="P3309" s="26" t="n">
        <x:f>F3309/O3309</x:f>
        <x:v>2722.53</x:v>
      </x:c>
    </x:row>
    <x:row r="3310">
      <x:c r="A3310" t="n">
        <x:v>3309</x:v>
      </x:c>
      <x:c r="B3310" t="n">
        <x:v>41</x:v>
      </x:c>
      <x:c r="C3310" t="str">
        <x:v>Male</x:v>
      </x:c>
      <x:c r="D3310" t="str">
        <x:v>Electronics</x:v>
      </x:c>
      <x:c r="E3310" t="str">
        <x:v>Smart Watch</x:v>
      </x:c>
      <x:c r="F3310" s="24" t="n">
        <x:v>956.14</x:v>
      </x:c>
      <x:c r="G3310" t="str">
        <x:v>Autumn</x:v>
      </x:c>
      <x:c r="H3310" t="str">
        <x:v>Card</x:v>
      </x:c>
      <x:c r="I3310" t="n">
        <x:v>3.5</x:v>
      </x:c>
      <x:c r="J3310" t="n">
        <x:v>21</x:v>
      </x:c>
      <x:c r="K3310" t="n">
        <x:v>8</x:v>
      </x:c>
      <x:c r="L3310" t="str">
        <x:v>STORE-001</x:v>
      </x:c>
      <x:c r="M3310" s="22" t="n">
        <x:v>46143</x:v>
      </x:c>
      <x:c r="N3310" t="str">
        <x:v>SKU-023</x:v>
      </x:c>
      <x:c r="O3310" t="n">
        <x:v>1</x:v>
      </x:c>
      <x:c r="P3310" s="26" t="n">
        <x:f>F3310/O3310</x:f>
        <x:v>956.14</x:v>
      </x:c>
    </x:row>
    <x:row r="3311">
      <x:c r="A3311" t="n">
        <x:v>3310</x:v>
      </x:c>
      <x:c r="B3311" t="n">
        <x:v>59</x:v>
      </x:c>
      <x:c r="C3311" t="str">
        <x:v>Male</x:v>
      </x:c>
      <x:c r="D3311" t="str">
        <x:v>Mens Clothing</x:v>
      </x:c>
      <x:c r="E3311" t="str">
        <x:v>Jacket</x:v>
      </x:c>
      <x:c r="F3311" s="24" t="n">
        <x:v>179.08</x:v>
      </x:c>
      <x:c r="G3311" t="str">
        <x:v>Winter</x:v>
      </x:c>
      <x:c r="H3311" t="str">
        <x:v>Card</x:v>
      </x:c>
      <x:c r="I3311" t="n">
        <x:v>3.9</x:v>
      </x:c>
      <x:c r="J3311" t="n">
        <x:v>11</x:v>
      </x:c>
      <x:c r="K3311" t="n">
        <x:v>3</x:v>
      </x:c>
      <x:c r="L3311" t="str">
        <x:v>STORE-001</x:v>
      </x:c>
      <x:c r="M3311" s="22" t="n">
        <x:v>46198</x:v>
      </x:c>
      <x:c r="N3311" t="str">
        <x:v>SKU-010</x:v>
      </x:c>
      <x:c r="O3311" t="n">
        <x:v>1</x:v>
      </x:c>
      <x:c r="P3311" s="26" t="n">
        <x:f>F3311/O3311</x:f>
        <x:v>179.08</x:v>
      </x:c>
    </x:row>
    <x:row r="3312">
      <x:c r="A3312" t="n">
        <x:v>3311</x:v>
      </x:c>
      <x:c r="B3312" t="n">
        <x:v>70</x:v>
      </x:c>
      <x:c r="C3312" t="str">
        <x:v>Male</x:v>
      </x:c>
      <x:c r="D3312" t="str">
        <x:v>Footwear</x:v>
      </x:c>
      <x:c r="E3312" t="str">
        <x:v>Sneakers</x:v>
      </x:c>
      <x:c r="F3312" s="24" t="n">
        <x:v>237.9</x:v>
      </x:c>
      <x:c r="G3312" t="str">
        <x:v>Winter</x:v>
      </x:c>
      <x:c r="H3312" t="str">
        <x:v>Card</x:v>
      </x:c>
      <x:c r="I3312" t="n">
        <x:v>3.3</x:v>
      </x:c>
      <x:c r="J3312" t="n">
        <x:v>13</x:v>
      </x:c>
      <x:c r="K3312" t="n">
        <x:v>4</x:v>
      </x:c>
      <x:c r="L3312" t="str">
        <x:v>STORE-001</x:v>
      </x:c>
      <x:c r="M3312" s="22" t="n">
        <x:v>46236</x:v>
      </x:c>
      <x:c r="N3312" t="str">
        <x:v>SKU-025</x:v>
      </x:c>
      <x:c r="O3312" t="n">
        <x:v>2</x:v>
      </x:c>
      <x:c r="P3312" s="26" t="n">
        <x:f>F3312/O3312</x:f>
        <x:v>118.95</x:v>
      </x:c>
    </x:row>
    <x:row r="3313">
      <x:c r="A3313" t="n">
        <x:v>3312</x:v>
      </x:c>
      <x:c r="B3313" t="n">
        <x:v>21</x:v>
      </x:c>
      <x:c r="C3313" t="str">
        <x:v>Female</x:v>
      </x:c>
      <x:c r="D3313" t="str">
        <x:v>Footwear</x:v>
      </x:c>
      <x:c r="E3313" t="str">
        <x:v>Formal Shoes</x:v>
      </x:c>
      <x:c r="F3313" s="24" t="n">
        <x:v>112.2</x:v>
      </x:c>
      <x:c r="G3313" t="str">
        <x:v>Winter</x:v>
      </x:c>
      <x:c r="H3313" t="str">
        <x:v>Card</x:v>
      </x:c>
      <x:c r="I3313" t="n">
        <x:v>3</x:v>
      </x:c>
      <x:c r="J3313" t="n">
        <x:v>15</x:v>
      </x:c>
      <x:c r="K3313" t="n">
        <x:v>5</x:v>
      </x:c>
      <x:c r="L3313" t="str">
        <x:v>STORE-001</x:v>
      </x:c>
      <x:c r="M3313" s="22" t="n">
        <x:v>46176</x:v>
      </x:c>
      <x:c r="N3313" t="str">
        <x:v>SKU-007</x:v>
      </x:c>
      <x:c r="O3313" t="n">
        <x:v>1</x:v>
      </x:c>
      <x:c r="P3313" s="26" t="n">
        <x:f>F3313/O3313</x:f>
        <x:v>112.2</x:v>
      </x:c>
    </x:row>
    <x:row r="3314">
      <x:c r="A3314" t="n">
        <x:v>3313</x:v>
      </x:c>
      <x:c r="B3314" t="n">
        <x:v>53</x:v>
      </x:c>
      <x:c r="C3314" t="str">
        <x:v>Female</x:v>
      </x:c>
      <x:c r="D3314" t="str">
        <x:v>Womens Clothing</x:v>
      </x:c>
      <x:c r="E3314" t="str">
        <x:v>Dress</x:v>
      </x:c>
      <x:c r="F3314" s="24" t="n">
        <x:v>100.01</x:v>
      </x:c>
      <x:c r="G3314" t="str">
        <x:v>Summer</x:v>
      </x:c>
      <x:c r="H3314" t="str">
        <x:v>Card</x:v>
      </x:c>
      <x:c r="I3314" t="n">
        <x:v>3.4</x:v>
      </x:c>
      <x:c r="J3314" t="n">
        <x:v>21</x:v>
      </x:c>
      <x:c r="K3314" t="n">
        <x:v>8</x:v>
      </x:c>
      <x:c r="L3314" t="str">
        <x:v>STORE-001</x:v>
      </x:c>
      <x:c r="M3314" s="22" t="n">
        <x:v>46056</x:v>
      </x:c>
      <x:c r="N3314" t="str">
        <x:v>SKU-004</x:v>
      </x:c>
      <x:c r="O3314" t="n">
        <x:v>2</x:v>
      </x:c>
      <x:c r="P3314" s="26" t="n">
        <x:f>F3314/O3314</x:f>
        <x:v>50.005</x:v>
      </x:c>
    </x:row>
    <x:row r="3315">
      <x:c r="A3315" t="n">
        <x:v>3314</x:v>
      </x:c>
      <x:c r="B3315" t="n">
        <x:v>46</x:v>
      </x:c>
      <x:c r="C3315" t="str">
        <x:v>Male</x:v>
      </x:c>
      <x:c r="D3315" t="str">
        <x:v>Footwear</x:v>
      </x:c>
      <x:c r="E3315" t="str">
        <x:v>Formal Shoes</x:v>
      </x:c>
      <x:c r="F3315" s="24" t="n">
        <x:v>70.16</x:v>
      </x:c>
      <x:c r="G3315" t="str">
        <x:v>Autumn</x:v>
      </x:c>
      <x:c r="H3315" t="str">
        <x:v>Card</x:v>
      </x:c>
      <x:c r="I3315" t="n">
        <x:v>4</x:v>
      </x:c>
      <x:c r="J3315" t="n">
        <x:v>22</x:v>
      </x:c>
      <x:c r="K3315" t="n">
        <x:v>6</x:v>
      </x:c>
      <x:c r="L3315" t="str">
        <x:v>STORE-001</x:v>
      </x:c>
      <x:c r="M3315" s="22" t="n">
        <x:v>46147</x:v>
      </x:c>
      <x:c r="N3315" t="str">
        <x:v>SKU-007</x:v>
      </x:c>
      <x:c r="O3315" t="n">
        <x:v>1</x:v>
      </x:c>
      <x:c r="P3315" s="26" t="n">
        <x:f>F3315/O3315</x:f>
        <x:v>70.16</x:v>
      </x:c>
    </x:row>
    <x:row r="3316">
      <x:c r="A3316" t="n">
        <x:v>3315</x:v>
      </x:c>
      <x:c r="B3316" t="n">
        <x:v>61</x:v>
      </x:c>
      <x:c r="C3316" t="str">
        <x:v>Female</x:v>
      </x:c>
      <x:c r="D3316" t="str">
        <x:v>Womens Clothing</x:v>
      </x:c>
      <x:c r="E3316" t="str">
        <x:v>Skirt</x:v>
      </x:c>
      <x:c r="F3316" s="24" t="n">
        <x:v>128.44</x:v>
      </x:c>
      <x:c r="G3316" t="str">
        <x:v>Spring</x:v>
      </x:c>
      <x:c r="H3316" t="str">
        <x:v>Card</x:v>
      </x:c>
      <x:c r="I3316" t="n">
        <x:v>4.6</x:v>
      </x:c>
      <x:c r="J3316" t="n">
        <x:v>18</x:v>
      </x:c>
      <x:c r="K3316" t="n">
        <x:v>4</x:v>
      </x:c>
      <x:c r="L3316" t="str">
        <x:v>STORE-001</x:v>
      </x:c>
      <x:c r="M3316" s="22" t="n">
        <x:v>45987</x:v>
      </x:c>
      <x:c r="N3316" t="str">
        <x:v>SKU-022</x:v>
      </x:c>
      <x:c r="O3316" t="n">
        <x:v>1</x:v>
      </x:c>
      <x:c r="P3316" s="26" t="n">
        <x:f>F3316/O3316</x:f>
        <x:v>128.44</x:v>
      </x:c>
    </x:row>
    <x:row r="3317">
      <x:c r="A3317" t="n">
        <x:v>3316</x:v>
      </x:c>
      <x:c r="B3317" t="n">
        <x:v>43</x:v>
      </x:c>
      <x:c r="C3317" t="str">
        <x:v>Male</x:v>
      </x:c>
      <x:c r="D3317" t="str">
        <x:v>Mens Clothing</x:v>
      </x:c>
      <x:c r="E3317" t="str">
        <x:v>T-Shirt</x:v>
      </x:c>
      <x:c r="F3317" s="24" t="n">
        <x:v>84.29</x:v>
      </x:c>
      <x:c r="G3317" t="str">
        <x:v>Spring</x:v>
      </x:c>
      <x:c r="H3317" t="str">
        <x:v>Cash on Delivery</x:v>
      </x:c>
      <x:c r="I3317" t="n">
        <x:v>3</x:v>
      </x:c>
      <x:c r="J3317" t="n">
        <x:v>8</x:v>
      </x:c>
      <x:c r="K3317" t="n">
        <x:v>4</x:v>
      </x:c>
      <x:c r="L3317" t="str">
        <x:v>STORE-001</x:v>
      </x:c>
      <x:c r="M3317" s="22" t="n">
        <x:v>46291</x:v>
      </x:c>
      <x:c r="N3317" t="str">
        <x:v>SKU-027</x:v>
      </x:c>
      <x:c r="O3317" t="n">
        <x:v>2</x:v>
      </x:c>
      <x:c r="P3317" s="26" t="n">
        <x:f>F3317/O3317</x:f>
        <x:v>42.145</x:v>
      </x:c>
    </x:row>
    <x:row r="3318">
      <x:c r="A3318" t="n">
        <x:v>3317</x:v>
      </x:c>
      <x:c r="B3318" t="n">
        <x:v>39</x:v>
      </x:c>
      <x:c r="C3318" t="str">
        <x:v>Female</x:v>
      </x:c>
      <x:c r="D3318" t="str">
        <x:v>Footwear</x:v>
      </x:c>
      <x:c r="E3318" t="str">
        <x:v>Sneakers</x:v>
      </x:c>
      <x:c r="F3318" s="24" t="n">
        <x:v>139.91</x:v>
      </x:c>
      <x:c r="G3318" t="str">
        <x:v>Winter</x:v>
      </x:c>
      <x:c r="H3318" t="str">
        <x:v>Card</x:v>
      </x:c>
      <x:c r="I3318" t="n">
        <x:v>3.8</x:v>
      </x:c>
      <x:c r="J3318" t="n">
        <x:v>12</x:v>
      </x:c>
      <x:c r="K3318" t="n">
        <x:v>6</x:v>
      </x:c>
      <x:c r="L3318" t="str">
        <x:v>STORE-001</x:v>
      </x:c>
      <x:c r="M3318" s="22" t="n">
        <x:v>46236</x:v>
      </x:c>
      <x:c r="N3318" t="str">
        <x:v>SKU-025</x:v>
      </x:c>
      <x:c r="O3318" t="n">
        <x:v>1</x:v>
      </x:c>
      <x:c r="P3318" s="26" t="n">
        <x:f>F3318/O3318</x:f>
        <x:v>139.91</x:v>
      </x:c>
    </x:row>
    <x:row r="3319">
      <x:c r="A3319" t="n">
        <x:v>3318</x:v>
      </x:c>
      <x:c r="B3319" t="n">
        <x:v>25</x:v>
      </x:c>
      <x:c r="C3319" t="str">
        <x:v>Female</x:v>
      </x:c>
      <x:c r="D3319" t="str">
        <x:v>Footwear</x:v>
      </x:c>
      <x:c r="E3319" t="str">
        <x:v>Sandals</x:v>
      </x:c>
      <x:c r="F3319" s="24" t="n">
        <x:v>66.52</x:v>
      </x:c>
      <x:c r="G3319" t="str">
        <x:v>Autumn</x:v>
      </x:c>
      <x:c r="H3319" t="str">
        <x:v>Cash on Delivery</x:v>
      </x:c>
      <x:c r="I3319" t="n">
        <x:v>3.8</x:v>
      </x:c>
      <x:c r="J3319" t="n">
        <x:v>8</x:v>
      </x:c>
      <x:c r="K3319" t="n">
        <x:v>4</x:v>
      </x:c>
      <x:c r="L3319" t="str">
        <x:v>STORE-001</x:v>
      </x:c>
      <x:c r="M3319" s="22" t="n">
        <x:v>46093</x:v>
      </x:c>
      <x:c r="N3319" t="str">
        <x:v>SKU-019</x:v>
      </x:c>
      <x:c r="O3319" t="n">
        <x:v>1</x:v>
      </x:c>
      <x:c r="P3319" s="26" t="n">
        <x:f>F3319/O3319</x:f>
        <x:v>66.52</x:v>
      </x:c>
    </x:row>
    <x:row r="3320">
      <x:c r="A3320" t="n">
        <x:v>3319</x:v>
      </x:c>
      <x:c r="B3320" t="n">
        <x:v>69</x:v>
      </x:c>
      <x:c r="C3320" t="str">
        <x:v>Female</x:v>
      </x:c>
      <x:c r="D3320" t="str">
        <x:v>Beauty</x:v>
      </x:c>
      <x:c r="E3320" t="str">
        <x:v>Perfume</x:v>
      </x:c>
      <x:c r="F3320" s="24" t="n">
        <x:v>49.37</x:v>
      </x:c>
      <x:c r="G3320" t="str">
        <x:v>Autumn</x:v>
      </x:c>
      <x:c r="H3320" t="str">
        <x:v>Cash on Delivery</x:v>
      </x:c>
      <x:c r="I3320" t="n">
        <x:v>4.3</x:v>
      </x:c>
      <x:c r="J3320" t="n">
        <x:v>2</x:v>
      </x:c>
      <x:c r="K3320" t="n">
        <x:v>1</x:v>
      </x:c>
      <x:c r="L3320" t="str">
        <x:v>STORE-001</x:v>
      </x:c>
      <x:c r="M3320" s="22" t="n">
        <x:v>46094</x:v>
      </x:c>
      <x:c r="N3320" t="str">
        <x:v>SKU-017</x:v>
      </x:c>
      <x:c r="O3320" t="n">
        <x:v>2</x:v>
      </x:c>
      <x:c r="P3320" s="26" t="n">
        <x:f>F3320/O3320</x:f>
        <x:v>24.685</x:v>
      </x:c>
    </x:row>
    <x:row r="3321">
      <x:c r="A3321" t="n">
        <x:v>3320</x:v>
      </x:c>
      <x:c r="B3321" t="n">
        <x:v>52</x:v>
      </x:c>
      <x:c r="C3321" t="str">
        <x:v>Female</x:v>
      </x:c>
      <x:c r="D3321" t="str">
        <x:v>Beauty</x:v>
      </x:c>
      <x:c r="E3321" t="str">
        <x:v>Skincare Kit</x:v>
      </x:c>
      <x:c r="F3321" s="24" t="n">
        <x:v>33.78</x:v>
      </x:c>
      <x:c r="G3321" t="str">
        <x:v>Spring</x:v>
      </x:c>
      <x:c r="H3321" t="str">
        <x:v>Cash on Delivery</x:v>
      </x:c>
      <x:c r="I3321" t="n">
        <x:v>2.4</x:v>
      </x:c>
      <x:c r="J3321" t="n">
        <x:v>15</x:v>
      </x:c>
      <x:c r="K3321" t="n">
        <x:v>5</x:v>
      </x:c>
      <x:c r="L3321" t="str">
        <x:v>STORE-001</x:v>
      </x:c>
      <x:c r="M3321" s="22" t="n">
        <x:v>46273</x:v>
      </x:c>
      <x:c r="N3321" t="str">
        <x:v>SKU-021</x:v>
      </x:c>
      <x:c r="O3321" t="n">
        <x:v>2</x:v>
      </x:c>
      <x:c r="P3321" s="26" t="n">
        <x:f>F3321/O3321</x:f>
        <x:v>16.89</x:v>
      </x:c>
    </x:row>
    <x:row r="3322">
      <x:c r="A3322" t="n">
        <x:v>3321</x:v>
      </x:c>
      <x:c r="B3322" t="n">
        <x:v>40</x:v>
      </x:c>
      <x:c r="C3322" t="str">
        <x:v>Male</x:v>
      </x:c>
      <x:c r="D3322" t="str">
        <x:v>Mens Clothing</x:v>
      </x:c>
      <x:c r="E3322" t="str">
        <x:v>Jacket</x:v>
      </x:c>
      <x:c r="F3322" s="24" t="n">
        <x:v>70.77</x:v>
      </x:c>
      <x:c r="G3322" t="str">
        <x:v>Autumn</x:v>
      </x:c>
      <x:c r="H3322" t="str">
        <x:v>Card</x:v>
      </x:c>
      <x:c r="I3322" t="n">
        <x:v>4.5</x:v>
      </x:c>
      <x:c r="J3322" t="n">
        <x:v>16</x:v>
      </x:c>
      <x:c r="K3322" t="n">
        <x:v>3</x:v>
      </x:c>
      <x:c r="L3322" t="str">
        <x:v>STORE-001</x:v>
      </x:c>
      <x:c r="M3322" s="22" t="n">
        <x:v>46173</x:v>
      </x:c>
      <x:c r="N3322" t="str">
        <x:v>SKU-010</x:v>
      </x:c>
      <x:c r="O3322" t="n">
        <x:v>1</x:v>
      </x:c>
      <x:c r="P3322" s="26" t="n">
        <x:f>F3322/O3322</x:f>
        <x:v>70.77</x:v>
      </x:c>
    </x:row>
    <x:row r="3323">
      <x:c r="A3323" t="n">
        <x:v>3322</x:v>
      </x:c>
      <x:c r="B3323" t="n">
        <x:v>29</x:v>
      </x:c>
      <x:c r="C3323" t="str">
        <x:v>Female</x:v>
      </x:c>
      <x:c r="D3323" t="str">
        <x:v>Womens Clothing</x:v>
      </x:c>
      <x:c r="E3323" t="str">
        <x:v>Jeans</x:v>
      </x:c>
      <x:c r="F3323" s="24" t="n">
        <x:v>65.09</x:v>
      </x:c>
      <x:c r="G3323" t="str">
        <x:v>Spring</x:v>
      </x:c>
      <x:c r="H3323" t="str">
        <x:v>Cash on Delivery</x:v>
      </x:c>
      <x:c r="I3323" t="n">
        <x:v>4.6</x:v>
      </x:c>
      <x:c r="J3323" t="n">
        <x:v>4</x:v>
      </x:c>
      <x:c r="K3323" t="n">
        <x:v>2</x:v>
      </x:c>
      <x:c r="L3323" t="str">
        <x:v>STORE-001</x:v>
      </x:c>
      <x:c r="M3323" s="22" t="n">
        <x:v>45969</x:v>
      </x:c>
      <x:c r="N3323" t="str">
        <x:v>SKU-011</x:v>
      </x:c>
      <x:c r="O3323" t="n">
        <x:v>2</x:v>
      </x:c>
      <x:c r="P3323" s="26" t="n">
        <x:f>F3323/O3323</x:f>
        <x:v>32.545</x:v>
      </x:c>
    </x:row>
    <x:row r="3324">
      <x:c r="A3324" t="n">
        <x:v>3323</x:v>
      </x:c>
      <x:c r="B3324" t="n">
        <x:v>65</x:v>
      </x:c>
      <x:c r="C3324" t="str">
        <x:v>Male</x:v>
      </x:c>
      <x:c r="D3324" t="str">
        <x:v>Sports</x:v>
      </x:c>
      <x:c r="E3324" t="str">
        <x:v>Yoga Mat</x:v>
      </x:c>
      <x:c r="F3324" s="24" t="n">
        <x:v>245.06</x:v>
      </x:c>
      <x:c r="G3324" t="str">
        <x:v>Spring</x:v>
      </x:c>
      <x:c r="H3324" t="str">
        <x:v>Card</x:v>
      </x:c>
      <x:c r="I3324" t="n">
        <x:v>3.1</x:v>
      </x:c>
      <x:c r="J3324" t="n">
        <x:v>10</x:v>
      </x:c>
      <x:c r="K3324" t="n">
        <x:v>5</x:v>
      </x:c>
      <x:c r="L3324" t="str">
        <x:v>STORE-001</x:v>
      </x:c>
      <x:c r="M3324" s="22" t="n">
        <x:v>46280</x:v>
      </x:c>
      <x:c r="N3324" t="str">
        <x:v>SKU-030</x:v>
      </x:c>
      <x:c r="O3324" t="n">
        <x:v>2</x:v>
      </x:c>
      <x:c r="P3324" s="26" t="n">
        <x:f>F3324/O3324</x:f>
        <x:v>122.53</x:v>
      </x:c>
    </x:row>
    <x:row r="3325">
      <x:c r="A3325" t="n">
        <x:v>3324</x:v>
      </x:c>
      <x:c r="B3325" t="n">
        <x:v>61</x:v>
      </x:c>
      <x:c r="C3325" t="str">
        <x:v>Female</x:v>
      </x:c>
      <x:c r="D3325" t="str">
        <x:v>Accessories</x:v>
      </x:c>
      <x:c r="E3325" t="str">
        <x:v>Handbag</x:v>
      </x:c>
      <x:c r="F3325" s="24" t="n">
        <x:v>68.04</x:v>
      </x:c>
      <x:c r="G3325" t="str">
        <x:v>Autumn</x:v>
      </x:c>
      <x:c r="H3325" t="str">
        <x:v>Cash on Delivery</x:v>
      </x:c>
      <x:c r="I3325" t="n">
        <x:v>4.9</x:v>
      </x:c>
      <x:c r="J3325" t="n">
        <x:v>18</x:v>
      </x:c>
      <x:c r="K3325" t="n">
        <x:v>9</x:v>
      </x:c>
      <x:c r="L3325" t="str">
        <x:v>STORE-001</x:v>
      </x:c>
      <x:c r="M3325" s="22" t="n">
        <x:v>46162</x:v>
      </x:c>
      <x:c r="N3325" t="str">
        <x:v>SKU-008</x:v>
      </x:c>
      <x:c r="O3325" t="n">
        <x:v>2</x:v>
      </x:c>
      <x:c r="P3325" s="26" t="n">
        <x:f>F3325/O3325</x:f>
        <x:v>34.02</x:v>
      </x:c>
    </x:row>
    <x:row r="3326">
      <x:c r="A3326" t="n">
        <x:v>3325</x:v>
      </x:c>
      <x:c r="B3326" t="n">
        <x:v>66</x:v>
      </x:c>
      <x:c r="C3326" t="str">
        <x:v>Female</x:v>
      </x:c>
      <x:c r="D3326" t="str">
        <x:v>Accessories</x:v>
      </x:c>
      <x:c r="E3326" t="str">
        <x:v>Handbag</x:v>
      </x:c>
      <x:c r="F3326" s="24" t="n">
        <x:v>41.18</x:v>
      </x:c>
      <x:c r="G3326" t="str">
        <x:v>Winter</x:v>
      </x:c>
      <x:c r="H3326" t="str">
        <x:v>Cash on Delivery</x:v>
      </x:c>
      <x:c r="I3326" t="n">
        <x:v>2.8</x:v>
      </x:c>
      <x:c r="J3326" t="n">
        <x:v>2</x:v>
      </x:c>
      <x:c r="K3326" t="n">
        <x:v>1</x:v>
      </x:c>
      <x:c r="L3326" t="str">
        <x:v>STORE-001</x:v>
      </x:c>
      <x:c r="M3326" s="22" t="n">
        <x:v>46201</x:v>
      </x:c>
      <x:c r="N3326" t="str">
        <x:v>SKU-008</x:v>
      </x:c>
      <x:c r="O3326" t="n">
        <x:v>1</x:v>
      </x:c>
      <x:c r="P3326" s="26" t="n">
        <x:f>F3326/O3326</x:f>
        <x:v>41.18</x:v>
      </x:c>
    </x:row>
    <x:row r="3327">
      <x:c r="A3327" t="n">
        <x:v>3326</x:v>
      </x:c>
      <x:c r="B3327" t="n">
        <x:v>63</x:v>
      </x:c>
      <x:c r="C3327" t="str">
        <x:v>Male</x:v>
      </x:c>
      <x:c r="D3327" t="str">
        <x:v>Sports</x:v>
      </x:c>
      <x:c r="E3327" t="str">
        <x:v>Football</x:v>
      </x:c>
      <x:c r="F3327" s="24" t="n">
        <x:v>154.11</x:v>
      </x:c>
      <x:c r="G3327" t="str">
        <x:v>Autumn</x:v>
      </x:c>
      <x:c r="H3327" t="str">
        <x:v>Card</x:v>
      </x:c>
      <x:c r="I3327" t="n">
        <x:v>3.3</x:v>
      </x:c>
      <x:c r="J3327" t="n">
        <x:v>13</x:v>
      </x:c>
      <x:c r="K3327" t="n">
        <x:v>4</x:v>
      </x:c>
      <x:c r="L3327" t="str">
        <x:v>STORE-001</x:v>
      </x:c>
      <x:c r="M3327" s="22" t="n">
        <x:v>46112</x:v>
      </x:c>
      <x:c r="N3327" t="str">
        <x:v>SKU-006</x:v>
      </x:c>
      <x:c r="O3327" t="n">
        <x:v>2</x:v>
      </x:c>
      <x:c r="P3327" s="26" t="n">
        <x:f>F3327/O3327</x:f>
        <x:v>77.055</x:v>
      </x:c>
    </x:row>
    <x:row r="3328">
      <x:c r="A3328" t="n">
        <x:v>3327</x:v>
      </x:c>
      <x:c r="B3328" t="n">
        <x:v>24</x:v>
      </x:c>
      <x:c r="C3328" t="str">
        <x:v>Female</x:v>
      </x:c>
      <x:c r="D3328" t="str">
        <x:v>Footwear</x:v>
      </x:c>
      <x:c r="E3328" t="str">
        <x:v>Sneakers</x:v>
      </x:c>
      <x:c r="F3328" s="24" t="n">
        <x:v>174.93</x:v>
      </x:c>
      <x:c r="G3328" t="str">
        <x:v>Summer</x:v>
      </x:c>
      <x:c r="H3328" t="str">
        <x:v>Card</x:v>
      </x:c>
      <x:c r="I3328" t="n">
        <x:v>3.9</x:v>
      </x:c>
      <x:c r="J3328" t="n">
        <x:v>17</x:v>
      </x:c>
      <x:c r="K3328" t="n">
        <x:v>6</x:v>
      </x:c>
      <x:c r="L3328" t="str">
        <x:v>STORE-001</x:v>
      </x:c>
      <x:c r="M3328" s="22" t="n">
        <x:v>45997</x:v>
      </x:c>
      <x:c r="N3328" t="str">
        <x:v>SKU-025</x:v>
      </x:c>
      <x:c r="O3328" t="n">
        <x:v>1</x:v>
      </x:c>
      <x:c r="P3328" s="26" t="n">
        <x:f>F3328/O3328</x:f>
        <x:v>174.93</x:v>
      </x:c>
    </x:row>
    <x:row r="3329">
      <x:c r="A3329" t="n">
        <x:v>3328</x:v>
      </x:c>
      <x:c r="B3329" t="n">
        <x:v>38</x:v>
      </x:c>
      <x:c r="C3329" t="str">
        <x:v>Male</x:v>
      </x:c>
      <x:c r="D3329" t="str">
        <x:v>Mens Clothing</x:v>
      </x:c>
      <x:c r="E3329" t="str">
        <x:v>Jacket</x:v>
      </x:c>
      <x:c r="F3329" s="24" t="n">
        <x:v>192.91</x:v>
      </x:c>
      <x:c r="G3329" t="str">
        <x:v>Spring</x:v>
      </x:c>
      <x:c r="H3329" t="str">
        <x:v>Card</x:v>
      </x:c>
      <x:c r="I3329" t="n">
        <x:v>3.6</x:v>
      </x:c>
      <x:c r="J3329" t="n">
        <x:v>16</x:v>
      </x:c>
      <x:c r="K3329" t="n">
        <x:v>8</x:v>
      </x:c>
      <x:c r="L3329" t="str">
        <x:v>STORE-001</x:v>
      </x:c>
      <x:c r="M3329" s="22" t="n">
        <x:v>45953</x:v>
      </x:c>
      <x:c r="N3329" t="str">
        <x:v>SKU-010</x:v>
      </x:c>
      <x:c r="O3329" t="n">
        <x:v>1</x:v>
      </x:c>
      <x:c r="P3329" s="26" t="n">
        <x:f>F3329/O3329</x:f>
        <x:v>192.91</x:v>
      </x:c>
    </x:row>
    <x:row r="3330">
      <x:c r="A3330" t="n">
        <x:v>3329</x:v>
      </x:c>
      <x:c r="B3330" t="n">
        <x:v>21</x:v>
      </x:c>
      <x:c r="C3330" t="str">
        <x:v>Female</x:v>
      </x:c>
      <x:c r="D3330" t="str">
        <x:v>Footwear</x:v>
      </x:c>
      <x:c r="E3330" t="str">
        <x:v>Formal Shoes</x:v>
      </x:c>
      <x:c r="F3330" s="24" t="n">
        <x:v>42.33</x:v>
      </x:c>
      <x:c r="G3330" t="str">
        <x:v>Summer</x:v>
      </x:c>
      <x:c r="H3330" t="str">
        <x:v>Cash on Delivery</x:v>
      </x:c>
      <x:c r="I3330" t="n">
        <x:v>2.9</x:v>
      </x:c>
      <x:c r="J3330" t="n">
        <x:v>9</x:v>
      </x:c>
      <x:c r="K3330" t="n">
        <x:v>2</x:v>
      </x:c>
      <x:c r="L3330" t="str">
        <x:v>STORE-001</x:v>
      </x:c>
      <x:c r="M3330" s="22" t="n">
        <x:v>46016</x:v>
      </x:c>
      <x:c r="N3330" t="str">
        <x:v>SKU-007</x:v>
      </x:c>
      <x:c r="O3330" t="n">
        <x:v>2</x:v>
      </x:c>
      <x:c r="P3330" s="26" t="n">
        <x:f>F3330/O3330</x:f>
        <x:v>21.165</x:v>
      </x:c>
    </x:row>
    <x:row r="3331">
      <x:c r="A3331" t="n">
        <x:v>3330</x:v>
      </x:c>
      <x:c r="B3331" t="n">
        <x:v>41</x:v>
      </x:c>
      <x:c r="C3331" t="str">
        <x:v>Female</x:v>
      </x:c>
      <x:c r="D3331" t="str">
        <x:v>Home</x:v>
      </x:c>
      <x:c r="E3331" t="str">
        <x:v>Curtains</x:v>
      </x:c>
      <x:c r="F3331" s="24" t="n">
        <x:v>260.49</x:v>
      </x:c>
      <x:c r="G3331" t="str">
        <x:v>Summer</x:v>
      </x:c>
      <x:c r="H3331" t="str">
        <x:v>Card</x:v>
      </x:c>
      <x:c r="I3331" t="n">
        <x:v>4</x:v>
      </x:c>
      <x:c r="J3331" t="n">
        <x:v>22</x:v>
      </x:c>
      <x:c r="K3331" t="n">
        <x:v>6</x:v>
      </x:c>
      <x:c r="L3331" t="str">
        <x:v>STORE-001</x:v>
      </x:c>
      <x:c r="M3331" s="22" t="n">
        <x:v>46075</x:v>
      </x:c>
      <x:c r="N3331" t="str">
        <x:v>SKU-003</x:v>
      </x:c>
      <x:c r="O3331" t="n">
        <x:v>1</x:v>
      </x:c>
      <x:c r="P3331" s="26" t="n">
        <x:f>F3331/O3331</x:f>
        <x:v>260.49</x:v>
      </x:c>
    </x:row>
    <x:row r="3332">
      <x:c r="A3332" t="n">
        <x:v>3331</x:v>
      </x:c>
      <x:c r="B3332" t="n">
        <x:v>42</x:v>
      </x:c>
      <x:c r="C3332" t="str">
        <x:v>Male</x:v>
      </x:c>
      <x:c r="D3332" t="str">
        <x:v>Mens Clothing</x:v>
      </x:c>
      <x:c r="E3332" t="str">
        <x:v>Jeans</x:v>
      </x:c>
      <x:c r="F3332" s="24" t="n">
        <x:v>48.33</x:v>
      </x:c>
      <x:c r="G3332" t="str">
        <x:v>Summer</x:v>
      </x:c>
      <x:c r="H3332" t="str">
        <x:v>Cash on Delivery</x:v>
      </x:c>
      <x:c r="I3332" t="n">
        <x:v>5</x:v>
      </x:c>
      <x:c r="J3332" t="n">
        <x:v>10</x:v>
      </x:c>
      <x:c r="K3332" t="n">
        <x:v>5</x:v>
      </x:c>
      <x:c r="L3332" t="str">
        <x:v>STORE-001</x:v>
      </x:c>
      <x:c r="M3332" s="22" t="n">
        <x:v>45993</x:v>
      </x:c>
      <x:c r="N3332" t="str">
        <x:v>SKU-011</x:v>
      </x:c>
      <x:c r="O3332" t="n">
        <x:v>2</x:v>
      </x:c>
      <x:c r="P3332" s="26" t="n">
        <x:f>F3332/O3332</x:f>
        <x:v>24.165</x:v>
      </x:c>
    </x:row>
    <x:row r="3333">
      <x:c r="A3333" t="n">
        <x:v>3332</x:v>
      </x:c>
      <x:c r="B3333" t="n">
        <x:v>56</x:v>
      </x:c>
      <x:c r="C3333" t="str">
        <x:v>Female</x:v>
      </x:c>
      <x:c r="D3333" t="str">
        <x:v>Beauty</x:v>
      </x:c>
      <x:c r="E3333" t="str">
        <x:v>Makeup Set</x:v>
      </x:c>
      <x:c r="F3333" s="24" t="n">
        <x:v>100.08</x:v>
      </x:c>
      <x:c r="G3333" t="str">
        <x:v>Summer</x:v>
      </x:c>
      <x:c r="H3333" t="str">
        <x:v>Card</x:v>
      </x:c>
      <x:c r="I3333" t="n">
        <x:v>3.5</x:v>
      </x:c>
      <x:c r="J3333" t="n">
        <x:v>8</x:v>
      </x:c>
      <x:c r="K3333" t="n">
        <x:v>4</x:v>
      </x:c>
      <x:c r="L3333" t="str">
        <x:v>STORE-001</x:v>
      </x:c>
      <x:c r="M3333" s="22" t="n">
        <x:v>46073</x:v>
      </x:c>
      <x:c r="N3333" t="str">
        <x:v>SKU-015</x:v>
      </x:c>
      <x:c r="O3333" t="n">
        <x:v>1</x:v>
      </x:c>
      <x:c r="P3333" s="26" t="n">
        <x:f>F3333/O3333</x:f>
        <x:v>100.08</x:v>
      </x:c>
    </x:row>
    <x:row r="3334">
      <x:c r="A3334" t="n">
        <x:v>3333</x:v>
      </x:c>
      <x:c r="B3334" t="n">
        <x:v>25</x:v>
      </x:c>
      <x:c r="C3334" t="str">
        <x:v>Male</x:v>
      </x:c>
      <x:c r="D3334" t="str">
        <x:v>Footwear</x:v>
      </x:c>
      <x:c r="E3334" t="str">
        <x:v>Formal Shoes</x:v>
      </x:c>
      <x:c r="F3334" s="24" t="n">
        <x:v>98.36</x:v>
      </x:c>
      <x:c r="G3334" t="str">
        <x:v>Autumn</x:v>
      </x:c>
      <x:c r="H3334" t="str">
        <x:v>Card</x:v>
      </x:c>
      <x:c r="I3334" t="n">
        <x:v>4.3</x:v>
      </x:c>
      <x:c r="J3334" t="n">
        <x:v>9</x:v>
      </x:c>
      <x:c r="K3334" t="n">
        <x:v>2</x:v>
      </x:c>
      <x:c r="L3334" t="str">
        <x:v>STORE-001</x:v>
      </x:c>
      <x:c r="M3334" s="22" t="n">
        <x:v>46157</x:v>
      </x:c>
      <x:c r="N3334" t="str">
        <x:v>SKU-007</x:v>
      </x:c>
      <x:c r="O3334" t="n">
        <x:v>1</x:v>
      </x:c>
      <x:c r="P3334" s="26" t="n">
        <x:f>F3334/O3334</x:f>
        <x:v>98.36</x:v>
      </x:c>
    </x:row>
    <x:row r="3335">
      <x:c r="A3335" t="n">
        <x:v>3334</x:v>
      </x:c>
      <x:c r="B3335" t="n">
        <x:v>34</x:v>
      </x:c>
      <x:c r="C3335" t="str">
        <x:v>Male</x:v>
      </x:c>
      <x:c r="D3335" t="str">
        <x:v>Electronics</x:v>
      </x:c>
      <x:c r="E3335" t="str">
        <x:v>Mobile Phone</x:v>
      </x:c>
      <x:c r="F3335" s="24" t="n">
        <x:v>2073.3</x:v>
      </x:c>
      <x:c r="G3335" t="str">
        <x:v>Autumn</x:v>
      </x:c>
      <x:c r="H3335" t="str">
        <x:v>Card</x:v>
      </x:c>
      <x:c r="I3335" t="n">
        <x:v>4.2</x:v>
      </x:c>
      <x:c r="J3335" t="n">
        <x:v>8</x:v>
      </x:c>
      <x:c r="K3335" t="n">
        <x:v>4</x:v>
      </x:c>
      <x:c r="L3335" t="str">
        <x:v>STORE-001</x:v>
      </x:c>
      <x:c r="M3335" s="22" t="n">
        <x:v>46092</x:v>
      </x:c>
      <x:c r="N3335" t="str">
        <x:v>SKU-016</x:v>
      </x:c>
      <x:c r="O3335" t="n">
        <x:v>1</x:v>
      </x:c>
      <x:c r="P3335" s="26" t="n">
        <x:f>F3335/O3335</x:f>
        <x:v>2073.3</x:v>
      </x:c>
    </x:row>
    <x:row r="3336">
      <x:c r="A3336" t="n">
        <x:v>3335</x:v>
      </x:c>
      <x:c r="B3336" t="n">
        <x:v>47</x:v>
      </x:c>
      <x:c r="C3336" t="str">
        <x:v>Female</x:v>
      </x:c>
      <x:c r="D3336" t="str">
        <x:v>Womens Clothing</x:v>
      </x:c>
      <x:c r="E3336" t="str">
        <x:v>Top</x:v>
      </x:c>
      <x:c r="F3336" s="24" t="n">
        <x:v>98.36</x:v>
      </x:c>
      <x:c r="G3336" t="str">
        <x:v>Summer</x:v>
      </x:c>
      <x:c r="H3336" t="str">
        <x:v>Cash on Delivery</x:v>
      </x:c>
      <x:c r="I3336" t="n">
        <x:v>3.7</x:v>
      </x:c>
      <x:c r="J3336" t="n">
        <x:v>18</x:v>
      </x:c>
      <x:c r="K3336" t="n">
        <x:v>4</x:v>
      </x:c>
      <x:c r="L3336" t="str">
        <x:v>STORE-001</x:v>
      </x:c>
      <x:c r="M3336" s="22" t="n">
        <x:v>46041</x:v>
      </x:c>
      <x:c r="N3336" t="str">
        <x:v>SKU-028</x:v>
      </x:c>
      <x:c r="O3336" t="n">
        <x:v>1</x:v>
      </x:c>
      <x:c r="P3336" s="26" t="n">
        <x:f>F3336/O3336</x:f>
        <x:v>98.36</x:v>
      </x:c>
    </x:row>
    <x:row r="3337">
      <x:c r="A3337" t="n">
        <x:v>3336</x:v>
      </x:c>
      <x:c r="B3337" t="n">
        <x:v>35</x:v>
      </x:c>
      <x:c r="C3337" t="str">
        <x:v>Male</x:v>
      </x:c>
      <x:c r="D3337" t="str">
        <x:v>Sports</x:v>
      </x:c>
      <x:c r="E3337" t="str">
        <x:v>Football</x:v>
      </x:c>
      <x:c r="F3337" s="24" t="n">
        <x:v>32.78</x:v>
      </x:c>
      <x:c r="G3337" t="str">
        <x:v>Spring</x:v>
      </x:c>
      <x:c r="H3337" t="str">
        <x:v>Cash on Delivery</x:v>
      </x:c>
      <x:c r="I3337" t="n">
        <x:v>4.5</x:v>
      </x:c>
      <x:c r="J3337" t="n">
        <x:v>10</x:v>
      </x:c>
      <x:c r="K3337" t="n">
        <x:v>5</x:v>
      </x:c>
      <x:c r="L3337" t="str">
        <x:v>STORE-001</x:v>
      </x:c>
      <x:c r="M3337" s="22" t="n">
        <x:v>46285</x:v>
      </x:c>
      <x:c r="N3337" t="str">
        <x:v>SKU-006</x:v>
      </x:c>
      <x:c r="O3337" t="n">
        <x:v>3</x:v>
      </x:c>
      <x:c r="P3337" s="26" t="n">
        <x:f>F3337/O3337</x:f>
        <x:v>10.926666666666668</x:v>
      </x:c>
    </x:row>
    <x:row r="3338">
      <x:c r="A3338" t="n">
        <x:v>3337</x:v>
      </x:c>
      <x:c r="B3338" t="n">
        <x:v>26</x:v>
      </x:c>
      <x:c r="C3338" t="str">
        <x:v>Male</x:v>
      </x:c>
      <x:c r="D3338" t="str">
        <x:v>Sports</x:v>
      </x:c>
      <x:c r="E3338" t="str">
        <x:v>Dumbbells</x:v>
      </x:c>
      <x:c r="F3338" s="24" t="n">
        <x:v>168</x:v>
      </x:c>
      <x:c r="G3338" t="str">
        <x:v>Spring</x:v>
      </x:c>
      <x:c r="H3338" t="str">
        <x:v>Card</x:v>
      </x:c>
      <x:c r="I3338" t="n">
        <x:v>2.9</x:v>
      </x:c>
      <x:c r="J3338" t="n">
        <x:v>14</x:v>
      </x:c>
      <x:c r="K3338" t="n">
        <x:v>7</x:v>
      </x:c>
      <x:c r="L3338" t="str">
        <x:v>STORE-001</x:v>
      </x:c>
      <x:c r="M3338" s="22" t="n">
        <x:v>46284</x:v>
      </x:c>
      <x:c r="N3338" t="str">
        <x:v>SKU-005</x:v>
      </x:c>
      <x:c r="O3338" t="n">
        <x:v>1</x:v>
      </x:c>
      <x:c r="P3338" s="26" t="n">
        <x:f>F3338/O3338</x:f>
        <x:v>168</x:v>
      </x:c>
    </x:row>
    <x:row r="3339">
      <x:c r="A3339" t="n">
        <x:v>3338</x:v>
      </x:c>
      <x:c r="B3339" t="n">
        <x:v>63</x:v>
      </x:c>
      <x:c r="C3339" t="str">
        <x:v>Male</x:v>
      </x:c>
      <x:c r="D3339" t="str">
        <x:v>Electronics</x:v>
      </x:c>
      <x:c r="E3339" t="str">
        <x:v>Headphones</x:v>
      </x:c>
      <x:c r="F3339" s="24" t="n">
        <x:v>2939.08</x:v>
      </x:c>
      <x:c r="G3339" t="str">
        <x:v>Summer</x:v>
      </x:c>
      <x:c r="H3339" t="str">
        <x:v>Card</x:v>
      </x:c>
      <x:c r="I3339" t="n">
        <x:v>3.3</x:v>
      </x:c>
      <x:c r="J3339" t="n">
        <x:v>18</x:v>
      </x:c>
      <x:c r="K3339" t="n">
        <x:v>4</x:v>
      </x:c>
      <x:c r="L3339" t="str">
        <x:v>STORE-001</x:v>
      </x:c>
      <x:c r="M3339" s="22" t="n">
        <x:v>45998</x:v>
      </x:c>
      <x:c r="N3339" t="str">
        <x:v>SKU-009</x:v>
      </x:c>
      <x:c r="O3339" t="n">
        <x:v>1</x:v>
      </x:c>
      <x:c r="P3339" s="26" t="n">
        <x:f>F3339/O3339</x:f>
        <x:v>2939.08</x:v>
      </x:c>
    </x:row>
    <x:row r="3340">
      <x:c r="A3340" t="n">
        <x:v>3339</x:v>
      </x:c>
      <x:c r="B3340" t="n">
        <x:v>59</x:v>
      </x:c>
      <x:c r="C3340" t="str">
        <x:v>Female</x:v>
      </x:c>
      <x:c r="D3340" t="str">
        <x:v>Accessories</x:v>
      </x:c>
      <x:c r="E3340" t="str">
        <x:v>Sunglasses</x:v>
      </x:c>
      <x:c r="F3340" s="24" t="n">
        <x:v>37.43</x:v>
      </x:c>
      <x:c r="G3340" t="str">
        <x:v>Winter</x:v>
      </x:c>
      <x:c r="H3340" t="str">
        <x:v>Cash on Delivery</x:v>
      </x:c>
      <x:c r="I3340" t="n">
        <x:v>2.4</x:v>
      </x:c>
      <x:c r="J3340" t="n">
        <x:v>18</x:v>
      </x:c>
      <x:c r="K3340" t="n">
        <x:v>4</x:v>
      </x:c>
      <x:c r="L3340" t="str">
        <x:v>STORE-001</x:v>
      </x:c>
      <x:c r="M3340" s="22" t="n">
        <x:v>46220</x:v>
      </x:c>
      <x:c r="N3340" t="str">
        <x:v>SKU-026</x:v>
      </x:c>
      <x:c r="O3340" t="n">
        <x:v>1</x:v>
      </x:c>
      <x:c r="P3340" s="26" t="n">
        <x:f>F3340/O3340</x:f>
        <x:v>37.43</x:v>
      </x:c>
    </x:row>
    <x:row r="3341">
      <x:c r="A3341" t="n">
        <x:v>3340</x:v>
      </x:c>
      <x:c r="B3341" t="n">
        <x:v>57</x:v>
      </x:c>
      <x:c r="C3341" t="str">
        <x:v>Male</x:v>
      </x:c>
      <x:c r="D3341" t="str">
        <x:v>Footwear</x:v>
      </x:c>
      <x:c r="E3341" t="str">
        <x:v>Sneakers</x:v>
      </x:c>
      <x:c r="F3341" s="24" t="n">
        <x:v>219.41</x:v>
      </x:c>
      <x:c r="G3341" t="str">
        <x:v>Summer</x:v>
      </x:c>
      <x:c r="H3341" t="str">
        <x:v>Card</x:v>
      </x:c>
      <x:c r="I3341" t="n">
        <x:v>4.3</x:v>
      </x:c>
      <x:c r="J3341" t="n">
        <x:v>18</x:v>
      </x:c>
      <x:c r="K3341" t="n">
        <x:v>4</x:v>
      </x:c>
      <x:c r="L3341" t="str">
        <x:v>STORE-001</x:v>
      </x:c>
      <x:c r="M3341" s="22" t="n">
        <x:v>46045</x:v>
      </x:c>
      <x:c r="N3341" t="str">
        <x:v>SKU-025</x:v>
      </x:c>
      <x:c r="O3341" t="n">
        <x:v>1</x:v>
      </x:c>
      <x:c r="P3341" s="26" t="n">
        <x:f>F3341/O3341</x:f>
        <x:v>219.41</x:v>
      </x:c>
    </x:row>
    <x:row r="3342">
      <x:c r="A3342" t="n">
        <x:v>3341</x:v>
      </x:c>
      <x:c r="B3342" t="n">
        <x:v>24</x:v>
      </x:c>
      <x:c r="C3342" t="str">
        <x:v>Female</x:v>
      </x:c>
      <x:c r="D3342" t="str">
        <x:v>Footwear</x:v>
      </x:c>
      <x:c r="E3342" t="str">
        <x:v>Sandals</x:v>
      </x:c>
      <x:c r="F3342" s="24" t="n">
        <x:v>79.68</x:v>
      </x:c>
      <x:c r="G3342" t="str">
        <x:v>Spring</x:v>
      </x:c>
      <x:c r="H3342" t="str">
        <x:v>Card</x:v>
      </x:c>
      <x:c r="I3342" t="n">
        <x:v>3.6</x:v>
      </x:c>
      <x:c r="J3342" t="n">
        <x:v>10</x:v>
      </x:c>
      <x:c r="K3342" t="n">
        <x:v>5</x:v>
      </x:c>
      <x:c r="L3342" t="str">
        <x:v>STORE-001</x:v>
      </x:c>
      <x:c r="M3342" s="22" t="n">
        <x:v>45955</x:v>
      </x:c>
      <x:c r="N3342" t="str">
        <x:v>SKU-019</x:v>
      </x:c>
      <x:c r="O3342" t="n">
        <x:v>1</x:v>
      </x:c>
      <x:c r="P3342" s="26" t="n">
        <x:f>F3342/O3342</x:f>
        <x:v>79.68</x:v>
      </x:c>
    </x:row>
    <x:row r="3343">
      <x:c r="A3343" t="n">
        <x:v>3342</x:v>
      </x:c>
      <x:c r="B3343" t="n">
        <x:v>44</x:v>
      </x:c>
      <x:c r="C3343" t="str">
        <x:v>Female</x:v>
      </x:c>
      <x:c r="D3343" t="str">
        <x:v>Beauty</x:v>
      </x:c>
      <x:c r="E3343" t="str">
        <x:v>Perfume</x:v>
      </x:c>
      <x:c r="F3343" s="24" t="n">
        <x:v>83.41</x:v>
      </x:c>
      <x:c r="G3343" t="str">
        <x:v>Spring</x:v>
      </x:c>
      <x:c r="H3343" t="str">
        <x:v>Cash on Delivery</x:v>
      </x:c>
      <x:c r="I3343" t="n">
        <x:v>3.2</x:v>
      </x:c>
      <x:c r="J3343" t="n">
        <x:v>14</x:v>
      </x:c>
      <x:c r="K3343" t="n">
        <x:v>7</x:v>
      </x:c>
      <x:c r="L3343" t="str">
        <x:v>STORE-001</x:v>
      </x:c>
      <x:c r="M3343" s="22" t="n">
        <x:v>45976</x:v>
      </x:c>
      <x:c r="N3343" t="str">
        <x:v>SKU-017</x:v>
      </x:c>
      <x:c r="O3343" t="n">
        <x:v>1</x:v>
      </x:c>
      <x:c r="P3343" s="26" t="n">
        <x:f>F3343/O3343</x:f>
        <x:v>83.41</x:v>
      </x:c>
    </x:row>
    <x:row r="3344">
      <x:c r="A3344" t="n">
        <x:v>3343</x:v>
      </x:c>
      <x:c r="B3344" t="n">
        <x:v>35</x:v>
      </x:c>
      <x:c r="C3344" t="str">
        <x:v>Male</x:v>
      </x:c>
      <x:c r="D3344" t="str">
        <x:v>Groceries</x:v>
      </x:c>
      <x:c r="E3344" t="str">
        <x:v>Beverages</x:v>
      </x:c>
      <x:c r="F3344" s="24" t="n">
        <x:v>19.63</x:v>
      </x:c>
      <x:c r="G3344" t="str">
        <x:v>Summer</x:v>
      </x:c>
      <x:c r="H3344" t="str">
        <x:v>Card</x:v>
      </x:c>
      <x:c r="I3344" t="n">
        <x:v>4.8</x:v>
      </x:c>
      <x:c r="J3344" t="n">
        <x:v>12</x:v>
      </x:c>
      <x:c r="K3344" t="n">
        <x:v>6</x:v>
      </x:c>
      <x:c r="L3344" t="str">
        <x:v>STORE-001</x:v>
      </x:c>
      <x:c r="M3344" s="22" t="n">
        <x:v>46019</x:v>
      </x:c>
      <x:c r="N3344" t="str">
        <x:v>SKU-001</x:v>
      </x:c>
      <x:c r="O3344" t="n">
        <x:v>1</x:v>
      </x:c>
      <x:c r="P3344" s="26" t="n">
        <x:f>F3344/O3344</x:f>
        <x:v>19.63</x:v>
      </x:c>
    </x:row>
    <x:row r="3345">
      <x:c r="A3345" t="n">
        <x:v>3344</x:v>
      </x:c>
      <x:c r="B3345" t="n">
        <x:v>55</x:v>
      </x:c>
      <x:c r="C3345" t="str">
        <x:v>Male</x:v>
      </x:c>
      <x:c r="D3345" t="str">
        <x:v>Mens Clothing</x:v>
      </x:c>
      <x:c r="E3345" t="str">
        <x:v>Shirt</x:v>
      </x:c>
      <x:c r="F3345" s="24" t="n">
        <x:v>112.09</x:v>
      </x:c>
      <x:c r="G3345" t="str">
        <x:v>Autumn</x:v>
      </x:c>
      <x:c r="H3345" t="str">
        <x:v>Card</x:v>
      </x:c>
      <x:c r="I3345" t="n">
        <x:v>3.6</x:v>
      </x:c>
      <x:c r="J3345" t="n">
        <x:v>8</x:v>
      </x:c>
      <x:c r="K3345" t="n">
        <x:v>4</x:v>
      </x:c>
      <x:c r="L3345" t="str">
        <x:v>STORE-001</x:v>
      </x:c>
      <x:c r="M3345" s="22" t="n">
        <x:v>46125</x:v>
      </x:c>
      <x:c r="N3345" t="str">
        <x:v>SKU-020</x:v>
      </x:c>
      <x:c r="O3345" t="n">
        <x:v>1</x:v>
      </x:c>
      <x:c r="P3345" s="26" t="n">
        <x:f>F3345/O3345</x:f>
        <x:v>112.09</x:v>
      </x:c>
    </x:row>
    <x:row r="3346">
      <x:c r="A3346" t="n">
        <x:v>3345</x:v>
      </x:c>
      <x:c r="B3346" t="n">
        <x:v>31</x:v>
      </x:c>
      <x:c r="C3346" t="str">
        <x:v>Female</x:v>
      </x:c>
      <x:c r="D3346" t="str">
        <x:v>Home</x:v>
      </x:c>
      <x:c r="E3346" t="str">
        <x:v>Curtains</x:v>
      </x:c>
      <x:c r="F3346" s="24" t="n">
        <x:v>218.84</x:v>
      </x:c>
      <x:c r="G3346" t="str">
        <x:v>Summer</x:v>
      </x:c>
      <x:c r="H3346" t="str">
        <x:v>Card</x:v>
      </x:c>
      <x:c r="I3346" t="n">
        <x:v>4.1</x:v>
      </x:c>
      <x:c r="J3346" t="n">
        <x:v>20</x:v>
      </x:c>
      <x:c r="K3346" t="n">
        <x:v>5</x:v>
      </x:c>
      <x:c r="L3346" t="str">
        <x:v>STORE-001</x:v>
      </x:c>
      <x:c r="M3346" s="22" t="n">
        <x:v>46015</x:v>
      </x:c>
      <x:c r="N3346" t="str">
        <x:v>SKU-003</x:v>
      </x:c>
      <x:c r="O3346" t="n">
        <x:v>3</x:v>
      </x:c>
      <x:c r="P3346" s="26" t="n">
        <x:f>F3346/O3346</x:f>
        <x:v>72.94666666666667</x:v>
      </x:c>
    </x:row>
    <x:row r="3347">
      <x:c r="A3347" t="n">
        <x:v>3346</x:v>
      </x:c>
      <x:c r="B3347" t="n">
        <x:v>62</x:v>
      </x:c>
      <x:c r="C3347" t="str">
        <x:v>Female</x:v>
      </x:c>
      <x:c r="D3347" t="str">
        <x:v>Beauty</x:v>
      </x:c>
      <x:c r="E3347" t="str">
        <x:v>Perfume</x:v>
      </x:c>
      <x:c r="F3347" s="24" t="n">
        <x:v>136.35</x:v>
      </x:c>
      <x:c r="G3347" t="str">
        <x:v>Winter</x:v>
      </x:c>
      <x:c r="H3347" t="str">
        <x:v>Card</x:v>
      </x:c>
      <x:c r="I3347" t="n">
        <x:v>2.7</x:v>
      </x:c>
      <x:c r="J3347" t="n">
        <x:v>12</x:v>
      </x:c>
      <x:c r="K3347" t="n">
        <x:v>6</x:v>
      </x:c>
      <x:c r="L3347" t="str">
        <x:v>STORE-001</x:v>
      </x:c>
      <x:c r="M3347" s="22" t="n">
        <x:v>46260</x:v>
      </x:c>
      <x:c r="N3347" t="str">
        <x:v>SKU-017</x:v>
      </x:c>
      <x:c r="O3347" t="n">
        <x:v>1</x:v>
      </x:c>
      <x:c r="P3347" s="26" t="n">
        <x:f>F3347/O3347</x:f>
        <x:v>136.35</x:v>
      </x:c>
    </x:row>
    <x:row r="3348">
      <x:c r="A3348" t="n">
        <x:v>3347</x:v>
      </x:c>
      <x:c r="B3348" t="n">
        <x:v>52</x:v>
      </x:c>
      <x:c r="C3348" t="str">
        <x:v>Female</x:v>
      </x:c>
      <x:c r="D3348" t="str">
        <x:v>Sports</x:v>
      </x:c>
      <x:c r="E3348" t="str">
        <x:v>Dumbbells</x:v>
      </x:c>
      <x:c r="F3348" s="24" t="n">
        <x:v>210.16</x:v>
      </x:c>
      <x:c r="G3348" t="str">
        <x:v>Autumn</x:v>
      </x:c>
      <x:c r="H3348" t="str">
        <x:v>Card</x:v>
      </x:c>
      <x:c r="I3348" t="n">
        <x:v>3</x:v>
      </x:c>
      <x:c r="J3348" t="n">
        <x:v>10</x:v>
      </x:c>
      <x:c r="K3348" t="n">
        <x:v>5</x:v>
      </x:c>
      <x:c r="L3348" t="str">
        <x:v>STORE-001</x:v>
      </x:c>
      <x:c r="M3348" s="22" t="n">
        <x:v>46116</x:v>
      </x:c>
      <x:c r="N3348" t="str">
        <x:v>SKU-005</x:v>
      </x:c>
      <x:c r="O3348" t="n">
        <x:v>1</x:v>
      </x:c>
      <x:c r="P3348" s="26" t="n">
        <x:f>F3348/O3348</x:f>
        <x:v>210.16</x:v>
      </x:c>
    </x:row>
    <x:row r="3349">
      <x:c r="A3349" t="n">
        <x:v>3348</x:v>
      </x:c>
      <x:c r="B3349" t="n">
        <x:v>53</x:v>
      </x:c>
      <x:c r="C3349" t="str">
        <x:v>Male</x:v>
      </x:c>
      <x:c r="D3349" t="str">
        <x:v>Mens Clothing</x:v>
      </x:c>
      <x:c r="E3349" t="str">
        <x:v>Shirt</x:v>
      </x:c>
      <x:c r="F3349" s="24" t="n">
        <x:v>90.13</x:v>
      </x:c>
      <x:c r="G3349" t="str">
        <x:v>Spring</x:v>
      </x:c>
      <x:c r="H3349" t="str">
        <x:v>Card</x:v>
      </x:c>
      <x:c r="I3349" t="n">
        <x:v>3.5</x:v>
      </x:c>
      <x:c r="J3349" t="n">
        <x:v>18</x:v>
      </x:c>
      <x:c r="K3349" t="n">
        <x:v>4</x:v>
      </x:c>
      <x:c r="L3349" t="str">
        <x:v>STORE-001</x:v>
      </x:c>
      <x:c r="M3349" s="22" t="n">
        <x:v>46291</x:v>
      </x:c>
      <x:c r="N3349" t="str">
        <x:v>SKU-020</x:v>
      </x:c>
      <x:c r="O3349" t="n">
        <x:v>1</x:v>
      </x:c>
      <x:c r="P3349" s="26" t="n">
        <x:f>F3349/O3349</x:f>
        <x:v>90.13</x:v>
      </x:c>
    </x:row>
    <x:row r="3350">
      <x:c r="A3350" t="n">
        <x:v>3349</x:v>
      </x:c>
      <x:c r="B3350" t="n">
        <x:v>28</x:v>
      </x:c>
      <x:c r="C3350" t="str">
        <x:v>Female</x:v>
      </x:c>
      <x:c r="D3350" t="str">
        <x:v>Beauty</x:v>
      </x:c>
      <x:c r="E3350" t="str">
        <x:v>Skincare Kit</x:v>
      </x:c>
      <x:c r="F3350" s="24" t="n">
        <x:v>132.17</x:v>
      </x:c>
      <x:c r="G3350" t="str">
        <x:v>Autumn</x:v>
      </x:c>
      <x:c r="H3350" t="str">
        <x:v>Card</x:v>
      </x:c>
      <x:c r="I3350" t="n">
        <x:v>2.7</x:v>
      </x:c>
      <x:c r="J3350" t="n">
        <x:v>19</x:v>
      </x:c>
      <x:c r="K3350" t="n">
        <x:v>7</x:v>
      </x:c>
      <x:c r="L3350" t="str">
        <x:v>STORE-001</x:v>
      </x:c>
      <x:c r="M3350" s="22" t="n">
        <x:v>46122</x:v>
      </x:c>
      <x:c r="N3350" t="str">
        <x:v>SKU-021</x:v>
      </x:c>
      <x:c r="O3350" t="n">
        <x:v>1</x:v>
      </x:c>
      <x:c r="P3350" s="26" t="n">
        <x:f>F3350/O3350</x:f>
        <x:v>132.17</x:v>
      </x:c>
    </x:row>
    <x:row r="3351">
      <x:c r="A3351" t="n">
        <x:v>3350</x:v>
      </x:c>
      <x:c r="B3351" t="n">
        <x:v>20</x:v>
      </x:c>
      <x:c r="C3351" t="str">
        <x:v>Male</x:v>
      </x:c>
      <x:c r="D3351" t="str">
        <x:v>Footwear</x:v>
      </x:c>
      <x:c r="E3351" t="str">
        <x:v>Formal Shoes</x:v>
      </x:c>
      <x:c r="F3351" s="24" t="n">
        <x:v>162.4</x:v>
      </x:c>
      <x:c r="G3351" t="str">
        <x:v>Winter</x:v>
      </x:c>
      <x:c r="H3351" t="str">
        <x:v>Card</x:v>
      </x:c>
      <x:c r="I3351" t="n">
        <x:v>3.5</x:v>
      </x:c>
      <x:c r="J3351" t="n">
        <x:v>8</x:v>
      </x:c>
      <x:c r="K3351" t="n">
        <x:v>4</x:v>
      </x:c>
      <x:c r="L3351" t="str">
        <x:v>STORE-001</x:v>
      </x:c>
      <x:c r="M3351" s="22" t="n">
        <x:v>46256</x:v>
      </x:c>
      <x:c r="N3351" t="str">
        <x:v>SKU-007</x:v>
      </x:c>
      <x:c r="O3351" t="n">
        <x:v>1</x:v>
      </x:c>
      <x:c r="P3351" s="26" t="n">
        <x:f>F3351/O3351</x:f>
        <x:v>162.4</x:v>
      </x:c>
    </x:row>
    <x:row r="3352">
      <x:c r="A3352" t="n">
        <x:v>3351</x:v>
      </x:c>
      <x:c r="B3352" t="n">
        <x:v>47</x:v>
      </x:c>
      <x:c r="C3352" t="str">
        <x:v>Female</x:v>
      </x:c>
      <x:c r="D3352" t="str">
        <x:v>Home</x:v>
      </x:c>
      <x:c r="E3352" t="str">
        <x:v>Lamp</x:v>
      </x:c>
      <x:c r="F3352" s="24" t="n">
        <x:v>242.74</x:v>
      </x:c>
      <x:c r="G3352" t="str">
        <x:v>Autumn</x:v>
      </x:c>
      <x:c r="H3352" t="str">
        <x:v>Card</x:v>
      </x:c>
      <x:c r="I3352" t="n">
        <x:v>2.8</x:v>
      </x:c>
      <x:c r="J3352" t="n">
        <x:v>11</x:v>
      </x:c>
      <x:c r="K3352" t="n">
        <x:v>3</x:v>
      </x:c>
      <x:c r="L3352" t="str">
        <x:v>STORE-001</x:v>
      </x:c>
      <x:c r="M3352" s="22" t="n">
        <x:v>46157</x:v>
      </x:c>
      <x:c r="N3352" t="str">
        <x:v>SKU-013</x:v>
      </x:c>
      <x:c r="O3352" t="n">
        <x:v>2</x:v>
      </x:c>
      <x:c r="P3352" s="26" t="n">
        <x:f>F3352/O3352</x:f>
        <x:v>121.37</x:v>
      </x:c>
    </x:row>
    <x:row r="3353">
      <x:c r="A3353" t="n">
        <x:v>3352</x:v>
      </x:c>
      <x:c r="B3353" t="n">
        <x:v>40</x:v>
      </x:c>
      <x:c r="C3353" t="str">
        <x:v>Male</x:v>
      </x:c>
      <x:c r="D3353" t="str">
        <x:v>Mens Clothing</x:v>
      </x:c>
      <x:c r="E3353" t="str">
        <x:v>T-Shirt</x:v>
      </x:c>
      <x:c r="F3353" s="24" t="n">
        <x:v>113.99</x:v>
      </x:c>
      <x:c r="G3353" t="str">
        <x:v>Spring</x:v>
      </x:c>
      <x:c r="H3353" t="str">
        <x:v>Card</x:v>
      </x:c>
      <x:c r="I3353" t="n">
        <x:v>3.2</x:v>
      </x:c>
      <x:c r="J3353" t="n">
        <x:v>6</x:v>
      </x:c>
      <x:c r="K3353" t="n">
        <x:v>3</x:v>
      </x:c>
      <x:c r="L3353" t="str">
        <x:v>STORE-001</x:v>
      </x:c>
      <x:c r="M3353" s="22" t="n">
        <x:v>46289</x:v>
      </x:c>
      <x:c r="N3353" t="str">
        <x:v>SKU-027</x:v>
      </x:c>
      <x:c r="O3353" t="n">
        <x:v>1</x:v>
      </x:c>
      <x:c r="P3353" s="26" t="n">
        <x:f>F3353/O3353</x:f>
        <x:v>113.99</x:v>
      </x:c>
    </x:row>
    <x:row r="3354">
      <x:c r="A3354" t="n">
        <x:v>3353</x:v>
      </x:c>
      <x:c r="B3354" t="n">
        <x:v>24</x:v>
      </x:c>
      <x:c r="C3354" t="str">
        <x:v>Female</x:v>
      </x:c>
      <x:c r="D3354" t="str">
        <x:v>Accessories</x:v>
      </x:c>
      <x:c r="E3354" t="str">
        <x:v>Sunglasses</x:v>
      </x:c>
      <x:c r="F3354" s="24" t="n">
        <x:v>45.95</x:v>
      </x:c>
      <x:c r="G3354" t="str">
        <x:v>Summer</x:v>
      </x:c>
      <x:c r="H3354" t="str">
        <x:v>Cash on Delivery</x:v>
      </x:c>
      <x:c r="I3354" t="n">
        <x:v>3.9</x:v>
      </x:c>
      <x:c r="J3354" t="n">
        <x:v>12</x:v>
      </x:c>
      <x:c r="K3354" t="n">
        <x:v>1</x:v>
      </x:c>
      <x:c r="L3354" t="str">
        <x:v>STORE-001</x:v>
      </x:c>
      <x:c r="M3354" s="22" t="n">
        <x:v>46025</x:v>
      </x:c>
      <x:c r="N3354" t="str">
        <x:v>SKU-026</x:v>
      </x:c>
      <x:c r="O3354" t="n">
        <x:v>1</x:v>
      </x:c>
      <x:c r="P3354" s="26" t="n">
        <x:f>F3354/O3354</x:f>
        <x:v>45.95</x:v>
      </x:c>
    </x:row>
    <x:row r="3355">
      <x:c r="A3355" t="n">
        <x:v>3354</x:v>
      </x:c>
      <x:c r="B3355" t="n">
        <x:v>24</x:v>
      </x:c>
      <x:c r="C3355" t="str">
        <x:v>Female</x:v>
      </x:c>
      <x:c r="D3355" t="str">
        <x:v>Accessories</x:v>
      </x:c>
      <x:c r="E3355" t="str">
        <x:v>Handbag</x:v>
      </x:c>
      <x:c r="F3355" s="24" t="n">
        <x:v>144.09</x:v>
      </x:c>
      <x:c r="G3355" t="str">
        <x:v>Spring</x:v>
      </x:c>
      <x:c r="H3355" t="str">
        <x:v>Card</x:v>
      </x:c>
      <x:c r="I3355" t="n">
        <x:v>5</x:v>
      </x:c>
      <x:c r="J3355" t="n">
        <x:v>28</x:v>
      </x:c>
      <x:c r="K3355" t="n">
        <x:v>9</x:v>
      </x:c>
      <x:c r="L3355" t="str">
        <x:v>STORE-001</x:v>
      </x:c>
      <x:c r="M3355" s="22" t="n">
        <x:v>45968</x:v>
      </x:c>
      <x:c r="N3355" t="str">
        <x:v>SKU-008</x:v>
      </x:c>
      <x:c r="O3355" t="n">
        <x:v>2</x:v>
      </x:c>
      <x:c r="P3355" s="26" t="n">
        <x:f>F3355/O3355</x:f>
        <x:v>72.045</x:v>
      </x:c>
    </x:row>
    <x:row r="3356">
      <x:c r="A3356" t="n">
        <x:v>3355</x:v>
      </x:c>
      <x:c r="B3356" t="n">
        <x:v>59</x:v>
      </x:c>
      <x:c r="C3356" t="str">
        <x:v>Male</x:v>
      </x:c>
      <x:c r="D3356" t="str">
        <x:v>Home</x:v>
      </x:c>
      <x:c r="E3356" t="str">
        <x:v>Curtains</x:v>
      </x:c>
      <x:c r="F3356" s="24" t="n">
        <x:v>79.32</x:v>
      </x:c>
      <x:c r="G3356" t="str">
        <x:v>Winter</x:v>
      </x:c>
      <x:c r="H3356" t="str">
        <x:v>Cash on Delivery</x:v>
      </x:c>
      <x:c r="I3356" t="n">
        <x:v>4.4</x:v>
      </x:c>
      <x:c r="J3356" t="n">
        <x:v>22</x:v>
      </x:c>
      <x:c r="K3356" t="n">
        <x:v>6</x:v>
      </x:c>
      <x:c r="L3356" t="str">
        <x:v>STORE-001</x:v>
      </x:c>
      <x:c r="M3356" s="22" t="n">
        <x:v>46263</x:v>
      </x:c>
      <x:c r="N3356" t="str">
        <x:v>SKU-003</x:v>
      </x:c>
      <x:c r="O3356" t="n">
        <x:v>1</x:v>
      </x:c>
      <x:c r="P3356" s="26" t="n">
        <x:f>F3356/O3356</x:f>
        <x:v>79.32</x:v>
      </x:c>
    </x:row>
    <x:row r="3357">
      <x:c r="A3357" t="n">
        <x:v>3356</x:v>
      </x:c>
      <x:c r="B3357" t="n">
        <x:v>47</x:v>
      </x:c>
      <x:c r="C3357" t="str">
        <x:v>Female</x:v>
      </x:c>
      <x:c r="D3357" t="str">
        <x:v>Accessories</x:v>
      </x:c>
      <x:c r="E3357" t="str">
        <x:v>Wallet</x:v>
      </x:c>
      <x:c r="F3357" s="24" t="n">
        <x:v>39.79</x:v>
      </x:c>
      <x:c r="G3357" t="str">
        <x:v>Summer</x:v>
      </x:c>
      <x:c r="H3357" t="str">
        <x:v>Card</x:v>
      </x:c>
      <x:c r="I3357" t="n">
        <x:v>3.3</x:v>
      </x:c>
      <x:c r="J3357" t="n">
        <x:v>11</x:v>
      </x:c>
      <x:c r="K3357" t="n">
        <x:v>3</x:v>
      </x:c>
      <x:c r="L3357" t="str">
        <x:v>STORE-001</x:v>
      </x:c>
      <x:c r="M3357" s="22" t="n">
        <x:v>46012</x:v>
      </x:c>
      <x:c r="N3357" t="str">
        <x:v>SKU-029</x:v>
      </x:c>
      <x:c r="O3357" t="n">
        <x:v>1</x:v>
      </x:c>
      <x:c r="P3357" s="26" t="n">
        <x:f>F3357/O3357</x:f>
        <x:v>39.79</x:v>
      </x:c>
    </x:row>
    <x:row r="3358">
      <x:c r="A3358" t="n">
        <x:v>3357</x:v>
      </x:c>
      <x:c r="B3358" t="n">
        <x:v>68</x:v>
      </x:c>
      <x:c r="C3358" t="str">
        <x:v>Male</x:v>
      </x:c>
      <x:c r="D3358" t="str">
        <x:v>Footwear</x:v>
      </x:c>
      <x:c r="E3358" t="str">
        <x:v>Formal Shoes</x:v>
      </x:c>
      <x:c r="F3358" s="24" t="n">
        <x:v>205.44</x:v>
      </x:c>
      <x:c r="G3358" t="str">
        <x:v>Spring</x:v>
      </x:c>
      <x:c r="H3358" t="str">
        <x:v>Card</x:v>
      </x:c>
      <x:c r="I3358" t="n">
        <x:v>2</x:v>
      </x:c>
      <x:c r="J3358" t="n">
        <x:v>18</x:v>
      </x:c>
      <x:c r="K3358" t="n">
        <x:v>4</x:v>
      </x:c>
      <x:c r="L3358" t="str">
        <x:v>STORE-001</x:v>
      </x:c>
      <x:c r="M3358" s="22" t="n">
        <x:v>45952</x:v>
      </x:c>
      <x:c r="N3358" t="str">
        <x:v>SKU-007</x:v>
      </x:c>
      <x:c r="O3358" t="n">
        <x:v>1</x:v>
      </x:c>
      <x:c r="P3358" s="26" t="n">
        <x:f>F3358/O3358</x:f>
        <x:v>205.44</x:v>
      </x:c>
    </x:row>
    <x:row r="3359">
      <x:c r="A3359" t="n">
        <x:v>3358</x:v>
      </x:c>
      <x:c r="B3359" t="n">
        <x:v>56</x:v>
      </x:c>
      <x:c r="C3359" t="str">
        <x:v>Male</x:v>
      </x:c>
      <x:c r="D3359" t="str">
        <x:v>Sports</x:v>
      </x:c>
      <x:c r="E3359" t="str">
        <x:v>Yoga Mat</x:v>
      </x:c>
      <x:c r="F3359" s="24" t="n">
        <x:v>53.45</x:v>
      </x:c>
      <x:c r="G3359" t="str">
        <x:v>Summer</x:v>
      </x:c>
      <x:c r="H3359" t="str">
        <x:v>Cash on Delivery</x:v>
      </x:c>
      <x:c r="I3359" t="n">
        <x:v>4.6</x:v>
      </x:c>
      <x:c r="J3359" t="n">
        <x:v>10</x:v>
      </x:c>
      <x:c r="K3359" t="n">
        <x:v>0</x:v>
      </x:c>
      <x:c r="L3359" t="str">
        <x:v>STORE-001</x:v>
      </x:c>
      <x:c r="M3359" s="22" t="n">
        <x:v>46021</x:v>
      </x:c>
      <x:c r="N3359" t="str">
        <x:v>SKU-030</x:v>
      </x:c>
      <x:c r="O3359" t="n">
        <x:v>4</x:v>
      </x:c>
      <x:c r="P3359" s="26" t="n">
        <x:f>F3359/O3359</x:f>
        <x:v>13.3625</x:v>
      </x:c>
    </x:row>
    <x:row r="3360">
      <x:c r="A3360" t="n">
        <x:v>3359</x:v>
      </x:c>
      <x:c r="B3360" t="n">
        <x:v>34</x:v>
      </x:c>
      <x:c r="C3360" t="str">
        <x:v>Male</x:v>
      </x:c>
      <x:c r="D3360" t="str">
        <x:v>Sports</x:v>
      </x:c>
      <x:c r="E3360" t="str">
        <x:v>Dumbbells</x:v>
      </x:c>
      <x:c r="F3360" s="24" t="n">
        <x:v>110.27</x:v>
      </x:c>
      <x:c r="G3360" t="str">
        <x:v>Winter</x:v>
      </x:c>
      <x:c r="H3360" t="str">
        <x:v>Card</x:v>
      </x:c>
      <x:c r="I3360" t="n">
        <x:v>3.3</x:v>
      </x:c>
      <x:c r="J3360" t="n">
        <x:v>16</x:v>
      </x:c>
      <x:c r="K3360" t="n">
        <x:v>8</x:v>
      </x:c>
      <x:c r="L3360" t="str">
        <x:v>STORE-001</x:v>
      </x:c>
      <x:c r="M3360" s="22" t="n">
        <x:v>46177</x:v>
      </x:c>
      <x:c r="N3360" t="str">
        <x:v>SKU-005</x:v>
      </x:c>
      <x:c r="O3360" t="n">
        <x:v>1</x:v>
      </x:c>
      <x:c r="P3360" s="26" t="n">
        <x:f>F3360/O3360</x:f>
        <x:v>110.27</x:v>
      </x:c>
    </x:row>
    <x:row r="3361">
      <x:c r="A3361" t="n">
        <x:v>3360</x:v>
      </x:c>
      <x:c r="B3361" t="n">
        <x:v>31</x:v>
      </x:c>
      <x:c r="C3361" t="str">
        <x:v>Male</x:v>
      </x:c>
      <x:c r="D3361" t="str">
        <x:v>Footwear</x:v>
      </x:c>
      <x:c r="E3361" t="str">
        <x:v>Sneakers</x:v>
      </x:c>
      <x:c r="F3361" s="24" t="n">
        <x:v>234.04</x:v>
      </x:c>
      <x:c r="G3361" t="str">
        <x:v>Autumn</x:v>
      </x:c>
      <x:c r="H3361" t="str">
        <x:v>Card</x:v>
      </x:c>
      <x:c r="I3361" t="n">
        <x:v>4.6</x:v>
      </x:c>
      <x:c r="J3361" t="n">
        <x:v>14</x:v>
      </x:c>
      <x:c r="K3361" t="n">
        <x:v>7</x:v>
      </x:c>
      <x:c r="L3361" t="str">
        <x:v>STORE-001</x:v>
      </x:c>
      <x:c r="M3361" s="22" t="n">
        <x:v>46087</x:v>
      </x:c>
      <x:c r="N3361" t="str">
        <x:v>SKU-025</x:v>
      </x:c>
      <x:c r="O3361" t="n">
        <x:v>1</x:v>
      </x:c>
      <x:c r="P3361" s="26" t="n">
        <x:f>F3361/O3361</x:f>
        <x:v>234.04</x:v>
      </x:c>
    </x:row>
    <x:row r="3362">
      <x:c r="A3362" t="n">
        <x:v>3361</x:v>
      </x:c>
      <x:c r="B3362" t="n">
        <x:v>22</x:v>
      </x:c>
      <x:c r="C3362" t="str">
        <x:v>Female</x:v>
      </x:c>
      <x:c r="D3362" t="str">
        <x:v>Accessories</x:v>
      </x:c>
      <x:c r="E3362" t="str">
        <x:v>Wallet</x:v>
      </x:c>
      <x:c r="F3362" s="24" t="n">
        <x:v>116.71</x:v>
      </x:c>
      <x:c r="G3362" t="str">
        <x:v>Winter</x:v>
      </x:c>
      <x:c r="H3362" t="str">
        <x:v>Card</x:v>
      </x:c>
      <x:c r="I3362" t="n">
        <x:v>3.8</x:v>
      </x:c>
      <x:c r="J3362" t="n">
        <x:v>10</x:v>
      </x:c>
      <x:c r="K3362" t="n">
        <x:v>5</x:v>
      </x:c>
      <x:c r="L3362" t="str">
        <x:v>STORE-001</x:v>
      </x:c>
      <x:c r="M3362" s="22" t="n">
        <x:v>46189</x:v>
      </x:c>
      <x:c r="N3362" t="str">
        <x:v>SKU-029</x:v>
      </x:c>
      <x:c r="O3362" t="n">
        <x:v>1</x:v>
      </x:c>
      <x:c r="P3362" s="26" t="n">
        <x:f>F3362/O3362</x:f>
        <x:v>116.71</x:v>
      </x:c>
    </x:row>
    <x:row r="3363">
      <x:c r="A3363" t="n">
        <x:v>3362</x:v>
      </x:c>
      <x:c r="B3363" t="n">
        <x:v>59</x:v>
      </x:c>
      <x:c r="C3363" t="str">
        <x:v>Male</x:v>
      </x:c>
      <x:c r="D3363" t="str">
        <x:v>Mens Clothing</x:v>
      </x:c>
      <x:c r="E3363" t="str">
        <x:v>T-Shirt</x:v>
      </x:c>
      <x:c r="F3363" s="24" t="n">
        <x:v>176.93</x:v>
      </x:c>
      <x:c r="G3363" t="str">
        <x:v>Winter</x:v>
      </x:c>
      <x:c r="H3363" t="str">
        <x:v>Card</x:v>
      </x:c>
      <x:c r="I3363" t="n">
        <x:v>5</x:v>
      </x:c>
      <x:c r="J3363" t="n">
        <x:v>28</x:v>
      </x:c>
      <x:c r="K3363" t="n">
        <x:v>9</x:v>
      </x:c>
      <x:c r="L3363" t="str">
        <x:v>STORE-001</x:v>
      </x:c>
      <x:c r="M3363" s="22" t="n">
        <x:v>46224</x:v>
      </x:c>
      <x:c r="N3363" t="str">
        <x:v>SKU-027</x:v>
      </x:c>
      <x:c r="O3363" t="n">
        <x:v>1</x:v>
      </x:c>
      <x:c r="P3363" s="26" t="n">
        <x:f>F3363/O3363</x:f>
        <x:v>176.93</x:v>
      </x:c>
    </x:row>
    <x:row r="3364">
      <x:c r="A3364" t="n">
        <x:v>3363</x:v>
      </x:c>
      <x:c r="B3364" t="n">
        <x:v>20</x:v>
      </x:c>
      <x:c r="C3364" t="str">
        <x:v>Male</x:v>
      </x:c>
      <x:c r="D3364" t="str">
        <x:v>Footwear</x:v>
      </x:c>
      <x:c r="E3364" t="str">
        <x:v>Sneakers</x:v>
      </x:c>
      <x:c r="F3364" s="24" t="n">
        <x:v>51.56</x:v>
      </x:c>
      <x:c r="G3364" t="str">
        <x:v>Spring</x:v>
      </x:c>
      <x:c r="H3364" t="str">
        <x:v>Card</x:v>
      </x:c>
      <x:c r="I3364" t="n">
        <x:v>3.5</x:v>
      </x:c>
      <x:c r="J3364" t="n">
        <x:v>20</x:v>
      </x:c>
      <x:c r="K3364" t="n">
        <x:v>5</x:v>
      </x:c>
      <x:c r="L3364" t="str">
        <x:v>STORE-001</x:v>
      </x:c>
      <x:c r="M3364" s="22" t="n">
        <x:v>46280</x:v>
      </x:c>
      <x:c r="N3364" t="str">
        <x:v>SKU-025</x:v>
      </x:c>
      <x:c r="O3364" t="n">
        <x:v>2</x:v>
      </x:c>
      <x:c r="P3364" s="26" t="n">
        <x:f>F3364/O3364</x:f>
        <x:v>25.78</x:v>
      </x:c>
    </x:row>
    <x:row r="3365">
      <x:c r="A3365" t="n">
        <x:v>3364</x:v>
      </x:c>
      <x:c r="B3365" t="n">
        <x:v>51</x:v>
      </x:c>
      <x:c r="C3365" t="str">
        <x:v>Female</x:v>
      </x:c>
      <x:c r="D3365" t="str">
        <x:v>Beauty</x:v>
      </x:c>
      <x:c r="E3365" t="str">
        <x:v>Skincare Kit</x:v>
      </x:c>
      <x:c r="F3365" s="24" t="n">
        <x:v>94.53</x:v>
      </x:c>
      <x:c r="G3365" t="str">
        <x:v>Winter</x:v>
      </x:c>
      <x:c r="H3365" t="str">
        <x:v>Cash on Delivery</x:v>
      </x:c>
      <x:c r="I3365" t="n">
        <x:v>3.7</x:v>
      </x:c>
      <x:c r="J3365" t="n">
        <x:v>18</x:v>
      </x:c>
      <x:c r="K3365" t="n">
        <x:v>4</x:v>
      </x:c>
      <x:c r="L3365" t="str">
        <x:v>STORE-001</x:v>
      </x:c>
      <x:c r="M3365" s="22" t="n">
        <x:v>46264</x:v>
      </x:c>
      <x:c r="N3365" t="str">
        <x:v>SKU-021</x:v>
      </x:c>
      <x:c r="O3365" t="n">
        <x:v>1</x:v>
      </x:c>
      <x:c r="P3365" s="26" t="n">
        <x:f>F3365/O3365</x:f>
        <x:v>94.53</x:v>
      </x:c>
    </x:row>
    <x:row r="3366">
      <x:c r="A3366" t="n">
        <x:v>3365</x:v>
      </x:c>
      <x:c r="B3366" t="n">
        <x:v>22</x:v>
      </x:c>
      <x:c r="C3366" t="str">
        <x:v>Female</x:v>
      </x:c>
      <x:c r="D3366" t="str">
        <x:v>Sports</x:v>
      </x:c>
      <x:c r="E3366" t="str">
        <x:v>Football</x:v>
      </x:c>
      <x:c r="F3366" s="24" t="n">
        <x:v>52.91</x:v>
      </x:c>
      <x:c r="G3366" t="str">
        <x:v>Autumn</x:v>
      </x:c>
      <x:c r="H3366" t="str">
        <x:v>Cash on Delivery</x:v>
      </x:c>
      <x:c r="I3366" t="n">
        <x:v>4.3</x:v>
      </x:c>
      <x:c r="J3366" t="n">
        <x:v>26</x:v>
      </x:c>
      <x:c r="K3366" t="n">
        <x:v>8</x:v>
      </x:c>
      <x:c r="L3366" t="str">
        <x:v>STORE-001</x:v>
      </x:c>
      <x:c r="M3366" s="22" t="n">
        <x:v>46148</x:v>
      </x:c>
      <x:c r="N3366" t="str">
        <x:v>SKU-006</x:v>
      </x:c>
      <x:c r="O3366" t="n">
        <x:v>1</x:v>
      </x:c>
      <x:c r="P3366" s="26" t="n">
        <x:f>F3366/O3366</x:f>
        <x:v>52.91</x:v>
      </x:c>
    </x:row>
    <x:row r="3367">
      <x:c r="A3367" t="n">
        <x:v>3366</x:v>
      </x:c>
      <x:c r="B3367" t="n">
        <x:v>26</x:v>
      </x:c>
      <x:c r="C3367" t="str">
        <x:v>Female</x:v>
      </x:c>
      <x:c r="D3367" t="str">
        <x:v>Footwear</x:v>
      </x:c>
      <x:c r="E3367" t="str">
        <x:v>Sandals</x:v>
      </x:c>
      <x:c r="F3367" s="24" t="n">
        <x:v>118.99</x:v>
      </x:c>
      <x:c r="G3367" t="str">
        <x:v>Spring</x:v>
      </x:c>
      <x:c r="H3367" t="str">
        <x:v>Card</x:v>
      </x:c>
      <x:c r="I3367" t="n">
        <x:v>4.1</x:v>
      </x:c>
      <x:c r="J3367" t="n">
        <x:v>13</x:v>
      </x:c>
      <x:c r="K3367" t="n">
        <x:v>4</x:v>
      </x:c>
      <x:c r="L3367" t="str">
        <x:v>STORE-001</x:v>
      </x:c>
      <x:c r="M3367" s="22" t="n">
        <x:v>45981</x:v>
      </x:c>
      <x:c r="N3367" t="str">
        <x:v>SKU-019</x:v>
      </x:c>
      <x:c r="O3367" t="n">
        <x:v>1</x:v>
      </x:c>
      <x:c r="P3367" s="26" t="n">
        <x:f>F3367/O3367</x:f>
        <x:v>118.99</x:v>
      </x:c>
    </x:row>
    <x:row r="3368">
      <x:c r="A3368" t="n">
        <x:v>3367</x:v>
      </x:c>
      <x:c r="B3368" t="n">
        <x:v>36</x:v>
      </x:c>
      <x:c r="C3368" t="str">
        <x:v>Female</x:v>
      </x:c>
      <x:c r="D3368" t="str">
        <x:v>Accessories</x:v>
      </x:c>
      <x:c r="E3368" t="str">
        <x:v>Handbag</x:v>
      </x:c>
      <x:c r="F3368" s="24" t="n">
        <x:v>142.22</x:v>
      </x:c>
      <x:c r="G3368" t="str">
        <x:v>Summer</x:v>
      </x:c>
      <x:c r="H3368" t="str">
        <x:v>Card</x:v>
      </x:c>
      <x:c r="I3368" t="n">
        <x:v>3.1</x:v>
      </x:c>
      <x:c r="J3368" t="n">
        <x:v>20</x:v>
      </x:c>
      <x:c r="K3368" t="n">
        <x:v>5</x:v>
      </x:c>
      <x:c r="L3368" t="str">
        <x:v>STORE-001</x:v>
      </x:c>
      <x:c r="M3368" s="22" t="n">
        <x:v>45997</x:v>
      </x:c>
      <x:c r="N3368" t="str">
        <x:v>SKU-008</x:v>
      </x:c>
      <x:c r="O3368" t="n">
        <x:v>1</x:v>
      </x:c>
      <x:c r="P3368" s="26" t="n">
        <x:f>F3368/O3368</x:f>
        <x:v>142.22</x:v>
      </x:c>
    </x:row>
    <x:row r="3369">
      <x:c r="A3369" t="n">
        <x:v>3368</x:v>
      </x:c>
      <x:c r="B3369" t="n">
        <x:v>38</x:v>
      </x:c>
      <x:c r="C3369" t="str">
        <x:v>Female</x:v>
      </x:c>
      <x:c r="D3369" t="str">
        <x:v>Home</x:v>
      </x:c>
      <x:c r="E3369" t="str">
        <x:v>Lamp</x:v>
      </x:c>
      <x:c r="F3369" s="24" t="n">
        <x:v>279.22</x:v>
      </x:c>
      <x:c r="G3369" t="str">
        <x:v>Summer</x:v>
      </x:c>
      <x:c r="H3369" t="str">
        <x:v>Card</x:v>
      </x:c>
      <x:c r="I3369" t="n">
        <x:v>4.3</x:v>
      </x:c>
      <x:c r="J3369" t="n">
        <x:v>5</x:v>
      </x:c>
      <x:c r="K3369" t="n">
        <x:v>0</x:v>
      </x:c>
      <x:c r="L3369" t="str">
        <x:v>STORE-001</x:v>
      </x:c>
      <x:c r="M3369" s="22" t="n">
        <x:v>46068</x:v>
      </x:c>
      <x:c r="N3369" t="str">
        <x:v>SKU-013</x:v>
      </x:c>
      <x:c r="O3369" t="n">
        <x:v>2</x:v>
      </x:c>
      <x:c r="P3369" s="26" t="n">
        <x:f>F3369/O3369</x:f>
        <x:v>139.61</x:v>
      </x:c>
    </x:row>
    <x:row r="3370">
      <x:c r="A3370" t="n">
        <x:v>3369</x:v>
      </x:c>
      <x:c r="B3370" t="n">
        <x:v>22</x:v>
      </x:c>
      <x:c r="C3370" t="str">
        <x:v>Female</x:v>
      </x:c>
      <x:c r="D3370" t="str">
        <x:v>Beauty</x:v>
      </x:c>
      <x:c r="E3370" t="str">
        <x:v>Makeup Set</x:v>
      </x:c>
      <x:c r="F3370" s="24" t="n">
        <x:v>69.32</x:v>
      </x:c>
      <x:c r="G3370" t="str">
        <x:v>Autumn</x:v>
      </x:c>
      <x:c r="H3370" t="str">
        <x:v>Cash on Delivery</x:v>
      </x:c>
      <x:c r="I3370" t="n">
        <x:v>3.2</x:v>
      </x:c>
      <x:c r="J3370" t="n">
        <x:v>16</x:v>
      </x:c>
      <x:c r="K3370" t="n">
        <x:v>3</x:v>
      </x:c>
      <x:c r="L3370" t="str">
        <x:v>STORE-001</x:v>
      </x:c>
      <x:c r="M3370" s="22" t="n">
        <x:v>46131</x:v>
      </x:c>
      <x:c r="N3370" t="str">
        <x:v>SKU-015</x:v>
      </x:c>
      <x:c r="O3370" t="n">
        <x:v>1</x:v>
      </x:c>
      <x:c r="P3370" s="26" t="n">
        <x:f>F3370/O3370</x:f>
        <x:v>69.32</x:v>
      </x:c>
    </x:row>
    <x:row r="3371">
      <x:c r="A3371" t="n">
        <x:v>3370</x:v>
      </x:c>
      <x:c r="B3371" t="n">
        <x:v>48</x:v>
      </x:c>
      <x:c r="C3371" t="str">
        <x:v>Male</x:v>
      </x:c>
      <x:c r="D3371" t="str">
        <x:v>Sports</x:v>
      </x:c>
      <x:c r="E3371" t="str">
        <x:v>Yoga Mat</x:v>
      </x:c>
      <x:c r="F3371" s="24" t="n">
        <x:v>185.35</x:v>
      </x:c>
      <x:c r="G3371" t="str">
        <x:v>Spring</x:v>
      </x:c>
      <x:c r="H3371" t="str">
        <x:v>Card</x:v>
      </x:c>
      <x:c r="I3371" t="n">
        <x:v>1.7</x:v>
      </x:c>
      <x:c r="J3371" t="n">
        <x:v>16</x:v>
      </x:c>
      <x:c r="K3371" t="n">
        <x:v>3</x:v>
      </x:c>
      <x:c r="L3371" t="str">
        <x:v>STORE-001</x:v>
      </x:c>
      <x:c r="M3371" s="22" t="n">
        <x:v>45959</x:v>
      </x:c>
      <x:c r="N3371" t="str">
        <x:v>SKU-030</x:v>
      </x:c>
      <x:c r="O3371" t="n">
        <x:v>1</x:v>
      </x:c>
      <x:c r="P3371" s="26" t="n">
        <x:f>F3371/O3371</x:f>
        <x:v>185.35</x:v>
      </x:c>
    </x:row>
    <x:row r="3372">
      <x:c r="A3372" t="n">
        <x:v>3371</x:v>
      </x:c>
      <x:c r="B3372" t="n">
        <x:v>42</x:v>
      </x:c>
      <x:c r="C3372" t="str">
        <x:v>Female</x:v>
      </x:c>
      <x:c r="D3372" t="str">
        <x:v>Sports</x:v>
      </x:c>
      <x:c r="E3372" t="str">
        <x:v>Dumbbells</x:v>
      </x:c>
      <x:c r="F3372" s="24" t="n">
        <x:v>93.72</x:v>
      </x:c>
      <x:c r="G3372" t="str">
        <x:v>Winter</x:v>
      </x:c>
      <x:c r="H3372" t="str">
        <x:v>Card</x:v>
      </x:c>
      <x:c r="I3372" t="n">
        <x:v>4.1</x:v>
      </x:c>
      <x:c r="J3372" t="n">
        <x:v>18</x:v>
      </x:c>
      <x:c r="K3372" t="n">
        <x:v>4</x:v>
      </x:c>
      <x:c r="L3372" t="str">
        <x:v>STORE-001</x:v>
      </x:c>
      <x:c r="M3372" s="22" t="n">
        <x:v>46258</x:v>
      </x:c>
      <x:c r="N3372" t="str">
        <x:v>SKU-005</x:v>
      </x:c>
      <x:c r="O3372" t="n">
        <x:v>1</x:v>
      </x:c>
      <x:c r="P3372" s="26" t="n">
        <x:f>F3372/O3372</x:f>
        <x:v>93.72</x:v>
      </x:c>
    </x:row>
    <x:row r="3373">
      <x:c r="A3373" t="n">
        <x:v>3372</x:v>
      </x:c>
      <x:c r="B3373" t="n">
        <x:v>24</x:v>
      </x:c>
      <x:c r="C3373" t="str">
        <x:v>Male</x:v>
      </x:c>
      <x:c r="D3373" t="str">
        <x:v>Mens Clothing</x:v>
      </x:c>
      <x:c r="E3373" t="str">
        <x:v>Shirt</x:v>
      </x:c>
      <x:c r="F3373" s="24" t="n">
        <x:v>158.33</x:v>
      </x:c>
      <x:c r="G3373" t="str">
        <x:v>Spring</x:v>
      </x:c>
      <x:c r="H3373" t="str">
        <x:v>Card</x:v>
      </x:c>
      <x:c r="I3373" t="n">
        <x:v>3.2</x:v>
      </x:c>
      <x:c r="J3373" t="n">
        <x:v>15</x:v>
      </x:c>
      <x:c r="K3373" t="n">
        <x:v>5</x:v>
      </x:c>
      <x:c r="L3373" t="str">
        <x:v>STORE-001</x:v>
      </x:c>
      <x:c r="M3373" s="22" t="n">
        <x:v>46295</x:v>
      </x:c>
      <x:c r="N3373" t="str">
        <x:v>SKU-020</x:v>
      </x:c>
      <x:c r="O3373" t="n">
        <x:v>2</x:v>
      </x:c>
      <x:c r="P3373" s="26" t="n">
        <x:f>F3373/O3373</x:f>
        <x:v>79.165</x:v>
      </x:c>
    </x:row>
    <x:row r="3374">
      <x:c r="A3374" t="n">
        <x:v>3373</x:v>
      </x:c>
      <x:c r="B3374" t="n">
        <x:v>24</x:v>
      </x:c>
      <x:c r="C3374" t="str">
        <x:v>Male</x:v>
      </x:c>
      <x:c r="D3374" t="str">
        <x:v>Footwear</x:v>
      </x:c>
      <x:c r="E3374" t="str">
        <x:v>Sandals</x:v>
      </x:c>
      <x:c r="F3374" s="24" t="n">
        <x:v>73.82</x:v>
      </x:c>
      <x:c r="G3374" t="str">
        <x:v>Autumn</x:v>
      </x:c>
      <x:c r="H3374" t="str">
        <x:v>Cash on Delivery</x:v>
      </x:c>
      <x:c r="I3374" t="n">
        <x:v>3.7</x:v>
      </x:c>
      <x:c r="J3374" t="n">
        <x:v>22</x:v>
      </x:c>
      <x:c r="K3374" t="n">
        <x:v>6</x:v>
      </x:c>
      <x:c r="L3374" t="str">
        <x:v>STORE-001</x:v>
      </x:c>
      <x:c r="M3374" s="22" t="n">
        <x:v>46173</x:v>
      </x:c>
      <x:c r="N3374" t="str">
        <x:v>SKU-019</x:v>
      </x:c>
      <x:c r="O3374" t="n">
        <x:v>2</x:v>
      </x:c>
      <x:c r="P3374" s="26" t="n">
        <x:f>F3374/O3374</x:f>
        <x:v>36.91</x:v>
      </x:c>
    </x:row>
    <x:row r="3375">
      <x:c r="A3375" t="n">
        <x:v>3374</x:v>
      </x:c>
      <x:c r="B3375" t="n">
        <x:v>63</x:v>
      </x:c>
      <x:c r="C3375" t="str">
        <x:v>Male</x:v>
      </x:c>
      <x:c r="D3375" t="str">
        <x:v>Groceries</x:v>
      </x:c>
      <x:c r="E3375" t="str">
        <x:v>Rice Pack</x:v>
      </x:c>
      <x:c r="F3375" s="24" t="n">
        <x:v>13.69</x:v>
      </x:c>
      <x:c r="G3375" t="str">
        <x:v>Spring</x:v>
      </x:c>
      <x:c r="H3375" t="str">
        <x:v>Card</x:v>
      </x:c>
      <x:c r="I3375" t="n">
        <x:v>3.7</x:v>
      </x:c>
      <x:c r="J3375" t="n">
        <x:v>16</x:v>
      </x:c>
      <x:c r="K3375" t="n">
        <x:v>8</x:v>
      </x:c>
      <x:c r="L3375" t="str">
        <x:v>STORE-001</x:v>
      </x:c>
      <x:c r="M3375" s="22" t="n">
        <x:v>45980</x:v>
      </x:c>
      <x:c r="N3375" t="str">
        <x:v>SKU-018</x:v>
      </x:c>
      <x:c r="O3375" t="n">
        <x:v>3</x:v>
      </x:c>
      <x:c r="P3375" s="26" t="n">
        <x:f>F3375/O3375</x:f>
        <x:v>4.5633333333333335</x:v>
      </x:c>
    </x:row>
    <x:row r="3376">
      <x:c r="A3376" t="n">
        <x:v>3375</x:v>
      </x:c>
      <x:c r="B3376" t="n">
        <x:v>34</x:v>
      </x:c>
      <x:c r="C3376" t="str">
        <x:v>Male</x:v>
      </x:c>
      <x:c r="D3376" t="str">
        <x:v>Mens Clothing</x:v>
      </x:c>
      <x:c r="E3376" t="str">
        <x:v>Jacket</x:v>
      </x:c>
      <x:c r="F3376" s="24" t="n">
        <x:v>59.1</x:v>
      </x:c>
      <x:c r="G3376" t="str">
        <x:v>Autumn</x:v>
      </x:c>
      <x:c r="H3376" t="str">
        <x:v>Card</x:v>
      </x:c>
      <x:c r="I3376" t="n">
        <x:v>3.6</x:v>
      </x:c>
      <x:c r="J3376" t="n">
        <x:v>22</x:v>
      </x:c>
      <x:c r="K3376" t="n">
        <x:v>6</x:v>
      </x:c>
      <x:c r="L3376" t="str">
        <x:v>STORE-001</x:v>
      </x:c>
      <x:c r="M3376" s="22" t="n">
        <x:v>46171</x:v>
      </x:c>
      <x:c r="N3376" t="str">
        <x:v>SKU-010</x:v>
      </x:c>
      <x:c r="O3376" t="n">
        <x:v>2</x:v>
      </x:c>
      <x:c r="P3376" s="26" t="n">
        <x:f>F3376/O3376</x:f>
        <x:v>29.55</x:v>
      </x:c>
    </x:row>
    <x:row r="3377">
      <x:c r="A3377" t="n">
        <x:v>3376</x:v>
      </x:c>
      <x:c r="B3377" t="n">
        <x:v>57</x:v>
      </x:c>
      <x:c r="C3377" t="str">
        <x:v>Female</x:v>
      </x:c>
      <x:c r="D3377" t="str">
        <x:v>Home</x:v>
      </x:c>
      <x:c r="E3377" t="str">
        <x:v>Lamp</x:v>
      </x:c>
      <x:c r="F3377" s="24" t="n">
        <x:v>148.53</x:v>
      </x:c>
      <x:c r="G3377" t="str">
        <x:v>Winter</x:v>
      </x:c>
      <x:c r="H3377" t="str">
        <x:v>Card</x:v>
      </x:c>
      <x:c r="I3377" t="n">
        <x:v>3.8</x:v>
      </x:c>
      <x:c r="J3377" t="n">
        <x:v>16</x:v>
      </x:c>
      <x:c r="K3377" t="n">
        <x:v>3</x:v>
      </x:c>
      <x:c r="L3377" t="str">
        <x:v>STORE-001</x:v>
      </x:c>
      <x:c r="M3377" s="22" t="n">
        <x:v>46264</x:v>
      </x:c>
      <x:c r="N3377" t="str">
        <x:v>SKU-013</x:v>
      </x:c>
      <x:c r="O3377" t="n">
        <x:v>1</x:v>
      </x:c>
      <x:c r="P3377" s="26" t="n">
        <x:f>F3377/O3377</x:f>
        <x:v>148.53</x:v>
      </x:c>
    </x:row>
    <x:row r="3378">
      <x:c r="A3378" t="n">
        <x:v>3377</x:v>
      </x:c>
      <x:c r="B3378" t="n">
        <x:v>62</x:v>
      </x:c>
      <x:c r="C3378" t="str">
        <x:v>Male</x:v>
      </x:c>
      <x:c r="D3378" t="str">
        <x:v>Footwear</x:v>
      </x:c>
      <x:c r="E3378" t="str">
        <x:v>Formal Shoes</x:v>
      </x:c>
      <x:c r="F3378" s="24" t="n">
        <x:v>171</x:v>
      </x:c>
      <x:c r="G3378" t="str">
        <x:v>Winter</x:v>
      </x:c>
      <x:c r="H3378" t="str">
        <x:v>Card</x:v>
      </x:c>
      <x:c r="I3378" t="n">
        <x:v>4</x:v>
      </x:c>
      <x:c r="J3378" t="n">
        <x:v>18</x:v>
      </x:c>
      <x:c r="K3378" t="n">
        <x:v>4</x:v>
      </x:c>
      <x:c r="L3378" t="str">
        <x:v>STORE-001</x:v>
      </x:c>
      <x:c r="M3378" s="22" t="n">
        <x:v>46206</x:v>
      </x:c>
      <x:c r="N3378" t="str">
        <x:v>SKU-007</x:v>
      </x:c>
      <x:c r="O3378" t="n">
        <x:v>1</x:v>
      </x:c>
      <x:c r="P3378" s="26" t="n">
        <x:f>F3378/O3378</x:f>
        <x:v>171</x:v>
      </x:c>
    </x:row>
    <x:row r="3379">
      <x:c r="A3379" t="n">
        <x:v>3378</x:v>
      </x:c>
      <x:c r="B3379" t="n">
        <x:v>49</x:v>
      </x:c>
      <x:c r="C3379" t="str">
        <x:v>Male</x:v>
      </x:c>
      <x:c r="D3379" t="str">
        <x:v>Groceries</x:v>
      </x:c>
      <x:c r="E3379" t="str">
        <x:v>Beverages</x:v>
      </x:c>
      <x:c r="F3379" s="24" t="n">
        <x:v>56.43</x:v>
      </x:c>
      <x:c r="G3379" t="str">
        <x:v>Winter</x:v>
      </x:c>
      <x:c r="H3379" t="str">
        <x:v>Cash on Delivery</x:v>
      </x:c>
      <x:c r="I3379" t="n">
        <x:v>3.2</x:v>
      </x:c>
      <x:c r="J3379" t="n">
        <x:v>16</x:v>
      </x:c>
      <x:c r="K3379" t="n">
        <x:v>3</x:v>
      </x:c>
      <x:c r="L3379" t="str">
        <x:v>STORE-001</x:v>
      </x:c>
      <x:c r="M3379" s="22" t="n">
        <x:v>46257</x:v>
      </x:c>
      <x:c r="N3379" t="str">
        <x:v>SKU-001</x:v>
      </x:c>
      <x:c r="O3379" t="n">
        <x:v>1</x:v>
      </x:c>
      <x:c r="P3379" s="26" t="n">
        <x:f>F3379/O3379</x:f>
        <x:v>56.43</x:v>
      </x:c>
    </x:row>
    <x:row r="3380">
      <x:c r="A3380" t="n">
        <x:v>3379</x:v>
      </x:c>
      <x:c r="B3380" t="n">
        <x:v>41</x:v>
      </x:c>
      <x:c r="C3380" t="str">
        <x:v>Female</x:v>
      </x:c>
      <x:c r="D3380" t="str">
        <x:v>Beauty</x:v>
      </x:c>
      <x:c r="E3380" t="str">
        <x:v>Makeup Set</x:v>
      </x:c>
      <x:c r="F3380" s="24" t="n">
        <x:v>85.3</x:v>
      </x:c>
      <x:c r="G3380" t="str">
        <x:v>Spring</x:v>
      </x:c>
      <x:c r="H3380" t="str">
        <x:v>Card</x:v>
      </x:c>
      <x:c r="I3380" t="n">
        <x:v>5</x:v>
      </x:c>
      <x:c r="J3380" t="n">
        <x:v>10</x:v>
      </x:c>
      <x:c r="K3380" t="n">
        <x:v>5</x:v>
      </x:c>
      <x:c r="L3380" t="str">
        <x:v>STORE-001</x:v>
      </x:c>
      <x:c r="M3380" s="22" t="n">
        <x:v>45958</x:v>
      </x:c>
      <x:c r="N3380" t="str">
        <x:v>SKU-015</x:v>
      </x:c>
      <x:c r="O3380" t="n">
        <x:v>2</x:v>
      </x:c>
      <x:c r="P3380" s="26" t="n">
        <x:f>F3380/O3380</x:f>
        <x:v>42.65</x:v>
      </x:c>
    </x:row>
    <x:row r="3381">
      <x:c r="A3381" t="n">
        <x:v>3380</x:v>
      </x:c>
      <x:c r="B3381" t="n">
        <x:v>47</x:v>
      </x:c>
      <x:c r="C3381" t="str">
        <x:v>Female</x:v>
      </x:c>
      <x:c r="D3381" t="str">
        <x:v>Beauty</x:v>
      </x:c>
      <x:c r="E3381" t="str">
        <x:v>Skincare Kit</x:v>
      </x:c>
      <x:c r="F3381" s="24" t="n">
        <x:v>122.41</x:v>
      </x:c>
      <x:c r="G3381" t="str">
        <x:v>Autumn</x:v>
      </x:c>
      <x:c r="H3381" t="str">
        <x:v>Card</x:v>
      </x:c>
      <x:c r="I3381" t="n">
        <x:v>4.2</x:v>
      </x:c>
      <x:c r="J3381" t="n">
        <x:v>18</x:v>
      </x:c>
      <x:c r="K3381" t="n">
        <x:v>4</x:v>
      </x:c>
      <x:c r="L3381" t="str">
        <x:v>STORE-001</x:v>
      </x:c>
      <x:c r="M3381" s="22" t="n">
        <x:v>46168</x:v>
      </x:c>
      <x:c r="N3381" t="str">
        <x:v>SKU-021</x:v>
      </x:c>
      <x:c r="O3381" t="n">
        <x:v>2</x:v>
      </x:c>
      <x:c r="P3381" s="26" t="n">
        <x:f>F3381/O3381</x:f>
        <x:v>61.205</x:v>
      </x:c>
    </x:row>
    <x:row r="3382">
      <x:c r="A3382" t="n">
        <x:v>3381</x:v>
      </x:c>
      <x:c r="B3382" t="n">
        <x:v>49</x:v>
      </x:c>
      <x:c r="C3382" t="str">
        <x:v>Female</x:v>
      </x:c>
      <x:c r="D3382" t="str">
        <x:v>Footwear</x:v>
      </x:c>
      <x:c r="E3382" t="str">
        <x:v>Sneakers</x:v>
      </x:c>
      <x:c r="F3382" s="24" t="n">
        <x:v>99.87</x:v>
      </x:c>
      <x:c r="G3382" t="str">
        <x:v>Autumn</x:v>
      </x:c>
      <x:c r="H3382" t="str">
        <x:v>Card</x:v>
      </x:c>
      <x:c r="I3382" t="n">
        <x:v>3.6</x:v>
      </x:c>
      <x:c r="J3382" t="n">
        <x:v>19</x:v>
      </x:c>
      <x:c r="K3382" t="n">
        <x:v>7</x:v>
      </x:c>
      <x:c r="L3382" t="str">
        <x:v>STORE-001</x:v>
      </x:c>
      <x:c r="M3382" s="22" t="n">
        <x:v>46093</x:v>
      </x:c>
      <x:c r="N3382" t="str">
        <x:v>SKU-025</x:v>
      </x:c>
      <x:c r="O3382" t="n">
        <x:v>1</x:v>
      </x:c>
      <x:c r="P3382" s="26" t="n">
        <x:f>F3382/O3382</x:f>
        <x:v>99.87</x:v>
      </x:c>
    </x:row>
    <x:row r="3383">
      <x:c r="A3383" t="n">
        <x:v>3382</x:v>
      </x:c>
      <x:c r="B3383" t="n">
        <x:v>41</x:v>
      </x:c>
      <x:c r="C3383" t="str">
        <x:v>Female</x:v>
      </x:c>
      <x:c r="D3383" t="str">
        <x:v>Footwear</x:v>
      </x:c>
      <x:c r="E3383" t="str">
        <x:v>Formal Shoes</x:v>
      </x:c>
      <x:c r="F3383" s="24" t="n">
        <x:v>214.67</x:v>
      </x:c>
      <x:c r="G3383" t="str">
        <x:v>Autumn</x:v>
      </x:c>
      <x:c r="H3383" t="str">
        <x:v>Card</x:v>
      </x:c>
      <x:c r="I3383" t="n">
        <x:v>3.7</x:v>
      </x:c>
      <x:c r="J3383" t="n">
        <x:v>16</x:v>
      </x:c>
      <x:c r="K3383" t="n">
        <x:v>8</x:v>
      </x:c>
      <x:c r="L3383" t="str">
        <x:v>STORE-001</x:v>
      </x:c>
      <x:c r="M3383" s="22" t="n">
        <x:v>46165</x:v>
      </x:c>
      <x:c r="N3383" t="str">
        <x:v>SKU-007</x:v>
      </x:c>
      <x:c r="O3383" t="n">
        <x:v>2</x:v>
      </x:c>
      <x:c r="P3383" s="26" t="n">
        <x:f>F3383/O3383</x:f>
        <x:v>107.335</x:v>
      </x:c>
    </x:row>
    <x:row r="3384">
      <x:c r="A3384" t="n">
        <x:v>3383</x:v>
      </x:c>
      <x:c r="B3384" t="n">
        <x:v>56</x:v>
      </x:c>
      <x:c r="C3384" t="str">
        <x:v>Female</x:v>
      </x:c>
      <x:c r="D3384" t="str">
        <x:v>Beauty</x:v>
      </x:c>
      <x:c r="E3384" t="str">
        <x:v>Skincare Kit</x:v>
      </x:c>
      <x:c r="F3384" s="24" t="n">
        <x:v>48.85</x:v>
      </x:c>
      <x:c r="G3384" t="str">
        <x:v>Autumn</x:v>
      </x:c>
      <x:c r="H3384" t="str">
        <x:v>Card</x:v>
      </x:c>
      <x:c r="I3384" t="n">
        <x:v>4.7</x:v>
      </x:c>
      <x:c r="J3384" t="n">
        <x:v>16</x:v>
      </x:c>
      <x:c r="K3384" t="n">
        <x:v>3</x:v>
      </x:c>
      <x:c r="L3384" t="str">
        <x:v>STORE-001</x:v>
      </x:c>
      <x:c r="M3384" s="22" t="n">
        <x:v>46126</x:v>
      </x:c>
      <x:c r="N3384" t="str">
        <x:v>SKU-021</x:v>
      </x:c>
      <x:c r="O3384" t="n">
        <x:v>1</x:v>
      </x:c>
      <x:c r="P3384" s="26" t="n">
        <x:f>F3384/O3384</x:f>
        <x:v>48.85</x:v>
      </x:c>
    </x:row>
    <x:row r="3385">
      <x:c r="A3385" t="n">
        <x:v>3384</x:v>
      </x:c>
      <x:c r="B3385" t="n">
        <x:v>21</x:v>
      </x:c>
      <x:c r="C3385" t="str">
        <x:v>Female</x:v>
      </x:c>
      <x:c r="D3385" t="str">
        <x:v>Home</x:v>
      </x:c>
      <x:c r="E3385" t="str">
        <x:v>Kitchen Set</x:v>
      </x:c>
      <x:c r="F3385" s="24" t="n">
        <x:v>184.48</x:v>
      </x:c>
      <x:c r="G3385" t="str">
        <x:v>Winter</x:v>
      </x:c>
      <x:c r="H3385" t="str">
        <x:v>Card</x:v>
      </x:c>
      <x:c r="I3385" t="n">
        <x:v>4.6</x:v>
      </x:c>
      <x:c r="J3385" t="n">
        <x:v>27</x:v>
      </x:c>
      <x:c r="K3385" t="n">
        <x:v>11</x:v>
      </x:c>
      <x:c r="L3385" t="str">
        <x:v>STORE-001</x:v>
      </x:c>
      <x:c r="M3385" s="22" t="n">
        <x:v>46198</x:v>
      </x:c>
      <x:c r="N3385" t="str">
        <x:v>SKU-012</x:v>
      </x:c>
      <x:c r="O3385" t="n">
        <x:v>3</x:v>
      </x:c>
      <x:c r="P3385" s="26" t="n">
        <x:f>F3385/O3385</x:f>
        <x:v>61.49333333333333</x:v>
      </x:c>
    </x:row>
    <x:row r="3386">
      <x:c r="A3386" t="n">
        <x:v>3385</x:v>
      </x:c>
      <x:c r="B3386" t="n">
        <x:v>24</x:v>
      </x:c>
      <x:c r="C3386" t="str">
        <x:v>Male</x:v>
      </x:c>
      <x:c r="D3386" t="str">
        <x:v>Sports</x:v>
      </x:c>
      <x:c r="E3386" t="str">
        <x:v>Dumbbells</x:v>
      </x:c>
      <x:c r="F3386" s="24" t="n">
        <x:v>137.49</x:v>
      </x:c>
      <x:c r="G3386" t="str">
        <x:v>Summer</x:v>
      </x:c>
      <x:c r="H3386" t="str">
        <x:v>Card</x:v>
      </x:c>
      <x:c r="I3386" t="n">
        <x:v>3.3</x:v>
      </x:c>
      <x:c r="J3386" t="n">
        <x:v>11</x:v>
      </x:c>
      <x:c r="K3386" t="n">
        <x:v>3</x:v>
      </x:c>
      <x:c r="L3386" t="str">
        <x:v>STORE-001</x:v>
      </x:c>
      <x:c r="M3386" s="22" t="n">
        <x:v>46061</x:v>
      </x:c>
      <x:c r="N3386" t="str">
        <x:v>SKU-005</x:v>
      </x:c>
      <x:c r="O3386" t="n">
        <x:v>1</x:v>
      </x:c>
      <x:c r="P3386" s="26" t="n">
        <x:f>F3386/O3386</x:f>
        <x:v>137.49</x:v>
      </x:c>
    </x:row>
    <x:row r="3387">
      <x:c r="A3387" t="n">
        <x:v>3386</x:v>
      </x:c>
      <x:c r="B3387" t="n">
        <x:v>44</x:v>
      </x:c>
      <x:c r="C3387" t="str">
        <x:v>Female</x:v>
      </x:c>
      <x:c r="D3387" t="str">
        <x:v>Womens Clothing</x:v>
      </x:c>
      <x:c r="E3387" t="str">
        <x:v>Skirt</x:v>
      </x:c>
      <x:c r="F3387" s="24" t="n">
        <x:v>32.06</x:v>
      </x:c>
      <x:c r="G3387" t="str">
        <x:v>Winter</x:v>
      </x:c>
      <x:c r="H3387" t="str">
        <x:v>Cash on Delivery</x:v>
      </x:c>
      <x:c r="I3387" t="n">
        <x:v>3.6</x:v>
      </x:c>
      <x:c r="J3387" t="n">
        <x:v>15</x:v>
      </x:c>
      <x:c r="K3387" t="n">
        <x:v>5</x:v>
      </x:c>
      <x:c r="L3387" t="str">
        <x:v>STORE-001</x:v>
      </x:c>
      <x:c r="M3387" s="22" t="n">
        <x:v>46237</x:v>
      </x:c>
      <x:c r="N3387" t="str">
        <x:v>SKU-022</x:v>
      </x:c>
      <x:c r="O3387" t="n">
        <x:v>1</x:v>
      </x:c>
      <x:c r="P3387" s="26" t="n">
        <x:f>F3387/O3387</x:f>
        <x:v>32.06</x:v>
      </x:c>
    </x:row>
    <x:row r="3388">
      <x:c r="A3388" t="n">
        <x:v>3387</x:v>
      </x:c>
      <x:c r="B3388" t="n">
        <x:v>68</x:v>
      </x:c>
      <x:c r="C3388" t="str">
        <x:v>Male</x:v>
      </x:c>
      <x:c r="D3388" t="str">
        <x:v>Mens Clothing</x:v>
      </x:c>
      <x:c r="E3388" t="str">
        <x:v>T-Shirt</x:v>
      </x:c>
      <x:c r="F3388" s="24" t="n">
        <x:v>192.92</x:v>
      </x:c>
      <x:c r="G3388" t="str">
        <x:v>Autumn</x:v>
      </x:c>
      <x:c r="H3388" t="str">
        <x:v>Card</x:v>
      </x:c>
      <x:c r="I3388" t="n">
        <x:v>4.1</x:v>
      </x:c>
      <x:c r="J3388" t="n">
        <x:v>13</x:v>
      </x:c>
      <x:c r="K3388" t="n">
        <x:v>4</x:v>
      </x:c>
      <x:c r="L3388" t="str">
        <x:v>STORE-001</x:v>
      </x:c>
      <x:c r="M3388" s="22" t="n">
        <x:v>46090</x:v>
      </x:c>
      <x:c r="N3388" t="str">
        <x:v>SKU-027</x:v>
      </x:c>
      <x:c r="O3388" t="n">
        <x:v>1</x:v>
      </x:c>
      <x:c r="P3388" s="26" t="n">
        <x:f>F3388/O3388</x:f>
        <x:v>192.92</x:v>
      </x:c>
    </x:row>
    <x:row r="3389">
      <x:c r="A3389" t="n">
        <x:v>3388</x:v>
      </x:c>
      <x:c r="B3389" t="n">
        <x:v>41</x:v>
      </x:c>
      <x:c r="C3389" t="str">
        <x:v>Female</x:v>
      </x:c>
      <x:c r="D3389" t="str">
        <x:v>Groceries</x:v>
      </x:c>
      <x:c r="E3389" t="str">
        <x:v>Rice Pack</x:v>
      </x:c>
      <x:c r="F3389" s="24" t="n">
        <x:v>17.9</x:v>
      </x:c>
      <x:c r="G3389" t="str">
        <x:v>Summer</x:v>
      </x:c>
      <x:c r="H3389" t="str">
        <x:v>Card</x:v>
      </x:c>
      <x:c r="I3389" t="n">
        <x:v>2.5</x:v>
      </x:c>
      <x:c r="J3389" t="n">
        <x:v>30</x:v>
      </x:c>
      <x:c r="K3389" t="n">
        <x:v>10</x:v>
      </x:c>
      <x:c r="L3389" t="str">
        <x:v>STORE-001</x:v>
      </x:c>
      <x:c r="M3389" s="22" t="n">
        <x:v>46016</x:v>
      </x:c>
      <x:c r="N3389" t="str">
        <x:v>SKU-018</x:v>
      </x:c>
      <x:c r="O3389" t="n">
        <x:v>1</x:v>
      </x:c>
      <x:c r="P3389" s="26" t="n">
        <x:f>F3389/O3389</x:f>
        <x:v>17.9</x:v>
      </x:c>
    </x:row>
    <x:row r="3390">
      <x:c r="A3390" t="n">
        <x:v>3389</x:v>
      </x:c>
      <x:c r="B3390" t="n">
        <x:v>43</x:v>
      </x:c>
      <x:c r="C3390" t="str">
        <x:v>Female</x:v>
      </x:c>
      <x:c r="D3390" t="str">
        <x:v>Sports</x:v>
      </x:c>
      <x:c r="E3390" t="str">
        <x:v>Dumbbells</x:v>
      </x:c>
      <x:c r="F3390" s="24" t="n">
        <x:v>122.74</x:v>
      </x:c>
      <x:c r="G3390" t="str">
        <x:v>Summer</x:v>
      </x:c>
      <x:c r="H3390" t="str">
        <x:v>Card</x:v>
      </x:c>
      <x:c r="I3390" t="n">
        <x:v>4.5</x:v>
      </x:c>
      <x:c r="J3390" t="n">
        <x:v>17</x:v>
      </x:c>
      <x:c r="K3390" t="n">
        <x:v>6</x:v>
      </x:c>
      <x:c r="L3390" t="str">
        <x:v>STORE-001</x:v>
      </x:c>
      <x:c r="M3390" s="22" t="n">
        <x:v>46020</x:v>
      </x:c>
      <x:c r="N3390" t="str">
        <x:v>SKU-005</x:v>
      </x:c>
      <x:c r="O3390" t="n">
        <x:v>2</x:v>
      </x:c>
      <x:c r="P3390" s="26" t="n">
        <x:f>F3390/O3390</x:f>
        <x:v>61.37</x:v>
      </x:c>
    </x:row>
    <x:row r="3391">
      <x:c r="A3391" t="n">
        <x:v>3390</x:v>
      </x:c>
      <x:c r="B3391" t="n">
        <x:v>21</x:v>
      </x:c>
      <x:c r="C3391" t="str">
        <x:v>Female</x:v>
      </x:c>
      <x:c r="D3391" t="str">
        <x:v>Footwear</x:v>
      </x:c>
      <x:c r="E3391" t="str">
        <x:v>Sandals</x:v>
      </x:c>
      <x:c r="F3391" s="24" t="n">
        <x:v>84.31</x:v>
      </x:c>
      <x:c r="G3391" t="str">
        <x:v>Autumn</x:v>
      </x:c>
      <x:c r="H3391" t="str">
        <x:v>Card</x:v>
      </x:c>
      <x:c r="I3391" t="n">
        <x:v>3.3</x:v>
      </x:c>
      <x:c r="J3391" t="n">
        <x:v>4</x:v>
      </x:c>
      <x:c r="K3391" t="n">
        <x:v>2</x:v>
      </x:c>
      <x:c r="L3391" t="str">
        <x:v>STORE-001</x:v>
      </x:c>
      <x:c r="M3391" s="22" t="n">
        <x:v>46172</x:v>
      </x:c>
      <x:c r="N3391" t="str">
        <x:v>SKU-019</x:v>
      </x:c>
      <x:c r="O3391" t="n">
        <x:v>1</x:v>
      </x:c>
      <x:c r="P3391" s="26" t="n">
        <x:f>F3391/O3391</x:f>
        <x:v>84.31</x:v>
      </x:c>
    </x:row>
    <x:row r="3392">
      <x:c r="A3392" t="n">
        <x:v>3391</x:v>
      </x:c>
      <x:c r="B3392" t="n">
        <x:v>63</x:v>
      </x:c>
      <x:c r="C3392" t="str">
        <x:v>Female</x:v>
      </x:c>
      <x:c r="D3392" t="str">
        <x:v>Womens Clothing</x:v>
      </x:c>
      <x:c r="E3392" t="str">
        <x:v>Dress</x:v>
      </x:c>
      <x:c r="F3392" s="24" t="n">
        <x:v>179.53</x:v>
      </x:c>
      <x:c r="G3392" t="str">
        <x:v>Autumn</x:v>
      </x:c>
      <x:c r="H3392" t="str">
        <x:v>Card</x:v>
      </x:c>
      <x:c r="I3392" t="n">
        <x:v>4.6</x:v>
      </x:c>
      <x:c r="J3392" t="n">
        <x:v>13</x:v>
      </x:c>
      <x:c r="K3392" t="n">
        <x:v>4</x:v>
      </x:c>
      <x:c r="L3392" t="str">
        <x:v>STORE-001</x:v>
      </x:c>
      <x:c r="M3392" s="22" t="n">
        <x:v>46163</x:v>
      </x:c>
      <x:c r="N3392" t="str">
        <x:v>SKU-004</x:v>
      </x:c>
      <x:c r="O3392" t="n">
        <x:v>1</x:v>
      </x:c>
      <x:c r="P3392" s="26" t="n">
        <x:f>F3392/O3392</x:f>
        <x:v>179.53</x:v>
      </x:c>
    </x:row>
    <x:row r="3393">
      <x:c r="A3393" t="n">
        <x:v>3392</x:v>
      </x:c>
      <x:c r="B3393" t="n">
        <x:v>63</x:v>
      </x:c>
      <x:c r="C3393" t="str">
        <x:v>Female</x:v>
      </x:c>
      <x:c r="D3393" t="str">
        <x:v>Womens Clothing</x:v>
      </x:c>
      <x:c r="E3393" t="str">
        <x:v>Jeans</x:v>
      </x:c>
      <x:c r="F3393" s="24" t="n">
        <x:v>102.83</x:v>
      </x:c>
      <x:c r="G3393" t="str">
        <x:v>Autumn</x:v>
      </x:c>
      <x:c r="H3393" t="str">
        <x:v>Card</x:v>
      </x:c>
      <x:c r="I3393" t="n">
        <x:v>2.3</x:v>
      </x:c>
      <x:c r="J3393" t="n">
        <x:v>14</x:v>
      </x:c>
      <x:c r="K3393" t="n">
        <x:v>7</x:v>
      </x:c>
      <x:c r="L3393" t="str">
        <x:v>STORE-001</x:v>
      </x:c>
      <x:c r="M3393" s="22" t="n">
        <x:v>46112</x:v>
      </x:c>
      <x:c r="N3393" t="str">
        <x:v>SKU-011</x:v>
      </x:c>
      <x:c r="O3393" t="n">
        <x:v>1</x:v>
      </x:c>
      <x:c r="P3393" s="26" t="n">
        <x:f>F3393/O3393</x:f>
        <x:v>102.83</x:v>
      </x:c>
    </x:row>
    <x:row r="3394">
      <x:c r="A3394" t="n">
        <x:v>3393</x:v>
      </x:c>
      <x:c r="B3394" t="n">
        <x:v>46</x:v>
      </x:c>
      <x:c r="C3394" t="str">
        <x:v>Male</x:v>
      </x:c>
      <x:c r="D3394" t="str">
        <x:v>Electronics</x:v>
      </x:c>
      <x:c r="E3394" t="str">
        <x:v>Mobile Phone</x:v>
      </x:c>
      <x:c r="F3394" s="24" t="n">
        <x:v>1334.9</x:v>
      </x:c>
      <x:c r="G3394" t="str">
        <x:v>Summer</x:v>
      </x:c>
      <x:c r="H3394" t="str">
        <x:v>Card</x:v>
      </x:c>
      <x:c r="I3394" t="n">
        <x:v>2.4</x:v>
      </x:c>
      <x:c r="J3394" t="n">
        <x:v>16</x:v>
      </x:c>
      <x:c r="K3394" t="n">
        <x:v>3</x:v>
      </x:c>
      <x:c r="L3394" t="str">
        <x:v>STORE-001</x:v>
      </x:c>
      <x:c r="M3394" s="22" t="n">
        <x:v>46059</x:v>
      </x:c>
      <x:c r="N3394" t="str">
        <x:v>SKU-016</x:v>
      </x:c>
      <x:c r="O3394" t="n">
        <x:v>1</x:v>
      </x:c>
      <x:c r="P3394" s="26" t="n">
        <x:f>F3394/O3394</x:f>
        <x:v>1334.9</x:v>
      </x:c>
    </x:row>
    <x:row r="3395">
      <x:c r="A3395" t="n">
        <x:v>3394</x:v>
      </x:c>
      <x:c r="B3395" t="n">
        <x:v>60</x:v>
      </x:c>
      <x:c r="C3395" t="str">
        <x:v>Male</x:v>
      </x:c>
      <x:c r="D3395" t="str">
        <x:v>Electronics</x:v>
      </x:c>
      <x:c r="E3395" t="str">
        <x:v>Headphones</x:v>
      </x:c>
      <x:c r="F3395" s="24" t="n">
        <x:v>2995.9</x:v>
      </x:c>
      <x:c r="G3395" t="str">
        <x:v>Spring</x:v>
      </x:c>
      <x:c r="H3395" t="str">
        <x:v>Card</x:v>
      </x:c>
      <x:c r="I3395" t="n">
        <x:v>4.6</x:v>
      </x:c>
      <x:c r="J3395" t="n">
        <x:v>14</x:v>
      </x:c>
      <x:c r="K3395" t="n">
        <x:v>7</x:v>
      </x:c>
      <x:c r="L3395" t="str">
        <x:v>STORE-001</x:v>
      </x:c>
      <x:c r="M3395" s="22" t="n">
        <x:v>45955</x:v>
      </x:c>
      <x:c r="N3395" t="str">
        <x:v>SKU-009</x:v>
      </x:c>
      <x:c r="O3395" t="n">
        <x:v>1</x:v>
      </x:c>
      <x:c r="P3395" s="26" t="n">
        <x:f>F3395/O3395</x:f>
        <x:v>2995.9</x:v>
      </x:c>
    </x:row>
    <x:row r="3396">
      <x:c r="A3396" t="n">
        <x:v>3395</x:v>
      </x:c>
      <x:c r="B3396" t="n">
        <x:v>26</x:v>
      </x:c>
      <x:c r="C3396" t="str">
        <x:v>Female</x:v>
      </x:c>
      <x:c r="D3396" t="str">
        <x:v>Footwear</x:v>
      </x:c>
      <x:c r="E3396" t="str">
        <x:v>Sandals</x:v>
      </x:c>
      <x:c r="F3396" s="24" t="n">
        <x:v>112.8</x:v>
      </x:c>
      <x:c r="G3396" t="str">
        <x:v>Autumn</x:v>
      </x:c>
      <x:c r="H3396" t="str">
        <x:v>Card</x:v>
      </x:c>
      <x:c r="I3396" t="n">
        <x:v>3.7</x:v>
      </x:c>
      <x:c r="J3396" t="n">
        <x:v>26</x:v>
      </x:c>
      <x:c r="K3396" t="n">
        <x:v>8</x:v>
      </x:c>
      <x:c r="L3396" t="str">
        <x:v>STORE-001</x:v>
      </x:c>
      <x:c r="M3396" s="22" t="n">
        <x:v>46096</x:v>
      </x:c>
      <x:c r="N3396" t="str">
        <x:v>SKU-019</x:v>
      </x:c>
      <x:c r="O3396" t="n">
        <x:v>2</x:v>
      </x:c>
      <x:c r="P3396" s="26" t="n">
        <x:f>F3396/O3396</x:f>
        <x:v>56.4</x:v>
      </x:c>
    </x:row>
    <x:row r="3397">
      <x:c r="A3397" t="n">
        <x:v>3396</x:v>
      </x:c>
      <x:c r="B3397" t="n">
        <x:v>65</x:v>
      </x:c>
      <x:c r="C3397" t="str">
        <x:v>Female</x:v>
      </x:c>
      <x:c r="D3397" t="str">
        <x:v>Beauty</x:v>
      </x:c>
      <x:c r="E3397" t="str">
        <x:v>Makeup Set</x:v>
      </x:c>
      <x:c r="F3397" s="24" t="n">
        <x:v>116.4</x:v>
      </x:c>
      <x:c r="G3397" t="str">
        <x:v>Winter</x:v>
      </x:c>
      <x:c r="H3397" t="str">
        <x:v>Card</x:v>
      </x:c>
      <x:c r="I3397" t="n">
        <x:v>3.9</x:v>
      </x:c>
      <x:c r="J3397" t="n">
        <x:v>30</x:v>
      </x:c>
      <x:c r="K3397" t="n">
        <x:v>10</x:v>
      </x:c>
      <x:c r="L3397" t="str">
        <x:v>STORE-001</x:v>
      </x:c>
      <x:c r="M3397" s="22" t="n">
        <x:v>46223</x:v>
      </x:c>
      <x:c r="N3397" t="str">
        <x:v>SKU-015</x:v>
      </x:c>
      <x:c r="O3397" t="n">
        <x:v>2</x:v>
      </x:c>
      <x:c r="P3397" s="26" t="n">
        <x:f>F3397/O3397</x:f>
        <x:v>58.2</x:v>
      </x:c>
    </x:row>
    <x:row r="3398">
      <x:c r="A3398" t="n">
        <x:v>3397</x:v>
      </x:c>
      <x:c r="B3398" t="n">
        <x:v>69</x:v>
      </x:c>
      <x:c r="C3398" t="str">
        <x:v>Female</x:v>
      </x:c>
      <x:c r="D3398" t="str">
        <x:v>Accessories</x:v>
      </x:c>
      <x:c r="E3398" t="str">
        <x:v>Sunglasses</x:v>
      </x:c>
      <x:c r="F3398" s="24" t="n">
        <x:v>106.97</x:v>
      </x:c>
      <x:c r="G3398" t="str">
        <x:v>Winter</x:v>
      </x:c>
      <x:c r="H3398" t="str">
        <x:v>Card</x:v>
      </x:c>
      <x:c r="I3398" t="n">
        <x:v>4.1</x:v>
      </x:c>
      <x:c r="J3398" t="n">
        <x:v>13</x:v>
      </x:c>
      <x:c r="K3398" t="n">
        <x:v>4</x:v>
      </x:c>
      <x:c r="L3398" t="str">
        <x:v>STORE-001</x:v>
      </x:c>
      <x:c r="M3398" s="22" t="n">
        <x:v>46255</x:v>
      </x:c>
      <x:c r="N3398" t="str">
        <x:v>SKU-026</x:v>
      </x:c>
      <x:c r="O3398" t="n">
        <x:v>2</x:v>
      </x:c>
      <x:c r="P3398" s="26" t="n">
        <x:f>F3398/O3398</x:f>
        <x:v>53.485</x:v>
      </x:c>
    </x:row>
    <x:row r="3399">
      <x:c r="A3399" t="n">
        <x:v>3398</x:v>
      </x:c>
      <x:c r="B3399" t="n">
        <x:v>48</x:v>
      </x:c>
      <x:c r="C3399" t="str">
        <x:v>Male</x:v>
      </x:c>
      <x:c r="D3399" t="str">
        <x:v>Footwear</x:v>
      </x:c>
      <x:c r="E3399" t="str">
        <x:v>Sneakers</x:v>
      </x:c>
      <x:c r="F3399" s="24" t="n">
        <x:v>106.53</x:v>
      </x:c>
      <x:c r="G3399" t="str">
        <x:v>Spring</x:v>
      </x:c>
      <x:c r="H3399" t="str">
        <x:v>Card</x:v>
      </x:c>
      <x:c r="I3399" t="n">
        <x:v>4.7</x:v>
      </x:c>
      <x:c r="J3399" t="n">
        <x:v>22</x:v>
      </x:c>
      <x:c r="K3399" t="n">
        <x:v>6</x:v>
      </x:c>
      <x:c r="L3399" t="str">
        <x:v>STORE-001</x:v>
      </x:c>
      <x:c r="M3399" s="22" t="n">
        <x:v>46286</x:v>
      </x:c>
      <x:c r="N3399" t="str">
        <x:v>SKU-025</x:v>
      </x:c>
      <x:c r="O3399" t="n">
        <x:v>2</x:v>
      </x:c>
      <x:c r="P3399" s="26" t="n">
        <x:f>F3399/O3399</x:f>
        <x:v>53.265</x:v>
      </x:c>
    </x:row>
    <x:row r="3400">
      <x:c r="A3400" t="n">
        <x:v>3399</x:v>
      </x:c>
      <x:c r="B3400" t="n">
        <x:v>22</x:v>
      </x:c>
      <x:c r="C3400" t="str">
        <x:v>Female</x:v>
      </x:c>
      <x:c r="D3400" t="str">
        <x:v>Groceries</x:v>
      </x:c>
      <x:c r="E3400" t="str">
        <x:v>Cooking Oil</x:v>
      </x:c>
      <x:c r="F3400" s="24" t="n">
        <x:v>71.85</x:v>
      </x:c>
      <x:c r="G3400" t="str">
        <x:v>Spring</x:v>
      </x:c>
      <x:c r="H3400" t="str">
        <x:v>Card</x:v>
      </x:c>
      <x:c r="I3400" t="n">
        <x:v>3.6</x:v>
      </x:c>
      <x:c r="J3400" t="n">
        <x:v>22</x:v>
      </x:c>
      <x:c r="K3400" t="n">
        <x:v>6</x:v>
      </x:c>
      <x:c r="L3400" t="str">
        <x:v>STORE-001</x:v>
      </x:c>
      <x:c r="M3400" s="22" t="n">
        <x:v>46287</x:v>
      </x:c>
      <x:c r="N3400" t="str">
        <x:v>SKU-002</x:v>
      </x:c>
      <x:c r="O3400" t="n">
        <x:v>1</x:v>
      </x:c>
      <x:c r="P3400" s="26" t="n">
        <x:f>F3400/O3400</x:f>
        <x:v>71.85</x:v>
      </x:c>
    </x:row>
    <x:row r="3401">
      <x:c r="A3401" t="n">
        <x:v>3400</x:v>
      </x:c>
      <x:c r="B3401" t="n">
        <x:v>23</x:v>
      </x:c>
      <x:c r="C3401" t="str">
        <x:v>Male</x:v>
      </x:c>
      <x:c r="D3401" t="str">
        <x:v>Sports</x:v>
      </x:c>
      <x:c r="E3401" t="str">
        <x:v>Dumbbells</x:v>
      </x:c>
      <x:c r="F3401" s="24" t="n">
        <x:v>79.17</x:v>
      </x:c>
      <x:c r="G3401" t="str">
        <x:v>Summer</x:v>
      </x:c>
      <x:c r="H3401" t="str">
        <x:v>Card</x:v>
      </x:c>
      <x:c r="I3401" t="n">
        <x:v>3.9</x:v>
      </x:c>
      <x:c r="J3401" t="n">
        <x:v>13</x:v>
      </x:c>
      <x:c r="K3401" t="n">
        <x:v>4</x:v>
      </x:c>
      <x:c r="L3401" t="str">
        <x:v>STORE-001</x:v>
      </x:c>
      <x:c r="M3401" s="22" t="n">
        <x:v>46081</x:v>
      </x:c>
      <x:c r="N3401" t="str">
        <x:v>SKU-005</x:v>
      </x:c>
      <x:c r="O3401" t="n">
        <x:v>1</x:v>
      </x:c>
      <x:c r="P3401" s="26" t="n">
        <x:f>F3401/O3401</x:f>
        <x:v>79.17</x:v>
      </x:c>
    </x:row>
    <x:row r="3402">
      <x:c r="A3402" t="n">
        <x:v>3401</x:v>
      </x:c>
      <x:c r="B3402" t="n">
        <x:v>21</x:v>
      </x:c>
      <x:c r="C3402" t="str">
        <x:v>Male</x:v>
      </x:c>
      <x:c r="D3402" t="str">
        <x:v>Footwear</x:v>
      </x:c>
      <x:c r="E3402" t="str">
        <x:v>Sneakers</x:v>
      </x:c>
      <x:c r="F3402" s="24" t="n">
        <x:v>218.6</x:v>
      </x:c>
      <x:c r="G3402" t="str">
        <x:v>Winter</x:v>
      </x:c>
      <x:c r="H3402" t="str">
        <x:v>Card</x:v>
      </x:c>
      <x:c r="I3402" t="n">
        <x:v>4.5</x:v>
      </x:c>
      <x:c r="J3402" t="n">
        <x:v>12</x:v>
      </x:c>
      <x:c r="K3402" t="n">
        <x:v>6</x:v>
      </x:c>
      <x:c r="L3402" t="str">
        <x:v>STORE-001</x:v>
      </x:c>
      <x:c r="M3402" s="22" t="n">
        <x:v>46195</x:v>
      </x:c>
      <x:c r="N3402" t="str">
        <x:v>SKU-025</x:v>
      </x:c>
      <x:c r="O3402" t="n">
        <x:v>1</x:v>
      </x:c>
      <x:c r="P3402" s="26" t="n">
        <x:f>F3402/O3402</x:f>
        <x:v>218.6</x:v>
      </x:c>
    </x:row>
    <x:row r="3403">
      <x:c r="A3403" t="n">
        <x:v>3402</x:v>
      </x:c>
      <x:c r="B3403" t="n">
        <x:v>54</x:v>
      </x:c>
      <x:c r="C3403" t="str">
        <x:v>Male</x:v>
      </x:c>
      <x:c r="D3403" t="str">
        <x:v>Mens Clothing</x:v>
      </x:c>
      <x:c r="E3403" t="str">
        <x:v>Jacket</x:v>
      </x:c>
      <x:c r="F3403" s="24" t="n">
        <x:v>130.78</x:v>
      </x:c>
      <x:c r="G3403" t="str">
        <x:v>Autumn</x:v>
      </x:c>
      <x:c r="H3403" t="str">
        <x:v>Card</x:v>
      </x:c>
      <x:c r="I3403" t="n">
        <x:v>4.9</x:v>
      </x:c>
      <x:c r="J3403" t="n">
        <x:v>14</x:v>
      </x:c>
      <x:c r="K3403" t="n">
        <x:v>7</x:v>
      </x:c>
      <x:c r="L3403" t="str">
        <x:v>STORE-001</x:v>
      </x:c>
      <x:c r="M3403" s="22" t="n">
        <x:v>46148</x:v>
      </x:c>
      <x:c r="N3403" t="str">
        <x:v>SKU-010</x:v>
      </x:c>
      <x:c r="O3403" t="n">
        <x:v>1</x:v>
      </x:c>
      <x:c r="P3403" s="26" t="n">
        <x:f>F3403/O3403</x:f>
        <x:v>130.78</x:v>
      </x:c>
    </x:row>
    <x:row r="3404">
      <x:c r="A3404" t="n">
        <x:v>3403</x:v>
      </x:c>
      <x:c r="B3404" t="n">
        <x:v>23</x:v>
      </x:c>
      <x:c r="C3404" t="str">
        <x:v>Male</x:v>
      </x:c>
      <x:c r="D3404" t="str">
        <x:v>Footwear</x:v>
      </x:c>
      <x:c r="E3404" t="str">
        <x:v>Sandals</x:v>
      </x:c>
      <x:c r="F3404" s="24" t="n">
        <x:v>76.21</x:v>
      </x:c>
      <x:c r="G3404" t="str">
        <x:v>Spring</x:v>
      </x:c>
      <x:c r="H3404" t="str">
        <x:v>Card</x:v>
      </x:c>
      <x:c r="I3404" t="n">
        <x:v>4.8</x:v>
      </x:c>
      <x:c r="J3404" t="n">
        <x:v>11</x:v>
      </x:c>
      <x:c r="K3404" t="n">
        <x:v>3</x:v>
      </x:c>
      <x:c r="L3404" t="str">
        <x:v>STORE-001</x:v>
      </x:c>
      <x:c r="M3404" s="22" t="n">
        <x:v>45935</x:v>
      </x:c>
      <x:c r="N3404" t="str">
        <x:v>SKU-019</x:v>
      </x:c>
      <x:c r="O3404" t="n">
        <x:v>1</x:v>
      </x:c>
      <x:c r="P3404" s="26" t="n">
        <x:f>F3404/O3404</x:f>
        <x:v>76.21</x:v>
      </x:c>
    </x:row>
    <x:row r="3405">
      <x:c r="A3405" t="n">
        <x:v>3404</x:v>
      </x:c>
      <x:c r="B3405" t="n">
        <x:v>36</x:v>
      </x:c>
      <x:c r="C3405" t="str">
        <x:v>Male</x:v>
      </x:c>
      <x:c r="D3405" t="str">
        <x:v>Sports</x:v>
      </x:c>
      <x:c r="E3405" t="str">
        <x:v>Yoga Mat</x:v>
      </x:c>
      <x:c r="F3405" s="24" t="n">
        <x:v>134.77</x:v>
      </x:c>
      <x:c r="G3405" t="str">
        <x:v>Summer</x:v>
      </x:c>
      <x:c r="H3405" t="str">
        <x:v>Card</x:v>
      </x:c>
      <x:c r="I3405" t="n">
        <x:v>4.8</x:v>
      </x:c>
      <x:c r="J3405" t="n">
        <x:v>12</x:v>
      </x:c>
      <x:c r="K3405" t="n">
        <x:v>6</x:v>
      </x:c>
      <x:c r="L3405" t="str">
        <x:v>STORE-001</x:v>
      </x:c>
      <x:c r="M3405" s="22" t="n">
        <x:v>46071</x:v>
      </x:c>
      <x:c r="N3405" t="str">
        <x:v>SKU-030</x:v>
      </x:c>
      <x:c r="O3405" t="n">
        <x:v>1</x:v>
      </x:c>
      <x:c r="P3405" s="26" t="n">
        <x:f>F3405/O3405</x:f>
        <x:v>134.77</x:v>
      </x:c>
    </x:row>
    <x:row r="3406">
      <x:c r="A3406" t="n">
        <x:v>3405</x:v>
      </x:c>
      <x:c r="B3406" t="n">
        <x:v>56</x:v>
      </x:c>
      <x:c r="C3406" t="str">
        <x:v>Male</x:v>
      </x:c>
      <x:c r="D3406" t="str">
        <x:v>Sports</x:v>
      </x:c>
      <x:c r="E3406" t="str">
        <x:v>Dumbbells</x:v>
      </x:c>
      <x:c r="F3406" s="24" t="n">
        <x:v>224.71</x:v>
      </x:c>
      <x:c r="G3406" t="str">
        <x:v>Autumn</x:v>
      </x:c>
      <x:c r="H3406" t="str">
        <x:v>Card</x:v>
      </x:c>
      <x:c r="I3406" t="n">
        <x:v>4.8</x:v>
      </x:c>
      <x:c r="J3406" t="n">
        <x:v>13</x:v>
      </x:c>
      <x:c r="K3406" t="n">
        <x:v>4</x:v>
      </x:c>
      <x:c r="L3406" t="str">
        <x:v>STORE-001</x:v>
      </x:c>
      <x:c r="M3406" s="22" t="n">
        <x:v>46083</x:v>
      </x:c>
      <x:c r="N3406" t="str">
        <x:v>SKU-005</x:v>
      </x:c>
      <x:c r="O3406" t="n">
        <x:v>1</x:v>
      </x:c>
      <x:c r="P3406" s="26" t="n">
        <x:f>F3406/O3406</x:f>
        <x:v>224.71</x:v>
      </x:c>
    </x:row>
    <x:row r="3407">
      <x:c r="A3407" t="n">
        <x:v>3406</x:v>
      </x:c>
      <x:c r="B3407" t="n">
        <x:v>65</x:v>
      </x:c>
      <x:c r="C3407" t="str">
        <x:v>Female</x:v>
      </x:c>
      <x:c r="D3407" t="str">
        <x:v>Beauty</x:v>
      </x:c>
      <x:c r="E3407" t="str">
        <x:v>Skincare Kit</x:v>
      </x:c>
      <x:c r="F3407" s="24" t="n">
        <x:v>29.46</x:v>
      </x:c>
      <x:c r="G3407" t="str">
        <x:v>Autumn</x:v>
      </x:c>
      <x:c r="H3407" t="str">
        <x:v>Card</x:v>
      </x:c>
      <x:c r="I3407" t="n">
        <x:v>3.6</x:v>
      </x:c>
      <x:c r="J3407" t="n">
        <x:v>13</x:v>
      </x:c>
      <x:c r="K3407" t="n">
        <x:v>4</x:v>
      </x:c>
      <x:c r="L3407" t="str">
        <x:v>STORE-001</x:v>
      </x:c>
      <x:c r="M3407" s="22" t="n">
        <x:v>46162</x:v>
      </x:c>
      <x:c r="N3407" t="str">
        <x:v>SKU-021</x:v>
      </x:c>
      <x:c r="O3407" t="n">
        <x:v>1</x:v>
      </x:c>
      <x:c r="P3407" s="26" t="n">
        <x:f>F3407/O3407</x:f>
        <x:v>29.46</x:v>
      </x:c>
    </x:row>
    <x:row r="3408">
      <x:c r="A3408" t="n">
        <x:v>3407</x:v>
      </x:c>
      <x:c r="B3408" t="n">
        <x:v>64</x:v>
      </x:c>
      <x:c r="C3408" t="str">
        <x:v>Male</x:v>
      </x:c>
      <x:c r="D3408" t="str">
        <x:v>Mens Clothing</x:v>
      </x:c>
      <x:c r="E3408" t="str">
        <x:v>Shirt</x:v>
      </x:c>
      <x:c r="F3408" s="24" t="n">
        <x:v>57</x:v>
      </x:c>
      <x:c r="G3408" t="str">
        <x:v>Summer</x:v>
      </x:c>
      <x:c r="H3408" t="str">
        <x:v>Cash on Delivery</x:v>
      </x:c>
      <x:c r="I3408" t="n">
        <x:v>3.6</x:v>
      </x:c>
      <x:c r="J3408" t="n">
        <x:v>15</x:v>
      </x:c>
      <x:c r="K3408" t="n">
        <x:v>5</x:v>
      </x:c>
      <x:c r="L3408" t="str">
        <x:v>STORE-001</x:v>
      </x:c>
      <x:c r="M3408" s="22" t="n">
        <x:v>46018</x:v>
      </x:c>
      <x:c r="N3408" t="str">
        <x:v>SKU-020</x:v>
      </x:c>
      <x:c r="O3408" t="n">
        <x:v>1</x:v>
      </x:c>
      <x:c r="P3408" s="26" t="n">
        <x:f>F3408/O3408</x:f>
        <x:v>57</x:v>
      </x:c>
    </x:row>
    <x:row r="3409">
      <x:c r="A3409" t="n">
        <x:v>3408</x:v>
      </x:c>
      <x:c r="B3409" t="n">
        <x:v>38</x:v>
      </x:c>
      <x:c r="C3409" t="str">
        <x:v>Male</x:v>
      </x:c>
      <x:c r="D3409" t="str">
        <x:v>Footwear</x:v>
      </x:c>
      <x:c r="E3409" t="str">
        <x:v>Sneakers</x:v>
      </x:c>
      <x:c r="F3409" s="24" t="n">
        <x:v>71.58</x:v>
      </x:c>
      <x:c r="G3409" t="str">
        <x:v>Spring</x:v>
      </x:c>
      <x:c r="H3409" t="str">
        <x:v>Cash on Delivery</x:v>
      </x:c>
      <x:c r="I3409" t="n">
        <x:v>3.3</x:v>
      </x:c>
      <x:c r="J3409" t="n">
        <x:v>13</x:v>
      </x:c>
      <x:c r="K3409" t="n">
        <x:v>4</x:v>
      </x:c>
      <x:c r="L3409" t="str">
        <x:v>STORE-001</x:v>
      </x:c>
      <x:c r="M3409" s="22" t="n">
        <x:v>45987</x:v>
      </x:c>
      <x:c r="N3409" t="str">
        <x:v>SKU-025</x:v>
      </x:c>
      <x:c r="O3409" t="n">
        <x:v>1</x:v>
      </x:c>
      <x:c r="P3409" s="26" t="n">
        <x:f>F3409/O3409</x:f>
        <x:v>71.58</x:v>
      </x:c>
    </x:row>
    <x:row r="3410">
      <x:c r="A3410" t="n">
        <x:v>3409</x:v>
      </x:c>
      <x:c r="B3410" t="n">
        <x:v>34</x:v>
      </x:c>
      <x:c r="C3410" t="str">
        <x:v>Female</x:v>
      </x:c>
      <x:c r="D3410" t="str">
        <x:v>Sports</x:v>
      </x:c>
      <x:c r="E3410" t="str">
        <x:v>Dumbbells</x:v>
      </x:c>
      <x:c r="F3410" s="24" t="n">
        <x:v>213.67</x:v>
      </x:c>
      <x:c r="G3410" t="str">
        <x:v>Autumn</x:v>
      </x:c>
      <x:c r="H3410" t="str">
        <x:v>Card</x:v>
      </x:c>
      <x:c r="I3410" t="n">
        <x:v>3.7</x:v>
      </x:c>
      <x:c r="J3410" t="n">
        <x:v>22</x:v>
      </x:c>
      <x:c r="K3410" t="n">
        <x:v>6</x:v>
      </x:c>
      <x:c r="L3410" t="str">
        <x:v>STORE-001</x:v>
      </x:c>
      <x:c r="M3410" s="22" t="n">
        <x:v>46168</x:v>
      </x:c>
      <x:c r="N3410" t="str">
        <x:v>SKU-005</x:v>
      </x:c>
      <x:c r="O3410" t="n">
        <x:v>2</x:v>
      </x:c>
      <x:c r="P3410" s="26" t="n">
        <x:f>F3410/O3410</x:f>
        <x:v>106.835</x:v>
      </x:c>
    </x:row>
    <x:row r="3411">
      <x:c r="A3411" t="n">
        <x:v>3410</x:v>
      </x:c>
      <x:c r="B3411" t="n">
        <x:v>35</x:v>
      </x:c>
      <x:c r="C3411" t="str">
        <x:v>Female</x:v>
      </x:c>
      <x:c r="D3411" t="str">
        <x:v>Womens Clothing</x:v>
      </x:c>
      <x:c r="E3411" t="str">
        <x:v>Skirt</x:v>
      </x:c>
      <x:c r="F3411" s="24" t="n">
        <x:v>97.07</x:v>
      </x:c>
      <x:c r="G3411" t="str">
        <x:v>Spring</x:v>
      </x:c>
      <x:c r="H3411" t="str">
        <x:v>Cash on Delivery</x:v>
      </x:c>
      <x:c r="I3411" t="n">
        <x:v>3.1</x:v>
      </x:c>
      <x:c r="J3411" t="n">
        <x:v>18</x:v>
      </x:c>
      <x:c r="K3411" t="n">
        <x:v>4</x:v>
      </x:c>
      <x:c r="L3411" t="str">
        <x:v>STORE-001</x:v>
      </x:c>
      <x:c r="M3411" s="22" t="n">
        <x:v>46273</x:v>
      </x:c>
      <x:c r="N3411" t="str">
        <x:v>SKU-022</x:v>
      </x:c>
      <x:c r="O3411" t="n">
        <x:v>1</x:v>
      </x:c>
      <x:c r="P3411" s="26" t="n">
        <x:f>F3411/O3411</x:f>
        <x:v>97.07</x:v>
      </x:c>
    </x:row>
    <x:row r="3412">
      <x:c r="A3412" t="n">
        <x:v>3411</x:v>
      </x:c>
      <x:c r="B3412" t="n">
        <x:v>67</x:v>
      </x:c>
      <x:c r="C3412" t="str">
        <x:v>Female</x:v>
      </x:c>
      <x:c r="D3412" t="str">
        <x:v>Accessories</x:v>
      </x:c>
      <x:c r="E3412" t="str">
        <x:v>Sunglasses</x:v>
      </x:c>
      <x:c r="F3412" s="24" t="n">
        <x:v>154.84</x:v>
      </x:c>
      <x:c r="G3412" t="str">
        <x:v>Winter</x:v>
      </x:c>
      <x:c r="H3412" t="str">
        <x:v>Card</x:v>
      </x:c>
      <x:c r="I3412" t="n">
        <x:v>3.9</x:v>
      </x:c>
      <x:c r="J3412" t="n">
        <x:v>18</x:v>
      </x:c>
      <x:c r="K3412" t="n">
        <x:v>4</x:v>
      </x:c>
      <x:c r="L3412" t="str">
        <x:v>STORE-001</x:v>
      </x:c>
      <x:c r="M3412" s="22" t="n">
        <x:v>46265</x:v>
      </x:c>
      <x:c r="N3412" t="str">
        <x:v>SKU-026</x:v>
      </x:c>
      <x:c r="O3412" t="n">
        <x:v>1</x:v>
      </x:c>
      <x:c r="P3412" s="26" t="n">
        <x:f>F3412/O3412</x:f>
        <x:v>154.84</x:v>
      </x:c>
    </x:row>
    <x:row r="3413">
      <x:c r="A3413" t="n">
        <x:v>3412</x:v>
      </x:c>
      <x:c r="B3413" t="n">
        <x:v>55</x:v>
      </x:c>
      <x:c r="C3413" t="str">
        <x:v>Female</x:v>
      </x:c>
      <x:c r="D3413" t="str">
        <x:v>Beauty</x:v>
      </x:c>
      <x:c r="E3413" t="str">
        <x:v>Perfume</x:v>
      </x:c>
      <x:c r="F3413" s="24" t="n">
        <x:v>92.98</x:v>
      </x:c>
      <x:c r="G3413" t="str">
        <x:v>Winter</x:v>
      </x:c>
      <x:c r="H3413" t="str">
        <x:v>Card</x:v>
      </x:c>
      <x:c r="I3413" t="n">
        <x:v>3.7</x:v>
      </x:c>
      <x:c r="J3413" t="n">
        <x:v>8</x:v>
      </x:c>
      <x:c r="K3413" t="n">
        <x:v>4</x:v>
      </x:c>
      <x:c r="L3413" t="str">
        <x:v>STORE-001</x:v>
      </x:c>
      <x:c r="M3413" s="22" t="n">
        <x:v>46221</x:v>
      </x:c>
      <x:c r="N3413" t="str">
        <x:v>SKU-017</x:v>
      </x:c>
      <x:c r="O3413" t="n">
        <x:v>2</x:v>
      </x:c>
      <x:c r="P3413" s="26" t="n">
        <x:f>F3413/O3413</x:f>
        <x:v>46.49</x:v>
      </x:c>
    </x:row>
    <x:row r="3414">
      <x:c r="A3414" t="n">
        <x:v>3413</x:v>
      </x:c>
      <x:c r="B3414" t="n">
        <x:v>64</x:v>
      </x:c>
      <x:c r="C3414" t="str">
        <x:v>Female</x:v>
      </x:c>
      <x:c r="D3414" t="str">
        <x:v>Beauty</x:v>
      </x:c>
      <x:c r="E3414" t="str">
        <x:v>Makeup Set</x:v>
      </x:c>
      <x:c r="F3414" s="24" t="n">
        <x:v>81.65</x:v>
      </x:c>
      <x:c r="G3414" t="str">
        <x:v>Spring</x:v>
      </x:c>
      <x:c r="H3414" t="str">
        <x:v>Card</x:v>
      </x:c>
      <x:c r="I3414" t="n">
        <x:v>3.8</x:v>
      </x:c>
      <x:c r="J3414" t="n">
        <x:v>17</x:v>
      </x:c>
      <x:c r="K3414" t="n">
        <x:v>6</x:v>
      </x:c>
      <x:c r="L3414" t="str">
        <x:v>STORE-001</x:v>
      </x:c>
      <x:c r="M3414" s="22" t="n">
        <x:v>45940</x:v>
      </x:c>
      <x:c r="N3414" t="str">
        <x:v>SKU-015</x:v>
      </x:c>
      <x:c r="O3414" t="n">
        <x:v>2</x:v>
      </x:c>
      <x:c r="P3414" s="26" t="n">
        <x:f>F3414/O3414</x:f>
        <x:v>40.825</x:v>
      </x:c>
    </x:row>
    <x:row r="3415">
      <x:c r="A3415" t="n">
        <x:v>3414</x:v>
      </x:c>
      <x:c r="B3415" t="n">
        <x:v>39</x:v>
      </x:c>
      <x:c r="C3415" t="str">
        <x:v>Female</x:v>
      </x:c>
      <x:c r="D3415" t="str">
        <x:v>Footwear</x:v>
      </x:c>
      <x:c r="E3415" t="str">
        <x:v>Sneakers</x:v>
      </x:c>
      <x:c r="F3415" s="24" t="n">
        <x:v>249.4</x:v>
      </x:c>
      <x:c r="G3415" t="str">
        <x:v>Summer</x:v>
      </x:c>
      <x:c r="H3415" t="str">
        <x:v>Card</x:v>
      </x:c>
      <x:c r="I3415" t="n">
        <x:v>3.9</x:v>
      </x:c>
      <x:c r="J3415" t="n">
        <x:v>21</x:v>
      </x:c>
      <x:c r="K3415" t="n">
        <x:v>8</x:v>
      </x:c>
      <x:c r="L3415" t="str">
        <x:v>STORE-001</x:v>
      </x:c>
      <x:c r="M3415" s="22" t="n">
        <x:v>46069</x:v>
      </x:c>
      <x:c r="N3415" t="str">
        <x:v>SKU-025</x:v>
      </x:c>
      <x:c r="O3415" t="n">
        <x:v>1</x:v>
      </x:c>
      <x:c r="P3415" s="26" t="n">
        <x:f>F3415/O3415</x:f>
        <x:v>249.4</x:v>
      </x:c>
    </x:row>
    <x:row r="3416">
      <x:c r="A3416" t="n">
        <x:v>3415</x:v>
      </x:c>
      <x:c r="B3416" t="n">
        <x:v>23</x:v>
      </x:c>
      <x:c r="C3416" t="str">
        <x:v>Male</x:v>
      </x:c>
      <x:c r="D3416" t="str">
        <x:v>Home</x:v>
      </x:c>
      <x:c r="E3416" t="str">
        <x:v>Lamp</x:v>
      </x:c>
      <x:c r="F3416" s="24" t="n">
        <x:v>268.91</x:v>
      </x:c>
      <x:c r="G3416" t="str">
        <x:v>Spring</x:v>
      </x:c>
      <x:c r="H3416" t="str">
        <x:v>Card</x:v>
      </x:c>
      <x:c r="I3416" t="n">
        <x:v>4.2</x:v>
      </x:c>
      <x:c r="J3416" t="n">
        <x:v>13</x:v>
      </x:c>
      <x:c r="K3416" t="n">
        <x:v>4</x:v>
      </x:c>
      <x:c r="L3416" t="str">
        <x:v>STORE-001</x:v>
      </x:c>
      <x:c r="M3416" s="22" t="n">
        <x:v>45967</x:v>
      </x:c>
      <x:c r="N3416" t="str">
        <x:v>SKU-013</x:v>
      </x:c>
      <x:c r="O3416" t="n">
        <x:v>1</x:v>
      </x:c>
      <x:c r="P3416" s="26" t="n">
        <x:f>F3416/O3416</x:f>
        <x:v>268.91</x:v>
      </x:c>
    </x:row>
    <x:row r="3417">
      <x:c r="A3417" t="n">
        <x:v>3416</x:v>
      </x:c>
      <x:c r="B3417" t="n">
        <x:v>66</x:v>
      </x:c>
      <x:c r="C3417" t="str">
        <x:v>Male</x:v>
      </x:c>
      <x:c r="D3417" t="str">
        <x:v>Sports</x:v>
      </x:c>
      <x:c r="E3417" t="str">
        <x:v>Football</x:v>
      </x:c>
      <x:c r="F3417" s="24" t="n">
        <x:v>81.46</x:v>
      </x:c>
      <x:c r="G3417" t="str">
        <x:v>Winter</x:v>
      </x:c>
      <x:c r="H3417" t="str">
        <x:v>Cash on Delivery</x:v>
      </x:c>
      <x:c r="I3417" t="n">
        <x:v>3.9</x:v>
      </x:c>
      <x:c r="J3417" t="n">
        <x:v>20</x:v>
      </x:c>
      <x:c r="K3417" t="n">
        <x:v>5</x:v>
      </x:c>
      <x:c r="L3417" t="str">
        <x:v>STORE-001</x:v>
      </x:c>
      <x:c r="M3417" s="22" t="n">
        <x:v>46198</x:v>
      </x:c>
      <x:c r="N3417" t="str">
        <x:v>SKU-006</x:v>
      </x:c>
      <x:c r="O3417" t="n">
        <x:v>2</x:v>
      </x:c>
      <x:c r="P3417" s="26" t="n">
        <x:f>F3417/O3417</x:f>
        <x:v>40.73</x:v>
      </x:c>
    </x:row>
    <x:row r="3418">
      <x:c r="A3418" t="n">
        <x:v>3417</x:v>
      </x:c>
      <x:c r="B3418" t="n">
        <x:v>29</x:v>
      </x:c>
      <x:c r="C3418" t="str">
        <x:v>Female</x:v>
      </x:c>
      <x:c r="D3418" t="str">
        <x:v>Womens Clothing</x:v>
      </x:c>
      <x:c r="E3418" t="str">
        <x:v>Skirt</x:v>
      </x:c>
      <x:c r="F3418" s="24" t="n">
        <x:v>135.06</x:v>
      </x:c>
      <x:c r="G3418" t="str">
        <x:v>Summer</x:v>
      </x:c>
      <x:c r="H3418" t="str">
        <x:v>Card</x:v>
      </x:c>
      <x:c r="I3418" t="n">
        <x:v>2.2</x:v>
      </x:c>
      <x:c r="J3418" t="n">
        <x:v>19</x:v>
      </x:c>
      <x:c r="K3418" t="n">
        <x:v>7</x:v>
      </x:c>
      <x:c r="L3418" t="str">
        <x:v>STORE-001</x:v>
      </x:c>
      <x:c r="M3418" s="22" t="n">
        <x:v>46040</x:v>
      </x:c>
      <x:c r="N3418" t="str">
        <x:v>SKU-022</x:v>
      </x:c>
      <x:c r="O3418" t="n">
        <x:v>3</x:v>
      </x:c>
      <x:c r="P3418" s="26" t="n">
        <x:f>F3418/O3418</x:f>
        <x:v>45.02</x:v>
      </x:c>
    </x:row>
    <x:row r="3419">
      <x:c r="A3419" t="n">
        <x:v>3418</x:v>
      </x:c>
      <x:c r="B3419" t="n">
        <x:v>54</x:v>
      </x:c>
      <x:c r="C3419" t="str">
        <x:v>Female</x:v>
      </x:c>
      <x:c r="D3419" t="str">
        <x:v>Beauty</x:v>
      </x:c>
      <x:c r="E3419" t="str">
        <x:v>Skincare Kit</x:v>
      </x:c>
      <x:c r="F3419" s="24" t="n">
        <x:v>127.1</x:v>
      </x:c>
      <x:c r="G3419" t="str">
        <x:v>Autumn</x:v>
      </x:c>
      <x:c r="H3419" t="str">
        <x:v>Card</x:v>
      </x:c>
      <x:c r="I3419" t="n">
        <x:v>3.5</x:v>
      </x:c>
      <x:c r="J3419" t="n">
        <x:v>18</x:v>
      </x:c>
      <x:c r="K3419" t="n">
        <x:v>4</x:v>
      </x:c>
      <x:c r="L3419" t="str">
        <x:v>STORE-001</x:v>
      </x:c>
      <x:c r="M3419" s="22" t="n">
        <x:v>46153</x:v>
      </x:c>
      <x:c r="N3419" t="str">
        <x:v>SKU-021</x:v>
      </x:c>
      <x:c r="O3419" t="n">
        <x:v>1</x:v>
      </x:c>
      <x:c r="P3419" s="26" t="n">
        <x:f>F3419/O3419</x:f>
        <x:v>127.1</x:v>
      </x:c>
    </x:row>
    <x:row r="3420">
      <x:c r="A3420" t="n">
        <x:v>3419</x:v>
      </x:c>
      <x:c r="B3420" t="n">
        <x:v>48</x:v>
      </x:c>
      <x:c r="C3420" t="str">
        <x:v>Male</x:v>
      </x:c>
      <x:c r="D3420" t="str">
        <x:v>Footwear</x:v>
      </x:c>
      <x:c r="E3420" t="str">
        <x:v>Sneakers</x:v>
      </x:c>
      <x:c r="F3420" s="24" t="n">
        <x:v>121.62</x:v>
      </x:c>
      <x:c r="G3420" t="str">
        <x:v>Spring</x:v>
      </x:c>
      <x:c r="H3420" t="str">
        <x:v>Card</x:v>
      </x:c>
      <x:c r="I3420" t="n">
        <x:v>4.4</x:v>
      </x:c>
      <x:c r="J3420" t="n">
        <x:v>6</x:v>
      </x:c>
      <x:c r="K3420" t="n">
        <x:v>3</x:v>
      </x:c>
      <x:c r="L3420" t="str">
        <x:v>STORE-001</x:v>
      </x:c>
      <x:c r="M3420" s="22" t="n">
        <x:v>45957</x:v>
      </x:c>
      <x:c r="N3420" t="str">
        <x:v>SKU-025</x:v>
      </x:c>
      <x:c r="O3420" t="n">
        <x:v>2</x:v>
      </x:c>
      <x:c r="P3420" s="26" t="n">
        <x:f>F3420/O3420</x:f>
        <x:v>60.81</x:v>
      </x:c>
    </x:row>
    <x:row r="3421">
      <x:c r="A3421" t="n">
        <x:v>3420</x:v>
      </x:c>
      <x:c r="B3421" t="n">
        <x:v>30</x:v>
      </x:c>
      <x:c r="C3421" t="str">
        <x:v>Female</x:v>
      </x:c>
      <x:c r="D3421" t="str">
        <x:v>Home</x:v>
      </x:c>
      <x:c r="E3421" t="str">
        <x:v>Lamp</x:v>
      </x:c>
      <x:c r="F3421" s="24" t="n">
        <x:v>194.22</x:v>
      </x:c>
      <x:c r="G3421" t="str">
        <x:v>Spring</x:v>
      </x:c>
      <x:c r="H3421" t="str">
        <x:v>Card</x:v>
      </x:c>
      <x:c r="I3421" t="n">
        <x:v>4.2</x:v>
      </x:c>
      <x:c r="J3421" t="n">
        <x:v>13</x:v>
      </x:c>
      <x:c r="K3421" t="n">
        <x:v>4</x:v>
      </x:c>
      <x:c r="L3421" t="str">
        <x:v>STORE-001</x:v>
      </x:c>
      <x:c r="M3421" s="22" t="n">
        <x:v>46280</x:v>
      </x:c>
      <x:c r="N3421" t="str">
        <x:v>SKU-013</x:v>
      </x:c>
      <x:c r="O3421" t="n">
        <x:v>2</x:v>
      </x:c>
      <x:c r="P3421" s="26" t="n">
        <x:f>F3421/O3421</x:f>
        <x:v>97.11</x:v>
      </x:c>
    </x:row>
    <x:row r="3422">
      <x:c r="A3422" t="n">
        <x:v>3421</x:v>
      </x:c>
      <x:c r="B3422" t="n">
        <x:v>48</x:v>
      </x:c>
      <x:c r="C3422" t="str">
        <x:v>Female</x:v>
      </x:c>
      <x:c r="D3422" t="str">
        <x:v>Footwear</x:v>
      </x:c>
      <x:c r="E3422" t="str">
        <x:v>Sandals</x:v>
      </x:c>
      <x:c r="F3422" s="24" t="n">
        <x:v>225.8</x:v>
      </x:c>
      <x:c r="G3422" t="str">
        <x:v>Summer</x:v>
      </x:c>
      <x:c r="H3422" t="str">
        <x:v>Card</x:v>
      </x:c>
      <x:c r="I3422" t="n">
        <x:v>3.2</x:v>
      </x:c>
      <x:c r="J3422" t="n">
        <x:v>6</x:v>
      </x:c>
      <x:c r="K3422" t="n">
        <x:v>3</x:v>
      </x:c>
      <x:c r="L3422" t="str">
        <x:v>STORE-001</x:v>
      </x:c>
      <x:c r="M3422" s="22" t="n">
        <x:v>45995</x:v>
      </x:c>
      <x:c r="N3422" t="str">
        <x:v>SKU-019</x:v>
      </x:c>
      <x:c r="O3422" t="n">
        <x:v>1</x:v>
      </x:c>
      <x:c r="P3422" s="26" t="n">
        <x:f>F3422/O3422</x:f>
        <x:v>225.8</x:v>
      </x:c>
    </x:row>
    <x:row r="3423">
      <x:c r="A3423" t="n">
        <x:v>3422</x:v>
      </x:c>
      <x:c r="B3423" t="n">
        <x:v>47</x:v>
      </x:c>
      <x:c r="C3423" t="str">
        <x:v>Female</x:v>
      </x:c>
      <x:c r="D3423" t="str">
        <x:v>Womens Clothing</x:v>
      </x:c>
      <x:c r="E3423" t="str">
        <x:v>Jeans</x:v>
      </x:c>
      <x:c r="F3423" s="24" t="n">
        <x:v>193.59</x:v>
      </x:c>
      <x:c r="G3423" t="str">
        <x:v>Spring</x:v>
      </x:c>
      <x:c r="H3423" t="str">
        <x:v>Card</x:v>
      </x:c>
      <x:c r="I3423" t="n">
        <x:v>3.3</x:v>
      </x:c>
      <x:c r="J3423" t="n">
        <x:v>16</x:v>
      </x:c>
      <x:c r="K3423" t="n">
        <x:v>3</x:v>
      </x:c>
      <x:c r="L3423" t="str">
        <x:v>STORE-001</x:v>
      </x:c>
      <x:c r="M3423" s="22" t="n">
        <x:v>45943</x:v>
      </x:c>
      <x:c r="N3423" t="str">
        <x:v>SKU-011</x:v>
      </x:c>
      <x:c r="O3423" t="n">
        <x:v>1</x:v>
      </x:c>
      <x:c r="P3423" s="26" t="n">
        <x:f>F3423/O3423</x:f>
        <x:v>193.59</x:v>
      </x:c>
    </x:row>
    <x:row r="3424">
      <x:c r="A3424" t="n">
        <x:v>3423</x:v>
      </x:c>
      <x:c r="B3424" t="n">
        <x:v>48</x:v>
      </x:c>
      <x:c r="C3424" t="str">
        <x:v>Male</x:v>
      </x:c>
      <x:c r="D3424" t="str">
        <x:v>Electronics</x:v>
      </x:c>
      <x:c r="E3424" t="str">
        <x:v>Laptop</x:v>
      </x:c>
      <x:c r="F3424" s="24" t="n">
        <x:v>2610.99</x:v>
      </x:c>
      <x:c r="G3424" t="str">
        <x:v>Summer</x:v>
      </x:c>
      <x:c r="H3424" t="str">
        <x:v>Card</x:v>
      </x:c>
      <x:c r="I3424" t="n">
        <x:v>3.5</x:v>
      </x:c>
      <x:c r="J3424" t="n">
        <x:v>13</x:v>
      </x:c>
      <x:c r="K3424" t="n">
        <x:v>4</x:v>
      </x:c>
      <x:c r="L3424" t="str">
        <x:v>STORE-001</x:v>
      </x:c>
      <x:c r="M3424" s="22" t="n">
        <x:v>46003</x:v>
      </x:c>
      <x:c r="N3424" t="str">
        <x:v>SKU-014</x:v>
      </x:c>
      <x:c r="O3424" t="n">
        <x:v>1</x:v>
      </x:c>
      <x:c r="P3424" s="26" t="n">
        <x:f>F3424/O3424</x:f>
        <x:v>2610.99</x:v>
      </x:c>
    </x:row>
    <x:row r="3425">
      <x:c r="A3425" t="n">
        <x:v>3424</x:v>
      </x:c>
      <x:c r="B3425" t="n">
        <x:v>20</x:v>
      </x:c>
      <x:c r="C3425" t="str">
        <x:v>Female</x:v>
      </x:c>
      <x:c r="D3425" t="str">
        <x:v>Footwear</x:v>
      </x:c>
      <x:c r="E3425" t="str">
        <x:v>Sneakers</x:v>
      </x:c>
      <x:c r="F3425" s="24" t="n">
        <x:v>104.2</x:v>
      </x:c>
      <x:c r="G3425" t="str">
        <x:v>Spring</x:v>
      </x:c>
      <x:c r="H3425" t="str">
        <x:v>Card</x:v>
      </x:c>
      <x:c r="I3425" t="n">
        <x:v>2.8</x:v>
      </x:c>
      <x:c r="J3425" t="n">
        <x:v>11</x:v>
      </x:c>
      <x:c r="K3425" t="n">
        <x:v>3</x:v>
      </x:c>
      <x:c r="L3425" t="str">
        <x:v>STORE-001</x:v>
      </x:c>
      <x:c r="M3425" s="22" t="n">
        <x:v>46277</x:v>
      </x:c>
      <x:c r="N3425" t="str">
        <x:v>SKU-025</x:v>
      </x:c>
      <x:c r="O3425" t="n">
        <x:v>1</x:v>
      </x:c>
      <x:c r="P3425" s="26" t="n">
        <x:f>F3425/O3425</x:f>
        <x:v>104.2</x:v>
      </x:c>
    </x:row>
    <x:row r="3426">
      <x:c r="A3426" t="n">
        <x:v>3425</x:v>
      </x:c>
      <x:c r="B3426" t="n">
        <x:v>37</x:v>
      </x:c>
      <x:c r="C3426" t="str">
        <x:v>Male</x:v>
      </x:c>
      <x:c r="D3426" t="str">
        <x:v>Footwear</x:v>
      </x:c>
      <x:c r="E3426" t="str">
        <x:v>Formal Shoes</x:v>
      </x:c>
      <x:c r="F3426" s="24" t="n">
        <x:v>159.51</x:v>
      </x:c>
      <x:c r="G3426" t="str">
        <x:v>Winter</x:v>
      </x:c>
      <x:c r="H3426" t="str">
        <x:v>Card</x:v>
      </x:c>
      <x:c r="I3426" t="n">
        <x:v>3.8</x:v>
      </x:c>
      <x:c r="J3426" t="n">
        <x:v>11</x:v>
      </x:c>
      <x:c r="K3426" t="n">
        <x:v>3</x:v>
      </x:c>
      <x:c r="L3426" t="str">
        <x:v>STORE-001</x:v>
      </x:c>
      <x:c r="M3426" s="22" t="n">
        <x:v>46193</x:v>
      </x:c>
      <x:c r="N3426" t="str">
        <x:v>SKU-007</x:v>
      </x:c>
      <x:c r="O3426" t="n">
        <x:v>1</x:v>
      </x:c>
      <x:c r="P3426" s="26" t="n">
        <x:f>F3426/O3426</x:f>
        <x:v>159.51</x:v>
      </x:c>
    </x:row>
    <x:row r="3427">
      <x:c r="A3427" t="n">
        <x:v>3426</x:v>
      </x:c>
      <x:c r="B3427" t="n">
        <x:v>63</x:v>
      </x:c>
      <x:c r="C3427" t="str">
        <x:v>Male</x:v>
      </x:c>
      <x:c r="D3427" t="str">
        <x:v>Mens Clothing</x:v>
      </x:c>
      <x:c r="E3427" t="str">
        <x:v>Jeans</x:v>
      </x:c>
      <x:c r="F3427" s="24" t="n">
        <x:v>163.48</x:v>
      </x:c>
      <x:c r="G3427" t="str">
        <x:v>Autumn</x:v>
      </x:c>
      <x:c r="H3427" t="str">
        <x:v>Card</x:v>
      </x:c>
      <x:c r="I3427" t="n">
        <x:v>4</x:v>
      </x:c>
      <x:c r="J3427" t="n">
        <x:v>18</x:v>
      </x:c>
      <x:c r="K3427" t="n">
        <x:v>4</x:v>
      </x:c>
      <x:c r="L3427" t="str">
        <x:v>STORE-001</x:v>
      </x:c>
      <x:c r="M3427" s="22" t="n">
        <x:v>46098</x:v>
      </x:c>
      <x:c r="N3427" t="str">
        <x:v>SKU-011</x:v>
      </x:c>
      <x:c r="O3427" t="n">
        <x:v>1</x:v>
      </x:c>
      <x:c r="P3427" s="26" t="n">
        <x:f>F3427/O3427</x:f>
        <x:v>163.48</x:v>
      </x:c>
    </x:row>
    <x:row r="3428">
      <x:c r="A3428" t="n">
        <x:v>3427</x:v>
      </x:c>
      <x:c r="B3428" t="n">
        <x:v>49</x:v>
      </x:c>
      <x:c r="C3428" t="str">
        <x:v>Female</x:v>
      </x:c>
      <x:c r="D3428" t="str">
        <x:v>Home</x:v>
      </x:c>
      <x:c r="E3428" t="str">
        <x:v>Kitchen Set</x:v>
      </x:c>
      <x:c r="F3428" s="24" t="n">
        <x:v>106.24</x:v>
      </x:c>
      <x:c r="G3428" t="str">
        <x:v>Winter</x:v>
      </x:c>
      <x:c r="H3428" t="str">
        <x:v>Card</x:v>
      </x:c>
      <x:c r="I3428" t="n">
        <x:v>3.5</x:v>
      </x:c>
      <x:c r="J3428" t="n">
        <x:v>16</x:v>
      </x:c>
      <x:c r="K3428" t="n">
        <x:v>3</x:v>
      </x:c>
      <x:c r="L3428" t="str">
        <x:v>STORE-001</x:v>
      </x:c>
      <x:c r="M3428" s="22" t="n">
        <x:v>46188</x:v>
      </x:c>
      <x:c r="N3428" t="str">
        <x:v>SKU-012</x:v>
      </x:c>
      <x:c r="O3428" t="n">
        <x:v>3</x:v>
      </x:c>
      <x:c r="P3428" s="26" t="n">
        <x:f>F3428/O3428</x:f>
        <x:v>35.413333333333334</x:v>
      </x:c>
    </x:row>
    <x:row r="3429">
      <x:c r="A3429" t="n">
        <x:v>3428</x:v>
      </x:c>
      <x:c r="B3429" t="n">
        <x:v>40</x:v>
      </x:c>
      <x:c r="C3429" t="str">
        <x:v>Male</x:v>
      </x:c>
      <x:c r="D3429" t="str">
        <x:v>Electronics</x:v>
      </x:c>
      <x:c r="E3429" t="str">
        <x:v>Headphones</x:v>
      </x:c>
      <x:c r="F3429" s="24" t="n">
        <x:v>1340.12</x:v>
      </x:c>
      <x:c r="G3429" t="str">
        <x:v>Spring</x:v>
      </x:c>
      <x:c r="H3429" t="str">
        <x:v>Card</x:v>
      </x:c>
      <x:c r="I3429" t="n">
        <x:v>4.1</x:v>
      </x:c>
      <x:c r="J3429" t="n">
        <x:v>28</x:v>
      </x:c>
      <x:c r="K3429" t="n">
        <x:v>9</x:v>
      </x:c>
      <x:c r="L3429" t="str">
        <x:v>STORE-001</x:v>
      </x:c>
      <x:c r="M3429" s="22" t="n">
        <x:v>45977</x:v>
      </x:c>
      <x:c r="N3429" t="str">
        <x:v>SKU-009</x:v>
      </x:c>
      <x:c r="O3429" t="n">
        <x:v>1</x:v>
      </x:c>
      <x:c r="P3429" s="26" t="n">
        <x:f>F3429/O3429</x:f>
        <x:v>1340.12</x:v>
      </x:c>
    </x:row>
    <x:row r="3430">
      <x:c r="A3430" t="n">
        <x:v>3429</x:v>
      </x:c>
      <x:c r="B3430" t="n">
        <x:v>55</x:v>
      </x:c>
      <x:c r="C3430" t="str">
        <x:v>Female</x:v>
      </x:c>
      <x:c r="D3430" t="str">
        <x:v>Accessories</x:v>
      </x:c>
      <x:c r="E3430" t="str">
        <x:v>Wallet</x:v>
      </x:c>
      <x:c r="F3430" s="24" t="n">
        <x:v>66.95</x:v>
      </x:c>
      <x:c r="G3430" t="str">
        <x:v>Spring</x:v>
      </x:c>
      <x:c r="H3430" t="str">
        <x:v>Card</x:v>
      </x:c>
      <x:c r="I3430" t="n">
        <x:v>3.7</x:v>
      </x:c>
      <x:c r="J3430" t="n">
        <x:v>14</x:v>
      </x:c>
      <x:c r="K3430" t="n">
        <x:v>2</x:v>
      </x:c>
      <x:c r="L3430" t="str">
        <x:v>STORE-001</x:v>
      </x:c>
      <x:c r="M3430" s="22" t="n">
        <x:v>45968</x:v>
      </x:c>
      <x:c r="N3430" t="str">
        <x:v>SKU-029</x:v>
      </x:c>
      <x:c r="O3430" t="n">
        <x:v>1</x:v>
      </x:c>
      <x:c r="P3430" s="26" t="n">
        <x:f>F3430/O3430</x:f>
        <x:v>66.95</x:v>
      </x:c>
    </x:row>
    <x:row r="3431">
      <x:c r="A3431" t="n">
        <x:v>3430</x:v>
      </x:c>
      <x:c r="B3431" t="n">
        <x:v>50</x:v>
      </x:c>
      <x:c r="C3431" t="str">
        <x:v>Female</x:v>
      </x:c>
      <x:c r="D3431" t="str">
        <x:v>Womens Clothing</x:v>
      </x:c>
      <x:c r="E3431" t="str">
        <x:v>Dress</x:v>
      </x:c>
      <x:c r="F3431" s="24" t="n">
        <x:v>114.36</x:v>
      </x:c>
      <x:c r="G3431" t="str">
        <x:v>Autumn</x:v>
      </x:c>
      <x:c r="H3431" t="str">
        <x:v>Card</x:v>
      </x:c>
      <x:c r="I3431" t="n">
        <x:v>3.3</x:v>
      </x:c>
      <x:c r="J3431" t="n">
        <x:v>10</x:v>
      </x:c>
      <x:c r="K3431" t="n">
        <x:v>5</x:v>
      </x:c>
      <x:c r="L3431" t="str">
        <x:v>STORE-001</x:v>
      </x:c>
      <x:c r="M3431" s="22" t="n">
        <x:v>46143</x:v>
      </x:c>
      <x:c r="N3431" t="str">
        <x:v>SKU-004</x:v>
      </x:c>
      <x:c r="O3431" t="n">
        <x:v>1</x:v>
      </x:c>
      <x:c r="P3431" s="26" t="n">
        <x:f>F3431/O3431</x:f>
        <x:v>114.36</x:v>
      </x:c>
    </x:row>
    <x:row r="3432">
      <x:c r="A3432" t="n">
        <x:v>3431</x:v>
      </x:c>
      <x:c r="B3432" t="n">
        <x:v>63</x:v>
      </x:c>
      <x:c r="C3432" t="str">
        <x:v>Female</x:v>
      </x:c>
      <x:c r="D3432" t="str">
        <x:v>Accessories</x:v>
      </x:c>
      <x:c r="E3432" t="str">
        <x:v>Wallet</x:v>
      </x:c>
      <x:c r="F3432" s="24" t="n">
        <x:v>171.7</x:v>
      </x:c>
      <x:c r="G3432" t="str">
        <x:v>Summer</x:v>
      </x:c>
      <x:c r="H3432" t="str">
        <x:v>Card</x:v>
      </x:c>
      <x:c r="I3432" t="n">
        <x:v>3.8</x:v>
      </x:c>
      <x:c r="J3432" t="n">
        <x:v>17</x:v>
      </x:c>
      <x:c r="K3432" t="n">
        <x:v>6</x:v>
      </x:c>
      <x:c r="L3432" t="str">
        <x:v>STORE-001</x:v>
      </x:c>
      <x:c r="M3432" s="22" t="n">
        <x:v>46033</x:v>
      </x:c>
      <x:c r="N3432" t="str">
        <x:v>SKU-029</x:v>
      </x:c>
      <x:c r="O3432" t="n">
        <x:v>2</x:v>
      </x:c>
      <x:c r="P3432" s="26" t="n">
        <x:f>F3432/O3432</x:f>
        <x:v>85.85</x:v>
      </x:c>
    </x:row>
    <x:row r="3433">
      <x:c r="A3433" t="n">
        <x:v>3432</x:v>
      </x:c>
      <x:c r="B3433" t="n">
        <x:v>36</x:v>
      </x:c>
      <x:c r="C3433" t="str">
        <x:v>Male</x:v>
      </x:c>
      <x:c r="D3433" t="str">
        <x:v>Footwear</x:v>
      </x:c>
      <x:c r="E3433" t="str">
        <x:v>Sneakers</x:v>
      </x:c>
      <x:c r="F3433" s="24" t="n">
        <x:v>74.53</x:v>
      </x:c>
      <x:c r="G3433" t="str">
        <x:v>Spring</x:v>
      </x:c>
      <x:c r="H3433" t="str">
        <x:v>Cash on Delivery</x:v>
      </x:c>
      <x:c r="I3433" t="n">
        <x:v>4.3</x:v>
      </x:c>
      <x:c r="J3433" t="n">
        <x:v>11</x:v>
      </x:c>
      <x:c r="K3433" t="n">
        <x:v>3</x:v>
      </x:c>
      <x:c r="L3433" t="str">
        <x:v>STORE-001</x:v>
      </x:c>
      <x:c r="M3433" s="22" t="n">
        <x:v>46294</x:v>
      </x:c>
      <x:c r="N3433" t="str">
        <x:v>SKU-025</x:v>
      </x:c>
      <x:c r="O3433" t="n">
        <x:v>1</x:v>
      </x:c>
      <x:c r="P3433" s="26" t="n">
        <x:f>F3433/O3433</x:f>
        <x:v>74.53</x:v>
      </x:c>
    </x:row>
    <x:row r="3434">
      <x:c r="A3434" t="n">
        <x:v>3433</x:v>
      </x:c>
      <x:c r="B3434" t="n">
        <x:v>34</x:v>
      </x:c>
      <x:c r="C3434" t="str">
        <x:v>Female</x:v>
      </x:c>
      <x:c r="D3434" t="str">
        <x:v>Womens Clothing</x:v>
      </x:c>
      <x:c r="E3434" t="str">
        <x:v>Dress</x:v>
      </x:c>
      <x:c r="F3434" s="24" t="n">
        <x:v>47.24</x:v>
      </x:c>
      <x:c r="G3434" t="str">
        <x:v>Spring</x:v>
      </x:c>
      <x:c r="H3434" t="str">
        <x:v>Cash on Delivery</x:v>
      </x:c>
      <x:c r="I3434" t="n">
        <x:v>3.1</x:v>
      </x:c>
      <x:c r="J3434" t="n">
        <x:v>18</x:v>
      </x:c>
      <x:c r="K3434" t="n">
        <x:v>4</x:v>
      </x:c>
      <x:c r="L3434" t="str">
        <x:v>STORE-001</x:v>
      </x:c>
      <x:c r="M3434" s="22" t="n">
        <x:v>46290</x:v>
      </x:c>
      <x:c r="N3434" t="str">
        <x:v>SKU-004</x:v>
      </x:c>
      <x:c r="O3434" t="n">
        <x:v>1</x:v>
      </x:c>
      <x:c r="P3434" s="26" t="n">
        <x:f>F3434/O3434</x:f>
        <x:v>47.24</x:v>
      </x:c>
    </x:row>
    <x:row r="3435">
      <x:c r="A3435" t="n">
        <x:v>3434</x:v>
      </x:c>
      <x:c r="B3435" t="n">
        <x:v>70</x:v>
      </x:c>
      <x:c r="C3435" t="str">
        <x:v>Male</x:v>
      </x:c>
      <x:c r="D3435" t="str">
        <x:v>Footwear</x:v>
      </x:c>
      <x:c r="E3435" t="str">
        <x:v>Sandals</x:v>
      </x:c>
      <x:c r="F3435" s="24" t="n">
        <x:v>247.53</x:v>
      </x:c>
      <x:c r="G3435" t="str">
        <x:v>Spring</x:v>
      </x:c>
      <x:c r="H3435" t="str">
        <x:v>Card</x:v>
      </x:c>
      <x:c r="I3435" t="n">
        <x:v>4.1</x:v>
      </x:c>
      <x:c r="J3435" t="n">
        <x:v>12</x:v>
      </x:c>
      <x:c r="K3435" t="n">
        <x:v>6</x:v>
      </x:c>
      <x:c r="L3435" t="str">
        <x:v>STORE-001</x:v>
      </x:c>
      <x:c r="M3435" s="22" t="n">
        <x:v>45968</x:v>
      </x:c>
      <x:c r="N3435" t="str">
        <x:v>SKU-019</x:v>
      </x:c>
      <x:c r="O3435" t="n">
        <x:v>1</x:v>
      </x:c>
      <x:c r="P3435" s="26" t="n">
        <x:f>F3435/O3435</x:f>
        <x:v>247.53</x:v>
      </x:c>
    </x:row>
    <x:row r="3436">
      <x:c r="A3436" t="n">
        <x:v>3435</x:v>
      </x:c>
      <x:c r="B3436" t="n">
        <x:v>65</x:v>
      </x:c>
      <x:c r="C3436" t="str">
        <x:v>Female</x:v>
      </x:c>
      <x:c r="D3436" t="str">
        <x:v>Beauty</x:v>
      </x:c>
      <x:c r="E3436" t="str">
        <x:v>Perfume</x:v>
      </x:c>
      <x:c r="F3436" s="24" t="n">
        <x:v>119.15</x:v>
      </x:c>
      <x:c r="G3436" t="str">
        <x:v>Summer</x:v>
      </x:c>
      <x:c r="H3436" t="str">
        <x:v>Card</x:v>
      </x:c>
      <x:c r="I3436" t="n">
        <x:v>2.9</x:v>
      </x:c>
      <x:c r="J3436" t="n">
        <x:v>18</x:v>
      </x:c>
      <x:c r="K3436" t="n">
        <x:v>4</x:v>
      </x:c>
      <x:c r="L3436" t="str">
        <x:v>STORE-001</x:v>
      </x:c>
      <x:c r="M3436" s="22" t="n">
        <x:v>46062</x:v>
      </x:c>
      <x:c r="N3436" t="str">
        <x:v>SKU-017</x:v>
      </x:c>
      <x:c r="O3436" t="n">
        <x:v>1</x:v>
      </x:c>
      <x:c r="P3436" s="26" t="n">
        <x:f>F3436/O3436</x:f>
        <x:v>119.15</x:v>
      </x:c>
    </x:row>
    <x:row r="3437">
      <x:c r="A3437" t="n">
        <x:v>3436</x:v>
      </x:c>
      <x:c r="B3437" t="n">
        <x:v>38</x:v>
      </x:c>
      <x:c r="C3437" t="str">
        <x:v>Male</x:v>
      </x:c>
      <x:c r="D3437" t="str">
        <x:v>Electronics</x:v>
      </x:c>
      <x:c r="E3437" t="str">
        <x:v>Mobile Phone</x:v>
      </x:c>
      <x:c r="F3437" s="24" t="n">
        <x:v>2077.59</x:v>
      </x:c>
      <x:c r="G3437" t="str">
        <x:v>Winter</x:v>
      </x:c>
      <x:c r="H3437" t="str">
        <x:v>Card</x:v>
      </x:c>
      <x:c r="I3437" t="n">
        <x:v>3.2</x:v>
      </x:c>
      <x:c r="J3437" t="n">
        <x:v>8</x:v>
      </x:c>
      <x:c r="K3437" t="n">
        <x:v>4</x:v>
      </x:c>
      <x:c r="L3437" t="str">
        <x:v>STORE-001</x:v>
      </x:c>
      <x:c r="M3437" s="22" t="n">
        <x:v>46239</x:v>
      </x:c>
      <x:c r="N3437" t="str">
        <x:v>SKU-016</x:v>
      </x:c>
      <x:c r="O3437" t="n">
        <x:v>1</x:v>
      </x:c>
      <x:c r="P3437" s="26" t="n">
        <x:f>F3437/O3437</x:f>
        <x:v>2077.59</x:v>
      </x:c>
    </x:row>
    <x:row r="3438">
      <x:c r="A3438" t="n">
        <x:v>3437</x:v>
      </x:c>
      <x:c r="B3438" t="n">
        <x:v>24</x:v>
      </x:c>
      <x:c r="C3438" t="str">
        <x:v>Male</x:v>
      </x:c>
      <x:c r="D3438" t="str">
        <x:v>Electronics</x:v>
      </x:c>
      <x:c r="E3438" t="str">
        <x:v>Mobile Phone</x:v>
      </x:c>
      <x:c r="F3438" s="24" t="n">
        <x:v>2160.68</x:v>
      </x:c>
      <x:c r="G3438" t="str">
        <x:v>Winter</x:v>
      </x:c>
      <x:c r="H3438" t="str">
        <x:v>Card</x:v>
      </x:c>
      <x:c r="I3438" t="n">
        <x:v>2.7</x:v>
      </x:c>
      <x:c r="J3438" t="n">
        <x:v>6</x:v>
      </x:c>
      <x:c r="K3438" t="n">
        <x:v>3</x:v>
      </x:c>
      <x:c r="L3438" t="str">
        <x:v>STORE-001</x:v>
      </x:c>
      <x:c r="M3438" s="22" t="n">
        <x:v>46250</x:v>
      </x:c>
      <x:c r="N3438" t="str">
        <x:v>SKU-016</x:v>
      </x:c>
      <x:c r="O3438" t="n">
        <x:v>1</x:v>
      </x:c>
      <x:c r="P3438" s="26" t="n">
        <x:f>F3438/O3438</x:f>
        <x:v>2160.68</x:v>
      </x:c>
    </x:row>
    <x:row r="3439">
      <x:c r="A3439" t="n">
        <x:v>3438</x:v>
      </x:c>
      <x:c r="B3439" t="n">
        <x:v>45</x:v>
      </x:c>
      <x:c r="C3439" t="str">
        <x:v>Male</x:v>
      </x:c>
      <x:c r="D3439" t="str">
        <x:v>Footwear</x:v>
      </x:c>
      <x:c r="E3439" t="str">
        <x:v>Sandals</x:v>
      </x:c>
      <x:c r="F3439" s="24" t="n">
        <x:v>179.48</x:v>
      </x:c>
      <x:c r="G3439" t="str">
        <x:v>Autumn</x:v>
      </x:c>
      <x:c r="H3439" t="str">
        <x:v>Card</x:v>
      </x:c>
      <x:c r="I3439" t="n">
        <x:v>3.9</x:v>
      </x:c>
      <x:c r="J3439" t="n">
        <x:v>13</x:v>
      </x:c>
      <x:c r="K3439" t="n">
        <x:v>4</x:v>
      </x:c>
      <x:c r="L3439" t="str">
        <x:v>STORE-001</x:v>
      </x:c>
      <x:c r="M3439" s="22" t="n">
        <x:v>46091</x:v>
      </x:c>
      <x:c r="N3439" t="str">
        <x:v>SKU-019</x:v>
      </x:c>
      <x:c r="O3439" t="n">
        <x:v>1</x:v>
      </x:c>
      <x:c r="P3439" s="26" t="n">
        <x:f>F3439/O3439</x:f>
        <x:v>179.48</x:v>
      </x:c>
    </x:row>
    <x:row r="3440">
      <x:c r="A3440" t="n">
        <x:v>3439</x:v>
      </x:c>
      <x:c r="B3440" t="n">
        <x:v>63</x:v>
      </x:c>
      <x:c r="C3440" t="str">
        <x:v>Male</x:v>
      </x:c>
      <x:c r="D3440" t="str">
        <x:v>Home</x:v>
      </x:c>
      <x:c r="E3440" t="str">
        <x:v>Kitchen Set</x:v>
      </x:c>
      <x:c r="F3440" s="24" t="n">
        <x:v>49.32</x:v>
      </x:c>
      <x:c r="G3440" t="str">
        <x:v>Winter</x:v>
      </x:c>
      <x:c r="H3440" t="str">
        <x:v>Cash on Delivery</x:v>
      </x:c>
      <x:c r="I3440" t="n">
        <x:v>3.6</x:v>
      </x:c>
      <x:c r="J3440" t="n">
        <x:v>18</x:v>
      </x:c>
      <x:c r="K3440" t="n">
        <x:v>4</x:v>
      </x:c>
      <x:c r="L3440" t="str">
        <x:v>STORE-001</x:v>
      </x:c>
      <x:c r="M3440" s="22" t="n">
        <x:v>46192</x:v>
      </x:c>
      <x:c r="N3440" t="str">
        <x:v>SKU-012</x:v>
      </x:c>
      <x:c r="O3440" t="n">
        <x:v>1</x:v>
      </x:c>
      <x:c r="P3440" s="26" t="n">
        <x:f>F3440/O3440</x:f>
        <x:v>49.32</x:v>
      </x:c>
    </x:row>
    <x:row r="3441">
      <x:c r="A3441" t="n">
        <x:v>3440</x:v>
      </x:c>
      <x:c r="B3441" t="n">
        <x:v>55</x:v>
      </x:c>
      <x:c r="C3441" t="str">
        <x:v>Male</x:v>
      </x:c>
      <x:c r="D3441" t="str">
        <x:v>Electronics</x:v>
      </x:c>
      <x:c r="E3441" t="str">
        <x:v>Headphones</x:v>
      </x:c>
      <x:c r="F3441" s="24" t="n">
        <x:v>844.6</x:v>
      </x:c>
      <x:c r="G3441" t="str">
        <x:v>Winter</x:v>
      </x:c>
      <x:c r="H3441" t="str">
        <x:v>Card</x:v>
      </x:c>
      <x:c r="I3441" t="n">
        <x:v>4.7</x:v>
      </x:c>
      <x:c r="J3441" t="n">
        <x:v>4</x:v>
      </x:c>
      <x:c r="K3441" t="n">
        <x:v>2</x:v>
      </x:c>
      <x:c r="L3441" t="str">
        <x:v>STORE-001</x:v>
      </x:c>
      <x:c r="M3441" s="22" t="n">
        <x:v>46192</x:v>
      </x:c>
      <x:c r="N3441" t="str">
        <x:v>SKU-009</x:v>
      </x:c>
      <x:c r="O3441" t="n">
        <x:v>1</x:v>
      </x:c>
      <x:c r="P3441" s="26" t="n">
        <x:f>F3441/O3441</x:f>
        <x:v>844.6</x:v>
      </x:c>
    </x:row>
    <x:row r="3442">
      <x:c r="A3442" t="n">
        <x:v>3441</x:v>
      </x:c>
      <x:c r="B3442" t="n">
        <x:v>58</x:v>
      </x:c>
      <x:c r="C3442" t="str">
        <x:v>Female</x:v>
      </x:c>
      <x:c r="D3442" t="str">
        <x:v>Groceries</x:v>
      </x:c>
      <x:c r="E3442" t="str">
        <x:v>Cooking Oil</x:v>
      </x:c>
      <x:c r="F3442" s="24" t="n">
        <x:v>61.51</x:v>
      </x:c>
      <x:c r="G3442" t="str">
        <x:v>Autumn</x:v>
      </x:c>
      <x:c r="H3442" t="str">
        <x:v>Card</x:v>
      </x:c>
      <x:c r="I3442" t="n">
        <x:v>2.9</x:v>
      </x:c>
      <x:c r="J3442" t="n">
        <x:v>10</x:v>
      </x:c>
      <x:c r="K3442" t="n">
        <x:v>5</x:v>
      </x:c>
      <x:c r="L3442" t="str">
        <x:v>STORE-001</x:v>
      </x:c>
      <x:c r="M3442" s="22" t="n">
        <x:v>46151</x:v>
      </x:c>
      <x:c r="N3442" t="str">
        <x:v>SKU-002</x:v>
      </x:c>
      <x:c r="O3442" t="n">
        <x:v>2</x:v>
      </x:c>
      <x:c r="P3442" s="26" t="n">
        <x:f>F3442/O3442</x:f>
        <x:v>30.755</x:v>
      </x:c>
    </x:row>
    <x:row r="3443">
      <x:c r="A3443" t="n">
        <x:v>3442</x:v>
      </x:c>
      <x:c r="B3443" t="n">
        <x:v>20</x:v>
      </x:c>
      <x:c r="C3443" t="str">
        <x:v>Male</x:v>
      </x:c>
      <x:c r="D3443" t="str">
        <x:v>Electronics</x:v>
      </x:c>
      <x:c r="E3443" t="str">
        <x:v>Mobile Phone</x:v>
      </x:c>
      <x:c r="F3443" s="24" t="n">
        <x:v>1267.39</x:v>
      </x:c>
      <x:c r="G3443" t="str">
        <x:v>Summer</x:v>
      </x:c>
      <x:c r="H3443" t="str">
        <x:v>Card</x:v>
      </x:c>
      <x:c r="I3443" t="n">
        <x:v>3.5</x:v>
      </x:c>
      <x:c r="J3443" t="n">
        <x:v>6</x:v>
      </x:c>
      <x:c r="K3443" t="n">
        <x:v>3</x:v>
      </x:c>
      <x:c r="L3443" t="str">
        <x:v>STORE-001</x:v>
      </x:c>
      <x:c r="M3443" s="22" t="n">
        <x:v>46053</x:v>
      </x:c>
      <x:c r="N3443" t="str">
        <x:v>SKU-016</x:v>
      </x:c>
      <x:c r="O3443" t="n">
        <x:v>1</x:v>
      </x:c>
      <x:c r="P3443" s="26" t="n">
        <x:f>F3443/O3443</x:f>
        <x:v>1267.39</x:v>
      </x:c>
    </x:row>
    <x:row r="3444">
      <x:c r="A3444" t="n">
        <x:v>3443</x:v>
      </x:c>
      <x:c r="B3444" t="n">
        <x:v>51</x:v>
      </x:c>
      <x:c r="C3444" t="str">
        <x:v>Female</x:v>
      </x:c>
      <x:c r="D3444" t="str">
        <x:v>Accessories</x:v>
      </x:c>
      <x:c r="E3444" t="str">
        <x:v>Handbag</x:v>
      </x:c>
      <x:c r="F3444" s="24" t="n">
        <x:v>89.15</x:v>
      </x:c>
      <x:c r="G3444" t="str">
        <x:v>Summer</x:v>
      </x:c>
      <x:c r="H3444" t="str">
        <x:v>Cash on Delivery</x:v>
      </x:c>
      <x:c r="I3444" t="n">
        <x:v>3</x:v>
      </x:c>
      <x:c r="J3444" t="n">
        <x:v>14</x:v>
      </x:c>
      <x:c r="K3444" t="n">
        <x:v>7</x:v>
      </x:c>
      <x:c r="L3444" t="str">
        <x:v>STORE-001</x:v>
      </x:c>
      <x:c r="M3444" s="22" t="n">
        <x:v>46062</x:v>
      </x:c>
      <x:c r="N3444" t="str">
        <x:v>SKU-008</x:v>
      </x:c>
      <x:c r="O3444" t="n">
        <x:v>3</x:v>
      </x:c>
      <x:c r="P3444" s="26" t="n">
        <x:f>F3444/O3444</x:f>
        <x:v>29.71666666666667</x:v>
      </x:c>
    </x:row>
    <x:row r="3445">
      <x:c r="A3445" t="n">
        <x:v>3444</x:v>
      </x:c>
      <x:c r="B3445" t="n">
        <x:v>59</x:v>
      </x:c>
      <x:c r="C3445" t="str">
        <x:v>Female</x:v>
      </x:c>
      <x:c r="D3445" t="str">
        <x:v>Beauty</x:v>
      </x:c>
      <x:c r="E3445" t="str">
        <x:v>Perfume</x:v>
      </x:c>
      <x:c r="F3445" s="24" t="n">
        <x:v>31.16</x:v>
      </x:c>
      <x:c r="G3445" t="str">
        <x:v>Autumn</x:v>
      </x:c>
      <x:c r="H3445" t="str">
        <x:v>Cash on Delivery</x:v>
      </x:c>
      <x:c r="I3445" t="n">
        <x:v>3.7</x:v>
      </x:c>
      <x:c r="J3445" t="n">
        <x:v>15</x:v>
      </x:c>
      <x:c r="K3445" t="n">
        <x:v>5</x:v>
      </x:c>
      <x:c r="L3445" t="str">
        <x:v>STORE-001</x:v>
      </x:c>
      <x:c r="M3445" s="22" t="n">
        <x:v>46129</x:v>
      </x:c>
      <x:c r="N3445" t="str">
        <x:v>SKU-017</x:v>
      </x:c>
      <x:c r="O3445" t="n">
        <x:v>1</x:v>
      </x:c>
      <x:c r="P3445" s="26" t="n">
        <x:f>F3445/O3445</x:f>
        <x:v>31.16</x:v>
      </x:c>
    </x:row>
    <x:row r="3446">
      <x:c r="A3446" t="n">
        <x:v>3445</x:v>
      </x:c>
      <x:c r="B3446" t="n">
        <x:v>20</x:v>
      </x:c>
      <x:c r="C3446" t="str">
        <x:v>Female</x:v>
      </x:c>
      <x:c r="D3446" t="str">
        <x:v>Groceries</x:v>
      </x:c>
      <x:c r="E3446" t="str">
        <x:v>Rice Pack</x:v>
      </x:c>
      <x:c r="F3446" s="24" t="n">
        <x:v>40.09</x:v>
      </x:c>
      <x:c r="G3446" t="str">
        <x:v>Spring</x:v>
      </x:c>
      <x:c r="H3446" t="str">
        <x:v>Cash on Delivery</x:v>
      </x:c>
      <x:c r="I3446" t="n">
        <x:v>4.9</x:v>
      </x:c>
      <x:c r="J3446" t="n">
        <x:v>20</x:v>
      </x:c>
      <x:c r="K3446" t="n">
        <x:v>5</x:v>
      </x:c>
      <x:c r="L3446" t="str">
        <x:v>STORE-001</x:v>
      </x:c>
      <x:c r="M3446" s="22" t="n">
        <x:v>46271</x:v>
      </x:c>
      <x:c r="N3446" t="str">
        <x:v>SKU-018</x:v>
      </x:c>
      <x:c r="O3446" t="n">
        <x:v>4</x:v>
      </x:c>
      <x:c r="P3446" s="26" t="n">
        <x:f>F3446/O3446</x:f>
        <x:v>10.0225</x:v>
      </x:c>
    </x:row>
    <x:row r="3447">
      <x:c r="A3447" t="n">
        <x:v>3446</x:v>
      </x:c>
      <x:c r="B3447" t="n">
        <x:v>33</x:v>
      </x:c>
      <x:c r="C3447" t="str">
        <x:v>Female</x:v>
      </x:c>
      <x:c r="D3447" t="str">
        <x:v>Footwear</x:v>
      </x:c>
      <x:c r="E3447" t="str">
        <x:v>Sneakers</x:v>
      </x:c>
      <x:c r="F3447" s="24" t="n">
        <x:v>94.64</x:v>
      </x:c>
      <x:c r="G3447" t="str">
        <x:v>Summer</x:v>
      </x:c>
      <x:c r="H3447" t="str">
        <x:v>Cash on Delivery</x:v>
      </x:c>
      <x:c r="I3447" t="n">
        <x:v>4.9</x:v>
      </x:c>
      <x:c r="J3447" t="n">
        <x:v>20</x:v>
      </x:c>
      <x:c r="K3447" t="n">
        <x:v>5</x:v>
      </x:c>
      <x:c r="L3447" t="str">
        <x:v>STORE-001</x:v>
      </x:c>
      <x:c r="M3447" s="22" t="n">
        <x:v>46068</x:v>
      </x:c>
      <x:c r="N3447" t="str">
        <x:v>SKU-025</x:v>
      </x:c>
      <x:c r="O3447" t="n">
        <x:v>1</x:v>
      </x:c>
      <x:c r="P3447" s="26" t="n">
        <x:f>F3447/O3447</x:f>
        <x:v>94.64</x:v>
      </x:c>
    </x:row>
    <x:row r="3448">
      <x:c r="A3448" t="n">
        <x:v>3447</x:v>
      </x:c>
      <x:c r="B3448" t="n">
        <x:v>46</x:v>
      </x:c>
      <x:c r="C3448" t="str">
        <x:v>Female</x:v>
      </x:c>
      <x:c r="D3448" t="str">
        <x:v>Groceries</x:v>
      </x:c>
      <x:c r="E3448" t="str">
        <x:v>Rice Pack</x:v>
      </x:c>
      <x:c r="F3448" s="24" t="n">
        <x:v>47.53</x:v>
      </x:c>
      <x:c r="G3448" t="str">
        <x:v>Winter</x:v>
      </x:c>
      <x:c r="H3448" t="str">
        <x:v>Cash on Delivery</x:v>
      </x:c>
      <x:c r="I3448" t="n">
        <x:v>3.4</x:v>
      </x:c>
      <x:c r="J3448" t="n">
        <x:v>11</x:v>
      </x:c>
      <x:c r="K3448" t="n">
        <x:v>3</x:v>
      </x:c>
      <x:c r="L3448" t="str">
        <x:v>STORE-001</x:v>
      </x:c>
      <x:c r="M3448" s="22" t="n">
        <x:v>46230</x:v>
      </x:c>
      <x:c r="N3448" t="str">
        <x:v>SKU-018</x:v>
      </x:c>
      <x:c r="O3448" t="n">
        <x:v>3</x:v>
      </x:c>
      <x:c r="P3448" s="26" t="n">
        <x:f>F3448/O3448</x:f>
        <x:v>15.843333333333334</x:v>
      </x:c>
    </x:row>
    <x:row r="3449">
      <x:c r="A3449" t="n">
        <x:v>3448</x:v>
      </x:c>
      <x:c r="B3449" t="n">
        <x:v>29</x:v>
      </x:c>
      <x:c r="C3449" t="str">
        <x:v>Male</x:v>
      </x:c>
      <x:c r="D3449" t="str">
        <x:v>Footwear</x:v>
      </x:c>
      <x:c r="E3449" t="str">
        <x:v>Sneakers</x:v>
      </x:c>
      <x:c r="F3449" s="24" t="n">
        <x:v>51.72</x:v>
      </x:c>
      <x:c r="G3449" t="str">
        <x:v>Winter</x:v>
      </x:c>
      <x:c r="H3449" t="str">
        <x:v>Card</x:v>
      </x:c>
      <x:c r="I3449" t="n">
        <x:v>3.9</x:v>
      </x:c>
      <x:c r="J3449" t="n">
        <x:v>17</x:v>
      </x:c>
      <x:c r="K3449" t="n">
        <x:v>6</x:v>
      </x:c>
      <x:c r="L3449" t="str">
        <x:v>STORE-001</x:v>
      </x:c>
      <x:c r="M3449" s="22" t="n">
        <x:v>46198</x:v>
      </x:c>
      <x:c r="N3449" t="str">
        <x:v>SKU-025</x:v>
      </x:c>
      <x:c r="O3449" t="n">
        <x:v>1</x:v>
      </x:c>
      <x:c r="P3449" s="26" t="n">
        <x:f>F3449/O3449</x:f>
        <x:v>51.72</x:v>
      </x:c>
    </x:row>
    <x:row r="3450">
      <x:c r="A3450" t="n">
        <x:v>3449</x:v>
      </x:c>
      <x:c r="B3450" t="n">
        <x:v>59</x:v>
      </x:c>
      <x:c r="C3450" t="str">
        <x:v>Female</x:v>
      </x:c>
      <x:c r="D3450" t="str">
        <x:v>Groceries</x:v>
      </x:c>
      <x:c r="E3450" t="str">
        <x:v>Beverages</x:v>
      </x:c>
      <x:c r="F3450" s="24" t="n">
        <x:v>63.38</x:v>
      </x:c>
      <x:c r="G3450" t="str">
        <x:v>Autumn</x:v>
      </x:c>
      <x:c r="H3450" t="str">
        <x:v>Card</x:v>
      </x:c>
      <x:c r="I3450" t="n">
        <x:v>3.1</x:v>
      </x:c>
      <x:c r="J3450" t="n">
        <x:v>26</x:v>
      </x:c>
      <x:c r="K3450" t="n">
        <x:v>8</x:v>
      </x:c>
      <x:c r="L3450" t="str">
        <x:v>STORE-001</x:v>
      </x:c>
      <x:c r="M3450" s="22" t="n">
        <x:v>46143</x:v>
      </x:c>
      <x:c r="N3450" t="str">
        <x:v>SKU-001</x:v>
      </x:c>
      <x:c r="O3450" t="n">
        <x:v>4</x:v>
      </x:c>
      <x:c r="P3450" s="26" t="n">
        <x:f>F3450/O3450</x:f>
        <x:v>15.845</x:v>
      </x:c>
    </x:row>
    <x:row r="3451">
      <x:c r="A3451" t="n">
        <x:v>3450</x:v>
      </x:c>
      <x:c r="B3451" t="n">
        <x:v>37</x:v>
      </x:c>
      <x:c r="C3451" t="str">
        <x:v>Female</x:v>
      </x:c>
      <x:c r="D3451" t="str">
        <x:v>Beauty</x:v>
      </x:c>
      <x:c r="E3451" t="str">
        <x:v>Perfume</x:v>
      </x:c>
      <x:c r="F3451" s="24" t="n">
        <x:v>37.64</x:v>
      </x:c>
      <x:c r="G3451" t="str">
        <x:v>Spring</x:v>
      </x:c>
      <x:c r="H3451" t="str">
        <x:v>Card</x:v>
      </x:c>
      <x:c r="I3451" t="n">
        <x:v>2.9</x:v>
      </x:c>
      <x:c r="J3451" t="n">
        <x:v>15</x:v>
      </x:c>
      <x:c r="K3451" t="n">
        <x:v>5</x:v>
      </x:c>
      <x:c r="L3451" t="str">
        <x:v>STORE-001</x:v>
      </x:c>
      <x:c r="M3451" s="22" t="n">
        <x:v>45988</x:v>
      </x:c>
      <x:c r="N3451" t="str">
        <x:v>SKU-017</x:v>
      </x:c>
      <x:c r="O3451" t="n">
        <x:v>2</x:v>
      </x:c>
      <x:c r="P3451" s="26" t="n">
        <x:f>F3451/O3451</x:f>
        <x:v>18.82</x:v>
      </x:c>
    </x:row>
    <x:row r="3452">
      <x:c r="A3452" t="n">
        <x:v>3451</x:v>
      </x:c>
      <x:c r="B3452" t="n">
        <x:v>43</x:v>
      </x:c>
      <x:c r="C3452" t="str">
        <x:v>Female</x:v>
      </x:c>
      <x:c r="D3452" t="str">
        <x:v>Footwear</x:v>
      </x:c>
      <x:c r="E3452" t="str">
        <x:v>Sandals</x:v>
      </x:c>
      <x:c r="F3452" s="24" t="n">
        <x:v>183.45</x:v>
      </x:c>
      <x:c r="G3452" t="str">
        <x:v>Autumn</x:v>
      </x:c>
      <x:c r="H3452" t="str">
        <x:v>Card</x:v>
      </x:c>
      <x:c r="I3452" t="n">
        <x:v>4.4</x:v>
      </x:c>
      <x:c r="J3452" t="n">
        <x:v>28</x:v>
      </x:c>
      <x:c r="K3452" t="n">
        <x:v>9</x:v>
      </x:c>
      <x:c r="L3452" t="str">
        <x:v>STORE-001</x:v>
      </x:c>
      <x:c r="M3452" s="22" t="n">
        <x:v>46127</x:v>
      </x:c>
      <x:c r="N3452" t="str">
        <x:v>SKU-019</x:v>
      </x:c>
      <x:c r="O3452" t="n">
        <x:v>2</x:v>
      </x:c>
      <x:c r="P3452" s="26" t="n">
        <x:f>F3452/O3452</x:f>
        <x:v>91.725</x:v>
      </x:c>
    </x:row>
    <x:row r="3453">
      <x:c r="A3453" t="n">
        <x:v>3452</x:v>
      </x:c>
      <x:c r="B3453" t="n">
        <x:v>38</x:v>
      </x:c>
      <x:c r="C3453" t="str">
        <x:v>Female</x:v>
      </x:c>
      <x:c r="D3453" t="str">
        <x:v>Sports</x:v>
      </x:c>
      <x:c r="E3453" t="str">
        <x:v>Dumbbells</x:v>
      </x:c>
      <x:c r="F3453" s="24" t="n">
        <x:v>103.8</x:v>
      </x:c>
      <x:c r="G3453" t="str">
        <x:v>Summer</x:v>
      </x:c>
      <x:c r="H3453" t="str">
        <x:v>Card</x:v>
      </x:c>
      <x:c r="I3453" t="n">
        <x:v>3.4</x:v>
      </x:c>
      <x:c r="J3453" t="n">
        <x:v>21</x:v>
      </x:c>
      <x:c r="K3453" t="n">
        <x:v>8</x:v>
      </x:c>
      <x:c r="L3453" t="str">
        <x:v>STORE-001</x:v>
      </x:c>
      <x:c r="M3453" s="22" t="n">
        <x:v>46067</x:v>
      </x:c>
      <x:c r="N3453" t="str">
        <x:v>SKU-005</x:v>
      </x:c>
      <x:c r="O3453" t="n">
        <x:v>1</x:v>
      </x:c>
      <x:c r="P3453" s="26" t="n">
        <x:f>F3453/O3453</x:f>
        <x:v>103.8</x:v>
      </x:c>
    </x:row>
    <x:row r="3454">
      <x:c r="A3454" t="n">
        <x:v>3453</x:v>
      </x:c>
      <x:c r="B3454" t="n">
        <x:v>25</x:v>
      </x:c>
      <x:c r="C3454" t="str">
        <x:v>Male</x:v>
      </x:c>
      <x:c r="D3454" t="str">
        <x:v>Mens Clothing</x:v>
      </x:c>
      <x:c r="E3454" t="str">
        <x:v>T-Shirt</x:v>
      </x:c>
      <x:c r="F3454" s="24" t="n">
        <x:v>86.2</x:v>
      </x:c>
      <x:c r="G3454" t="str">
        <x:v>Spring</x:v>
      </x:c>
      <x:c r="H3454" t="str">
        <x:v>Card</x:v>
      </x:c>
      <x:c r="I3454" t="n">
        <x:v>3.9</x:v>
      </x:c>
      <x:c r="J3454" t="n">
        <x:v>25</x:v>
      </x:c>
      <x:c r="K3454" t="n">
        <x:v>10</x:v>
      </x:c>
      <x:c r="L3454" t="str">
        <x:v>STORE-001</x:v>
      </x:c>
      <x:c r="M3454" s="22" t="n">
        <x:v>45964</x:v>
      </x:c>
      <x:c r="N3454" t="str">
        <x:v>SKU-027</x:v>
      </x:c>
      <x:c r="O3454" t="n">
        <x:v>2</x:v>
      </x:c>
      <x:c r="P3454" s="26" t="n">
        <x:f>F3454/O3454</x:f>
        <x:v>43.1</x:v>
      </x:c>
    </x:row>
    <x:row r="3455">
      <x:c r="A3455" t="n">
        <x:v>3454</x:v>
      </x:c>
      <x:c r="B3455" t="n">
        <x:v>25</x:v>
      </x:c>
      <x:c r="C3455" t="str">
        <x:v>Male</x:v>
      </x:c>
      <x:c r="D3455" t="str">
        <x:v>Sports</x:v>
      </x:c>
      <x:c r="E3455" t="str">
        <x:v>Yoga Mat</x:v>
      </x:c>
      <x:c r="F3455" s="24" t="n">
        <x:v>134.38</x:v>
      </x:c>
      <x:c r="G3455" t="str">
        <x:v>Winter</x:v>
      </x:c>
      <x:c r="H3455" t="str">
        <x:v>Card</x:v>
      </x:c>
      <x:c r="I3455" t="n">
        <x:v>3.8</x:v>
      </x:c>
      <x:c r="J3455" t="n">
        <x:v>9</x:v>
      </x:c>
      <x:c r="K3455" t="n">
        <x:v>2</x:v>
      </x:c>
      <x:c r="L3455" t="str">
        <x:v>STORE-001</x:v>
      </x:c>
      <x:c r="M3455" s="22" t="n">
        <x:v>46261</x:v>
      </x:c>
      <x:c r="N3455" t="str">
        <x:v>SKU-030</x:v>
      </x:c>
      <x:c r="O3455" t="n">
        <x:v>2</x:v>
      </x:c>
      <x:c r="P3455" s="26" t="n">
        <x:f>F3455/O3455</x:f>
        <x:v>67.19</x:v>
      </x:c>
    </x:row>
    <x:row r="3456">
      <x:c r="A3456" t="n">
        <x:v>3455</x:v>
      </x:c>
      <x:c r="B3456" t="n">
        <x:v>50</x:v>
      </x:c>
      <x:c r="C3456" t="str">
        <x:v>Male</x:v>
      </x:c>
      <x:c r="D3456" t="str">
        <x:v>Electronics</x:v>
      </x:c>
      <x:c r="E3456" t="str">
        <x:v>Headphones</x:v>
      </x:c>
      <x:c r="F3456" s="24" t="n">
        <x:v>2994.62</x:v>
      </x:c>
      <x:c r="G3456" t="str">
        <x:v>Autumn</x:v>
      </x:c>
      <x:c r="H3456" t="str">
        <x:v>Card</x:v>
      </x:c>
      <x:c r="I3456" t="n">
        <x:v>3.6</x:v>
      </x:c>
      <x:c r="J3456" t="n">
        <x:v>25</x:v>
      </x:c>
      <x:c r="K3456" t="n">
        <x:v>10</x:v>
      </x:c>
      <x:c r="L3456" t="str">
        <x:v>STORE-001</x:v>
      </x:c>
      <x:c r="M3456" s="22" t="n">
        <x:v>46155</x:v>
      </x:c>
      <x:c r="N3456" t="str">
        <x:v>SKU-009</x:v>
      </x:c>
      <x:c r="O3456" t="n">
        <x:v>1</x:v>
      </x:c>
      <x:c r="P3456" s="26" t="n">
        <x:f>F3456/O3456</x:f>
        <x:v>2994.62</x:v>
      </x:c>
    </x:row>
    <x:row r="3457">
      <x:c r="A3457" t="n">
        <x:v>3456</x:v>
      </x:c>
      <x:c r="B3457" t="n">
        <x:v>23</x:v>
      </x:c>
      <x:c r="C3457" t="str">
        <x:v>Female</x:v>
      </x:c>
      <x:c r="D3457" t="str">
        <x:v>Womens Clothing</x:v>
      </x:c>
      <x:c r="E3457" t="str">
        <x:v>Jeans</x:v>
      </x:c>
      <x:c r="F3457" s="24" t="n">
        <x:v>130.04</x:v>
      </x:c>
      <x:c r="G3457" t="str">
        <x:v>Spring</x:v>
      </x:c>
      <x:c r="H3457" t="str">
        <x:v>Card</x:v>
      </x:c>
      <x:c r="I3457" t="n">
        <x:v>3.8</x:v>
      </x:c>
      <x:c r="J3457" t="n">
        <x:v>20</x:v>
      </x:c>
      <x:c r="K3457" t="n">
        <x:v>5</x:v>
      </x:c>
      <x:c r="L3457" t="str">
        <x:v>STORE-001</x:v>
      </x:c>
      <x:c r="M3457" s="22" t="n">
        <x:v>46284</x:v>
      </x:c>
      <x:c r="N3457" t="str">
        <x:v>SKU-011</x:v>
      </x:c>
      <x:c r="O3457" t="n">
        <x:v>1</x:v>
      </x:c>
      <x:c r="P3457" s="26" t="n">
        <x:f>F3457/O3457</x:f>
        <x:v>130.04</x:v>
      </x:c>
    </x:row>
    <x:row r="3458">
      <x:c r="A3458" t="n">
        <x:v>3457</x:v>
      </x:c>
      <x:c r="B3458" t="n">
        <x:v>44</x:v>
      </x:c>
      <x:c r="C3458" t="str">
        <x:v>Female</x:v>
      </x:c>
      <x:c r="D3458" t="str">
        <x:v>Home</x:v>
      </x:c>
      <x:c r="E3458" t="str">
        <x:v>Lamp</x:v>
      </x:c>
      <x:c r="F3458" s="24" t="n">
        <x:v>218.77</x:v>
      </x:c>
      <x:c r="G3458" t="str">
        <x:v>Winter</x:v>
      </x:c>
      <x:c r="H3458" t="str">
        <x:v>Card</x:v>
      </x:c>
      <x:c r="I3458" t="n">
        <x:v>5</x:v>
      </x:c>
      <x:c r="J3458" t="n">
        <x:v>28</x:v>
      </x:c>
      <x:c r="K3458" t="n">
        <x:v>9</x:v>
      </x:c>
      <x:c r="L3458" t="str">
        <x:v>STORE-001</x:v>
      </x:c>
      <x:c r="M3458" s="22" t="n">
        <x:v>46231</x:v>
      </x:c>
      <x:c r="N3458" t="str">
        <x:v>SKU-013</x:v>
      </x:c>
      <x:c r="O3458" t="n">
        <x:v>1</x:v>
      </x:c>
      <x:c r="P3458" s="26" t="n">
        <x:f>F3458/O3458</x:f>
        <x:v>218.77</x:v>
      </x:c>
    </x:row>
    <x:row r="3459">
      <x:c r="A3459" t="n">
        <x:v>3458</x:v>
      </x:c>
      <x:c r="B3459" t="n">
        <x:v>33</x:v>
      </x:c>
      <x:c r="C3459" t="str">
        <x:v>Female</x:v>
      </x:c>
      <x:c r="D3459" t="str">
        <x:v>Womens Clothing</x:v>
      </x:c>
      <x:c r="E3459" t="str">
        <x:v>Skirt</x:v>
      </x:c>
      <x:c r="F3459" s="24" t="n">
        <x:v>110.92</x:v>
      </x:c>
      <x:c r="G3459" t="str">
        <x:v>Winter</x:v>
      </x:c>
      <x:c r="H3459" t="str">
        <x:v>Card</x:v>
      </x:c>
      <x:c r="I3459" t="n">
        <x:v>3.7</x:v>
      </x:c>
      <x:c r="J3459" t="n">
        <x:v>10</x:v>
      </x:c>
      <x:c r="K3459" t="n">
        <x:v>5</x:v>
      </x:c>
      <x:c r="L3459" t="str">
        <x:v>STORE-001</x:v>
      </x:c>
      <x:c r="M3459" s="22" t="n">
        <x:v>46175</x:v>
      </x:c>
      <x:c r="N3459" t="str">
        <x:v>SKU-022</x:v>
      </x:c>
      <x:c r="O3459" t="n">
        <x:v>1</x:v>
      </x:c>
      <x:c r="P3459" s="26" t="n">
        <x:f>F3459/O3459</x:f>
        <x:v>110.92</x:v>
      </x:c>
    </x:row>
    <x:row r="3460">
      <x:c r="A3460" t="n">
        <x:v>3459</x:v>
      </x:c>
      <x:c r="B3460" t="n">
        <x:v>20</x:v>
      </x:c>
      <x:c r="C3460" t="str">
        <x:v>Male</x:v>
      </x:c>
      <x:c r="D3460" t="str">
        <x:v>Groceries</x:v>
      </x:c>
      <x:c r="E3460" t="str">
        <x:v>Beverages</x:v>
      </x:c>
      <x:c r="F3460" s="24" t="n">
        <x:v>31.55</x:v>
      </x:c>
      <x:c r="G3460" t="str">
        <x:v>Autumn</x:v>
      </x:c>
      <x:c r="H3460" t="str">
        <x:v>Cash on Delivery</x:v>
      </x:c>
      <x:c r="I3460" t="n">
        <x:v>4.3</x:v>
      </x:c>
      <x:c r="J3460" t="n">
        <x:v>12</x:v>
      </x:c>
      <x:c r="K3460" t="n">
        <x:v>1</x:v>
      </x:c>
      <x:c r="L3460" t="str">
        <x:v>STORE-001</x:v>
      </x:c>
      <x:c r="M3460" s="22" t="n">
        <x:v>46140</x:v>
      </x:c>
      <x:c r="N3460" t="str">
        <x:v>SKU-001</x:v>
      </x:c>
      <x:c r="O3460" t="n">
        <x:v>1</x:v>
      </x:c>
      <x:c r="P3460" s="26" t="n">
        <x:f>F3460/O3460</x:f>
        <x:v>31.55</x:v>
      </x:c>
    </x:row>
    <x:row r="3461">
      <x:c r="A3461" t="n">
        <x:v>3460</x:v>
      </x:c>
      <x:c r="B3461" t="n">
        <x:v>56</x:v>
      </x:c>
      <x:c r="C3461" t="str">
        <x:v>Female</x:v>
      </x:c>
      <x:c r="D3461" t="str">
        <x:v>Womens Clothing</x:v>
      </x:c>
      <x:c r="E3461" t="str">
        <x:v>Skirt</x:v>
      </x:c>
      <x:c r="F3461" s="24" t="n">
        <x:v>66.72</x:v>
      </x:c>
      <x:c r="G3461" t="str">
        <x:v>Winter</x:v>
      </x:c>
      <x:c r="H3461" t="str">
        <x:v>Card</x:v>
      </x:c>
      <x:c r="I3461" t="n">
        <x:v>4.8</x:v>
      </x:c>
      <x:c r="J3461" t="n">
        <x:v>20</x:v>
      </x:c>
      <x:c r="K3461" t="n">
        <x:v>5</x:v>
      </x:c>
      <x:c r="L3461" t="str">
        <x:v>STORE-001</x:v>
      </x:c>
      <x:c r="M3461" s="22" t="n">
        <x:v>46181</x:v>
      </x:c>
      <x:c r="N3461" t="str">
        <x:v>SKU-022</x:v>
      </x:c>
      <x:c r="O3461" t="n">
        <x:v>1</x:v>
      </x:c>
      <x:c r="P3461" s="26" t="n">
        <x:f>F3461/O3461</x:f>
        <x:v>66.72</x:v>
      </x:c>
    </x:row>
    <x:row r="3462">
      <x:c r="A3462" t="n">
        <x:v>3461</x:v>
      </x:c>
      <x:c r="B3462" t="n">
        <x:v>70</x:v>
      </x:c>
      <x:c r="C3462" t="str">
        <x:v>Male</x:v>
      </x:c>
      <x:c r="D3462" t="str">
        <x:v>Footwear</x:v>
      </x:c>
      <x:c r="E3462" t="str">
        <x:v>Sandals</x:v>
      </x:c>
      <x:c r="F3462" s="24" t="n">
        <x:v>216.39</x:v>
      </x:c>
      <x:c r="G3462" t="str">
        <x:v>Summer</x:v>
      </x:c>
      <x:c r="H3462" t="str">
        <x:v>Card</x:v>
      </x:c>
      <x:c r="I3462" t="n">
        <x:v>4.5</x:v>
      </x:c>
      <x:c r="J3462" t="n">
        <x:v>14</x:v>
      </x:c>
      <x:c r="K3462" t="n">
        <x:v>2</x:v>
      </x:c>
      <x:c r="L3462" t="str">
        <x:v>STORE-001</x:v>
      </x:c>
      <x:c r="M3462" s="22" t="n">
        <x:v>45992</x:v>
      </x:c>
      <x:c r="N3462" t="str">
        <x:v>SKU-019</x:v>
      </x:c>
      <x:c r="O3462" t="n">
        <x:v>1</x:v>
      </x:c>
      <x:c r="P3462" s="26" t="n">
        <x:f>F3462/O3462</x:f>
        <x:v>216.39</x:v>
      </x:c>
    </x:row>
    <x:row r="3463">
      <x:c r="A3463" t="n">
        <x:v>3462</x:v>
      </x:c>
      <x:c r="B3463" t="n">
        <x:v>55</x:v>
      </x:c>
      <x:c r="C3463" t="str">
        <x:v>Female</x:v>
      </x:c>
      <x:c r="D3463" t="str">
        <x:v>Footwear</x:v>
      </x:c>
      <x:c r="E3463" t="str">
        <x:v>Formal Shoes</x:v>
      </x:c>
      <x:c r="F3463" s="24" t="n">
        <x:v>166.18</x:v>
      </x:c>
      <x:c r="G3463" t="str">
        <x:v>Summer</x:v>
      </x:c>
      <x:c r="H3463" t="str">
        <x:v>Card</x:v>
      </x:c>
      <x:c r="I3463" t="n">
        <x:v>4.1</x:v>
      </x:c>
      <x:c r="J3463" t="n">
        <x:v>6</x:v>
      </x:c>
      <x:c r="K3463" t="n">
        <x:v>3</x:v>
      </x:c>
      <x:c r="L3463" t="str">
        <x:v>STORE-001</x:v>
      </x:c>
      <x:c r="M3463" s="22" t="n">
        <x:v>46003</x:v>
      </x:c>
      <x:c r="N3463" t="str">
        <x:v>SKU-007</x:v>
      </x:c>
      <x:c r="O3463" t="n">
        <x:v>1</x:v>
      </x:c>
      <x:c r="P3463" s="26" t="n">
        <x:f>F3463/O3463</x:f>
        <x:v>166.18</x:v>
      </x:c>
    </x:row>
    <x:row r="3464">
      <x:c r="A3464" t="n">
        <x:v>3463</x:v>
      </x:c>
      <x:c r="B3464" t="n">
        <x:v>24</x:v>
      </x:c>
      <x:c r="C3464" t="str">
        <x:v>Male</x:v>
      </x:c>
      <x:c r="D3464" t="str">
        <x:v>Footwear</x:v>
      </x:c>
      <x:c r="E3464" t="str">
        <x:v>Sandals</x:v>
      </x:c>
      <x:c r="F3464" s="24" t="n">
        <x:v>74.74</x:v>
      </x:c>
      <x:c r="G3464" t="str">
        <x:v>Summer</x:v>
      </x:c>
      <x:c r="H3464" t="str">
        <x:v>Cash on Delivery</x:v>
      </x:c>
      <x:c r="I3464" t="n">
        <x:v>4.1</x:v>
      </x:c>
      <x:c r="J3464" t="n">
        <x:v>14</x:v>
      </x:c>
      <x:c r="K3464" t="n">
        <x:v>7</x:v>
      </x:c>
      <x:c r="L3464" t="str">
        <x:v>STORE-001</x:v>
      </x:c>
      <x:c r="M3464" s="22" t="n">
        <x:v>46002</x:v>
      </x:c>
      <x:c r="N3464" t="str">
        <x:v>SKU-019</x:v>
      </x:c>
      <x:c r="O3464" t="n">
        <x:v>1</x:v>
      </x:c>
      <x:c r="P3464" s="26" t="n">
        <x:f>F3464/O3464</x:f>
        <x:v>74.74</x:v>
      </x:c>
    </x:row>
    <x:row r="3465">
      <x:c r="A3465" t="n">
        <x:v>3464</x:v>
      </x:c>
      <x:c r="B3465" t="n">
        <x:v>34</x:v>
      </x:c>
      <x:c r="C3465" t="str">
        <x:v>Female</x:v>
      </x:c>
      <x:c r="D3465" t="str">
        <x:v>Womens Clothing</x:v>
      </x:c>
      <x:c r="E3465" t="str">
        <x:v>Skirt</x:v>
      </x:c>
      <x:c r="F3465" s="24" t="n">
        <x:v>77.55</x:v>
      </x:c>
      <x:c r="G3465" t="str">
        <x:v>Spring</x:v>
      </x:c>
      <x:c r="H3465" t="str">
        <x:v>Cash on Delivery</x:v>
      </x:c>
      <x:c r="I3465" t="n">
        <x:v>4.2</x:v>
      </x:c>
      <x:c r="J3465" t="n">
        <x:v>10</x:v>
      </x:c>
      <x:c r="K3465" t="n">
        <x:v>5</x:v>
      </x:c>
      <x:c r="L3465" t="str">
        <x:v>STORE-001</x:v>
      </x:c>
      <x:c r="M3465" s="22" t="n">
        <x:v>45938</x:v>
      </x:c>
      <x:c r="N3465" t="str">
        <x:v>SKU-022</x:v>
      </x:c>
      <x:c r="O3465" t="n">
        <x:v>1</x:v>
      </x:c>
      <x:c r="P3465" s="26" t="n">
        <x:f>F3465/O3465</x:f>
        <x:v>77.55</x:v>
      </x:c>
    </x:row>
    <x:row r="3466">
      <x:c r="A3466" t="n">
        <x:v>3465</x:v>
      </x:c>
      <x:c r="B3466" t="n">
        <x:v>45</x:v>
      </x:c>
      <x:c r="C3466" t="str">
        <x:v>Female</x:v>
      </x:c>
      <x:c r="D3466" t="str">
        <x:v>Footwear</x:v>
      </x:c>
      <x:c r="E3466" t="str">
        <x:v>Sneakers</x:v>
      </x:c>
      <x:c r="F3466" s="24" t="n">
        <x:v>66.04</x:v>
      </x:c>
      <x:c r="G3466" t="str">
        <x:v>Spring</x:v>
      </x:c>
      <x:c r="H3466" t="str">
        <x:v>Card</x:v>
      </x:c>
      <x:c r="I3466" t="n">
        <x:v>3.7</x:v>
      </x:c>
      <x:c r="J3466" t="n">
        <x:v>11</x:v>
      </x:c>
      <x:c r="K3466" t="n">
        <x:v>3</x:v>
      </x:c>
      <x:c r="L3466" t="str">
        <x:v>STORE-001</x:v>
      </x:c>
      <x:c r="M3466" s="22" t="n">
        <x:v>45945</x:v>
      </x:c>
      <x:c r="N3466" t="str">
        <x:v>SKU-025</x:v>
      </x:c>
      <x:c r="O3466" t="n">
        <x:v>1</x:v>
      </x:c>
      <x:c r="P3466" s="26" t="n">
        <x:f>F3466/O3466</x:f>
        <x:v>66.04</x:v>
      </x:c>
    </x:row>
    <x:row r="3467">
      <x:c r="A3467" t="n">
        <x:v>3466</x:v>
      </x:c>
      <x:c r="B3467" t="n">
        <x:v>49</x:v>
      </x:c>
      <x:c r="C3467" t="str">
        <x:v>Male</x:v>
      </x:c>
      <x:c r="D3467" t="str">
        <x:v>Footwear</x:v>
      </x:c>
      <x:c r="E3467" t="str">
        <x:v>Formal Shoes</x:v>
      </x:c>
      <x:c r="F3467" s="24" t="n">
        <x:v>101</x:v>
      </x:c>
      <x:c r="G3467" t="str">
        <x:v>Autumn</x:v>
      </x:c>
      <x:c r="H3467" t="str">
        <x:v>Card</x:v>
      </x:c>
      <x:c r="I3467" t="n">
        <x:v>4.6</x:v>
      </x:c>
      <x:c r="J3467" t="n">
        <x:v>18</x:v>
      </x:c>
      <x:c r="K3467" t="n">
        <x:v>9</x:v>
      </x:c>
      <x:c r="L3467" t="str">
        <x:v>STORE-001</x:v>
      </x:c>
      <x:c r="M3467" s="22" t="n">
        <x:v>46103</x:v>
      </x:c>
      <x:c r="N3467" t="str">
        <x:v>SKU-007</x:v>
      </x:c>
      <x:c r="O3467" t="n">
        <x:v>1</x:v>
      </x:c>
      <x:c r="P3467" s="26" t="n">
        <x:f>F3467/O3467</x:f>
        <x:v>101</x:v>
      </x:c>
    </x:row>
    <x:row r="3468">
      <x:c r="A3468" t="n">
        <x:v>3467</x:v>
      </x:c>
      <x:c r="B3468" t="n">
        <x:v>68</x:v>
      </x:c>
      <x:c r="C3468" t="str">
        <x:v>Female</x:v>
      </x:c>
      <x:c r="D3468" t="str">
        <x:v>Beauty</x:v>
      </x:c>
      <x:c r="E3468" t="str">
        <x:v>Perfume</x:v>
      </x:c>
      <x:c r="F3468" s="24" t="n">
        <x:v>110.3</x:v>
      </x:c>
      <x:c r="G3468" t="str">
        <x:v>Spring</x:v>
      </x:c>
      <x:c r="H3468" t="str">
        <x:v>Card</x:v>
      </x:c>
      <x:c r="I3468" t="n">
        <x:v>2.8</x:v>
      </x:c>
      <x:c r="J3468" t="n">
        <x:v>14</x:v>
      </x:c>
      <x:c r="K3468" t="n">
        <x:v>7</x:v>
      </x:c>
      <x:c r="L3468" t="str">
        <x:v>STORE-001</x:v>
      </x:c>
      <x:c r="M3468" s="22" t="n">
        <x:v>46282</x:v>
      </x:c>
      <x:c r="N3468" t="str">
        <x:v>SKU-017</x:v>
      </x:c>
      <x:c r="O3468" t="n">
        <x:v>1</x:v>
      </x:c>
      <x:c r="P3468" s="26" t="n">
        <x:f>F3468/O3468</x:f>
        <x:v>110.3</x:v>
      </x:c>
    </x:row>
    <x:row r="3469">
      <x:c r="A3469" t="n">
        <x:v>3468</x:v>
      </x:c>
      <x:c r="B3469" t="n">
        <x:v>26</x:v>
      </x:c>
      <x:c r="C3469" t="str">
        <x:v>Female</x:v>
      </x:c>
      <x:c r="D3469" t="str">
        <x:v>Beauty</x:v>
      </x:c>
      <x:c r="E3469" t="str">
        <x:v>Skincare Kit</x:v>
      </x:c>
      <x:c r="F3469" s="24" t="n">
        <x:v>101.16</x:v>
      </x:c>
      <x:c r="G3469" t="str">
        <x:v>Summer</x:v>
      </x:c>
      <x:c r="H3469" t="str">
        <x:v>Card</x:v>
      </x:c>
      <x:c r="I3469" t="n">
        <x:v>4.1</x:v>
      </x:c>
      <x:c r="J3469" t="n">
        <x:v>16</x:v>
      </x:c>
      <x:c r="K3469" t="n">
        <x:v>3</x:v>
      </x:c>
      <x:c r="L3469" t="str">
        <x:v>STORE-001</x:v>
      </x:c>
      <x:c r="M3469" s="22" t="n">
        <x:v>46015</x:v>
      </x:c>
      <x:c r="N3469" t="str">
        <x:v>SKU-021</x:v>
      </x:c>
      <x:c r="O3469" t="n">
        <x:v>3</x:v>
      </x:c>
      <x:c r="P3469" s="26" t="n">
        <x:f>F3469/O3469</x:f>
        <x:v>33.72</x:v>
      </x:c>
    </x:row>
    <x:row r="3470">
      <x:c r="A3470" t="n">
        <x:v>3469</x:v>
      </x:c>
      <x:c r="B3470" t="n">
        <x:v>52</x:v>
      </x:c>
      <x:c r="C3470" t="str">
        <x:v>Female</x:v>
      </x:c>
      <x:c r="D3470" t="str">
        <x:v>Footwear</x:v>
      </x:c>
      <x:c r="E3470" t="str">
        <x:v>Sneakers</x:v>
      </x:c>
      <x:c r="F3470" s="24" t="n">
        <x:v>236.38</x:v>
      </x:c>
      <x:c r="G3470" t="str">
        <x:v>Spring</x:v>
      </x:c>
      <x:c r="H3470" t="str">
        <x:v>Card</x:v>
      </x:c>
      <x:c r="I3470" t="n">
        <x:v>3.6</x:v>
      </x:c>
      <x:c r="J3470" t="n">
        <x:v>11</x:v>
      </x:c>
      <x:c r="K3470" t="n">
        <x:v>3</x:v>
      </x:c>
      <x:c r="L3470" t="str">
        <x:v>STORE-001</x:v>
      </x:c>
      <x:c r="M3470" s="22" t="n">
        <x:v>45945</x:v>
      </x:c>
      <x:c r="N3470" t="str">
        <x:v>SKU-025</x:v>
      </x:c>
      <x:c r="O3470" t="n">
        <x:v>1</x:v>
      </x:c>
      <x:c r="P3470" s="26" t="n">
        <x:f>F3470/O3470</x:f>
        <x:v>236.38</x:v>
      </x:c>
    </x:row>
    <x:row r="3471">
      <x:c r="A3471" t="n">
        <x:v>3470</x:v>
      </x:c>
      <x:c r="B3471" t="n">
        <x:v>66</x:v>
      </x:c>
      <x:c r="C3471" t="str">
        <x:v>Male</x:v>
      </x:c>
      <x:c r="D3471" t="str">
        <x:v>Mens Clothing</x:v>
      </x:c>
      <x:c r="E3471" t="str">
        <x:v>T-Shirt</x:v>
      </x:c>
      <x:c r="F3471" s="24" t="n">
        <x:v>164.23</x:v>
      </x:c>
      <x:c r="G3471" t="str">
        <x:v>Summer</x:v>
      </x:c>
      <x:c r="H3471" t="str">
        <x:v>Card</x:v>
      </x:c>
      <x:c r="I3471" t="n">
        <x:v>4.1</x:v>
      </x:c>
      <x:c r="J3471" t="n">
        <x:v>17</x:v>
      </x:c>
      <x:c r="K3471" t="n">
        <x:v>6</x:v>
      </x:c>
      <x:c r="L3471" t="str">
        <x:v>STORE-001</x:v>
      </x:c>
      <x:c r="M3471" s="22" t="n">
        <x:v>46022</x:v>
      </x:c>
      <x:c r="N3471" t="str">
        <x:v>SKU-027</x:v>
      </x:c>
      <x:c r="O3471" t="n">
        <x:v>1</x:v>
      </x:c>
      <x:c r="P3471" s="26" t="n">
        <x:f>F3471/O3471</x:f>
        <x:v>164.23</x:v>
      </x:c>
    </x:row>
    <x:row r="3472">
      <x:c r="A3472" t="n">
        <x:v>3471</x:v>
      </x:c>
      <x:c r="B3472" t="n">
        <x:v>53</x:v>
      </x:c>
      <x:c r="C3472" t="str">
        <x:v>Male</x:v>
      </x:c>
      <x:c r="D3472" t="str">
        <x:v>Sports</x:v>
      </x:c>
      <x:c r="E3472" t="str">
        <x:v>Dumbbells</x:v>
      </x:c>
      <x:c r="F3472" s="24" t="n">
        <x:v>205.45</x:v>
      </x:c>
      <x:c r="G3472" t="str">
        <x:v>Summer</x:v>
      </x:c>
      <x:c r="H3472" t="str">
        <x:v>Card</x:v>
      </x:c>
      <x:c r="I3472" t="n">
        <x:v>4.2</x:v>
      </x:c>
      <x:c r="J3472" t="n">
        <x:v>12</x:v>
      </x:c>
      <x:c r="K3472" t="n">
        <x:v>6</x:v>
      </x:c>
      <x:c r="L3472" t="str">
        <x:v>STORE-001</x:v>
      </x:c>
      <x:c r="M3472" s="22" t="n">
        <x:v>46007</x:v>
      </x:c>
      <x:c r="N3472" t="str">
        <x:v>SKU-005</x:v>
      </x:c>
      <x:c r="O3472" t="n">
        <x:v>1</x:v>
      </x:c>
      <x:c r="P3472" s="26" t="n">
        <x:f>F3472/O3472</x:f>
        <x:v>205.45</x:v>
      </x:c>
    </x:row>
    <x:row r="3473">
      <x:c r="A3473" t="n">
        <x:v>3472</x:v>
      </x:c>
      <x:c r="B3473" t="n">
        <x:v>44</x:v>
      </x:c>
      <x:c r="C3473" t="str">
        <x:v>Female</x:v>
      </x:c>
      <x:c r="D3473" t="str">
        <x:v>Womens Clothing</x:v>
      </x:c>
      <x:c r="E3473" t="str">
        <x:v>Dress</x:v>
      </x:c>
      <x:c r="F3473" s="24" t="n">
        <x:v>61.41</x:v>
      </x:c>
      <x:c r="G3473" t="str">
        <x:v>Winter</x:v>
      </x:c>
      <x:c r="H3473" t="str">
        <x:v>Card</x:v>
      </x:c>
      <x:c r="I3473" t="n">
        <x:v>4.6</x:v>
      </x:c>
      <x:c r="J3473" t="n">
        <x:v>22</x:v>
      </x:c>
      <x:c r="K3473" t="n">
        <x:v>6</x:v>
      </x:c>
      <x:c r="L3473" t="str">
        <x:v>STORE-001</x:v>
      </x:c>
      <x:c r="M3473" s="22" t="n">
        <x:v>46175</x:v>
      </x:c>
      <x:c r="N3473" t="str">
        <x:v>SKU-004</x:v>
      </x:c>
      <x:c r="O3473" t="n">
        <x:v>1</x:v>
      </x:c>
      <x:c r="P3473" s="26" t="n">
        <x:f>F3473/O3473</x:f>
        <x:v>61.41</x:v>
      </x:c>
    </x:row>
    <x:row r="3474">
      <x:c r="A3474" t="n">
        <x:v>3473</x:v>
      </x:c>
      <x:c r="B3474" t="n">
        <x:v>44</x:v>
      </x:c>
      <x:c r="C3474" t="str">
        <x:v>Female</x:v>
      </x:c>
      <x:c r="D3474" t="str">
        <x:v>Accessories</x:v>
      </x:c>
      <x:c r="E3474" t="str">
        <x:v>Sunglasses</x:v>
      </x:c>
      <x:c r="F3474" s="24" t="n">
        <x:v>79.9</x:v>
      </x:c>
      <x:c r="G3474" t="str">
        <x:v>Winter</x:v>
      </x:c>
      <x:c r="H3474" t="str">
        <x:v>Card</x:v>
      </x:c>
      <x:c r="I3474" t="n">
        <x:v>3.2</x:v>
      </x:c>
      <x:c r="J3474" t="n">
        <x:v>16</x:v>
      </x:c>
      <x:c r="K3474" t="n">
        <x:v>3</x:v>
      </x:c>
      <x:c r="L3474" t="str">
        <x:v>STORE-001</x:v>
      </x:c>
      <x:c r="M3474" s="22" t="n">
        <x:v>46191</x:v>
      </x:c>
      <x:c r="N3474" t="str">
        <x:v>SKU-026</x:v>
      </x:c>
      <x:c r="O3474" t="n">
        <x:v>1</x:v>
      </x:c>
      <x:c r="P3474" s="26" t="n">
        <x:f>F3474/O3474</x:f>
        <x:v>79.9</x:v>
      </x:c>
    </x:row>
    <x:row r="3475">
      <x:c r="A3475" t="n">
        <x:v>3474</x:v>
      </x:c>
      <x:c r="B3475" t="n">
        <x:v>37</x:v>
      </x:c>
      <x:c r="C3475" t="str">
        <x:v>Male</x:v>
      </x:c>
      <x:c r="D3475" t="str">
        <x:v>Sports</x:v>
      </x:c>
      <x:c r="E3475" t="str">
        <x:v>Dumbbells</x:v>
      </x:c>
      <x:c r="F3475" s="24" t="n">
        <x:v>228.81</x:v>
      </x:c>
      <x:c r="G3475" t="str">
        <x:v>Winter</x:v>
      </x:c>
      <x:c r="H3475" t="str">
        <x:v>Card</x:v>
      </x:c>
      <x:c r="I3475" t="n">
        <x:v>3.9</x:v>
      </x:c>
      <x:c r="J3475" t="n">
        <x:v>22</x:v>
      </x:c>
      <x:c r="K3475" t="n">
        <x:v>6</x:v>
      </x:c>
      <x:c r="L3475" t="str">
        <x:v>STORE-001</x:v>
      </x:c>
      <x:c r="M3475" s="22" t="n">
        <x:v>46235</x:v>
      </x:c>
      <x:c r="N3475" t="str">
        <x:v>SKU-005</x:v>
      </x:c>
      <x:c r="O3475" t="n">
        <x:v>1</x:v>
      </x:c>
      <x:c r="P3475" s="26" t="n">
        <x:f>F3475/O3475</x:f>
        <x:v>228.81</x:v>
      </x:c>
    </x:row>
    <x:row r="3476">
      <x:c r="A3476" t="n">
        <x:v>3475</x:v>
      </x:c>
      <x:c r="B3476" t="n">
        <x:v>30</x:v>
      </x:c>
      <x:c r="C3476" t="str">
        <x:v>Female</x:v>
      </x:c>
      <x:c r="D3476" t="str">
        <x:v>Beauty</x:v>
      </x:c>
      <x:c r="E3476" t="str">
        <x:v>Makeup Set</x:v>
      </x:c>
      <x:c r="F3476" s="24" t="n">
        <x:v>146.26</x:v>
      </x:c>
      <x:c r="G3476" t="str">
        <x:v>Winter</x:v>
      </x:c>
      <x:c r="H3476" t="str">
        <x:v>Card</x:v>
      </x:c>
      <x:c r="I3476" t="n">
        <x:v>3.4</x:v>
      </x:c>
      <x:c r="J3476" t="n">
        <x:v>8</x:v>
      </x:c>
      <x:c r="K3476" t="n">
        <x:v>4</x:v>
      </x:c>
      <x:c r="L3476" t="str">
        <x:v>STORE-001</x:v>
      </x:c>
      <x:c r="M3476" s="22" t="n">
        <x:v>46210</x:v>
      </x:c>
      <x:c r="N3476" t="str">
        <x:v>SKU-015</x:v>
      </x:c>
      <x:c r="O3476" t="n">
        <x:v>2</x:v>
      </x:c>
      <x:c r="P3476" s="26" t="n">
        <x:f>F3476/O3476</x:f>
        <x:v>73.13</x:v>
      </x:c>
    </x:row>
    <x:row r="3477">
      <x:c r="A3477" t="n">
        <x:v>3476</x:v>
      </x:c>
      <x:c r="B3477" t="n">
        <x:v>58</x:v>
      </x:c>
      <x:c r="C3477" t="str">
        <x:v>Female</x:v>
      </x:c>
      <x:c r="D3477" t="str">
        <x:v>Beauty</x:v>
      </x:c>
      <x:c r="E3477" t="str">
        <x:v>Perfume</x:v>
      </x:c>
      <x:c r="F3477" s="24" t="n">
        <x:v>58.29</x:v>
      </x:c>
      <x:c r="G3477" t="str">
        <x:v>Summer</x:v>
      </x:c>
      <x:c r="H3477" t="str">
        <x:v>Cash on Delivery</x:v>
      </x:c>
      <x:c r="I3477" t="n">
        <x:v>1.9</x:v>
      </x:c>
      <x:c r="J3477" t="n">
        <x:v>8</x:v>
      </x:c>
      <x:c r="K3477" t="n">
        <x:v>4</x:v>
      </x:c>
      <x:c r="L3477" t="str">
        <x:v>STORE-001</x:v>
      </x:c>
      <x:c r="M3477" s="22" t="n">
        <x:v>46058</x:v>
      </x:c>
      <x:c r="N3477" t="str">
        <x:v>SKU-017</x:v>
      </x:c>
      <x:c r="O3477" t="n">
        <x:v>1</x:v>
      </x:c>
      <x:c r="P3477" s="26" t="n">
        <x:f>F3477/O3477</x:f>
        <x:v>58.29</x:v>
      </x:c>
    </x:row>
    <x:row r="3478">
      <x:c r="A3478" t="n">
        <x:v>3477</x:v>
      </x:c>
      <x:c r="B3478" t="n">
        <x:v>42</x:v>
      </x:c>
      <x:c r="C3478" t="str">
        <x:v>Male</x:v>
      </x:c>
      <x:c r="D3478" t="str">
        <x:v>Home</x:v>
      </x:c>
      <x:c r="E3478" t="str">
        <x:v>Curtains</x:v>
      </x:c>
      <x:c r="F3478" s="24" t="n">
        <x:v>61.68</x:v>
      </x:c>
      <x:c r="G3478" t="str">
        <x:v>Winter</x:v>
      </x:c>
      <x:c r="H3478" t="str">
        <x:v>Card</x:v>
      </x:c>
      <x:c r="I3478" t="n">
        <x:v>5</x:v>
      </x:c>
      <x:c r="J3478" t="n">
        <x:v>17</x:v>
      </x:c>
      <x:c r="K3478" t="n">
        <x:v>6</x:v>
      </x:c>
      <x:c r="L3478" t="str">
        <x:v>STORE-001</x:v>
      </x:c>
      <x:c r="M3478" s="22" t="n">
        <x:v>46219</x:v>
      </x:c>
      <x:c r="N3478" t="str">
        <x:v>SKU-003</x:v>
      </x:c>
      <x:c r="O3478" t="n">
        <x:v>2</x:v>
      </x:c>
      <x:c r="P3478" s="26" t="n">
        <x:f>F3478/O3478</x:f>
        <x:v>30.84</x:v>
      </x:c>
    </x:row>
    <x:row r="3479">
      <x:c r="A3479" t="n">
        <x:v>3478</x:v>
      </x:c>
      <x:c r="B3479" t="n">
        <x:v>46</x:v>
      </x:c>
      <x:c r="C3479" t="str">
        <x:v>Male</x:v>
      </x:c>
      <x:c r="D3479" t="str">
        <x:v>Mens Clothing</x:v>
      </x:c>
      <x:c r="E3479" t="str">
        <x:v>Shirt</x:v>
      </x:c>
      <x:c r="F3479" s="24" t="n">
        <x:v>76.22</x:v>
      </x:c>
      <x:c r="G3479" t="str">
        <x:v>Winter</x:v>
      </x:c>
      <x:c r="H3479" t="str">
        <x:v>Cash on Delivery</x:v>
      </x:c>
      <x:c r="I3479" t="n">
        <x:v>4.7</x:v>
      </x:c>
      <x:c r="J3479" t="n">
        <x:v>16</x:v>
      </x:c>
      <x:c r="K3479" t="n">
        <x:v>8</x:v>
      </x:c>
      <x:c r="L3479" t="str">
        <x:v>STORE-001</x:v>
      </x:c>
      <x:c r="M3479" s="22" t="n">
        <x:v>46176</x:v>
      </x:c>
      <x:c r="N3479" t="str">
        <x:v>SKU-020</x:v>
      </x:c>
      <x:c r="O3479" t="n">
        <x:v>2</x:v>
      </x:c>
      <x:c r="P3479" s="26" t="n">
        <x:f>F3479/O3479</x:f>
        <x:v>38.11</x:v>
      </x:c>
    </x:row>
    <x:row r="3480">
      <x:c r="A3480" t="n">
        <x:v>3479</x:v>
      </x:c>
      <x:c r="B3480" t="n">
        <x:v>23</x:v>
      </x:c>
      <x:c r="C3480" t="str">
        <x:v>Female</x:v>
      </x:c>
      <x:c r="D3480" t="str">
        <x:v>Womens Clothing</x:v>
      </x:c>
      <x:c r="E3480" t="str">
        <x:v>Skirt</x:v>
      </x:c>
      <x:c r="F3480" s="24" t="n">
        <x:v>93.3</x:v>
      </x:c>
      <x:c r="G3480" t="str">
        <x:v>Autumn</x:v>
      </x:c>
      <x:c r="H3480" t="str">
        <x:v>Card</x:v>
      </x:c>
      <x:c r="I3480" t="n">
        <x:v>3.6</x:v>
      </x:c>
      <x:c r="J3480" t="n">
        <x:v>14</x:v>
      </x:c>
      <x:c r="K3480" t="n">
        <x:v>2</x:v>
      </x:c>
      <x:c r="L3480" t="str">
        <x:v>STORE-001</x:v>
      </x:c>
      <x:c r="M3480" s="22" t="n">
        <x:v>46135</x:v>
      </x:c>
      <x:c r="N3480" t="str">
        <x:v>SKU-022</x:v>
      </x:c>
      <x:c r="O3480" t="n">
        <x:v>2</x:v>
      </x:c>
      <x:c r="P3480" s="26" t="n">
        <x:f>F3480/O3480</x:f>
        <x:v>46.65</x:v>
      </x:c>
    </x:row>
    <x:row r="3481">
      <x:c r="A3481" t="n">
        <x:v>3480</x:v>
      </x:c>
      <x:c r="B3481" t="n">
        <x:v>41</x:v>
      </x:c>
      <x:c r="C3481" t="str">
        <x:v>Male</x:v>
      </x:c>
      <x:c r="D3481" t="str">
        <x:v>Sports</x:v>
      </x:c>
      <x:c r="E3481" t="str">
        <x:v>Dumbbells</x:v>
      </x:c>
      <x:c r="F3481" s="24" t="n">
        <x:v>50.96</x:v>
      </x:c>
      <x:c r="G3481" t="str">
        <x:v>Summer</x:v>
      </x:c>
      <x:c r="H3481" t="str">
        <x:v>Card</x:v>
      </x:c>
      <x:c r="I3481" t="n">
        <x:v>3.7</x:v>
      </x:c>
      <x:c r="J3481" t="n">
        <x:v>22</x:v>
      </x:c>
      <x:c r="K3481" t="n">
        <x:v>6</x:v>
      </x:c>
      <x:c r="L3481" t="str">
        <x:v>STORE-001</x:v>
      </x:c>
      <x:c r="M3481" s="22" t="n">
        <x:v>46016</x:v>
      </x:c>
      <x:c r="N3481" t="str">
        <x:v>SKU-005</x:v>
      </x:c>
      <x:c r="O3481" t="n">
        <x:v>1</x:v>
      </x:c>
      <x:c r="P3481" s="26" t="n">
        <x:f>F3481/O3481</x:f>
        <x:v>50.96</x:v>
      </x:c>
    </x:row>
    <x:row r="3482">
      <x:c r="A3482" t="n">
        <x:v>3481</x:v>
      </x:c>
      <x:c r="B3482" t="n">
        <x:v>29</x:v>
      </x:c>
      <x:c r="C3482" t="str">
        <x:v>Male</x:v>
      </x:c>
      <x:c r="D3482" t="str">
        <x:v>Mens Clothing</x:v>
      </x:c>
      <x:c r="E3482" t="str">
        <x:v>T-Shirt</x:v>
      </x:c>
      <x:c r="F3482" s="24" t="n">
        <x:v>88.61</x:v>
      </x:c>
      <x:c r="G3482" t="str">
        <x:v>Winter</x:v>
      </x:c>
      <x:c r="H3482" t="str">
        <x:v>Cash on Delivery</x:v>
      </x:c>
      <x:c r="I3482" t="n">
        <x:v>2.7</x:v>
      </x:c>
      <x:c r="J3482" t="n">
        <x:v>15</x:v>
      </x:c>
      <x:c r="K3482" t="n">
        <x:v>5</x:v>
      </x:c>
      <x:c r="L3482" t="str">
        <x:v>STORE-001</x:v>
      </x:c>
      <x:c r="M3482" s="22" t="n">
        <x:v>46192</x:v>
      </x:c>
      <x:c r="N3482" t="str">
        <x:v>SKU-027</x:v>
      </x:c>
      <x:c r="O3482" t="n">
        <x:v>1</x:v>
      </x:c>
      <x:c r="P3482" s="26" t="n">
        <x:f>F3482/O3482</x:f>
        <x:v>88.61</x:v>
      </x:c>
    </x:row>
    <x:row r="3483">
      <x:c r="A3483" t="n">
        <x:v>3482</x:v>
      </x:c>
      <x:c r="B3483" t="n">
        <x:v>38</x:v>
      </x:c>
      <x:c r="C3483" t="str">
        <x:v>Male</x:v>
      </x:c>
      <x:c r="D3483" t="str">
        <x:v>Footwear</x:v>
      </x:c>
      <x:c r="E3483" t="str">
        <x:v>Sneakers</x:v>
      </x:c>
      <x:c r="F3483" s="24" t="n">
        <x:v>128.69</x:v>
      </x:c>
      <x:c r="G3483" t="str">
        <x:v>Spring</x:v>
      </x:c>
      <x:c r="H3483" t="str">
        <x:v>Card</x:v>
      </x:c>
      <x:c r="I3483" t="n">
        <x:v>4.1</x:v>
      </x:c>
      <x:c r="J3483" t="n">
        <x:v>12</x:v>
      </x:c>
      <x:c r="K3483" t="n">
        <x:v>6</x:v>
      </x:c>
      <x:c r="L3483" t="str">
        <x:v>STORE-001</x:v>
      </x:c>
      <x:c r="M3483" s="22" t="n">
        <x:v>46293</x:v>
      </x:c>
      <x:c r="N3483" t="str">
        <x:v>SKU-025</x:v>
      </x:c>
      <x:c r="O3483" t="n">
        <x:v>2</x:v>
      </x:c>
      <x:c r="P3483" s="26" t="n">
        <x:f>F3483/O3483</x:f>
        <x:v>64.345</x:v>
      </x:c>
    </x:row>
    <x:row r="3484">
      <x:c r="A3484" t="n">
        <x:v>3483</x:v>
      </x:c>
      <x:c r="B3484" t="n">
        <x:v>61</x:v>
      </x:c>
      <x:c r="C3484" t="str">
        <x:v>Female</x:v>
      </x:c>
      <x:c r="D3484" t="str">
        <x:v>Footwear</x:v>
      </x:c>
      <x:c r="E3484" t="str">
        <x:v>Formal Shoes</x:v>
      </x:c>
      <x:c r="F3484" s="24" t="n">
        <x:v>58.31</x:v>
      </x:c>
      <x:c r="G3484" t="str">
        <x:v>Summer</x:v>
      </x:c>
      <x:c r="H3484" t="str">
        <x:v>Cash on Delivery</x:v>
      </x:c>
      <x:c r="I3484" t="n">
        <x:v>4.3</x:v>
      </x:c>
      <x:c r="J3484" t="n">
        <x:v>22</x:v>
      </x:c>
      <x:c r="K3484" t="n">
        <x:v>6</x:v>
      </x:c>
      <x:c r="L3484" t="str">
        <x:v>STORE-001</x:v>
      </x:c>
      <x:c r="M3484" s="22" t="n">
        <x:v>46070</x:v>
      </x:c>
      <x:c r="N3484" t="str">
        <x:v>SKU-007</x:v>
      </x:c>
      <x:c r="O3484" t="n">
        <x:v>1</x:v>
      </x:c>
      <x:c r="P3484" s="26" t="n">
        <x:f>F3484/O3484</x:f>
        <x:v>58.31</x:v>
      </x:c>
    </x:row>
    <x:row r="3485">
      <x:c r="A3485" t="n">
        <x:v>3484</x:v>
      </x:c>
      <x:c r="B3485" t="n">
        <x:v>33</x:v>
      </x:c>
      <x:c r="C3485" t="str">
        <x:v>Female</x:v>
      </x:c>
      <x:c r="D3485" t="str">
        <x:v>Home</x:v>
      </x:c>
      <x:c r="E3485" t="str">
        <x:v>Kitchen Set</x:v>
      </x:c>
      <x:c r="F3485" s="24" t="n">
        <x:v>144.95</x:v>
      </x:c>
      <x:c r="G3485" t="str">
        <x:v>Winter</x:v>
      </x:c>
      <x:c r="H3485" t="str">
        <x:v>Card</x:v>
      </x:c>
      <x:c r="I3485" t="n">
        <x:v>3.6</x:v>
      </x:c>
      <x:c r="J3485" t="n">
        <x:v>12</x:v>
      </x:c>
      <x:c r="K3485" t="n">
        <x:v>1</x:v>
      </x:c>
      <x:c r="L3485" t="str">
        <x:v>STORE-001</x:v>
      </x:c>
      <x:c r="M3485" s="22" t="n">
        <x:v>46196</x:v>
      </x:c>
      <x:c r="N3485" t="str">
        <x:v>SKU-012</x:v>
      </x:c>
      <x:c r="O3485" t="n">
        <x:v>1</x:v>
      </x:c>
      <x:c r="P3485" s="26" t="n">
        <x:f>F3485/O3485</x:f>
        <x:v>144.95</x:v>
      </x:c>
    </x:row>
    <x:row r="3486">
      <x:c r="A3486" t="n">
        <x:v>3485</x:v>
      </x:c>
      <x:c r="B3486" t="n">
        <x:v>61</x:v>
      </x:c>
      <x:c r="C3486" t="str">
        <x:v>Male</x:v>
      </x:c>
      <x:c r="D3486" t="str">
        <x:v>Mens Clothing</x:v>
      </x:c>
      <x:c r="E3486" t="str">
        <x:v>Shirt</x:v>
      </x:c>
      <x:c r="F3486" s="24" t="n">
        <x:v>160.36</x:v>
      </x:c>
      <x:c r="G3486" t="str">
        <x:v>Winter</x:v>
      </x:c>
      <x:c r="H3486" t="str">
        <x:v>Card</x:v>
      </x:c>
      <x:c r="I3486" t="n">
        <x:v>2.7</x:v>
      </x:c>
      <x:c r="J3486" t="n">
        <x:v>6</x:v>
      </x:c>
      <x:c r="K3486" t="n">
        <x:v>3</x:v>
      </x:c>
      <x:c r="L3486" t="str">
        <x:v>STORE-001</x:v>
      </x:c>
      <x:c r="M3486" s="22" t="n">
        <x:v>46224</x:v>
      </x:c>
      <x:c r="N3486" t="str">
        <x:v>SKU-020</x:v>
      </x:c>
      <x:c r="O3486" t="n">
        <x:v>1</x:v>
      </x:c>
      <x:c r="P3486" s="26" t="n">
        <x:f>F3486/O3486</x:f>
        <x:v>160.36</x:v>
      </x:c>
    </x:row>
    <x:row r="3487">
      <x:c r="A3487" t="n">
        <x:v>3486</x:v>
      </x:c>
      <x:c r="B3487" t="n">
        <x:v>42</x:v>
      </x:c>
      <x:c r="C3487" t="str">
        <x:v>Female</x:v>
      </x:c>
      <x:c r="D3487" t="str">
        <x:v>Footwear</x:v>
      </x:c>
      <x:c r="E3487" t="str">
        <x:v>Formal Shoes</x:v>
      </x:c>
      <x:c r="F3487" s="24" t="n">
        <x:v>225.91</x:v>
      </x:c>
      <x:c r="G3487" t="str">
        <x:v>Winter</x:v>
      </x:c>
      <x:c r="H3487" t="str">
        <x:v>Card</x:v>
      </x:c>
      <x:c r="I3487" t="n">
        <x:v>3.7</x:v>
      </x:c>
      <x:c r="J3487" t="n">
        <x:v>10</x:v>
      </x:c>
      <x:c r="K3487" t="n">
        <x:v>5</x:v>
      </x:c>
      <x:c r="L3487" t="str">
        <x:v>STORE-001</x:v>
      </x:c>
      <x:c r="M3487" s="22" t="n">
        <x:v>46263</x:v>
      </x:c>
      <x:c r="N3487" t="str">
        <x:v>SKU-007</x:v>
      </x:c>
      <x:c r="O3487" t="n">
        <x:v>2</x:v>
      </x:c>
      <x:c r="P3487" s="26" t="n">
        <x:f>F3487/O3487</x:f>
        <x:v>112.955</x:v>
      </x:c>
    </x:row>
    <x:row r="3488">
      <x:c r="A3488" t="n">
        <x:v>3487</x:v>
      </x:c>
      <x:c r="B3488" t="n">
        <x:v>28</x:v>
      </x:c>
      <x:c r="C3488" t="str">
        <x:v>Female</x:v>
      </x:c>
      <x:c r="D3488" t="str">
        <x:v>Womens Clothing</x:v>
      </x:c>
      <x:c r="E3488" t="str">
        <x:v>Jeans</x:v>
      </x:c>
      <x:c r="F3488" s="24" t="n">
        <x:v>57.14</x:v>
      </x:c>
      <x:c r="G3488" t="str">
        <x:v>Summer</x:v>
      </x:c>
      <x:c r="H3488" t="str">
        <x:v>Cash on Delivery</x:v>
      </x:c>
      <x:c r="I3488" t="n">
        <x:v>3.1</x:v>
      </x:c>
      <x:c r="J3488" t="n">
        <x:v>13</x:v>
      </x:c>
      <x:c r="K3488" t="n">
        <x:v>4</x:v>
      </x:c>
      <x:c r="L3488" t="str">
        <x:v>STORE-001</x:v>
      </x:c>
      <x:c r="M3488" s="22" t="n">
        <x:v>46030</x:v>
      </x:c>
      <x:c r="N3488" t="str">
        <x:v>SKU-011</x:v>
      </x:c>
      <x:c r="O3488" t="n">
        <x:v>1</x:v>
      </x:c>
      <x:c r="P3488" s="26" t="n">
        <x:f>F3488/O3488</x:f>
        <x:v>57.14</x:v>
      </x:c>
    </x:row>
    <x:row r="3489">
      <x:c r="A3489" t="n">
        <x:v>3488</x:v>
      </x:c>
      <x:c r="B3489" t="n">
        <x:v>53</x:v>
      </x:c>
      <x:c r="C3489" t="str">
        <x:v>Male</x:v>
      </x:c>
      <x:c r="D3489" t="str">
        <x:v>Mens Clothing</x:v>
      </x:c>
      <x:c r="E3489" t="str">
        <x:v>T-Shirt</x:v>
      </x:c>
      <x:c r="F3489" s="24" t="n">
        <x:v>133.94</x:v>
      </x:c>
      <x:c r="G3489" t="str">
        <x:v>Autumn</x:v>
      </x:c>
      <x:c r="H3489" t="str">
        <x:v>Card</x:v>
      </x:c>
      <x:c r="I3489" t="n">
        <x:v>4.3</x:v>
      </x:c>
      <x:c r="J3489" t="n">
        <x:v>18</x:v>
      </x:c>
      <x:c r="K3489" t="n">
        <x:v>4</x:v>
      </x:c>
      <x:c r="L3489" t="str">
        <x:v>STORE-001</x:v>
      </x:c>
      <x:c r="M3489" s="22" t="n">
        <x:v>46149</x:v>
      </x:c>
      <x:c r="N3489" t="str">
        <x:v>SKU-027</x:v>
      </x:c>
      <x:c r="O3489" t="n">
        <x:v>1</x:v>
      </x:c>
      <x:c r="P3489" s="26" t="n">
        <x:f>F3489/O3489</x:f>
        <x:v>133.94</x:v>
      </x:c>
    </x:row>
    <x:row r="3490">
      <x:c r="A3490" t="n">
        <x:v>3489</x:v>
      </x:c>
      <x:c r="B3490" t="n">
        <x:v>64</x:v>
      </x:c>
      <x:c r="C3490" t="str">
        <x:v>Female</x:v>
      </x:c>
      <x:c r="D3490" t="str">
        <x:v>Beauty</x:v>
      </x:c>
      <x:c r="E3490" t="str">
        <x:v>Perfume</x:v>
      </x:c>
      <x:c r="F3490" s="24" t="n">
        <x:v>57.54</x:v>
      </x:c>
      <x:c r="G3490" t="str">
        <x:v>Summer</x:v>
      </x:c>
      <x:c r="H3490" t="str">
        <x:v>Card</x:v>
      </x:c>
      <x:c r="I3490" t="n">
        <x:v>5</x:v>
      </x:c>
      <x:c r="J3490" t="n">
        <x:v>18</x:v>
      </x:c>
      <x:c r="K3490" t="n">
        <x:v>4</x:v>
      </x:c>
      <x:c r="L3490" t="str">
        <x:v>STORE-001</x:v>
      </x:c>
      <x:c r="M3490" s="22" t="n">
        <x:v>46072</x:v>
      </x:c>
      <x:c r="N3490" t="str">
        <x:v>SKU-017</x:v>
      </x:c>
      <x:c r="O3490" t="n">
        <x:v>1</x:v>
      </x:c>
      <x:c r="P3490" s="26" t="n">
        <x:f>F3490/O3490</x:f>
        <x:v>57.54</x:v>
      </x:c>
    </x:row>
    <x:row r="3491">
      <x:c r="A3491" t="n">
        <x:v>3490</x:v>
      </x:c>
      <x:c r="B3491" t="n">
        <x:v>64</x:v>
      </x:c>
      <x:c r="C3491" t="str">
        <x:v>Male</x:v>
      </x:c>
      <x:c r="D3491" t="str">
        <x:v>Mens Clothing</x:v>
      </x:c>
      <x:c r="E3491" t="str">
        <x:v>Shirt</x:v>
      </x:c>
      <x:c r="F3491" s="24" t="n">
        <x:v>76.87</x:v>
      </x:c>
      <x:c r="G3491" t="str">
        <x:v>Summer</x:v>
      </x:c>
      <x:c r="H3491" t="str">
        <x:v>Card</x:v>
      </x:c>
      <x:c r="I3491" t="n">
        <x:v>3.9</x:v>
      </x:c>
      <x:c r="J3491" t="n">
        <x:v>6</x:v>
      </x:c>
      <x:c r="K3491" t="n">
        <x:v>3</x:v>
      </x:c>
      <x:c r="L3491" t="str">
        <x:v>STORE-001</x:v>
      </x:c>
      <x:c r="M3491" s="22" t="n">
        <x:v>46045</x:v>
      </x:c>
      <x:c r="N3491" t="str">
        <x:v>SKU-020</x:v>
      </x:c>
      <x:c r="O3491" t="n">
        <x:v>1</x:v>
      </x:c>
      <x:c r="P3491" s="26" t="n">
        <x:f>F3491/O3491</x:f>
        <x:v>76.87</x:v>
      </x:c>
    </x:row>
    <x:row r="3492">
      <x:c r="A3492" t="n">
        <x:v>3491</x:v>
      </x:c>
      <x:c r="B3492" t="n">
        <x:v>68</x:v>
      </x:c>
      <x:c r="C3492" t="str">
        <x:v>Male</x:v>
      </x:c>
      <x:c r="D3492" t="str">
        <x:v>Sports</x:v>
      </x:c>
      <x:c r="E3492" t="str">
        <x:v>Football</x:v>
      </x:c>
      <x:c r="F3492" s="24" t="n">
        <x:v>32.73</x:v>
      </x:c>
      <x:c r="G3492" t="str">
        <x:v>Spring</x:v>
      </x:c>
      <x:c r="H3492" t="str">
        <x:v>Cash on Delivery</x:v>
      </x:c>
      <x:c r="I3492" t="n">
        <x:v>3.9</x:v>
      </x:c>
      <x:c r="J3492" t="n">
        <x:v>18</x:v>
      </x:c>
      <x:c r="K3492" t="n">
        <x:v>9</x:v>
      </x:c>
      <x:c r="L3492" t="str">
        <x:v>STORE-001</x:v>
      </x:c>
      <x:c r="M3492" s="22" t="n">
        <x:v>46272</x:v>
      </x:c>
      <x:c r="N3492" t="str">
        <x:v>SKU-006</x:v>
      </x:c>
      <x:c r="O3492" t="n">
        <x:v>1</x:v>
      </x:c>
      <x:c r="P3492" s="26" t="n">
        <x:f>F3492/O3492</x:f>
        <x:v>32.73</x:v>
      </x:c>
    </x:row>
    <x:row r="3493">
      <x:c r="A3493" t="n">
        <x:v>3492</x:v>
      </x:c>
      <x:c r="B3493" t="n">
        <x:v>34</x:v>
      </x:c>
      <x:c r="C3493" t="str">
        <x:v>Male</x:v>
      </x:c>
      <x:c r="D3493" t="str">
        <x:v>Mens Clothing</x:v>
      </x:c>
      <x:c r="E3493" t="str">
        <x:v>T-Shirt</x:v>
      </x:c>
      <x:c r="F3493" s="24" t="n">
        <x:v>56.59</x:v>
      </x:c>
      <x:c r="G3493" t="str">
        <x:v>Spring</x:v>
      </x:c>
      <x:c r="H3493" t="str">
        <x:v>Cash on Delivery</x:v>
      </x:c>
      <x:c r="I3493" t="n">
        <x:v>3.9</x:v>
      </x:c>
      <x:c r="J3493" t="n">
        <x:v>18</x:v>
      </x:c>
      <x:c r="K3493" t="n">
        <x:v>4</x:v>
      </x:c>
      <x:c r="L3493" t="str">
        <x:v>STORE-001</x:v>
      </x:c>
      <x:c r="M3493" s="22" t="n">
        <x:v>45957</x:v>
      </x:c>
      <x:c r="N3493" t="str">
        <x:v>SKU-027</x:v>
      </x:c>
      <x:c r="O3493" t="n">
        <x:v>1</x:v>
      </x:c>
      <x:c r="P3493" s="26" t="n">
        <x:f>F3493/O3493</x:f>
        <x:v>56.59</x:v>
      </x:c>
    </x:row>
    <x:row r="3494">
      <x:c r="A3494" t="n">
        <x:v>3493</x:v>
      </x:c>
      <x:c r="B3494" t="n">
        <x:v>57</x:v>
      </x:c>
      <x:c r="C3494" t="str">
        <x:v>Female</x:v>
      </x:c>
      <x:c r="D3494" t="str">
        <x:v>Womens Clothing</x:v>
      </x:c>
      <x:c r="E3494" t="str">
        <x:v>Jeans</x:v>
      </x:c>
      <x:c r="F3494" s="24" t="n">
        <x:v>113.82</x:v>
      </x:c>
      <x:c r="G3494" t="str">
        <x:v>Autumn</x:v>
      </x:c>
      <x:c r="H3494" t="str">
        <x:v>Card</x:v>
      </x:c>
      <x:c r="I3494" t="n">
        <x:v>3.1</x:v>
      </x:c>
      <x:c r="J3494" t="n">
        <x:v>8</x:v>
      </x:c>
      <x:c r="K3494" t="n">
        <x:v>4</x:v>
      </x:c>
      <x:c r="L3494" t="str">
        <x:v>STORE-001</x:v>
      </x:c>
      <x:c r="M3494" s="22" t="n">
        <x:v>46088</x:v>
      </x:c>
      <x:c r="N3494" t="str">
        <x:v>SKU-011</x:v>
      </x:c>
      <x:c r="O3494" t="n">
        <x:v>1</x:v>
      </x:c>
      <x:c r="P3494" s="26" t="n">
        <x:f>F3494/O3494</x:f>
        <x:v>113.82</x:v>
      </x:c>
    </x:row>
    <x:row r="3495">
      <x:c r="A3495" t="n">
        <x:v>3494</x:v>
      </x:c>
      <x:c r="B3495" t="n">
        <x:v>50</x:v>
      </x:c>
      <x:c r="C3495" t="str">
        <x:v>Female</x:v>
      </x:c>
      <x:c r="D3495" t="str">
        <x:v>Womens Clothing</x:v>
      </x:c>
      <x:c r="E3495" t="str">
        <x:v>Jeans</x:v>
      </x:c>
      <x:c r="F3495" s="24" t="n">
        <x:v>34.27</x:v>
      </x:c>
      <x:c r="G3495" t="str">
        <x:v>Summer</x:v>
      </x:c>
      <x:c r="H3495" t="str">
        <x:v>Card</x:v>
      </x:c>
      <x:c r="I3495" t="n">
        <x:v>4.2</x:v>
      </x:c>
      <x:c r="J3495" t="n">
        <x:v>21</x:v>
      </x:c>
      <x:c r="K3495" t="n">
        <x:v>8</x:v>
      </x:c>
      <x:c r="L3495" t="str">
        <x:v>STORE-001</x:v>
      </x:c>
      <x:c r="M3495" s="22" t="n">
        <x:v>46010</x:v>
      </x:c>
      <x:c r="N3495" t="str">
        <x:v>SKU-011</x:v>
      </x:c>
      <x:c r="O3495" t="n">
        <x:v>1</x:v>
      </x:c>
      <x:c r="P3495" s="26" t="n">
        <x:f>F3495/O3495</x:f>
        <x:v>34.27</x:v>
      </x:c>
    </x:row>
    <x:row r="3496">
      <x:c r="A3496" t="n">
        <x:v>3495</x:v>
      </x:c>
      <x:c r="B3496" t="n">
        <x:v>45</x:v>
      </x:c>
      <x:c r="C3496" t="str">
        <x:v>Male</x:v>
      </x:c>
      <x:c r="D3496" t="str">
        <x:v>Electronics</x:v>
      </x:c>
      <x:c r="E3496" t="str">
        <x:v>Laptop</x:v>
      </x:c>
      <x:c r="F3496" s="24" t="n">
        <x:v>1460.58</x:v>
      </x:c>
      <x:c r="G3496" t="str">
        <x:v>Winter</x:v>
      </x:c>
      <x:c r="H3496" t="str">
        <x:v>Card</x:v>
      </x:c>
      <x:c r="I3496" t="n">
        <x:v>4.3</x:v>
      </x:c>
      <x:c r="J3496" t="n">
        <x:v>8</x:v>
      </x:c>
      <x:c r="K3496" t="n">
        <x:v>4</x:v>
      </x:c>
      <x:c r="L3496" t="str">
        <x:v>STORE-001</x:v>
      </x:c>
      <x:c r="M3496" s="22" t="n">
        <x:v>46213</x:v>
      </x:c>
      <x:c r="N3496" t="str">
        <x:v>SKU-014</x:v>
      </x:c>
      <x:c r="O3496" t="n">
        <x:v>1</x:v>
      </x:c>
      <x:c r="P3496" s="26" t="n">
        <x:f>F3496/O3496</x:f>
        <x:v>1460.58</x:v>
      </x:c>
    </x:row>
    <x:row r="3497">
      <x:c r="A3497" t="n">
        <x:v>3496</x:v>
      </x:c>
      <x:c r="B3497" t="n">
        <x:v>23</x:v>
      </x:c>
      <x:c r="C3497" t="str">
        <x:v>Male</x:v>
      </x:c>
      <x:c r="D3497" t="str">
        <x:v>Sports</x:v>
      </x:c>
      <x:c r="E3497" t="str">
        <x:v>Yoga Mat</x:v>
      </x:c>
      <x:c r="F3497" s="24" t="n">
        <x:v>207.34</x:v>
      </x:c>
      <x:c r="G3497" t="str">
        <x:v>Summer</x:v>
      </x:c>
      <x:c r="H3497" t="str">
        <x:v>Card</x:v>
      </x:c>
      <x:c r="I3497" t="n">
        <x:v>4.4</x:v>
      </x:c>
      <x:c r="J3497" t="n">
        <x:v>16</x:v>
      </x:c>
      <x:c r="K3497" t="n">
        <x:v>8</x:v>
      </x:c>
      <x:c r="L3497" t="str">
        <x:v>STORE-001</x:v>
      </x:c>
      <x:c r="M3497" s="22" t="n">
        <x:v>46049</x:v>
      </x:c>
      <x:c r="N3497" t="str">
        <x:v>SKU-030</x:v>
      </x:c>
      <x:c r="O3497" t="n">
        <x:v>1</x:v>
      </x:c>
      <x:c r="P3497" s="26" t="n">
        <x:f>F3497/O3497</x:f>
        <x:v>207.34</x:v>
      </x:c>
    </x:row>
    <x:row r="3498">
      <x:c r="A3498" t="n">
        <x:v>3497</x:v>
      </x:c>
      <x:c r="B3498" t="n">
        <x:v>33</x:v>
      </x:c>
      <x:c r="C3498" t="str">
        <x:v>Female</x:v>
      </x:c>
      <x:c r="D3498" t="str">
        <x:v>Womens Clothing</x:v>
      </x:c>
      <x:c r="E3498" t="str">
        <x:v>Jeans</x:v>
      </x:c>
      <x:c r="F3498" s="24" t="n">
        <x:v>79.55</x:v>
      </x:c>
      <x:c r="G3498" t="str">
        <x:v>Spring</x:v>
      </x:c>
      <x:c r="H3498" t="str">
        <x:v>Card</x:v>
      </x:c>
      <x:c r="I3498" t="n">
        <x:v>4.4</x:v>
      </x:c>
      <x:c r="J3498" t="n">
        <x:v>20</x:v>
      </x:c>
      <x:c r="K3498" t="n">
        <x:v>5</x:v>
      </x:c>
      <x:c r="L3498" t="str">
        <x:v>STORE-001</x:v>
      </x:c>
      <x:c r="M3498" s="22" t="n">
        <x:v>46287</x:v>
      </x:c>
      <x:c r="N3498" t="str">
        <x:v>SKU-011</x:v>
      </x:c>
      <x:c r="O3498" t="n">
        <x:v>1</x:v>
      </x:c>
      <x:c r="P3498" s="26" t="n">
        <x:f>F3498/O3498</x:f>
        <x:v>79.55</x:v>
      </x:c>
    </x:row>
    <x:row r="3499">
      <x:c r="A3499" t="n">
        <x:v>3498</x:v>
      </x:c>
      <x:c r="B3499" t="n">
        <x:v>38</x:v>
      </x:c>
      <x:c r="C3499" t="str">
        <x:v>Male</x:v>
      </x:c>
      <x:c r="D3499" t="str">
        <x:v>Footwear</x:v>
      </x:c>
      <x:c r="E3499" t="str">
        <x:v>Sandals</x:v>
      </x:c>
      <x:c r="F3499" s="24" t="n">
        <x:v>171</x:v>
      </x:c>
      <x:c r="G3499" t="str">
        <x:v>Autumn</x:v>
      </x:c>
      <x:c r="H3499" t="str">
        <x:v>Card</x:v>
      </x:c>
      <x:c r="I3499" t="n">
        <x:v>2.7</x:v>
      </x:c>
      <x:c r="J3499" t="n">
        <x:v>12</x:v>
      </x:c>
      <x:c r="K3499" t="n">
        <x:v>6</x:v>
      </x:c>
      <x:c r="L3499" t="str">
        <x:v>STORE-001</x:v>
      </x:c>
      <x:c r="M3499" s="22" t="n">
        <x:v>46170</x:v>
      </x:c>
      <x:c r="N3499" t="str">
        <x:v>SKU-019</x:v>
      </x:c>
      <x:c r="O3499" t="n">
        <x:v>1</x:v>
      </x:c>
      <x:c r="P3499" s="26" t="n">
        <x:f>F3499/O3499</x:f>
        <x:v>171</x:v>
      </x:c>
    </x:row>
    <x:row r="3500">
      <x:c r="A3500" t="n">
        <x:v>3499</x:v>
      </x:c>
      <x:c r="B3500" t="n">
        <x:v>50</x:v>
      </x:c>
      <x:c r="C3500" t="str">
        <x:v>Female</x:v>
      </x:c>
      <x:c r="D3500" t="str">
        <x:v>Footwear</x:v>
      </x:c>
      <x:c r="E3500" t="str">
        <x:v>Sandals</x:v>
      </x:c>
      <x:c r="F3500" s="24" t="n">
        <x:v>109.47</x:v>
      </x:c>
      <x:c r="G3500" t="str">
        <x:v>Autumn</x:v>
      </x:c>
      <x:c r="H3500" t="str">
        <x:v>Card</x:v>
      </x:c>
      <x:c r="I3500" t="n">
        <x:v>3.9</x:v>
      </x:c>
      <x:c r="J3500" t="n">
        <x:v>15</x:v>
      </x:c>
      <x:c r="K3500" t="n">
        <x:v>5</x:v>
      </x:c>
      <x:c r="L3500" t="str">
        <x:v>STORE-001</x:v>
      </x:c>
      <x:c r="M3500" s="22" t="n">
        <x:v>46155</x:v>
      </x:c>
      <x:c r="N3500" t="str">
        <x:v>SKU-019</x:v>
      </x:c>
      <x:c r="O3500" t="n">
        <x:v>3</x:v>
      </x:c>
      <x:c r="P3500" s="26" t="n">
        <x:f>F3500/O3500</x:f>
        <x:v>36.49</x:v>
      </x:c>
    </x:row>
    <x:row r="3501">
      <x:c r="A3501" t="n">
        <x:v>3500</x:v>
      </x:c>
      <x:c r="B3501" t="n">
        <x:v>33</x:v>
      </x:c>
      <x:c r="C3501" t="str">
        <x:v>Male</x:v>
      </x:c>
      <x:c r="D3501" t="str">
        <x:v>Electronics</x:v>
      </x:c>
      <x:c r="E3501" t="str">
        <x:v>Mobile Phone</x:v>
      </x:c>
      <x:c r="F3501" s="24" t="n">
        <x:v>2664.84</x:v>
      </x:c>
      <x:c r="G3501" t="str">
        <x:v>Winter</x:v>
      </x:c>
      <x:c r="H3501" t="str">
        <x:v>Card</x:v>
      </x:c>
      <x:c r="I3501" t="n">
        <x:v>5</x:v>
      </x:c>
      <x:c r="J3501" t="n">
        <x:v>22</x:v>
      </x:c>
      <x:c r="K3501" t="n">
        <x:v>6</x:v>
      </x:c>
      <x:c r="L3501" t="str">
        <x:v>STORE-001</x:v>
      </x:c>
      <x:c r="M3501" s="22" t="n">
        <x:v>46181</x:v>
      </x:c>
      <x:c r="N3501" t="str">
        <x:v>SKU-016</x:v>
      </x:c>
      <x:c r="O3501" t="n">
        <x:v>1</x:v>
      </x:c>
      <x:c r="P3501" s="26" t="n">
        <x:f>F3501/O3501</x:f>
        <x:v>2664.84</x:v>
      </x:c>
    </x:row>
    <x:row r="3502">
      <x:c r="A3502" t="n">
        <x:v>3501</x:v>
      </x:c>
      <x:c r="B3502" t="n">
        <x:v>38</x:v>
      </x:c>
      <x:c r="C3502" t="str">
        <x:v>Female</x:v>
      </x:c>
      <x:c r="D3502" t="str">
        <x:v>Accessories</x:v>
      </x:c>
      <x:c r="E3502" t="str">
        <x:v>Sunglasses</x:v>
      </x:c>
      <x:c r="F3502" s="24" t="n">
        <x:v>126.81</x:v>
      </x:c>
      <x:c r="G3502" t="str">
        <x:v>Spring</x:v>
      </x:c>
      <x:c r="H3502" t="str">
        <x:v>Card</x:v>
      </x:c>
      <x:c r="I3502" t="n">
        <x:v>4.1</x:v>
      </x:c>
      <x:c r="J3502" t="n">
        <x:v>15</x:v>
      </x:c>
      <x:c r="K3502" t="n">
        <x:v>5</x:v>
      </x:c>
      <x:c r="L3502" t="str">
        <x:v>STORE-001</x:v>
      </x:c>
      <x:c r="M3502" s="22" t="n">
        <x:v>46284</x:v>
      </x:c>
      <x:c r="N3502" t="str">
        <x:v>SKU-026</x:v>
      </x:c>
      <x:c r="O3502" t="n">
        <x:v>2</x:v>
      </x:c>
      <x:c r="P3502" s="26" t="n">
        <x:f>F3502/O3502</x:f>
        <x:v>63.405</x:v>
      </x:c>
    </x:row>
    <x:row r="3503">
      <x:c r="A3503" t="n">
        <x:v>3502</x:v>
      </x:c>
      <x:c r="B3503" t="n">
        <x:v>40</x:v>
      </x:c>
      <x:c r="C3503" t="str">
        <x:v>Male</x:v>
      </x:c>
      <x:c r="D3503" t="str">
        <x:v>Sports</x:v>
      </x:c>
      <x:c r="E3503" t="str">
        <x:v>Yoga Mat</x:v>
      </x:c>
      <x:c r="F3503" s="24" t="n">
        <x:v>200.09</x:v>
      </x:c>
      <x:c r="G3503" t="str">
        <x:v>Summer</x:v>
      </x:c>
      <x:c r="H3503" t="str">
        <x:v>Card</x:v>
      </x:c>
      <x:c r="I3503" t="n">
        <x:v>3.7</x:v>
      </x:c>
      <x:c r="J3503" t="n">
        <x:v>20</x:v>
      </x:c>
      <x:c r="K3503" t="n">
        <x:v>5</x:v>
      </x:c>
      <x:c r="L3503" t="str">
        <x:v>STORE-001</x:v>
      </x:c>
      <x:c r="M3503" s="22" t="n">
        <x:v>46049</x:v>
      </x:c>
      <x:c r="N3503" t="str">
        <x:v>SKU-030</x:v>
      </x:c>
      <x:c r="O3503" t="n">
        <x:v>1</x:v>
      </x:c>
      <x:c r="P3503" s="26" t="n">
        <x:f>F3503/O3503</x:f>
        <x:v>200.09</x:v>
      </x:c>
    </x:row>
    <x:row r="3504">
      <x:c r="A3504" t="n">
        <x:v>3503</x:v>
      </x:c>
      <x:c r="B3504" t="n">
        <x:v>37</x:v>
      </x:c>
      <x:c r="C3504" t="str">
        <x:v>Female</x:v>
      </x:c>
      <x:c r="D3504" t="str">
        <x:v>Footwear</x:v>
      </x:c>
      <x:c r="E3504" t="str">
        <x:v>Sneakers</x:v>
      </x:c>
      <x:c r="F3504" s="24" t="n">
        <x:v>163.18</x:v>
      </x:c>
      <x:c r="G3504" t="str">
        <x:v>Autumn</x:v>
      </x:c>
      <x:c r="H3504" t="str">
        <x:v>Card</x:v>
      </x:c>
      <x:c r="I3504" t="n">
        <x:v>4.4</x:v>
      </x:c>
      <x:c r="J3504" t="n">
        <x:v>20</x:v>
      </x:c>
      <x:c r="K3504" t="n">
        <x:v>5</x:v>
      </x:c>
      <x:c r="L3504" t="str">
        <x:v>STORE-001</x:v>
      </x:c>
      <x:c r="M3504" s="22" t="n">
        <x:v>46106</x:v>
      </x:c>
      <x:c r="N3504" t="str">
        <x:v>SKU-025</x:v>
      </x:c>
      <x:c r="O3504" t="n">
        <x:v>1</x:v>
      </x:c>
      <x:c r="P3504" s="26" t="n">
        <x:f>F3504/O3504</x:f>
        <x:v>163.18</x:v>
      </x:c>
    </x:row>
    <x:row r="3505">
      <x:c r="A3505" t="n">
        <x:v>3504</x:v>
      </x:c>
      <x:c r="B3505" t="n">
        <x:v>50</x:v>
      </x:c>
      <x:c r="C3505" t="str">
        <x:v>Male</x:v>
      </x:c>
      <x:c r="D3505" t="str">
        <x:v>Sports</x:v>
      </x:c>
      <x:c r="E3505" t="str">
        <x:v>Football</x:v>
      </x:c>
      <x:c r="F3505" s="24" t="n">
        <x:v>112.61</x:v>
      </x:c>
      <x:c r="G3505" t="str">
        <x:v>Winter</x:v>
      </x:c>
      <x:c r="H3505" t="str">
        <x:v>Card</x:v>
      </x:c>
      <x:c r="I3505" t="n">
        <x:v>4.5</x:v>
      </x:c>
      <x:c r="J3505" t="n">
        <x:v>17</x:v>
      </x:c>
      <x:c r="K3505" t="n">
        <x:v>6</x:v>
      </x:c>
      <x:c r="L3505" t="str">
        <x:v>STORE-001</x:v>
      </x:c>
      <x:c r="M3505" s="22" t="n">
        <x:v>46256</x:v>
      </x:c>
      <x:c r="N3505" t="str">
        <x:v>SKU-006</x:v>
      </x:c>
      <x:c r="O3505" t="n">
        <x:v>1</x:v>
      </x:c>
      <x:c r="P3505" s="26" t="n">
        <x:f>F3505/O3505</x:f>
        <x:v>112.61</x:v>
      </x:c>
    </x:row>
    <x:row r="3506">
      <x:c r="A3506" t="n">
        <x:v>3505</x:v>
      </x:c>
      <x:c r="B3506" t="n">
        <x:v>47</x:v>
      </x:c>
      <x:c r="C3506" t="str">
        <x:v>Female</x:v>
      </x:c>
      <x:c r="D3506" t="str">
        <x:v>Groceries</x:v>
      </x:c>
      <x:c r="E3506" t="str">
        <x:v>Snacks</x:v>
      </x:c>
      <x:c r="F3506" s="24" t="n">
        <x:v>73.2</x:v>
      </x:c>
      <x:c r="G3506" t="str">
        <x:v>Summer</x:v>
      </x:c>
      <x:c r="H3506" t="str">
        <x:v>Cash on Delivery</x:v>
      </x:c>
      <x:c r="I3506" t="n">
        <x:v>3.6</x:v>
      </x:c>
      <x:c r="J3506" t="n">
        <x:v>22</x:v>
      </x:c>
      <x:c r="K3506" t="n">
        <x:v>6</x:v>
      </x:c>
      <x:c r="L3506" t="str">
        <x:v>STORE-001</x:v>
      </x:c>
      <x:c r="M3506" s="22" t="n">
        <x:v>45996</x:v>
      </x:c>
      <x:c r="N3506" t="str">
        <x:v>SKU-024</x:v>
      </x:c>
      <x:c r="O3506" t="n">
        <x:v>1</x:v>
      </x:c>
      <x:c r="P3506" s="26" t="n">
        <x:f>F3506/O3506</x:f>
        <x:v>73.2</x:v>
      </x:c>
    </x:row>
    <x:row r="3507">
      <x:c r="A3507" t="n">
        <x:v>3506</x:v>
      </x:c>
      <x:c r="B3507" t="n">
        <x:v>49</x:v>
      </x:c>
      <x:c r="C3507" t="str">
        <x:v>Female</x:v>
      </x:c>
      <x:c r="D3507" t="str">
        <x:v>Accessories</x:v>
      </x:c>
      <x:c r="E3507" t="str">
        <x:v>Sunglasses</x:v>
      </x:c>
      <x:c r="F3507" s="24" t="n">
        <x:v>41.27</x:v>
      </x:c>
      <x:c r="G3507" t="str">
        <x:v>Autumn</x:v>
      </x:c>
      <x:c r="H3507" t="str">
        <x:v>Card</x:v>
      </x:c>
      <x:c r="I3507" t="n">
        <x:v>2.1</x:v>
      </x:c>
      <x:c r="J3507" t="n">
        <x:v>4</x:v>
      </x:c>
      <x:c r="K3507" t="n">
        <x:v>2</x:v>
      </x:c>
      <x:c r="L3507" t="str">
        <x:v>STORE-001</x:v>
      </x:c>
      <x:c r="M3507" s="22" t="n">
        <x:v>46120</x:v>
      </x:c>
      <x:c r="N3507" t="str">
        <x:v>SKU-026</x:v>
      </x:c>
      <x:c r="O3507" t="n">
        <x:v>1</x:v>
      </x:c>
      <x:c r="P3507" s="26" t="n">
        <x:f>F3507/O3507</x:f>
        <x:v>41.27</x:v>
      </x:c>
    </x:row>
    <x:row r="3508">
      <x:c r="A3508" t="n">
        <x:v>3507</x:v>
      </x:c>
      <x:c r="B3508" t="n">
        <x:v>70</x:v>
      </x:c>
      <x:c r="C3508" t="str">
        <x:v>Male</x:v>
      </x:c>
      <x:c r="D3508" t="str">
        <x:v>Electronics</x:v>
      </x:c>
      <x:c r="E3508" t="str">
        <x:v>Smart Watch</x:v>
      </x:c>
      <x:c r="F3508" s="24" t="n">
        <x:v>2742.82</x:v>
      </x:c>
      <x:c r="G3508" t="str">
        <x:v>Summer</x:v>
      </x:c>
      <x:c r="H3508" t="str">
        <x:v>Card</x:v>
      </x:c>
      <x:c r="I3508" t="n">
        <x:v>4</x:v>
      </x:c>
      <x:c r="J3508" t="n">
        <x:v>22</x:v>
      </x:c>
      <x:c r="K3508" t="n">
        <x:v>6</x:v>
      </x:c>
      <x:c r="L3508" t="str">
        <x:v>STORE-001</x:v>
      </x:c>
      <x:c r="M3508" s="22" t="n">
        <x:v>46054</x:v>
      </x:c>
      <x:c r="N3508" t="str">
        <x:v>SKU-023</x:v>
      </x:c>
      <x:c r="O3508" t="n">
        <x:v>3</x:v>
      </x:c>
      <x:c r="P3508" s="26" t="n">
        <x:f>F3508/O3508</x:f>
        <x:v>914.2733333333334</x:v>
      </x:c>
    </x:row>
    <x:row r="3509">
      <x:c r="A3509" t="n">
        <x:v>3508</x:v>
      </x:c>
      <x:c r="B3509" t="n">
        <x:v>32</x:v>
      </x:c>
      <x:c r="C3509" t="str">
        <x:v>Female</x:v>
      </x:c>
      <x:c r="D3509" t="str">
        <x:v>Groceries</x:v>
      </x:c>
      <x:c r="E3509" t="str">
        <x:v>Beverages</x:v>
      </x:c>
      <x:c r="F3509" s="24" t="n">
        <x:v>9.7</x:v>
      </x:c>
      <x:c r="G3509" t="str">
        <x:v>Spring</x:v>
      </x:c>
      <x:c r="H3509" t="str">
        <x:v>Card</x:v>
      </x:c>
      <x:c r="I3509" t="n">
        <x:v>4.4</x:v>
      </x:c>
      <x:c r="J3509" t="n">
        <x:v>10</x:v>
      </x:c>
      <x:c r="K3509" t="n">
        <x:v>5</x:v>
      </x:c>
      <x:c r="L3509" t="str">
        <x:v>STORE-001</x:v>
      </x:c>
      <x:c r="M3509" s="22" t="n">
        <x:v>45944</x:v>
      </x:c>
      <x:c r="N3509" t="str">
        <x:v>SKU-001</x:v>
      </x:c>
      <x:c r="O3509" t="n">
        <x:v>5</x:v>
      </x:c>
      <x:c r="P3509" s="26" t="n">
        <x:f>F3509/O3509</x:f>
        <x:v>1.94</x:v>
      </x:c>
    </x:row>
    <x:row r="3510">
      <x:c r="A3510" t="n">
        <x:v>3509</x:v>
      </x:c>
      <x:c r="B3510" t="n">
        <x:v>65</x:v>
      </x:c>
      <x:c r="C3510" t="str">
        <x:v>Female</x:v>
      </x:c>
      <x:c r="D3510" t="str">
        <x:v>Accessories</x:v>
      </x:c>
      <x:c r="E3510" t="str">
        <x:v>Sunglasses</x:v>
      </x:c>
      <x:c r="F3510" s="24" t="n">
        <x:v>34.49</x:v>
      </x:c>
      <x:c r="G3510" t="str">
        <x:v>Spring</x:v>
      </x:c>
      <x:c r="H3510" t="str">
        <x:v>Card</x:v>
      </x:c>
      <x:c r="I3510" t="n">
        <x:v>3.1</x:v>
      </x:c>
      <x:c r="J3510" t="n">
        <x:v>22</x:v>
      </x:c>
      <x:c r="K3510" t="n">
        <x:v>6</x:v>
      </x:c>
      <x:c r="L3510" t="str">
        <x:v>STORE-001</x:v>
      </x:c>
      <x:c r="M3510" s="22" t="n">
        <x:v>46280</x:v>
      </x:c>
      <x:c r="N3510" t="str">
        <x:v>SKU-026</x:v>
      </x:c>
      <x:c r="O3510" t="n">
        <x:v>1</x:v>
      </x:c>
      <x:c r="P3510" s="26" t="n">
        <x:f>F3510/O3510</x:f>
        <x:v>34.49</x:v>
      </x:c>
    </x:row>
    <x:row r="3511">
      <x:c r="A3511" t="n">
        <x:v>3510</x:v>
      </x:c>
      <x:c r="B3511" t="n">
        <x:v>39</x:v>
      </x:c>
      <x:c r="C3511" t="str">
        <x:v>Male</x:v>
      </x:c>
      <x:c r="D3511" t="str">
        <x:v>Mens Clothing</x:v>
      </x:c>
      <x:c r="E3511" t="str">
        <x:v>Jeans</x:v>
      </x:c>
      <x:c r="F3511" s="24" t="n">
        <x:v>84.03</x:v>
      </x:c>
      <x:c r="G3511" t="str">
        <x:v>Winter</x:v>
      </x:c>
      <x:c r="H3511" t="str">
        <x:v>Cash on Delivery</x:v>
      </x:c>
      <x:c r="I3511" t="n">
        <x:v>4</x:v>
      </x:c>
      <x:c r="J3511" t="n">
        <x:v>11</x:v>
      </x:c>
      <x:c r="K3511" t="n">
        <x:v>3</x:v>
      </x:c>
      <x:c r="L3511" t="str">
        <x:v>STORE-001</x:v>
      </x:c>
      <x:c r="M3511" s="22" t="n">
        <x:v>46231</x:v>
      </x:c>
      <x:c r="N3511" t="str">
        <x:v>SKU-011</x:v>
      </x:c>
      <x:c r="O3511" t="n">
        <x:v>1</x:v>
      </x:c>
      <x:c r="P3511" s="26" t="n">
        <x:f>F3511/O3511</x:f>
        <x:v>84.03</x:v>
      </x:c>
    </x:row>
    <x:row r="3512">
      <x:c r="A3512" t="n">
        <x:v>3511</x:v>
      </x:c>
      <x:c r="B3512" t="n">
        <x:v>58</x:v>
      </x:c>
      <x:c r="C3512" t="str">
        <x:v>Male</x:v>
      </x:c>
      <x:c r="D3512" t="str">
        <x:v>Mens Clothing</x:v>
      </x:c>
      <x:c r="E3512" t="str">
        <x:v>Shirt</x:v>
      </x:c>
      <x:c r="F3512" s="24" t="n">
        <x:v>147.17</x:v>
      </x:c>
      <x:c r="G3512" t="str">
        <x:v>Winter</x:v>
      </x:c>
      <x:c r="H3512" t="str">
        <x:v>Card</x:v>
      </x:c>
      <x:c r="I3512" t="n">
        <x:v>4.5</x:v>
      </x:c>
      <x:c r="J3512" t="n">
        <x:v>6</x:v>
      </x:c>
      <x:c r="K3512" t="n">
        <x:v>3</x:v>
      </x:c>
      <x:c r="L3512" t="str">
        <x:v>STORE-001</x:v>
      </x:c>
      <x:c r="M3512" s="22" t="n">
        <x:v>46195</x:v>
      </x:c>
      <x:c r="N3512" t="str">
        <x:v>SKU-020</x:v>
      </x:c>
      <x:c r="O3512" t="n">
        <x:v>1</x:v>
      </x:c>
      <x:c r="P3512" s="26" t="n">
        <x:f>F3512/O3512</x:f>
        <x:v>147.17</x:v>
      </x:c>
    </x:row>
    <x:row r="3513">
      <x:c r="A3513" t="n">
        <x:v>3512</x:v>
      </x:c>
      <x:c r="B3513" t="n">
        <x:v>44</x:v>
      </x:c>
      <x:c r="C3513" t="str">
        <x:v>Female</x:v>
      </x:c>
      <x:c r="D3513" t="str">
        <x:v>Groceries</x:v>
      </x:c>
      <x:c r="E3513" t="str">
        <x:v>Cooking Oil</x:v>
      </x:c>
      <x:c r="F3513" s="24" t="n">
        <x:v>29.29</x:v>
      </x:c>
      <x:c r="G3513" t="str">
        <x:v>Summer</x:v>
      </x:c>
      <x:c r="H3513" t="str">
        <x:v>Cash on Delivery</x:v>
      </x:c>
      <x:c r="I3513" t="n">
        <x:v>4.8</x:v>
      </x:c>
      <x:c r="J3513" t="n">
        <x:v>9</x:v>
      </x:c>
      <x:c r="K3513" t="n">
        <x:v>2</x:v>
      </x:c>
      <x:c r="L3513" t="str">
        <x:v>STORE-001</x:v>
      </x:c>
      <x:c r="M3513" s="22" t="n">
        <x:v>46027</x:v>
      </x:c>
      <x:c r="N3513" t="str">
        <x:v>SKU-002</x:v>
      </x:c>
      <x:c r="O3513" t="n">
        <x:v>1</x:v>
      </x:c>
      <x:c r="P3513" s="26" t="n">
        <x:f>F3513/O3513</x:f>
        <x:v>29.29</x:v>
      </x:c>
    </x:row>
    <x:row r="3514">
      <x:c r="A3514" t="n">
        <x:v>3513</x:v>
      </x:c>
      <x:c r="B3514" t="n">
        <x:v>38</x:v>
      </x:c>
      <x:c r="C3514" t="str">
        <x:v>Male</x:v>
      </x:c>
      <x:c r="D3514" t="str">
        <x:v>Home</x:v>
      </x:c>
      <x:c r="E3514" t="str">
        <x:v>Lamp</x:v>
      </x:c>
      <x:c r="F3514" s="24" t="n">
        <x:v>180.38</x:v>
      </x:c>
      <x:c r="G3514" t="str">
        <x:v>Autumn</x:v>
      </x:c>
      <x:c r="H3514" t="str">
        <x:v>Card</x:v>
      </x:c>
      <x:c r="I3514" t="n">
        <x:v>2.9</x:v>
      </x:c>
      <x:c r="J3514" t="n">
        <x:v>14</x:v>
      </x:c>
      <x:c r="K3514" t="n">
        <x:v>7</x:v>
      </x:c>
      <x:c r="L3514" t="str">
        <x:v>STORE-001</x:v>
      </x:c>
      <x:c r="M3514" s="22" t="n">
        <x:v>46139</x:v>
      </x:c>
      <x:c r="N3514" t="str">
        <x:v>SKU-013</x:v>
      </x:c>
      <x:c r="O3514" t="n">
        <x:v>2</x:v>
      </x:c>
      <x:c r="P3514" s="26" t="n">
        <x:f>F3514/O3514</x:f>
        <x:v>90.19</x:v>
      </x:c>
    </x:row>
    <x:row r="3515">
      <x:c r="A3515" t="n">
        <x:v>3514</x:v>
      </x:c>
      <x:c r="B3515" t="n">
        <x:v>65</x:v>
      </x:c>
      <x:c r="C3515" t="str">
        <x:v>Male</x:v>
      </x:c>
      <x:c r="D3515" t="str">
        <x:v>Electronics</x:v>
      </x:c>
      <x:c r="E3515" t="str">
        <x:v>Headphones</x:v>
      </x:c>
      <x:c r="F3515" s="24" t="n">
        <x:v>1279.3</x:v>
      </x:c>
      <x:c r="G3515" t="str">
        <x:v>Autumn</x:v>
      </x:c>
      <x:c r="H3515" t="str">
        <x:v>Card</x:v>
      </x:c>
      <x:c r="I3515" t="n">
        <x:v>4.4</x:v>
      </x:c>
      <x:c r="J3515" t="n">
        <x:v>11</x:v>
      </x:c>
      <x:c r="K3515" t="n">
        <x:v>3</x:v>
      </x:c>
      <x:c r="L3515" t="str">
        <x:v>STORE-001</x:v>
      </x:c>
      <x:c r="M3515" s="22" t="n">
        <x:v>46094</x:v>
      </x:c>
      <x:c r="N3515" t="str">
        <x:v>SKU-009</x:v>
      </x:c>
      <x:c r="O3515" t="n">
        <x:v>1</x:v>
      </x:c>
      <x:c r="P3515" s="26" t="n">
        <x:f>F3515/O3515</x:f>
        <x:v>1279.3</x:v>
      </x:c>
    </x:row>
    <x:row r="3516">
      <x:c r="A3516" t="n">
        <x:v>3515</x:v>
      </x:c>
      <x:c r="B3516" t="n">
        <x:v>23</x:v>
      </x:c>
      <x:c r="C3516" t="str">
        <x:v>Female</x:v>
      </x:c>
      <x:c r="D3516" t="str">
        <x:v>Womens Clothing</x:v>
      </x:c>
      <x:c r="E3516" t="str">
        <x:v>Skirt</x:v>
      </x:c>
      <x:c r="F3516" s="24" t="n">
        <x:v>31.4</x:v>
      </x:c>
      <x:c r="G3516" t="str">
        <x:v>Summer</x:v>
      </x:c>
      <x:c r="H3516" t="str">
        <x:v>Cash on Delivery</x:v>
      </x:c>
      <x:c r="I3516" t="n">
        <x:v>3</x:v>
      </x:c>
      <x:c r="J3516" t="n">
        <x:v>8</x:v>
      </x:c>
      <x:c r="K3516" t="n">
        <x:v>4</x:v>
      </x:c>
      <x:c r="L3516" t="str">
        <x:v>STORE-001</x:v>
      </x:c>
      <x:c r="M3516" s="22" t="n">
        <x:v>46043</x:v>
      </x:c>
      <x:c r="N3516" t="str">
        <x:v>SKU-022</x:v>
      </x:c>
      <x:c r="O3516" t="n">
        <x:v>1</x:v>
      </x:c>
      <x:c r="P3516" s="26" t="n">
        <x:f>F3516/O3516</x:f>
        <x:v>31.4</x:v>
      </x:c>
    </x:row>
    <x:row r="3517">
      <x:c r="A3517" t="n">
        <x:v>3516</x:v>
      </x:c>
      <x:c r="B3517" t="n">
        <x:v>20</x:v>
      </x:c>
      <x:c r="C3517" t="str">
        <x:v>Female</x:v>
      </x:c>
      <x:c r="D3517" t="str">
        <x:v>Groceries</x:v>
      </x:c>
      <x:c r="E3517" t="str">
        <x:v>Beverages</x:v>
      </x:c>
      <x:c r="F3517" s="24" t="n">
        <x:v>47.95</x:v>
      </x:c>
      <x:c r="G3517" t="str">
        <x:v>Spring</x:v>
      </x:c>
      <x:c r="H3517" t="str">
        <x:v>Card</x:v>
      </x:c>
      <x:c r="I3517" t="n">
        <x:v>4.3</x:v>
      </x:c>
      <x:c r="J3517" t="n">
        <x:v>24</x:v>
      </x:c>
      <x:c r="K3517" t="n">
        <x:v>7</x:v>
      </x:c>
      <x:c r="L3517" t="str">
        <x:v>STORE-001</x:v>
      </x:c>
      <x:c r="M3517" s="22" t="n">
        <x:v>46291</x:v>
      </x:c>
      <x:c r="N3517" t="str">
        <x:v>SKU-001</x:v>
      </x:c>
      <x:c r="O3517" t="n">
        <x:v>1</x:v>
      </x:c>
      <x:c r="P3517" s="26" t="n">
        <x:f>F3517/O3517</x:f>
        <x:v>47.95</x:v>
      </x:c>
    </x:row>
    <x:row r="3518">
      <x:c r="A3518" t="n">
        <x:v>3517</x:v>
      </x:c>
      <x:c r="B3518" t="n">
        <x:v>36</x:v>
      </x:c>
      <x:c r="C3518" t="str">
        <x:v>Female</x:v>
      </x:c>
      <x:c r="D3518" t="str">
        <x:v>Womens Clothing</x:v>
      </x:c>
      <x:c r="E3518" t="str">
        <x:v>Top</x:v>
      </x:c>
      <x:c r="F3518" s="24" t="n">
        <x:v>98.93</x:v>
      </x:c>
      <x:c r="G3518" t="str">
        <x:v>Spring</x:v>
      </x:c>
      <x:c r="H3518" t="str">
        <x:v>Card</x:v>
      </x:c>
      <x:c r="I3518" t="n">
        <x:v>4.4</x:v>
      </x:c>
      <x:c r="J3518" t="n">
        <x:v>10</x:v>
      </x:c>
      <x:c r="K3518" t="n">
        <x:v>5</x:v>
      </x:c>
      <x:c r="L3518" t="str">
        <x:v>STORE-001</x:v>
      </x:c>
      <x:c r="M3518" s="22" t="n">
        <x:v>45948</x:v>
      </x:c>
      <x:c r="N3518" t="str">
        <x:v>SKU-028</x:v>
      </x:c>
      <x:c r="O3518" t="n">
        <x:v>1</x:v>
      </x:c>
      <x:c r="P3518" s="26" t="n">
        <x:f>F3518/O3518</x:f>
        <x:v>98.93</x:v>
      </x:c>
    </x:row>
    <x:row r="3519">
      <x:c r="A3519" t="n">
        <x:v>3518</x:v>
      </x:c>
      <x:c r="B3519" t="n">
        <x:v>46</x:v>
      </x:c>
      <x:c r="C3519" t="str">
        <x:v>Female</x:v>
      </x:c>
      <x:c r="D3519" t="str">
        <x:v>Womens Clothing</x:v>
      </x:c>
      <x:c r="E3519" t="str">
        <x:v>Top</x:v>
      </x:c>
      <x:c r="F3519" s="24" t="n">
        <x:v>84.09</x:v>
      </x:c>
      <x:c r="G3519" t="str">
        <x:v>Summer</x:v>
      </x:c>
      <x:c r="H3519" t="str">
        <x:v>Card</x:v>
      </x:c>
      <x:c r="I3519" t="n">
        <x:v>3.4</x:v>
      </x:c>
      <x:c r="J3519" t="n">
        <x:v>4</x:v>
      </x:c>
      <x:c r="K3519" t="n">
        <x:v>2</x:v>
      </x:c>
      <x:c r="L3519" t="str">
        <x:v>STORE-001</x:v>
      </x:c>
      <x:c r="M3519" s="22" t="n">
        <x:v>46056</x:v>
      </x:c>
      <x:c r="N3519" t="str">
        <x:v>SKU-028</x:v>
      </x:c>
      <x:c r="O3519" t="n">
        <x:v>2</x:v>
      </x:c>
      <x:c r="P3519" s="26" t="n">
        <x:f>F3519/O3519</x:f>
        <x:v>42.045</x:v>
      </x:c>
    </x:row>
    <x:row r="3520">
      <x:c r="A3520" t="n">
        <x:v>3519</x:v>
      </x:c>
      <x:c r="B3520" t="n">
        <x:v>45</x:v>
      </x:c>
      <x:c r="C3520" t="str">
        <x:v>Male</x:v>
      </x:c>
      <x:c r="D3520" t="str">
        <x:v>Footwear</x:v>
      </x:c>
      <x:c r="E3520" t="str">
        <x:v>Sandals</x:v>
      </x:c>
      <x:c r="F3520" s="24" t="n">
        <x:v>174.22</x:v>
      </x:c>
      <x:c r="G3520" t="str">
        <x:v>Summer</x:v>
      </x:c>
      <x:c r="H3520" t="str">
        <x:v>Card</x:v>
      </x:c>
      <x:c r="I3520" t="n">
        <x:v>4</x:v>
      </x:c>
      <x:c r="J3520" t="n">
        <x:v>13</x:v>
      </x:c>
      <x:c r="K3520" t="n">
        <x:v>4</x:v>
      </x:c>
      <x:c r="L3520" t="str">
        <x:v>STORE-001</x:v>
      </x:c>
      <x:c r="M3520" s="22" t="n">
        <x:v>46067</x:v>
      </x:c>
      <x:c r="N3520" t="str">
        <x:v>SKU-019</x:v>
      </x:c>
      <x:c r="O3520" t="n">
        <x:v>1</x:v>
      </x:c>
      <x:c r="P3520" s="26" t="n">
        <x:f>F3520/O3520</x:f>
        <x:v>174.22</x:v>
      </x:c>
    </x:row>
    <x:row r="3521">
      <x:c r="A3521" t="n">
        <x:v>3520</x:v>
      </x:c>
      <x:c r="B3521" t="n">
        <x:v>62</x:v>
      </x:c>
      <x:c r="C3521" t="str">
        <x:v>Male</x:v>
      </x:c>
      <x:c r="D3521" t="str">
        <x:v>Sports</x:v>
      </x:c>
      <x:c r="E3521" t="str">
        <x:v>Yoga Mat</x:v>
      </x:c>
      <x:c r="F3521" s="24" t="n">
        <x:v>50.18</x:v>
      </x:c>
      <x:c r="G3521" t="str">
        <x:v>Spring</x:v>
      </x:c>
      <x:c r="H3521" t="str">
        <x:v>Card</x:v>
      </x:c>
      <x:c r="I3521" t="n">
        <x:v>3.4</x:v>
      </x:c>
      <x:c r="J3521" t="n">
        <x:v>24</x:v>
      </x:c>
      <x:c r="K3521" t="n">
        <x:v>7</x:v>
      </x:c>
      <x:c r="L3521" t="str">
        <x:v>STORE-001</x:v>
      </x:c>
      <x:c r="M3521" s="22" t="n">
        <x:v>46275</x:v>
      </x:c>
      <x:c r="N3521" t="str">
        <x:v>SKU-030</x:v>
      </x:c>
      <x:c r="O3521" t="n">
        <x:v>1</x:v>
      </x:c>
      <x:c r="P3521" s="26" t="n">
        <x:f>F3521/O3521</x:f>
        <x:v>50.18</x:v>
      </x:c>
    </x:row>
    <x:row r="3522">
      <x:c r="A3522" t="n">
        <x:v>3521</x:v>
      </x:c>
      <x:c r="B3522" t="n">
        <x:v>66</x:v>
      </x:c>
      <x:c r="C3522" t="str">
        <x:v>Male</x:v>
      </x:c>
      <x:c r="D3522" t="str">
        <x:v>Electronics</x:v>
      </x:c>
      <x:c r="E3522" t="str">
        <x:v>Smart Watch</x:v>
      </x:c>
      <x:c r="F3522" s="24" t="n">
        <x:v>2988.75</x:v>
      </x:c>
      <x:c r="G3522" t="str">
        <x:v>Spring</x:v>
      </x:c>
      <x:c r="H3522" t="str">
        <x:v>Card</x:v>
      </x:c>
      <x:c r="I3522" t="n">
        <x:v>4.1</x:v>
      </x:c>
      <x:c r="J3522" t="n">
        <x:v>8</x:v>
      </x:c>
      <x:c r="K3522" t="n">
        <x:v>4</x:v>
      </x:c>
      <x:c r="L3522" t="str">
        <x:v>STORE-001</x:v>
      </x:c>
      <x:c r="M3522" s="22" t="n">
        <x:v>45944</x:v>
      </x:c>
      <x:c r="N3522" t="str">
        <x:v>SKU-023</x:v>
      </x:c>
      <x:c r="O3522" t="n">
        <x:v>1</x:v>
      </x:c>
      <x:c r="P3522" s="26" t="n">
        <x:f>F3522/O3522</x:f>
        <x:v>2988.75</x:v>
      </x:c>
    </x:row>
    <x:row r="3523">
      <x:c r="A3523" t="n">
        <x:v>3522</x:v>
      </x:c>
      <x:c r="B3523" t="n">
        <x:v>25</x:v>
      </x:c>
      <x:c r="C3523" t="str">
        <x:v>Male</x:v>
      </x:c>
      <x:c r="D3523" t="str">
        <x:v>Footwear</x:v>
      </x:c>
      <x:c r="E3523" t="str">
        <x:v>Sandals</x:v>
      </x:c>
      <x:c r="F3523" s="24" t="n">
        <x:v>91.39</x:v>
      </x:c>
      <x:c r="G3523" t="str">
        <x:v>Winter</x:v>
      </x:c>
      <x:c r="H3523" t="str">
        <x:v>Cash on Delivery</x:v>
      </x:c>
      <x:c r="I3523" t="n">
        <x:v>4.6</x:v>
      </x:c>
      <x:c r="J3523" t="n">
        <x:v>21</x:v>
      </x:c>
      <x:c r="K3523" t="n">
        <x:v>8</x:v>
      </x:c>
      <x:c r="L3523" t="str">
        <x:v>STORE-001</x:v>
      </x:c>
      <x:c r="M3523" s="22" t="n">
        <x:v>46236</x:v>
      </x:c>
      <x:c r="N3523" t="str">
        <x:v>SKU-019</x:v>
      </x:c>
      <x:c r="O3523" t="n">
        <x:v>1</x:v>
      </x:c>
      <x:c r="P3523" s="26" t="n">
        <x:f>F3523/O3523</x:f>
        <x:v>91.39</x:v>
      </x:c>
    </x:row>
    <x:row r="3524">
      <x:c r="A3524" t="n">
        <x:v>3523</x:v>
      </x:c>
      <x:c r="B3524" t="n">
        <x:v>63</x:v>
      </x:c>
      <x:c r="C3524" t="str">
        <x:v>Male</x:v>
      </x:c>
      <x:c r="D3524" t="str">
        <x:v>Footwear</x:v>
      </x:c>
      <x:c r="E3524" t="str">
        <x:v>Formal Shoes</x:v>
      </x:c>
      <x:c r="F3524" s="24" t="n">
        <x:v>148.77</x:v>
      </x:c>
      <x:c r="G3524" t="str">
        <x:v>Winter</x:v>
      </x:c>
      <x:c r="H3524" t="str">
        <x:v>Card</x:v>
      </x:c>
      <x:c r="I3524" t="n">
        <x:v>3.7</x:v>
      </x:c>
      <x:c r="J3524" t="n">
        <x:v>4</x:v>
      </x:c>
      <x:c r="K3524" t="n">
        <x:v>2</x:v>
      </x:c>
      <x:c r="L3524" t="str">
        <x:v>STORE-001</x:v>
      </x:c>
      <x:c r="M3524" s="22" t="n">
        <x:v>46228</x:v>
      </x:c>
      <x:c r="N3524" t="str">
        <x:v>SKU-007</x:v>
      </x:c>
      <x:c r="O3524" t="n">
        <x:v>2</x:v>
      </x:c>
      <x:c r="P3524" s="26" t="n">
        <x:f>F3524/O3524</x:f>
        <x:v>74.385</x:v>
      </x:c>
    </x:row>
    <x:row r="3525">
      <x:c r="A3525" t="n">
        <x:v>3524</x:v>
      </x:c>
      <x:c r="B3525" t="n">
        <x:v>68</x:v>
      </x:c>
      <x:c r="C3525" t="str">
        <x:v>Female</x:v>
      </x:c>
      <x:c r="D3525" t="str">
        <x:v>Sports</x:v>
      </x:c>
      <x:c r="E3525" t="str">
        <x:v>Dumbbells</x:v>
      </x:c>
      <x:c r="F3525" s="24" t="n">
        <x:v>208.26</x:v>
      </x:c>
      <x:c r="G3525" t="str">
        <x:v>Autumn</x:v>
      </x:c>
      <x:c r="H3525" t="str">
        <x:v>Card</x:v>
      </x:c>
      <x:c r="I3525" t="n">
        <x:v>3.3</x:v>
      </x:c>
      <x:c r="J3525" t="n">
        <x:v>6</x:v>
      </x:c>
      <x:c r="K3525" t="n">
        <x:v>3</x:v>
      </x:c>
      <x:c r="L3525" t="str">
        <x:v>STORE-001</x:v>
      </x:c>
      <x:c r="M3525" s="22" t="n">
        <x:v>46110</x:v>
      </x:c>
      <x:c r="N3525" t="str">
        <x:v>SKU-005</x:v>
      </x:c>
      <x:c r="O3525" t="n">
        <x:v>1</x:v>
      </x:c>
      <x:c r="P3525" s="26" t="n">
        <x:f>F3525/O3525</x:f>
        <x:v>208.26</x:v>
      </x:c>
    </x:row>
    <x:row r="3526">
      <x:c r="A3526" t="n">
        <x:v>3525</x:v>
      </x:c>
      <x:c r="B3526" t="n">
        <x:v>41</x:v>
      </x:c>
      <x:c r="C3526" t="str">
        <x:v>Male</x:v>
      </x:c>
      <x:c r="D3526" t="str">
        <x:v>Groceries</x:v>
      </x:c>
      <x:c r="E3526" t="str">
        <x:v>Snacks</x:v>
      </x:c>
      <x:c r="F3526" s="24" t="n">
        <x:v>75.68</x:v>
      </x:c>
      <x:c r="G3526" t="str">
        <x:v>Autumn</x:v>
      </x:c>
      <x:c r="H3526" t="str">
        <x:v>Cash on Delivery</x:v>
      </x:c>
      <x:c r="I3526" t="n">
        <x:v>4.7</x:v>
      </x:c>
      <x:c r="J3526" t="n">
        <x:v>12</x:v>
      </x:c>
      <x:c r="K3526" t="n">
        <x:v>1</x:v>
      </x:c>
      <x:c r="L3526" t="str">
        <x:v>STORE-001</x:v>
      </x:c>
      <x:c r="M3526" s="22" t="n">
        <x:v>46126</x:v>
      </x:c>
      <x:c r="N3526" t="str">
        <x:v>SKU-024</x:v>
      </x:c>
      <x:c r="O3526" t="n">
        <x:v>3</x:v>
      </x:c>
      <x:c r="P3526" s="26" t="n">
        <x:f>F3526/O3526</x:f>
        <x:v>25.22666666666667</x:v>
      </x:c>
    </x:row>
    <x:row r="3527">
      <x:c r="A3527" t="n">
        <x:v>3526</x:v>
      </x:c>
      <x:c r="B3527" t="n">
        <x:v>42</x:v>
      </x:c>
      <x:c r="C3527" t="str">
        <x:v>Female</x:v>
      </x:c>
      <x:c r="D3527" t="str">
        <x:v>Womens Clothing</x:v>
      </x:c>
      <x:c r="E3527" t="str">
        <x:v>Top</x:v>
      </x:c>
      <x:c r="F3527" s="24" t="n">
        <x:v>195.75</x:v>
      </x:c>
      <x:c r="G3527" t="str">
        <x:v>Summer</x:v>
      </x:c>
      <x:c r="H3527" t="str">
        <x:v>Card</x:v>
      </x:c>
      <x:c r="I3527" t="n">
        <x:v>2.7</x:v>
      </x:c>
      <x:c r="J3527" t="n">
        <x:v>15</x:v>
      </x:c>
      <x:c r="K3527" t="n">
        <x:v>5</x:v>
      </x:c>
      <x:c r="L3527" t="str">
        <x:v>STORE-001</x:v>
      </x:c>
      <x:c r="M3527" s="22" t="n">
        <x:v>46056</x:v>
      </x:c>
      <x:c r="N3527" t="str">
        <x:v>SKU-028</x:v>
      </x:c>
      <x:c r="O3527" t="n">
        <x:v>1</x:v>
      </x:c>
      <x:c r="P3527" s="26" t="n">
        <x:f>F3527/O3527</x:f>
        <x:v>195.75</x:v>
      </x:c>
    </x:row>
    <x:row r="3528">
      <x:c r="A3528" t="n">
        <x:v>3527</x:v>
      </x:c>
      <x:c r="B3528" t="n">
        <x:v>20</x:v>
      </x:c>
      <x:c r="C3528" t="str">
        <x:v>Female</x:v>
      </x:c>
      <x:c r="D3528" t="str">
        <x:v>Womens Clothing</x:v>
      </x:c>
      <x:c r="E3528" t="str">
        <x:v>Skirt</x:v>
      </x:c>
      <x:c r="F3528" s="24" t="n">
        <x:v>101.76</x:v>
      </x:c>
      <x:c r="G3528" t="str">
        <x:v>Autumn</x:v>
      </x:c>
      <x:c r="H3528" t="str">
        <x:v>Card</x:v>
      </x:c>
      <x:c r="I3528" t="n">
        <x:v>3.6</x:v>
      </x:c>
      <x:c r="J3528" t="n">
        <x:v>4</x:v>
      </x:c>
      <x:c r="K3528" t="n">
        <x:v>2</x:v>
      </x:c>
      <x:c r="L3528" t="str">
        <x:v>STORE-001</x:v>
      </x:c>
      <x:c r="M3528" s="22" t="n">
        <x:v>46135</x:v>
      </x:c>
      <x:c r="N3528" t="str">
        <x:v>SKU-022</x:v>
      </x:c>
      <x:c r="O3528" t="n">
        <x:v>2</x:v>
      </x:c>
      <x:c r="P3528" s="26" t="n">
        <x:f>F3528/O3528</x:f>
        <x:v>50.88</x:v>
      </x:c>
    </x:row>
    <x:row r="3529">
      <x:c r="A3529" t="n">
        <x:v>3528</x:v>
      </x:c>
      <x:c r="B3529" t="n">
        <x:v>62</x:v>
      </x:c>
      <x:c r="C3529" t="str">
        <x:v>Male</x:v>
      </x:c>
      <x:c r="D3529" t="str">
        <x:v>Footwear</x:v>
      </x:c>
      <x:c r="E3529" t="str">
        <x:v>Formal Shoes</x:v>
      </x:c>
      <x:c r="F3529" s="24" t="n">
        <x:v>162.8</x:v>
      </x:c>
      <x:c r="G3529" t="str">
        <x:v>Autumn</x:v>
      </x:c>
      <x:c r="H3529" t="str">
        <x:v>Card</x:v>
      </x:c>
      <x:c r="I3529" t="n">
        <x:v>4.3</x:v>
      </x:c>
      <x:c r="J3529" t="n">
        <x:v>22</x:v>
      </x:c>
      <x:c r="K3529" t="n">
        <x:v>6</x:v>
      </x:c>
      <x:c r="L3529" t="str">
        <x:v>STORE-001</x:v>
      </x:c>
      <x:c r="M3529" s="22" t="n">
        <x:v>46154</x:v>
      </x:c>
      <x:c r="N3529" t="str">
        <x:v>SKU-007</x:v>
      </x:c>
      <x:c r="O3529" t="n">
        <x:v>1</x:v>
      </x:c>
      <x:c r="P3529" s="26" t="n">
        <x:f>F3529/O3529</x:f>
        <x:v>162.8</x:v>
      </x:c>
    </x:row>
    <x:row r="3530">
      <x:c r="A3530" t="n">
        <x:v>3529</x:v>
      </x:c>
      <x:c r="B3530" t="n">
        <x:v>67</x:v>
      </x:c>
      <x:c r="C3530" t="str">
        <x:v>Female</x:v>
      </x:c>
      <x:c r="D3530" t="str">
        <x:v>Womens Clothing</x:v>
      </x:c>
      <x:c r="E3530" t="str">
        <x:v>Dress</x:v>
      </x:c>
      <x:c r="F3530" s="24" t="n">
        <x:v>184.18</x:v>
      </x:c>
      <x:c r="G3530" t="str">
        <x:v>Autumn</x:v>
      </x:c>
      <x:c r="H3530" t="str">
        <x:v>Card</x:v>
      </x:c>
      <x:c r="I3530" t="n">
        <x:v>3.2</x:v>
      </x:c>
      <x:c r="J3530" t="n">
        <x:v>14</x:v>
      </x:c>
      <x:c r="K3530" t="n">
        <x:v>2</x:v>
      </x:c>
      <x:c r="L3530" t="str">
        <x:v>STORE-001</x:v>
      </x:c>
      <x:c r="M3530" s="22" t="n">
        <x:v>46119</x:v>
      </x:c>
      <x:c r="N3530" t="str">
        <x:v>SKU-004</x:v>
      </x:c>
      <x:c r="O3530" t="n">
        <x:v>1</x:v>
      </x:c>
      <x:c r="P3530" s="26" t="n">
        <x:f>F3530/O3530</x:f>
        <x:v>184.18</x:v>
      </x:c>
    </x:row>
    <x:row r="3531">
      <x:c r="A3531" t="n">
        <x:v>3530</x:v>
      </x:c>
      <x:c r="B3531" t="n">
        <x:v>27</x:v>
      </x:c>
      <x:c r="C3531" t="str">
        <x:v>Female</x:v>
      </x:c>
      <x:c r="D3531" t="str">
        <x:v>Beauty</x:v>
      </x:c>
      <x:c r="E3531" t="str">
        <x:v>Skincare Kit</x:v>
      </x:c>
      <x:c r="F3531" s="24" t="n">
        <x:v>92.28</x:v>
      </x:c>
      <x:c r="G3531" t="str">
        <x:v>Winter</x:v>
      </x:c>
      <x:c r="H3531" t="str">
        <x:v>Cash on Delivery</x:v>
      </x:c>
      <x:c r="I3531" t="n">
        <x:v>4.2</x:v>
      </x:c>
      <x:c r="J3531" t="n">
        <x:v>14</x:v>
      </x:c>
      <x:c r="K3531" t="n">
        <x:v>2</x:v>
      </x:c>
      <x:c r="L3531" t="str">
        <x:v>STORE-001</x:v>
      </x:c>
      <x:c r="M3531" s="22" t="n">
        <x:v>46261</x:v>
      </x:c>
      <x:c r="N3531" t="str">
        <x:v>SKU-021</x:v>
      </x:c>
      <x:c r="O3531" t="n">
        <x:v>1</x:v>
      </x:c>
      <x:c r="P3531" s="26" t="n">
        <x:f>F3531/O3531</x:f>
        <x:v>92.28</x:v>
      </x:c>
    </x:row>
    <x:row r="3532">
      <x:c r="A3532" t="n">
        <x:v>3531</x:v>
      </x:c>
      <x:c r="B3532" t="n">
        <x:v>27</x:v>
      </x:c>
      <x:c r="C3532" t="str">
        <x:v>Male</x:v>
      </x:c>
      <x:c r="D3532" t="str">
        <x:v>Home</x:v>
      </x:c>
      <x:c r="E3532" t="str">
        <x:v>Lamp</x:v>
      </x:c>
      <x:c r="F3532" s="24" t="n">
        <x:v>90.91</x:v>
      </x:c>
      <x:c r="G3532" t="str">
        <x:v>Spring</x:v>
      </x:c>
      <x:c r="H3532" t="str">
        <x:v>Card</x:v>
      </x:c>
      <x:c r="I3532" t="n">
        <x:v>3.6</x:v>
      </x:c>
      <x:c r="J3532" t="n">
        <x:v>10</x:v>
      </x:c>
      <x:c r="K3532" t="n">
        <x:v>5</x:v>
      </x:c>
      <x:c r="L3532" t="str">
        <x:v>STORE-001</x:v>
      </x:c>
      <x:c r="M3532" s="22" t="n">
        <x:v>46294</x:v>
      </x:c>
      <x:c r="N3532" t="str">
        <x:v>SKU-013</x:v>
      </x:c>
      <x:c r="O3532" t="n">
        <x:v>1</x:v>
      </x:c>
      <x:c r="P3532" s="26" t="n">
        <x:f>F3532/O3532</x:f>
        <x:v>90.91</x:v>
      </x:c>
    </x:row>
    <x:row r="3533">
      <x:c r="A3533" t="n">
        <x:v>3532</x:v>
      </x:c>
      <x:c r="B3533" t="n">
        <x:v>69</x:v>
      </x:c>
      <x:c r="C3533" t="str">
        <x:v>Male</x:v>
      </x:c>
      <x:c r="D3533" t="str">
        <x:v>Sports</x:v>
      </x:c>
      <x:c r="E3533" t="str">
        <x:v>Yoga Mat</x:v>
      </x:c>
      <x:c r="F3533" s="24" t="n">
        <x:v>213.7</x:v>
      </x:c>
      <x:c r="G3533" t="str">
        <x:v>Summer</x:v>
      </x:c>
      <x:c r="H3533" t="str">
        <x:v>Card</x:v>
      </x:c>
      <x:c r="I3533" t="n">
        <x:v>3.7</x:v>
      </x:c>
      <x:c r="J3533" t="n">
        <x:v>6</x:v>
      </x:c>
      <x:c r="K3533" t="n">
        <x:v>3</x:v>
      </x:c>
      <x:c r="L3533" t="str">
        <x:v>STORE-001</x:v>
      </x:c>
      <x:c r="M3533" s="22" t="n">
        <x:v>46021</x:v>
      </x:c>
      <x:c r="N3533" t="str">
        <x:v>SKU-030</x:v>
      </x:c>
      <x:c r="O3533" t="n">
        <x:v>1</x:v>
      </x:c>
      <x:c r="P3533" s="26" t="n">
        <x:f>F3533/O3533</x:f>
        <x:v>213.7</x:v>
      </x:c>
    </x:row>
    <x:row r="3534">
      <x:c r="A3534" t="n">
        <x:v>3533</x:v>
      </x:c>
      <x:c r="B3534" t="n">
        <x:v>40</x:v>
      </x:c>
      <x:c r="C3534" t="str">
        <x:v>Male</x:v>
      </x:c>
      <x:c r="D3534" t="str">
        <x:v>Electronics</x:v>
      </x:c>
      <x:c r="E3534" t="str">
        <x:v>Laptop</x:v>
      </x:c>
      <x:c r="F3534" s="24" t="n">
        <x:v>2397</x:v>
      </x:c>
      <x:c r="G3534" t="str">
        <x:v>Winter</x:v>
      </x:c>
      <x:c r="H3534" t="str">
        <x:v>Card</x:v>
      </x:c>
      <x:c r="I3534" t="n">
        <x:v>4</x:v>
      </x:c>
      <x:c r="J3534" t="n">
        <x:v>32</x:v>
      </x:c>
      <x:c r="K3534" t="n">
        <x:v>11</x:v>
      </x:c>
      <x:c r="L3534" t="str">
        <x:v>STORE-001</x:v>
      </x:c>
      <x:c r="M3534" s="22" t="n">
        <x:v>46187</x:v>
      </x:c>
      <x:c r="N3534" t="str">
        <x:v>SKU-014</x:v>
      </x:c>
      <x:c r="O3534" t="n">
        <x:v>2</x:v>
      </x:c>
      <x:c r="P3534" s="26" t="n">
        <x:f>F3534/O3534</x:f>
        <x:v>1198.5</x:v>
      </x:c>
    </x:row>
    <x:row r="3535">
      <x:c r="A3535" t="n">
        <x:v>3534</x:v>
      </x:c>
      <x:c r="B3535" t="n">
        <x:v>64</x:v>
      </x:c>
      <x:c r="C3535" t="str">
        <x:v>Female</x:v>
      </x:c>
      <x:c r="D3535" t="str">
        <x:v>Accessories</x:v>
      </x:c>
      <x:c r="E3535" t="str">
        <x:v>Handbag</x:v>
      </x:c>
      <x:c r="F3535" s="24" t="n">
        <x:v>174.66</x:v>
      </x:c>
      <x:c r="G3535" t="str">
        <x:v>Autumn</x:v>
      </x:c>
      <x:c r="H3535" t="str">
        <x:v>Card</x:v>
      </x:c>
      <x:c r="I3535" t="n">
        <x:v>5</x:v>
      </x:c>
      <x:c r="J3535" t="n">
        <x:v>24</x:v>
      </x:c>
      <x:c r="K3535" t="n">
        <x:v>7</x:v>
      </x:c>
      <x:c r="L3535" t="str">
        <x:v>STORE-001</x:v>
      </x:c>
      <x:c r="M3535" s="22" t="n">
        <x:v>46155</x:v>
      </x:c>
      <x:c r="N3535" t="str">
        <x:v>SKU-008</x:v>
      </x:c>
      <x:c r="O3535" t="n">
        <x:v>1</x:v>
      </x:c>
      <x:c r="P3535" s="26" t="n">
        <x:f>F3535/O3535</x:f>
        <x:v>174.66</x:v>
      </x:c>
    </x:row>
    <x:row r="3536">
      <x:c r="A3536" t="n">
        <x:v>3535</x:v>
      </x:c>
      <x:c r="B3536" t="n">
        <x:v>34</x:v>
      </x:c>
      <x:c r="C3536" t="str">
        <x:v>Male</x:v>
      </x:c>
      <x:c r="D3536" t="str">
        <x:v>Electronics</x:v>
      </x:c>
      <x:c r="E3536" t="str">
        <x:v>Smart Watch</x:v>
      </x:c>
      <x:c r="F3536" s="24" t="n">
        <x:v>2047.74</x:v>
      </x:c>
      <x:c r="G3536" t="str">
        <x:v>Autumn</x:v>
      </x:c>
      <x:c r="H3536" t="str">
        <x:v>Card</x:v>
      </x:c>
      <x:c r="I3536" t="n">
        <x:v>4</x:v>
      </x:c>
      <x:c r="J3536" t="n">
        <x:v>22</x:v>
      </x:c>
      <x:c r="K3536" t="n">
        <x:v>6</x:v>
      </x:c>
      <x:c r="L3536" t="str">
        <x:v>STORE-001</x:v>
      </x:c>
      <x:c r="M3536" s="22" t="n">
        <x:v>46098</x:v>
      </x:c>
      <x:c r="N3536" t="str">
        <x:v>SKU-023</x:v>
      </x:c>
      <x:c r="O3536" t="n">
        <x:v>1</x:v>
      </x:c>
      <x:c r="P3536" s="26" t="n">
        <x:f>F3536/O3536</x:f>
        <x:v>2047.74</x:v>
      </x:c>
    </x:row>
    <x:row r="3537">
      <x:c r="A3537" t="n">
        <x:v>3536</x:v>
      </x:c>
      <x:c r="B3537" t="n">
        <x:v>67</x:v>
      </x:c>
      <x:c r="C3537" t="str">
        <x:v>Female</x:v>
      </x:c>
      <x:c r="D3537" t="str">
        <x:v>Womens Clothing</x:v>
      </x:c>
      <x:c r="E3537" t="str">
        <x:v>Skirt</x:v>
      </x:c>
      <x:c r="F3537" s="24" t="n">
        <x:v>148.32</x:v>
      </x:c>
      <x:c r="G3537" t="str">
        <x:v>Spring</x:v>
      </x:c>
      <x:c r="H3537" t="str">
        <x:v>Card</x:v>
      </x:c>
      <x:c r="I3537" t="n">
        <x:v>4.5</x:v>
      </x:c>
      <x:c r="J3537" t="n">
        <x:v>20</x:v>
      </x:c>
      <x:c r="K3537" t="n">
        <x:v>5</x:v>
      </x:c>
      <x:c r="L3537" t="str">
        <x:v>STORE-001</x:v>
      </x:c>
      <x:c r="M3537" s="22" t="n">
        <x:v>46281</x:v>
      </x:c>
      <x:c r="N3537" t="str">
        <x:v>SKU-022</x:v>
      </x:c>
      <x:c r="O3537" t="n">
        <x:v>1</x:v>
      </x:c>
      <x:c r="P3537" s="26" t="n">
        <x:f>F3537/O3537</x:f>
        <x:v>148.32</x:v>
      </x:c>
    </x:row>
    <x:row r="3538">
      <x:c r="A3538" t="n">
        <x:v>3537</x:v>
      </x:c>
      <x:c r="B3538" t="n">
        <x:v>27</x:v>
      </x:c>
      <x:c r="C3538" t="str">
        <x:v>Male</x:v>
      </x:c>
      <x:c r="D3538" t="str">
        <x:v>Sports</x:v>
      </x:c>
      <x:c r="E3538" t="str">
        <x:v>Football</x:v>
      </x:c>
      <x:c r="F3538" s="24" t="n">
        <x:v>118.03</x:v>
      </x:c>
      <x:c r="G3538" t="str">
        <x:v>Spring</x:v>
      </x:c>
      <x:c r="H3538" t="str">
        <x:v>Card</x:v>
      </x:c>
      <x:c r="I3538" t="n">
        <x:v>4</x:v>
      </x:c>
      <x:c r="J3538" t="n">
        <x:v>19</x:v>
      </x:c>
      <x:c r="K3538" t="n">
        <x:v>7</x:v>
      </x:c>
      <x:c r="L3538" t="str">
        <x:v>STORE-001</x:v>
      </x:c>
      <x:c r="M3538" s="22" t="n">
        <x:v>45957</x:v>
      </x:c>
      <x:c r="N3538" t="str">
        <x:v>SKU-006</x:v>
      </x:c>
      <x:c r="O3538" t="n">
        <x:v>4</x:v>
      </x:c>
      <x:c r="P3538" s="26" t="n">
        <x:f>F3538/O3538</x:f>
        <x:v>29.5075</x:v>
      </x:c>
    </x:row>
    <x:row r="3539">
      <x:c r="A3539" t="n">
        <x:v>3538</x:v>
      </x:c>
      <x:c r="B3539" t="n">
        <x:v>33</x:v>
      </x:c>
      <x:c r="C3539" t="str">
        <x:v>Female</x:v>
      </x:c>
      <x:c r="D3539" t="str">
        <x:v>Beauty</x:v>
      </x:c>
      <x:c r="E3539" t="str">
        <x:v>Skincare Kit</x:v>
      </x:c>
      <x:c r="F3539" s="24" t="n">
        <x:v>55.18</x:v>
      </x:c>
      <x:c r="G3539" t="str">
        <x:v>Winter</x:v>
      </x:c>
      <x:c r="H3539" t="str">
        <x:v>Card</x:v>
      </x:c>
      <x:c r="I3539" t="n">
        <x:v>3.4</x:v>
      </x:c>
      <x:c r="J3539" t="n">
        <x:v>13</x:v>
      </x:c>
      <x:c r="K3539" t="n">
        <x:v>4</x:v>
      </x:c>
      <x:c r="L3539" t="str">
        <x:v>STORE-001</x:v>
      </x:c>
      <x:c r="M3539" s="22" t="n">
        <x:v>46191</x:v>
      </x:c>
      <x:c r="N3539" t="str">
        <x:v>SKU-021</x:v>
      </x:c>
      <x:c r="O3539" t="n">
        <x:v>2</x:v>
      </x:c>
      <x:c r="P3539" s="26" t="n">
        <x:f>F3539/O3539</x:f>
        <x:v>27.59</x:v>
      </x:c>
    </x:row>
    <x:row r="3540">
      <x:c r="A3540" t="n">
        <x:v>3539</x:v>
      </x:c>
      <x:c r="B3540" t="n">
        <x:v>57</x:v>
      </x:c>
      <x:c r="C3540" t="str">
        <x:v>Female</x:v>
      </x:c>
      <x:c r="D3540" t="str">
        <x:v>Accessories</x:v>
      </x:c>
      <x:c r="E3540" t="str">
        <x:v>Wallet</x:v>
      </x:c>
      <x:c r="F3540" s="24" t="n">
        <x:v>39.68</x:v>
      </x:c>
      <x:c r="G3540" t="str">
        <x:v>Summer</x:v>
      </x:c>
      <x:c r="H3540" t="str">
        <x:v>Cash on Delivery</x:v>
      </x:c>
      <x:c r="I3540" t="n">
        <x:v>3.4</x:v>
      </x:c>
      <x:c r="J3540" t="n">
        <x:v>10</x:v>
      </x:c>
      <x:c r="K3540" t="n">
        <x:v>5</x:v>
      </x:c>
      <x:c r="L3540" t="str">
        <x:v>STORE-001</x:v>
      </x:c>
      <x:c r="M3540" s="22" t="n">
        <x:v>46078</x:v>
      </x:c>
      <x:c r="N3540" t="str">
        <x:v>SKU-029</x:v>
      </x:c>
      <x:c r="O3540" t="n">
        <x:v>1</x:v>
      </x:c>
      <x:c r="P3540" s="26" t="n">
        <x:f>F3540/O3540</x:f>
        <x:v>39.68</x:v>
      </x:c>
    </x:row>
    <x:row r="3541">
      <x:c r="A3541" t="n">
        <x:v>3540</x:v>
      </x:c>
      <x:c r="B3541" t="n">
        <x:v>47</x:v>
      </x:c>
      <x:c r="C3541" t="str">
        <x:v>Male</x:v>
      </x:c>
      <x:c r="D3541" t="str">
        <x:v>Footwear</x:v>
      </x:c>
      <x:c r="E3541" t="str">
        <x:v>Formal Shoes</x:v>
      </x:c>
      <x:c r="F3541" s="24" t="n">
        <x:v>138.35</x:v>
      </x:c>
      <x:c r="G3541" t="str">
        <x:v>Autumn</x:v>
      </x:c>
      <x:c r="H3541" t="str">
        <x:v>Card</x:v>
      </x:c>
      <x:c r="I3541" t="n">
        <x:v>4.6</x:v>
      </x:c>
      <x:c r="J3541" t="n">
        <x:v>15</x:v>
      </x:c>
      <x:c r="K3541" t="n">
        <x:v>5</x:v>
      </x:c>
      <x:c r="L3541" t="str">
        <x:v>STORE-001</x:v>
      </x:c>
      <x:c r="M3541" s="22" t="n">
        <x:v>46160</x:v>
      </x:c>
      <x:c r="N3541" t="str">
        <x:v>SKU-007</x:v>
      </x:c>
      <x:c r="O3541" t="n">
        <x:v>2</x:v>
      </x:c>
      <x:c r="P3541" s="26" t="n">
        <x:f>F3541/O3541</x:f>
        <x:v>69.175</x:v>
      </x:c>
    </x:row>
    <x:row r="3542">
      <x:c r="A3542" t="n">
        <x:v>3541</x:v>
      </x:c>
      <x:c r="B3542" t="n">
        <x:v>20</x:v>
      </x:c>
      <x:c r="C3542" t="str">
        <x:v>Female</x:v>
      </x:c>
      <x:c r="D3542" t="str">
        <x:v>Footwear</x:v>
      </x:c>
      <x:c r="E3542" t="str">
        <x:v>Formal Shoes</x:v>
      </x:c>
      <x:c r="F3542" s="24" t="n">
        <x:v>80.11</x:v>
      </x:c>
      <x:c r="G3542" t="str">
        <x:v>Winter</x:v>
      </x:c>
      <x:c r="H3542" t="str">
        <x:v>Card</x:v>
      </x:c>
      <x:c r="I3542" t="n">
        <x:v>4.6</x:v>
      </x:c>
      <x:c r="J3542" t="n">
        <x:v>10</x:v>
      </x:c>
      <x:c r="K3542" t="n">
        <x:v>5</x:v>
      </x:c>
      <x:c r="L3542" t="str">
        <x:v>STORE-001</x:v>
      </x:c>
      <x:c r="M3542" s="22" t="n">
        <x:v>46234</x:v>
      </x:c>
      <x:c r="N3542" t="str">
        <x:v>SKU-007</x:v>
      </x:c>
      <x:c r="O3542" t="n">
        <x:v>1</x:v>
      </x:c>
      <x:c r="P3542" s="26" t="n">
        <x:f>F3542/O3542</x:f>
        <x:v>80.11</x:v>
      </x:c>
    </x:row>
    <x:row r="3543">
      <x:c r="A3543" t="n">
        <x:v>3542</x:v>
      </x:c>
      <x:c r="B3543" t="n">
        <x:v>58</x:v>
      </x:c>
      <x:c r="C3543" t="str">
        <x:v>Female</x:v>
      </x:c>
      <x:c r="D3543" t="str">
        <x:v>Accessories</x:v>
      </x:c>
      <x:c r="E3543" t="str">
        <x:v>Handbag</x:v>
      </x:c>
      <x:c r="F3543" s="24" t="n">
        <x:v>97.52</x:v>
      </x:c>
      <x:c r="G3543" t="str">
        <x:v>Spring</x:v>
      </x:c>
      <x:c r="H3543" t="str">
        <x:v>Cash on Delivery</x:v>
      </x:c>
      <x:c r="I3543" t="n">
        <x:v>2.8</x:v>
      </x:c>
      <x:c r="J3543" t="n">
        <x:v>10</x:v>
      </x:c>
      <x:c r="K3543" t="n">
        <x:v>5</x:v>
      </x:c>
      <x:c r="L3543" t="str">
        <x:v>STORE-001</x:v>
      </x:c>
      <x:c r="M3543" s="22" t="n">
        <x:v>45945</x:v>
      </x:c>
      <x:c r="N3543" t="str">
        <x:v>SKU-008</x:v>
      </x:c>
      <x:c r="O3543" t="n">
        <x:v>1</x:v>
      </x:c>
      <x:c r="P3543" s="26" t="n">
        <x:f>F3543/O3543</x:f>
        <x:v>97.52</x:v>
      </x:c>
    </x:row>
    <x:row r="3544">
      <x:c r="A3544" t="n">
        <x:v>3543</x:v>
      </x:c>
      <x:c r="B3544" t="n">
        <x:v>29</x:v>
      </x:c>
      <x:c r="C3544" t="str">
        <x:v>Female</x:v>
      </x:c>
      <x:c r="D3544" t="str">
        <x:v>Accessories</x:v>
      </x:c>
      <x:c r="E3544" t="str">
        <x:v>Wallet</x:v>
      </x:c>
      <x:c r="F3544" s="24" t="n">
        <x:v>135.42</x:v>
      </x:c>
      <x:c r="G3544" t="str">
        <x:v>Spring</x:v>
      </x:c>
      <x:c r="H3544" t="str">
        <x:v>Card</x:v>
      </x:c>
      <x:c r="I3544" t="n">
        <x:v>3.7</x:v>
      </x:c>
      <x:c r="J3544" t="n">
        <x:v>10</x:v>
      </x:c>
      <x:c r="K3544" t="n">
        <x:v>5</x:v>
      </x:c>
      <x:c r="L3544" t="str">
        <x:v>STORE-001</x:v>
      </x:c>
      <x:c r="M3544" s="22" t="n">
        <x:v>46266</x:v>
      </x:c>
      <x:c r="N3544" t="str">
        <x:v>SKU-029</x:v>
      </x:c>
      <x:c r="O3544" t="n">
        <x:v>1</x:v>
      </x:c>
      <x:c r="P3544" s="26" t="n">
        <x:f>F3544/O3544</x:f>
        <x:v>135.42</x:v>
      </x:c>
    </x:row>
    <x:row r="3545">
      <x:c r="A3545" t="n">
        <x:v>3544</x:v>
      </x:c>
      <x:c r="B3545" t="n">
        <x:v>68</x:v>
      </x:c>
      <x:c r="C3545" t="str">
        <x:v>Male</x:v>
      </x:c>
      <x:c r="D3545" t="str">
        <x:v>Mens Clothing</x:v>
      </x:c>
      <x:c r="E3545" t="str">
        <x:v>Shirt</x:v>
      </x:c>
      <x:c r="F3545" s="24" t="n">
        <x:v>95.18</x:v>
      </x:c>
      <x:c r="G3545" t="str">
        <x:v>Autumn</x:v>
      </x:c>
      <x:c r="H3545" t="str">
        <x:v>Card</x:v>
      </x:c>
      <x:c r="I3545" t="n">
        <x:v>4.4</x:v>
      </x:c>
      <x:c r="J3545" t="n">
        <x:v>17</x:v>
      </x:c>
      <x:c r="K3545" t="n">
        <x:v>6</x:v>
      </x:c>
      <x:c r="L3545" t="str">
        <x:v>STORE-001</x:v>
      </x:c>
      <x:c r="M3545" s="22" t="n">
        <x:v>46144</x:v>
      </x:c>
      <x:c r="N3545" t="str">
        <x:v>SKU-020</x:v>
      </x:c>
      <x:c r="O3545" t="n">
        <x:v>1</x:v>
      </x:c>
      <x:c r="P3545" s="26" t="n">
        <x:f>F3545/O3545</x:f>
        <x:v>95.18</x:v>
      </x:c>
    </x:row>
    <x:row r="3546">
      <x:c r="A3546" t="n">
        <x:v>3545</x:v>
      </x:c>
      <x:c r="B3546" t="n">
        <x:v>50</x:v>
      </x:c>
      <x:c r="C3546" t="str">
        <x:v>Female</x:v>
      </x:c>
      <x:c r="D3546" t="str">
        <x:v>Beauty</x:v>
      </x:c>
      <x:c r="E3546" t="str">
        <x:v>Skincare Kit</x:v>
      </x:c>
      <x:c r="F3546" s="24" t="n">
        <x:v>121.73</x:v>
      </x:c>
      <x:c r="G3546" t="str">
        <x:v>Winter</x:v>
      </x:c>
      <x:c r="H3546" t="str">
        <x:v>Card</x:v>
      </x:c>
      <x:c r="I3546" t="n">
        <x:v>4.1</x:v>
      </x:c>
      <x:c r="J3546" t="n">
        <x:v>28</x:v>
      </x:c>
      <x:c r="K3546" t="n">
        <x:v>9</x:v>
      </x:c>
      <x:c r="L3546" t="str">
        <x:v>STORE-001</x:v>
      </x:c>
      <x:c r="M3546" s="22" t="n">
        <x:v>46219</x:v>
      </x:c>
      <x:c r="N3546" t="str">
        <x:v>SKU-021</x:v>
      </x:c>
      <x:c r="O3546" t="n">
        <x:v>1</x:v>
      </x:c>
      <x:c r="P3546" s="26" t="n">
        <x:f>F3546/O3546</x:f>
        <x:v>121.73</x:v>
      </x:c>
    </x:row>
    <x:row r="3547">
      <x:c r="A3547" t="n">
        <x:v>3546</x:v>
      </x:c>
      <x:c r="B3547" t="n">
        <x:v>21</x:v>
      </x:c>
      <x:c r="C3547" t="str">
        <x:v>Female</x:v>
      </x:c>
      <x:c r="D3547" t="str">
        <x:v>Womens Clothing</x:v>
      </x:c>
      <x:c r="E3547" t="str">
        <x:v>Dress</x:v>
      </x:c>
      <x:c r="F3547" s="24" t="n">
        <x:v>155.07</x:v>
      </x:c>
      <x:c r="G3547" t="str">
        <x:v>Summer</x:v>
      </x:c>
      <x:c r="H3547" t="str">
        <x:v>Card</x:v>
      </x:c>
      <x:c r="I3547" t="n">
        <x:v>3</x:v>
      </x:c>
      <x:c r="J3547" t="n">
        <x:v>13</x:v>
      </x:c>
      <x:c r="K3547" t="n">
        <x:v>4</x:v>
      </x:c>
      <x:c r="L3547" t="str">
        <x:v>STORE-001</x:v>
      </x:c>
      <x:c r="M3547" s="22" t="n">
        <x:v>45994</x:v>
      </x:c>
      <x:c r="N3547" t="str">
        <x:v>SKU-004</x:v>
      </x:c>
      <x:c r="O3547" t="n">
        <x:v>1</x:v>
      </x:c>
      <x:c r="P3547" s="26" t="n">
        <x:f>F3547/O3547</x:f>
        <x:v>155.07</x:v>
      </x:c>
    </x:row>
    <x:row r="3548">
      <x:c r="A3548" t="n">
        <x:v>3547</x:v>
      </x:c>
      <x:c r="B3548" t="n">
        <x:v>65</x:v>
      </x:c>
      <x:c r="C3548" t="str">
        <x:v>Male</x:v>
      </x:c>
      <x:c r="D3548" t="str">
        <x:v>Mens Clothing</x:v>
      </x:c>
      <x:c r="E3548" t="str">
        <x:v>Shirt</x:v>
      </x:c>
      <x:c r="F3548" s="24" t="n">
        <x:v>146.36</x:v>
      </x:c>
      <x:c r="G3548" t="str">
        <x:v>Summer</x:v>
      </x:c>
      <x:c r="H3548" t="str">
        <x:v>Card</x:v>
      </x:c>
      <x:c r="I3548" t="n">
        <x:v>2.5</x:v>
      </x:c>
      <x:c r="J3548" t="n">
        <x:v>2</x:v>
      </x:c>
      <x:c r="K3548" t="n">
        <x:v>1</x:v>
      </x:c>
      <x:c r="L3548" t="str">
        <x:v>STORE-001</x:v>
      </x:c>
      <x:c r="M3548" s="22" t="n">
        <x:v>46074</x:v>
      </x:c>
      <x:c r="N3548" t="str">
        <x:v>SKU-020</x:v>
      </x:c>
      <x:c r="O3548" t="n">
        <x:v>1</x:v>
      </x:c>
      <x:c r="P3548" s="26" t="n">
        <x:f>F3548/O3548</x:f>
        <x:v>146.36</x:v>
      </x:c>
    </x:row>
    <x:row r="3549">
      <x:c r="A3549" t="n">
        <x:v>3548</x:v>
      </x:c>
      <x:c r="B3549" t="n">
        <x:v>67</x:v>
      </x:c>
      <x:c r="C3549" t="str">
        <x:v>Male</x:v>
      </x:c>
      <x:c r="D3549" t="str">
        <x:v>Sports</x:v>
      </x:c>
      <x:c r="E3549" t="str">
        <x:v>Yoga Mat</x:v>
      </x:c>
      <x:c r="F3549" s="24" t="n">
        <x:v>222.83</x:v>
      </x:c>
      <x:c r="G3549" t="str">
        <x:v>Summer</x:v>
      </x:c>
      <x:c r="H3549" t="str">
        <x:v>Card</x:v>
      </x:c>
      <x:c r="I3549" t="n">
        <x:v>4.8</x:v>
      </x:c>
      <x:c r="J3549" t="n">
        <x:v>13</x:v>
      </x:c>
      <x:c r="K3549" t="n">
        <x:v>4</x:v>
      </x:c>
      <x:c r="L3549" t="str">
        <x:v>STORE-001</x:v>
      </x:c>
      <x:c r="M3549" s="22" t="n">
        <x:v>46066</x:v>
      </x:c>
      <x:c r="N3549" t="str">
        <x:v>SKU-030</x:v>
      </x:c>
      <x:c r="O3549" t="n">
        <x:v>1</x:v>
      </x:c>
      <x:c r="P3549" s="26" t="n">
        <x:f>F3549/O3549</x:f>
        <x:v>222.83</x:v>
      </x:c>
    </x:row>
    <x:row r="3550">
      <x:c r="A3550" t="n">
        <x:v>3549</x:v>
      </x:c>
      <x:c r="B3550" t="n">
        <x:v>28</x:v>
      </x:c>
      <x:c r="C3550" t="str">
        <x:v>Female</x:v>
      </x:c>
      <x:c r="D3550" t="str">
        <x:v>Footwear</x:v>
      </x:c>
      <x:c r="E3550" t="str">
        <x:v>Sandals</x:v>
      </x:c>
      <x:c r="F3550" s="24" t="n">
        <x:v>237.96</x:v>
      </x:c>
      <x:c r="G3550" t="str">
        <x:v>Autumn</x:v>
      </x:c>
      <x:c r="H3550" t="str">
        <x:v>Card</x:v>
      </x:c>
      <x:c r="I3550" t="n">
        <x:v>4.7</x:v>
      </x:c>
      <x:c r="J3550" t="n">
        <x:v>9</x:v>
      </x:c>
      <x:c r="K3550" t="n">
        <x:v>2</x:v>
      </x:c>
      <x:c r="L3550" t="str">
        <x:v>STORE-001</x:v>
      </x:c>
      <x:c r="M3550" s="22" t="n">
        <x:v>46115</x:v>
      </x:c>
      <x:c r="N3550" t="str">
        <x:v>SKU-019</x:v>
      </x:c>
      <x:c r="O3550" t="n">
        <x:v>1</x:v>
      </x:c>
      <x:c r="P3550" s="26" t="n">
        <x:f>F3550/O3550</x:f>
        <x:v>237.96</x:v>
      </x:c>
    </x:row>
    <x:row r="3551">
      <x:c r="A3551" t="n">
        <x:v>3550</x:v>
      </x:c>
      <x:c r="B3551" t="n">
        <x:v>53</x:v>
      </x:c>
      <x:c r="C3551" t="str">
        <x:v>Female</x:v>
      </x:c>
      <x:c r="D3551" t="str">
        <x:v>Womens Clothing</x:v>
      </x:c>
      <x:c r="E3551" t="str">
        <x:v>Dress</x:v>
      </x:c>
      <x:c r="F3551" s="24" t="n">
        <x:v>182.1</x:v>
      </x:c>
      <x:c r="G3551" t="str">
        <x:v>Autumn</x:v>
      </x:c>
      <x:c r="H3551" t="str">
        <x:v>Card</x:v>
      </x:c>
      <x:c r="I3551" t="n">
        <x:v>2.8</x:v>
      </x:c>
      <x:c r="J3551" t="n">
        <x:v>13</x:v>
      </x:c>
      <x:c r="K3551" t="n">
        <x:v>4</x:v>
      </x:c>
      <x:c r="L3551" t="str">
        <x:v>STORE-001</x:v>
      </x:c>
      <x:c r="M3551" s="22" t="n">
        <x:v>46146</x:v>
      </x:c>
      <x:c r="N3551" t="str">
        <x:v>SKU-004</x:v>
      </x:c>
      <x:c r="O3551" t="n">
        <x:v>1</x:v>
      </x:c>
      <x:c r="P3551" s="26" t="n">
        <x:f>F3551/O3551</x:f>
        <x:v>182.1</x:v>
      </x:c>
    </x:row>
    <x:row r="3552">
      <x:c r="A3552" t="n">
        <x:v>3551</x:v>
      </x:c>
      <x:c r="B3552" t="n">
        <x:v>53</x:v>
      </x:c>
      <x:c r="C3552" t="str">
        <x:v>Male</x:v>
      </x:c>
      <x:c r="D3552" t="str">
        <x:v>Electronics</x:v>
      </x:c>
      <x:c r="E3552" t="str">
        <x:v>Headphones</x:v>
      </x:c>
      <x:c r="F3552" s="24" t="n">
        <x:v>2807.25</x:v>
      </x:c>
      <x:c r="G3552" t="str">
        <x:v>Summer</x:v>
      </x:c>
      <x:c r="H3552" t="str">
        <x:v>Card</x:v>
      </x:c>
      <x:c r="I3552" t="n">
        <x:v>2.7</x:v>
      </x:c>
      <x:c r="J3552" t="n">
        <x:v>22</x:v>
      </x:c>
      <x:c r="K3552" t="n">
        <x:v>6</x:v>
      </x:c>
      <x:c r="L3552" t="str">
        <x:v>STORE-001</x:v>
      </x:c>
      <x:c r="M3552" s="22" t="n">
        <x:v>46013</x:v>
      </x:c>
      <x:c r="N3552" t="str">
        <x:v>SKU-009</x:v>
      </x:c>
      <x:c r="O3552" t="n">
        <x:v>1</x:v>
      </x:c>
      <x:c r="P3552" s="26" t="n">
        <x:f>F3552/O3552</x:f>
        <x:v>2807.25</x:v>
      </x:c>
    </x:row>
    <x:row r="3553">
      <x:c r="A3553" t="n">
        <x:v>3552</x:v>
      </x:c>
      <x:c r="B3553" t="n">
        <x:v>24</x:v>
      </x:c>
      <x:c r="C3553" t="str">
        <x:v>Male</x:v>
      </x:c>
      <x:c r="D3553" t="str">
        <x:v>Sports</x:v>
      </x:c>
      <x:c r="E3553" t="str">
        <x:v>Dumbbells</x:v>
      </x:c>
      <x:c r="F3553" s="24" t="n">
        <x:v>140.57</x:v>
      </x:c>
      <x:c r="G3553" t="str">
        <x:v>Autumn</x:v>
      </x:c>
      <x:c r="H3553" t="str">
        <x:v>Card</x:v>
      </x:c>
      <x:c r="I3553" t="n">
        <x:v>4.1</x:v>
      </x:c>
      <x:c r="J3553" t="n">
        <x:v>10</x:v>
      </x:c>
      <x:c r="K3553" t="n">
        <x:v>5</x:v>
      </x:c>
      <x:c r="L3553" t="str">
        <x:v>STORE-001</x:v>
      </x:c>
      <x:c r="M3553" s="22" t="n">
        <x:v>46133</x:v>
      </x:c>
      <x:c r="N3553" t="str">
        <x:v>SKU-005</x:v>
      </x:c>
      <x:c r="O3553" t="n">
        <x:v>1</x:v>
      </x:c>
      <x:c r="P3553" s="26" t="n">
        <x:f>F3553/O3553</x:f>
        <x:v>140.57</x:v>
      </x:c>
    </x:row>
    <x:row r="3554">
      <x:c r="A3554" t="n">
        <x:v>3553</x:v>
      </x:c>
      <x:c r="B3554" t="n">
        <x:v>68</x:v>
      </x:c>
      <x:c r="C3554" t="str">
        <x:v>Male</x:v>
      </x:c>
      <x:c r="D3554" t="str">
        <x:v>Groceries</x:v>
      </x:c>
      <x:c r="E3554" t="str">
        <x:v>Beverages</x:v>
      </x:c>
      <x:c r="F3554" s="24" t="n">
        <x:v>77.77</x:v>
      </x:c>
      <x:c r="G3554" t="str">
        <x:v>Winter</x:v>
      </x:c>
      <x:c r="H3554" t="str">
        <x:v>Cash on Delivery</x:v>
      </x:c>
      <x:c r="I3554" t="n">
        <x:v>3.6</x:v>
      </x:c>
      <x:c r="J3554" t="n">
        <x:v>10</x:v>
      </x:c>
      <x:c r="K3554" t="n">
        <x:v>5</x:v>
      </x:c>
      <x:c r="L3554" t="str">
        <x:v>STORE-001</x:v>
      </x:c>
      <x:c r="M3554" s="22" t="n">
        <x:v>46195</x:v>
      </x:c>
      <x:c r="N3554" t="str">
        <x:v>SKU-001</x:v>
      </x:c>
      <x:c r="O3554" t="n">
        <x:v>4</x:v>
      </x:c>
      <x:c r="P3554" s="26" t="n">
        <x:f>F3554/O3554</x:f>
        <x:v>19.4425</x:v>
      </x:c>
    </x:row>
    <x:row r="3555">
      <x:c r="A3555" t="n">
        <x:v>3554</x:v>
      </x:c>
      <x:c r="B3555" t="n">
        <x:v>70</x:v>
      </x:c>
      <x:c r="C3555" t="str">
        <x:v>Female</x:v>
      </x:c>
      <x:c r="D3555" t="str">
        <x:v>Footwear</x:v>
      </x:c>
      <x:c r="E3555" t="str">
        <x:v>Formal Shoes</x:v>
      </x:c>
      <x:c r="F3555" s="24" t="n">
        <x:v>165.35</x:v>
      </x:c>
      <x:c r="G3555" t="str">
        <x:v>Autumn</x:v>
      </x:c>
      <x:c r="H3555" t="str">
        <x:v>Card</x:v>
      </x:c>
      <x:c r="I3555" t="n">
        <x:v>4.1</x:v>
      </x:c>
      <x:c r="J3555" t="n">
        <x:v>6</x:v>
      </x:c>
      <x:c r="K3555" t="n">
        <x:v>3</x:v>
      </x:c>
      <x:c r="L3555" t="str">
        <x:v>STORE-001</x:v>
      </x:c>
      <x:c r="M3555" s="22" t="n">
        <x:v>46154</x:v>
      </x:c>
      <x:c r="N3555" t="str">
        <x:v>SKU-007</x:v>
      </x:c>
      <x:c r="O3555" t="n">
        <x:v>1</x:v>
      </x:c>
      <x:c r="P3555" s="26" t="n">
        <x:f>F3555/O3555</x:f>
        <x:v>165.35</x:v>
      </x:c>
    </x:row>
    <x:row r="3556">
      <x:c r="A3556" t="n">
        <x:v>3555</x:v>
      </x:c>
      <x:c r="B3556" t="n">
        <x:v>43</x:v>
      </x:c>
      <x:c r="C3556" t="str">
        <x:v>Male</x:v>
      </x:c>
      <x:c r="D3556" t="str">
        <x:v>Sports</x:v>
      </x:c>
      <x:c r="E3556" t="str">
        <x:v>Yoga Mat</x:v>
      </x:c>
      <x:c r="F3556" s="24" t="n">
        <x:v>246.24</x:v>
      </x:c>
      <x:c r="G3556" t="str">
        <x:v>Winter</x:v>
      </x:c>
      <x:c r="H3556" t="str">
        <x:v>Card</x:v>
      </x:c>
      <x:c r="I3556" t="n">
        <x:v>4.5</x:v>
      </x:c>
      <x:c r="J3556" t="n">
        <x:v>14</x:v>
      </x:c>
      <x:c r="K3556" t="n">
        <x:v>2</x:v>
      </x:c>
      <x:c r="L3556" t="str">
        <x:v>STORE-001</x:v>
      </x:c>
      <x:c r="M3556" s="22" t="n">
        <x:v>46226</x:v>
      </x:c>
      <x:c r="N3556" t="str">
        <x:v>SKU-030</x:v>
      </x:c>
      <x:c r="O3556" t="n">
        <x:v>2</x:v>
      </x:c>
      <x:c r="P3556" s="26" t="n">
        <x:f>F3556/O3556</x:f>
        <x:v>123.12</x:v>
      </x:c>
    </x:row>
    <x:row r="3557">
      <x:c r="A3557" t="n">
        <x:v>3556</x:v>
      </x:c>
      <x:c r="B3557" t="n">
        <x:v>26</x:v>
      </x:c>
      <x:c r="C3557" t="str">
        <x:v>Female</x:v>
      </x:c>
      <x:c r="D3557" t="str">
        <x:v>Beauty</x:v>
      </x:c>
      <x:c r="E3557" t="str">
        <x:v>Makeup Set</x:v>
      </x:c>
      <x:c r="F3557" s="24" t="n">
        <x:v>121.85</x:v>
      </x:c>
      <x:c r="G3557" t="str">
        <x:v>Summer</x:v>
      </x:c>
      <x:c r="H3557" t="str">
        <x:v>Card</x:v>
      </x:c>
      <x:c r="I3557" t="n">
        <x:v>4.1</x:v>
      </x:c>
      <x:c r="J3557" t="n">
        <x:v>11</x:v>
      </x:c>
      <x:c r="K3557" t="n">
        <x:v>3</x:v>
      </x:c>
      <x:c r="L3557" t="str">
        <x:v>STORE-001</x:v>
      </x:c>
      <x:c r="M3557" s="22" t="n">
        <x:v>46021</x:v>
      </x:c>
      <x:c r="N3557" t="str">
        <x:v>SKU-015</x:v>
      </x:c>
      <x:c r="O3557" t="n">
        <x:v>1</x:v>
      </x:c>
      <x:c r="P3557" s="26" t="n">
        <x:f>F3557/O3557</x:f>
        <x:v>121.85</x:v>
      </x:c>
    </x:row>
    <x:row r="3558">
      <x:c r="A3558" t="n">
        <x:v>3557</x:v>
      </x:c>
      <x:c r="B3558" t="n">
        <x:v>21</x:v>
      </x:c>
      <x:c r="C3558" t="str">
        <x:v>Male</x:v>
      </x:c>
      <x:c r="D3558" t="str">
        <x:v>Sports</x:v>
      </x:c>
      <x:c r="E3558" t="str">
        <x:v>Dumbbells</x:v>
      </x:c>
      <x:c r="F3558" s="24" t="n">
        <x:v>244.91</x:v>
      </x:c>
      <x:c r="G3558" t="str">
        <x:v>Winter</x:v>
      </x:c>
      <x:c r="H3558" t="str">
        <x:v>Card</x:v>
      </x:c>
      <x:c r="I3558" t="n">
        <x:v>2.9</x:v>
      </x:c>
      <x:c r="J3558" t="n">
        <x:v>6</x:v>
      </x:c>
      <x:c r="K3558" t="n">
        <x:v>3</x:v>
      </x:c>
      <x:c r="L3558" t="str">
        <x:v>STORE-001</x:v>
      </x:c>
      <x:c r="M3558" s="22" t="n">
        <x:v>46228</x:v>
      </x:c>
      <x:c r="N3558" t="str">
        <x:v>SKU-005</x:v>
      </x:c>
      <x:c r="O3558" t="n">
        <x:v>1</x:v>
      </x:c>
      <x:c r="P3558" s="26" t="n">
        <x:f>F3558/O3558</x:f>
        <x:v>244.91</x:v>
      </x:c>
    </x:row>
    <x:row r="3559">
      <x:c r="A3559" t="n">
        <x:v>3558</x:v>
      </x:c>
      <x:c r="B3559" t="n">
        <x:v>68</x:v>
      </x:c>
      <x:c r="C3559" t="str">
        <x:v>Female</x:v>
      </x:c>
      <x:c r="D3559" t="str">
        <x:v>Beauty</x:v>
      </x:c>
      <x:c r="E3559" t="str">
        <x:v>Makeup Set</x:v>
      </x:c>
      <x:c r="F3559" s="24" t="n">
        <x:v>116.21</x:v>
      </x:c>
      <x:c r="G3559" t="str">
        <x:v>Autumn</x:v>
      </x:c>
      <x:c r="H3559" t="str">
        <x:v>Card</x:v>
      </x:c>
      <x:c r="I3559" t="n">
        <x:v>3.3</x:v>
      </x:c>
      <x:c r="J3559" t="n">
        <x:v>28</x:v>
      </x:c>
      <x:c r="K3559" t="n">
        <x:v>9</x:v>
      </x:c>
      <x:c r="L3559" t="str">
        <x:v>STORE-001</x:v>
      </x:c>
      <x:c r="M3559" s="22" t="n">
        <x:v>46152</x:v>
      </x:c>
      <x:c r="N3559" t="str">
        <x:v>SKU-015</x:v>
      </x:c>
      <x:c r="O3559" t="n">
        <x:v>2</x:v>
      </x:c>
      <x:c r="P3559" s="26" t="n">
        <x:f>F3559/O3559</x:f>
        <x:v>58.105</x:v>
      </x:c>
    </x:row>
    <x:row r="3560">
      <x:c r="A3560" t="n">
        <x:v>3559</x:v>
      </x:c>
      <x:c r="B3560" t="n">
        <x:v>65</x:v>
      </x:c>
      <x:c r="C3560" t="str">
        <x:v>Male</x:v>
      </x:c>
      <x:c r="D3560" t="str">
        <x:v>Groceries</x:v>
      </x:c>
      <x:c r="E3560" t="str">
        <x:v>Cooking Oil</x:v>
      </x:c>
      <x:c r="F3560" s="24" t="n">
        <x:v>31.66</x:v>
      </x:c>
      <x:c r="G3560" t="str">
        <x:v>Autumn</x:v>
      </x:c>
      <x:c r="H3560" t="str">
        <x:v>Cash on Delivery</x:v>
      </x:c>
      <x:c r="I3560" t="n">
        <x:v>2.4</x:v>
      </x:c>
      <x:c r="J3560" t="n">
        <x:v>14</x:v>
      </x:c>
      <x:c r="K3560" t="n">
        <x:v>7</x:v>
      </x:c>
      <x:c r="L3560" t="str">
        <x:v>STORE-001</x:v>
      </x:c>
      <x:c r="M3560" s="22" t="n">
        <x:v>46158</x:v>
      </x:c>
      <x:c r="N3560" t="str">
        <x:v>SKU-002</x:v>
      </x:c>
      <x:c r="O3560" t="n">
        <x:v>1</x:v>
      </x:c>
      <x:c r="P3560" s="26" t="n">
        <x:f>F3560/O3560</x:f>
        <x:v>31.66</x:v>
      </x:c>
    </x:row>
    <x:row r="3561">
      <x:c r="A3561" t="n">
        <x:v>3560</x:v>
      </x:c>
      <x:c r="B3561" t="n">
        <x:v>42</x:v>
      </x:c>
      <x:c r="C3561" t="str">
        <x:v>Male</x:v>
      </x:c>
      <x:c r="D3561" t="str">
        <x:v>Sports</x:v>
      </x:c>
      <x:c r="E3561" t="str">
        <x:v>Dumbbells</x:v>
      </x:c>
      <x:c r="F3561" s="24" t="n">
        <x:v>150.72</x:v>
      </x:c>
      <x:c r="G3561" t="str">
        <x:v>Summer</x:v>
      </x:c>
      <x:c r="H3561" t="str">
        <x:v>Card</x:v>
      </x:c>
      <x:c r="I3561" t="n">
        <x:v>4.3</x:v>
      </x:c>
      <x:c r="J3561" t="n">
        <x:v>17</x:v>
      </x:c>
      <x:c r="K3561" t="n">
        <x:v>6</x:v>
      </x:c>
      <x:c r="L3561" t="str">
        <x:v>STORE-001</x:v>
      </x:c>
      <x:c r="M3561" s="22" t="n">
        <x:v>46004</x:v>
      </x:c>
      <x:c r="N3561" t="str">
        <x:v>SKU-005</x:v>
      </x:c>
      <x:c r="O3561" t="n">
        <x:v>1</x:v>
      </x:c>
      <x:c r="P3561" s="26" t="n">
        <x:f>F3561/O3561</x:f>
        <x:v>150.72</x:v>
      </x:c>
    </x:row>
    <x:row r="3562">
      <x:c r="A3562" t="n">
        <x:v>3561</x:v>
      </x:c>
      <x:c r="B3562" t="n">
        <x:v>40</x:v>
      </x:c>
      <x:c r="C3562" t="str">
        <x:v>Female</x:v>
      </x:c>
      <x:c r="D3562" t="str">
        <x:v>Footwear</x:v>
      </x:c>
      <x:c r="E3562" t="str">
        <x:v>Sandals</x:v>
      </x:c>
      <x:c r="F3562" s="24" t="n">
        <x:v>169.6</x:v>
      </x:c>
      <x:c r="G3562" t="str">
        <x:v>Summer</x:v>
      </x:c>
      <x:c r="H3562" t="str">
        <x:v>Card</x:v>
      </x:c>
      <x:c r="I3562" t="n">
        <x:v>3</x:v>
      </x:c>
      <x:c r="J3562" t="n">
        <x:v>13</x:v>
      </x:c>
      <x:c r="K3562" t="n">
        <x:v>4</x:v>
      </x:c>
      <x:c r="L3562" t="str">
        <x:v>STORE-001</x:v>
      </x:c>
      <x:c r="M3562" s="22" t="n">
        <x:v>46008</x:v>
      </x:c>
      <x:c r="N3562" t="str">
        <x:v>SKU-019</x:v>
      </x:c>
      <x:c r="O3562" t="n">
        <x:v>1</x:v>
      </x:c>
      <x:c r="P3562" s="26" t="n">
        <x:f>F3562/O3562</x:f>
        <x:v>169.6</x:v>
      </x:c>
    </x:row>
    <x:row r="3563">
      <x:c r="A3563" t="n">
        <x:v>3562</x:v>
      </x:c>
      <x:c r="B3563" t="n">
        <x:v>47</x:v>
      </x:c>
      <x:c r="C3563" t="str">
        <x:v>Female</x:v>
      </x:c>
      <x:c r="D3563" t="str">
        <x:v>Sports</x:v>
      </x:c>
      <x:c r="E3563" t="str">
        <x:v>Football</x:v>
      </x:c>
      <x:c r="F3563" s="24" t="n">
        <x:v>58.39</x:v>
      </x:c>
      <x:c r="G3563" t="str">
        <x:v>Autumn</x:v>
      </x:c>
      <x:c r="H3563" t="str">
        <x:v>Cash on Delivery</x:v>
      </x:c>
      <x:c r="I3563" t="n">
        <x:v>4.4</x:v>
      </x:c>
      <x:c r="J3563" t="n">
        <x:v>16</x:v>
      </x:c>
      <x:c r="K3563" t="n">
        <x:v>3</x:v>
      </x:c>
      <x:c r="L3563" t="str">
        <x:v>STORE-001</x:v>
      </x:c>
      <x:c r="M3563" s="22" t="n">
        <x:v>46109</x:v>
      </x:c>
      <x:c r="N3563" t="str">
        <x:v>SKU-006</x:v>
      </x:c>
      <x:c r="O3563" t="n">
        <x:v>1</x:v>
      </x:c>
      <x:c r="P3563" s="26" t="n">
        <x:f>F3563/O3563</x:f>
        <x:v>58.39</x:v>
      </x:c>
    </x:row>
    <x:row r="3564">
      <x:c r="A3564" t="n">
        <x:v>3563</x:v>
      </x:c>
      <x:c r="B3564" t="n">
        <x:v>53</x:v>
      </x:c>
      <x:c r="C3564" t="str">
        <x:v>Female</x:v>
      </x:c>
      <x:c r="D3564" t="str">
        <x:v>Beauty</x:v>
      </x:c>
      <x:c r="E3564" t="str">
        <x:v>Skincare Kit</x:v>
      </x:c>
      <x:c r="F3564" s="24" t="n">
        <x:v>68.14</x:v>
      </x:c>
      <x:c r="G3564" t="str">
        <x:v>Autumn</x:v>
      </x:c>
      <x:c r="H3564" t="str">
        <x:v>Cash on Delivery</x:v>
      </x:c>
      <x:c r="I3564" t="n">
        <x:v>3.3</x:v>
      </x:c>
      <x:c r="J3564" t="n">
        <x:v>10</x:v>
      </x:c>
      <x:c r="K3564" t="n">
        <x:v>5</x:v>
      </x:c>
      <x:c r="L3564" t="str">
        <x:v>STORE-001</x:v>
      </x:c>
      <x:c r="M3564" s="22" t="n">
        <x:v>46093</x:v>
      </x:c>
      <x:c r="N3564" t="str">
        <x:v>SKU-021</x:v>
      </x:c>
      <x:c r="O3564" t="n">
        <x:v>1</x:v>
      </x:c>
      <x:c r="P3564" s="26" t="n">
        <x:f>F3564/O3564</x:f>
        <x:v>68.14</x:v>
      </x:c>
    </x:row>
    <x:row r="3565">
      <x:c r="A3565" t="n">
        <x:v>3564</x:v>
      </x:c>
      <x:c r="B3565" t="n">
        <x:v>48</x:v>
      </x:c>
      <x:c r="C3565" t="str">
        <x:v>Male</x:v>
      </x:c>
      <x:c r="D3565" t="str">
        <x:v>Footwear</x:v>
      </x:c>
      <x:c r="E3565" t="str">
        <x:v>Sneakers</x:v>
      </x:c>
      <x:c r="F3565" s="24" t="n">
        <x:v>179.68</x:v>
      </x:c>
      <x:c r="G3565" t="str">
        <x:v>Autumn</x:v>
      </x:c>
      <x:c r="H3565" t="str">
        <x:v>Card</x:v>
      </x:c>
      <x:c r="I3565" t="n">
        <x:v>4.9</x:v>
      </x:c>
      <x:c r="J3565" t="n">
        <x:v>28</x:v>
      </x:c>
      <x:c r="K3565" t="n">
        <x:v>9</x:v>
      </x:c>
      <x:c r="L3565" t="str">
        <x:v>STORE-001</x:v>
      </x:c>
      <x:c r="M3565" s="22" t="n">
        <x:v>46159</x:v>
      </x:c>
      <x:c r="N3565" t="str">
        <x:v>SKU-025</x:v>
      </x:c>
      <x:c r="O3565" t="n">
        <x:v>2</x:v>
      </x:c>
      <x:c r="P3565" s="26" t="n">
        <x:f>F3565/O3565</x:f>
        <x:v>89.84</x:v>
      </x:c>
    </x:row>
    <x:row r="3566">
      <x:c r="A3566" t="n">
        <x:v>3565</x:v>
      </x:c>
      <x:c r="B3566" t="n">
        <x:v>33</x:v>
      </x:c>
      <x:c r="C3566" t="str">
        <x:v>Male</x:v>
      </x:c>
      <x:c r="D3566" t="str">
        <x:v>Electronics</x:v>
      </x:c>
      <x:c r="E3566" t="str">
        <x:v>Laptop</x:v>
      </x:c>
      <x:c r="F3566" s="24" t="n">
        <x:v>2844.72</x:v>
      </x:c>
      <x:c r="G3566" t="str">
        <x:v>Summer</x:v>
      </x:c>
      <x:c r="H3566" t="str">
        <x:v>Card</x:v>
      </x:c>
      <x:c r="I3566" t="n">
        <x:v>3.9</x:v>
      </x:c>
      <x:c r="J3566" t="n">
        <x:v>8</x:v>
      </x:c>
      <x:c r="K3566" t="n">
        <x:v>4</x:v>
      </x:c>
      <x:c r="L3566" t="str">
        <x:v>STORE-001</x:v>
      </x:c>
      <x:c r="M3566" s="22" t="n">
        <x:v>46000</x:v>
      </x:c>
      <x:c r="N3566" t="str">
        <x:v>SKU-014</x:v>
      </x:c>
      <x:c r="O3566" t="n">
        <x:v>1</x:v>
      </x:c>
      <x:c r="P3566" s="26" t="n">
        <x:f>F3566/O3566</x:f>
        <x:v>2844.72</x:v>
      </x:c>
    </x:row>
    <x:row r="3567">
      <x:c r="A3567" t="n">
        <x:v>3566</x:v>
      </x:c>
      <x:c r="B3567" t="n">
        <x:v>42</x:v>
      </x:c>
      <x:c r="C3567" t="str">
        <x:v>Female</x:v>
      </x:c>
      <x:c r="D3567" t="str">
        <x:v>Footwear</x:v>
      </x:c>
      <x:c r="E3567" t="str">
        <x:v>Sneakers</x:v>
      </x:c>
      <x:c r="F3567" s="24" t="n">
        <x:v>125.92</x:v>
      </x:c>
      <x:c r="G3567" t="str">
        <x:v>Summer</x:v>
      </x:c>
      <x:c r="H3567" t="str">
        <x:v>Card</x:v>
      </x:c>
      <x:c r="I3567" t="n">
        <x:v>2.8</x:v>
      </x:c>
      <x:c r="J3567" t="n">
        <x:v>10</x:v>
      </x:c>
      <x:c r="K3567" t="n">
        <x:v>5</x:v>
      </x:c>
      <x:c r="L3567" t="str">
        <x:v>STORE-001</x:v>
      </x:c>
      <x:c r="M3567" s="22" t="n">
        <x:v>46062</x:v>
      </x:c>
      <x:c r="N3567" t="str">
        <x:v>SKU-025</x:v>
      </x:c>
      <x:c r="O3567" t="n">
        <x:v>3</x:v>
      </x:c>
      <x:c r="P3567" s="26" t="n">
        <x:f>F3567/O3567</x:f>
        <x:v>41.973333333333336</x:v>
      </x:c>
    </x:row>
    <x:row r="3568">
      <x:c r="A3568" t="n">
        <x:v>3567</x:v>
      </x:c>
      <x:c r="B3568" t="n">
        <x:v>45</x:v>
      </x:c>
      <x:c r="C3568" t="str">
        <x:v>Female</x:v>
      </x:c>
      <x:c r="D3568" t="str">
        <x:v>Beauty</x:v>
      </x:c>
      <x:c r="E3568" t="str">
        <x:v>Skincare Kit</x:v>
      </x:c>
      <x:c r="F3568" s="24" t="n">
        <x:v>21.56</x:v>
      </x:c>
      <x:c r="G3568" t="str">
        <x:v>Spring</x:v>
      </x:c>
      <x:c r="H3568" t="str">
        <x:v>Cash on Delivery</x:v>
      </x:c>
      <x:c r="I3568" t="n">
        <x:v>3.4</x:v>
      </x:c>
      <x:c r="J3568" t="n">
        <x:v>9</x:v>
      </x:c>
      <x:c r="K3568" t="n">
        <x:v>2</x:v>
      </x:c>
      <x:c r="L3568" t="str">
        <x:v>STORE-001</x:v>
      </x:c>
      <x:c r="M3568" s="22" t="n">
        <x:v>46295</x:v>
      </x:c>
      <x:c r="N3568" t="str">
        <x:v>SKU-021</x:v>
      </x:c>
      <x:c r="O3568" t="n">
        <x:v>1</x:v>
      </x:c>
      <x:c r="P3568" s="26" t="n">
        <x:f>F3568/O3568</x:f>
        <x:v>21.56</x:v>
      </x:c>
    </x:row>
    <x:row r="3569">
      <x:c r="A3569" t="n">
        <x:v>3568</x:v>
      </x:c>
      <x:c r="B3569" t="n">
        <x:v>42</x:v>
      </x:c>
      <x:c r="C3569" t="str">
        <x:v>Male</x:v>
      </x:c>
      <x:c r="D3569" t="str">
        <x:v>Groceries</x:v>
      </x:c>
      <x:c r="E3569" t="str">
        <x:v>Beverages</x:v>
      </x:c>
      <x:c r="F3569" s="24" t="n">
        <x:v>65.64</x:v>
      </x:c>
      <x:c r="G3569" t="str">
        <x:v>Winter</x:v>
      </x:c>
      <x:c r="H3569" t="str">
        <x:v>Cash on Delivery</x:v>
      </x:c>
      <x:c r="I3569" t="n">
        <x:v>2.8</x:v>
      </x:c>
      <x:c r="J3569" t="n">
        <x:v>10</x:v>
      </x:c>
      <x:c r="K3569" t="n">
        <x:v>5</x:v>
      </x:c>
      <x:c r="L3569" t="str">
        <x:v>STORE-001</x:v>
      </x:c>
      <x:c r="M3569" s="22" t="n">
        <x:v>46226</x:v>
      </x:c>
      <x:c r="N3569" t="str">
        <x:v>SKU-001</x:v>
      </x:c>
      <x:c r="O3569" t="n">
        <x:v>1</x:v>
      </x:c>
      <x:c r="P3569" s="26" t="n">
        <x:f>F3569/O3569</x:f>
        <x:v>65.64</x:v>
      </x:c>
    </x:row>
    <x:row r="3570">
      <x:c r="A3570" t="n">
        <x:v>3569</x:v>
      </x:c>
      <x:c r="B3570" t="n">
        <x:v>56</x:v>
      </x:c>
      <x:c r="C3570" t="str">
        <x:v>Female</x:v>
      </x:c>
      <x:c r="D3570" t="str">
        <x:v>Accessories</x:v>
      </x:c>
      <x:c r="E3570" t="str">
        <x:v>Wallet</x:v>
      </x:c>
      <x:c r="F3570" s="24" t="n">
        <x:v>110.86</x:v>
      </x:c>
      <x:c r="G3570" t="str">
        <x:v>Autumn</x:v>
      </x:c>
      <x:c r="H3570" t="str">
        <x:v>Card</x:v>
      </x:c>
      <x:c r="I3570" t="n">
        <x:v>4</x:v>
      </x:c>
      <x:c r="J3570" t="n">
        <x:v>22</x:v>
      </x:c>
      <x:c r="K3570" t="n">
        <x:v>6</x:v>
      </x:c>
      <x:c r="L3570" t="str">
        <x:v>STORE-001</x:v>
      </x:c>
      <x:c r="M3570" s="22" t="n">
        <x:v>46103</x:v>
      </x:c>
      <x:c r="N3570" t="str">
        <x:v>SKU-029</x:v>
      </x:c>
      <x:c r="O3570" t="n">
        <x:v>2</x:v>
      </x:c>
      <x:c r="P3570" s="26" t="n">
        <x:f>F3570/O3570</x:f>
        <x:v>55.43</x:v>
      </x:c>
    </x:row>
    <x:row r="3571">
      <x:c r="A3571" t="n">
        <x:v>3570</x:v>
      </x:c>
      <x:c r="B3571" t="n">
        <x:v>37</x:v>
      </x:c>
      <x:c r="C3571" t="str">
        <x:v>Female</x:v>
      </x:c>
      <x:c r="D3571" t="str">
        <x:v>Accessories</x:v>
      </x:c>
      <x:c r="E3571" t="str">
        <x:v>Handbag</x:v>
      </x:c>
      <x:c r="F3571" s="24" t="n">
        <x:v>35.34</x:v>
      </x:c>
      <x:c r="G3571" t="str">
        <x:v>Autumn</x:v>
      </x:c>
      <x:c r="H3571" t="str">
        <x:v>Cash on Delivery</x:v>
      </x:c>
      <x:c r="I3571" t="n">
        <x:v>3.5</x:v>
      </x:c>
      <x:c r="J3571" t="n">
        <x:v>13</x:v>
      </x:c>
      <x:c r="K3571" t="n">
        <x:v>4</x:v>
      </x:c>
      <x:c r="L3571" t="str">
        <x:v>STORE-001</x:v>
      </x:c>
      <x:c r="M3571" s="22" t="n">
        <x:v>46148</x:v>
      </x:c>
      <x:c r="N3571" t="str">
        <x:v>SKU-008</x:v>
      </x:c>
      <x:c r="O3571" t="n">
        <x:v>1</x:v>
      </x:c>
      <x:c r="P3571" s="26" t="n">
        <x:f>F3571/O3571</x:f>
        <x:v>35.34</x:v>
      </x:c>
    </x:row>
    <x:row r="3572">
      <x:c r="A3572" t="n">
        <x:v>3571</x:v>
      </x:c>
      <x:c r="B3572" t="n">
        <x:v>34</x:v>
      </x:c>
      <x:c r="C3572" t="str">
        <x:v>Female</x:v>
      </x:c>
      <x:c r="D3572" t="str">
        <x:v>Footwear</x:v>
      </x:c>
      <x:c r="E3572" t="str">
        <x:v>Sandals</x:v>
      </x:c>
      <x:c r="F3572" s="24" t="n">
        <x:v>41.87</x:v>
      </x:c>
      <x:c r="G3572" t="str">
        <x:v>Spring</x:v>
      </x:c>
      <x:c r="H3572" t="str">
        <x:v>Card</x:v>
      </x:c>
      <x:c r="I3572" t="n">
        <x:v>4</x:v>
      </x:c>
      <x:c r="J3572" t="n">
        <x:v>8</x:v>
      </x:c>
      <x:c r="K3572" t="n">
        <x:v>4</x:v>
      </x:c>
      <x:c r="L3572" t="str">
        <x:v>STORE-001</x:v>
      </x:c>
      <x:c r="M3572" s="22" t="n">
        <x:v>45935</x:v>
      </x:c>
      <x:c r="N3572" t="str">
        <x:v>SKU-019</x:v>
      </x:c>
      <x:c r="O3572" t="n">
        <x:v>1</x:v>
      </x:c>
      <x:c r="P3572" s="26" t="n">
        <x:f>F3572/O3572</x:f>
        <x:v>41.87</x:v>
      </x:c>
    </x:row>
    <x:row r="3573">
      <x:c r="A3573" t="n">
        <x:v>3572</x:v>
      </x:c>
      <x:c r="B3573" t="n">
        <x:v>61</x:v>
      </x:c>
      <x:c r="C3573" t="str">
        <x:v>Male</x:v>
      </x:c>
      <x:c r="D3573" t="str">
        <x:v>Sports</x:v>
      </x:c>
      <x:c r="E3573" t="str">
        <x:v>Football</x:v>
      </x:c>
      <x:c r="F3573" s="24" t="n">
        <x:v>43.84</x:v>
      </x:c>
      <x:c r="G3573" t="str">
        <x:v>Summer</x:v>
      </x:c>
      <x:c r="H3573" t="str">
        <x:v>Cash on Delivery</x:v>
      </x:c>
      <x:c r="I3573" t="n">
        <x:v>3.3</x:v>
      </x:c>
      <x:c r="J3573" t="n">
        <x:v>20</x:v>
      </x:c>
      <x:c r="K3573" t="n">
        <x:v>5</x:v>
      </x:c>
      <x:c r="L3573" t="str">
        <x:v>STORE-001</x:v>
      </x:c>
      <x:c r="M3573" s="22" t="n">
        <x:v>46068</x:v>
      </x:c>
      <x:c r="N3573" t="str">
        <x:v>SKU-006</x:v>
      </x:c>
      <x:c r="O3573" t="n">
        <x:v>1</x:v>
      </x:c>
      <x:c r="P3573" s="26" t="n">
        <x:f>F3573/O3573</x:f>
        <x:v>43.84</x:v>
      </x:c>
    </x:row>
    <x:row r="3574">
      <x:c r="A3574" t="n">
        <x:v>3573</x:v>
      </x:c>
      <x:c r="B3574" t="n">
        <x:v>34</x:v>
      </x:c>
      <x:c r="C3574" t="str">
        <x:v>Male</x:v>
      </x:c>
      <x:c r="D3574" t="str">
        <x:v>Footwear</x:v>
      </x:c>
      <x:c r="E3574" t="str">
        <x:v>Sandals</x:v>
      </x:c>
      <x:c r="F3574" s="24" t="n">
        <x:v>186.06</x:v>
      </x:c>
      <x:c r="G3574" t="str">
        <x:v>Autumn</x:v>
      </x:c>
      <x:c r="H3574" t="str">
        <x:v>Card</x:v>
      </x:c>
      <x:c r="I3574" t="n">
        <x:v>3.8</x:v>
      </x:c>
      <x:c r="J3574" t="n">
        <x:v>16</x:v>
      </x:c>
      <x:c r="K3574" t="n">
        <x:v>3</x:v>
      </x:c>
      <x:c r="L3574" t="str">
        <x:v>STORE-001</x:v>
      </x:c>
      <x:c r="M3574" s="22" t="n">
        <x:v>46161</x:v>
      </x:c>
      <x:c r="N3574" t="str">
        <x:v>SKU-019</x:v>
      </x:c>
      <x:c r="O3574" t="n">
        <x:v>2</x:v>
      </x:c>
      <x:c r="P3574" s="26" t="n">
        <x:f>F3574/O3574</x:f>
        <x:v>93.03</x:v>
      </x:c>
    </x:row>
    <x:row r="3575">
      <x:c r="A3575" t="n">
        <x:v>3574</x:v>
      </x:c>
      <x:c r="B3575" t="n">
        <x:v>42</x:v>
      </x:c>
      <x:c r="C3575" t="str">
        <x:v>Male</x:v>
      </x:c>
      <x:c r="D3575" t="str">
        <x:v>Mens Clothing</x:v>
      </x:c>
      <x:c r="E3575" t="str">
        <x:v>Jacket</x:v>
      </x:c>
      <x:c r="F3575" s="24" t="n">
        <x:v>183.14</x:v>
      </x:c>
      <x:c r="G3575" t="str">
        <x:v>Winter</x:v>
      </x:c>
      <x:c r="H3575" t="str">
        <x:v>Card</x:v>
      </x:c>
      <x:c r="I3575" t="n">
        <x:v>3.1</x:v>
      </x:c>
      <x:c r="J3575" t="n">
        <x:v>12</x:v>
      </x:c>
      <x:c r="K3575" t="n">
        <x:v>6</x:v>
      </x:c>
      <x:c r="L3575" t="str">
        <x:v>STORE-001</x:v>
      </x:c>
      <x:c r="M3575" s="22" t="n">
        <x:v>46202</x:v>
      </x:c>
      <x:c r="N3575" t="str">
        <x:v>SKU-010</x:v>
      </x:c>
      <x:c r="O3575" t="n">
        <x:v>1</x:v>
      </x:c>
      <x:c r="P3575" s="26" t="n">
        <x:f>F3575/O3575</x:f>
        <x:v>183.14</x:v>
      </x:c>
    </x:row>
    <x:row r="3576">
      <x:c r="A3576" t="n">
        <x:v>3575</x:v>
      </x:c>
      <x:c r="B3576" t="n">
        <x:v>38</x:v>
      </x:c>
      <x:c r="C3576" t="str">
        <x:v>Female</x:v>
      </x:c>
      <x:c r="D3576" t="str">
        <x:v>Accessories</x:v>
      </x:c>
      <x:c r="E3576" t="str">
        <x:v>Wallet</x:v>
      </x:c>
      <x:c r="F3576" s="24" t="n">
        <x:v>114.51</x:v>
      </x:c>
      <x:c r="G3576" t="str">
        <x:v>Spring</x:v>
      </x:c>
      <x:c r="H3576" t="str">
        <x:v>Card</x:v>
      </x:c>
      <x:c r="I3576" t="n">
        <x:v>2.7</x:v>
      </x:c>
      <x:c r="J3576" t="n">
        <x:v>19</x:v>
      </x:c>
      <x:c r="K3576" t="n">
        <x:v>7</x:v>
      </x:c>
      <x:c r="L3576" t="str">
        <x:v>STORE-001</x:v>
      </x:c>
      <x:c r="M3576" s="22" t="n">
        <x:v>45956</x:v>
      </x:c>
      <x:c r="N3576" t="str">
        <x:v>SKU-029</x:v>
      </x:c>
      <x:c r="O3576" t="n">
        <x:v>1</x:v>
      </x:c>
      <x:c r="P3576" s="26" t="n">
        <x:f>F3576/O3576</x:f>
        <x:v>114.51</x:v>
      </x:c>
    </x:row>
    <x:row r="3577">
      <x:c r="A3577" t="n">
        <x:v>3576</x:v>
      </x:c>
      <x:c r="B3577" t="n">
        <x:v>58</x:v>
      </x:c>
      <x:c r="C3577" t="str">
        <x:v>Female</x:v>
      </x:c>
      <x:c r="D3577" t="str">
        <x:v>Footwear</x:v>
      </x:c>
      <x:c r="E3577" t="str">
        <x:v>Formal Shoes</x:v>
      </x:c>
      <x:c r="F3577" s="24" t="n">
        <x:v>201.39</x:v>
      </x:c>
      <x:c r="G3577" t="str">
        <x:v>Spring</x:v>
      </x:c>
      <x:c r="H3577" t="str">
        <x:v>Card</x:v>
      </x:c>
      <x:c r="I3577" t="n">
        <x:v>3.7</x:v>
      </x:c>
      <x:c r="J3577" t="n">
        <x:v>14</x:v>
      </x:c>
      <x:c r="K3577" t="n">
        <x:v>7</x:v>
      </x:c>
      <x:c r="L3577" t="str">
        <x:v>STORE-001</x:v>
      </x:c>
      <x:c r="M3577" s="22" t="n">
        <x:v>45941</x:v>
      </x:c>
      <x:c r="N3577" t="str">
        <x:v>SKU-007</x:v>
      </x:c>
      <x:c r="O3577" t="n">
        <x:v>1</x:v>
      </x:c>
      <x:c r="P3577" s="26" t="n">
        <x:f>F3577/O3577</x:f>
        <x:v>201.39</x:v>
      </x:c>
    </x:row>
    <x:row r="3578">
      <x:c r="A3578" t="n">
        <x:v>3577</x:v>
      </x:c>
      <x:c r="B3578" t="n">
        <x:v>31</x:v>
      </x:c>
      <x:c r="C3578" t="str">
        <x:v>Male</x:v>
      </x:c>
      <x:c r="D3578" t="str">
        <x:v>Footwear</x:v>
      </x:c>
      <x:c r="E3578" t="str">
        <x:v>Formal Shoes</x:v>
      </x:c>
      <x:c r="F3578" s="24" t="n">
        <x:v>141.51</x:v>
      </x:c>
      <x:c r="G3578" t="str">
        <x:v>Winter</x:v>
      </x:c>
      <x:c r="H3578" t="str">
        <x:v>Card</x:v>
      </x:c>
      <x:c r="I3578" t="n">
        <x:v>3.7</x:v>
      </x:c>
      <x:c r="J3578" t="n">
        <x:v>30</x:v>
      </x:c>
      <x:c r="K3578" t="n">
        <x:v>10</x:v>
      </x:c>
      <x:c r="L3578" t="str">
        <x:v>STORE-001</x:v>
      </x:c>
      <x:c r="M3578" s="22" t="n">
        <x:v>46218</x:v>
      </x:c>
      <x:c r="N3578" t="str">
        <x:v>SKU-007</x:v>
      </x:c>
      <x:c r="O3578" t="n">
        <x:v>1</x:v>
      </x:c>
      <x:c r="P3578" s="26" t="n">
        <x:f>F3578/O3578</x:f>
        <x:v>141.51</x:v>
      </x:c>
    </x:row>
    <x:row r="3579">
      <x:c r="A3579" t="n">
        <x:v>3578</x:v>
      </x:c>
      <x:c r="B3579" t="n">
        <x:v>22</x:v>
      </x:c>
      <x:c r="C3579" t="str">
        <x:v>Male</x:v>
      </x:c>
      <x:c r="D3579" t="str">
        <x:v>Mens Clothing</x:v>
      </x:c>
      <x:c r="E3579" t="str">
        <x:v>Shirt</x:v>
      </x:c>
      <x:c r="F3579" s="24" t="n">
        <x:v>61.09</x:v>
      </x:c>
      <x:c r="G3579" t="str">
        <x:v>Autumn</x:v>
      </x:c>
      <x:c r="H3579" t="str">
        <x:v>Card</x:v>
      </x:c>
      <x:c r="I3579" t="n">
        <x:v>3.2</x:v>
      </x:c>
      <x:c r="J3579" t="n">
        <x:v>8</x:v>
      </x:c>
      <x:c r="K3579" t="n">
        <x:v>4</x:v>
      </x:c>
      <x:c r="L3579" t="str">
        <x:v>STORE-001</x:v>
      </x:c>
      <x:c r="M3579" s="22" t="n">
        <x:v>46165</x:v>
      </x:c>
      <x:c r="N3579" t="str">
        <x:v>SKU-020</x:v>
      </x:c>
      <x:c r="O3579" t="n">
        <x:v>2</x:v>
      </x:c>
      <x:c r="P3579" s="26" t="n">
        <x:f>F3579/O3579</x:f>
        <x:v>30.545</x:v>
      </x:c>
    </x:row>
    <x:row r="3580">
      <x:c r="A3580" t="n">
        <x:v>3579</x:v>
      </x:c>
      <x:c r="B3580" t="n">
        <x:v>54</x:v>
      </x:c>
      <x:c r="C3580" t="str">
        <x:v>Female</x:v>
      </x:c>
      <x:c r="D3580" t="str">
        <x:v>Womens Clothing</x:v>
      </x:c>
      <x:c r="E3580" t="str">
        <x:v>Top</x:v>
      </x:c>
      <x:c r="F3580" s="24" t="n">
        <x:v>80.7</x:v>
      </x:c>
      <x:c r="G3580" t="str">
        <x:v>Summer</x:v>
      </x:c>
      <x:c r="H3580" t="str">
        <x:v>Cash on Delivery</x:v>
      </x:c>
      <x:c r="I3580" t="n">
        <x:v>3.7</x:v>
      </x:c>
      <x:c r="J3580" t="n">
        <x:v>21</x:v>
      </x:c>
      <x:c r="K3580" t="n">
        <x:v>8</x:v>
      </x:c>
      <x:c r="L3580" t="str">
        <x:v>STORE-001</x:v>
      </x:c>
      <x:c r="M3580" s="22" t="n">
        <x:v>46044</x:v>
      </x:c>
      <x:c r="N3580" t="str">
        <x:v>SKU-028</x:v>
      </x:c>
      <x:c r="O3580" t="n">
        <x:v>2</x:v>
      </x:c>
      <x:c r="P3580" s="26" t="n">
        <x:f>F3580/O3580</x:f>
        <x:v>40.35</x:v>
      </x:c>
    </x:row>
    <x:row r="3581">
      <x:c r="A3581" t="n">
        <x:v>3580</x:v>
      </x:c>
      <x:c r="B3581" t="n">
        <x:v>63</x:v>
      </x:c>
      <x:c r="C3581" t="str">
        <x:v>Female</x:v>
      </x:c>
      <x:c r="D3581" t="str">
        <x:v>Accessories</x:v>
      </x:c>
      <x:c r="E3581" t="str">
        <x:v>Sunglasses</x:v>
      </x:c>
      <x:c r="F3581" s="24" t="n">
        <x:v>88.07</x:v>
      </x:c>
      <x:c r="G3581" t="str">
        <x:v>Autumn</x:v>
      </x:c>
      <x:c r="H3581" t="str">
        <x:v>Cash on Delivery</x:v>
      </x:c>
      <x:c r="I3581" t="n">
        <x:v>3.4</x:v>
      </x:c>
      <x:c r="J3581" t="n">
        <x:v>28</x:v>
      </x:c>
      <x:c r="K3581" t="n">
        <x:v>9</x:v>
      </x:c>
      <x:c r="L3581" t="str">
        <x:v>STORE-001</x:v>
      </x:c>
      <x:c r="M3581" s="22" t="n">
        <x:v>46123</x:v>
      </x:c>
      <x:c r="N3581" t="str">
        <x:v>SKU-026</x:v>
      </x:c>
      <x:c r="O3581" t="n">
        <x:v>1</x:v>
      </x:c>
      <x:c r="P3581" s="26" t="n">
        <x:f>F3581/O3581</x:f>
        <x:v>88.07</x:v>
      </x:c>
    </x:row>
    <x:row r="3582">
      <x:c r="A3582" t="n">
        <x:v>3581</x:v>
      </x:c>
      <x:c r="B3582" t="n">
        <x:v>47</x:v>
      </x:c>
      <x:c r="C3582" t="str">
        <x:v>Male</x:v>
      </x:c>
      <x:c r="D3582" t="str">
        <x:v>Electronics</x:v>
      </x:c>
      <x:c r="E3582" t="str">
        <x:v>Headphones</x:v>
      </x:c>
      <x:c r="F3582" s="24" t="n">
        <x:v>1425.23</x:v>
      </x:c>
      <x:c r="G3582" t="str">
        <x:v>Autumn</x:v>
      </x:c>
      <x:c r="H3582" t="str">
        <x:v>Card</x:v>
      </x:c>
      <x:c r="I3582" t="n">
        <x:v>3.5</x:v>
      </x:c>
      <x:c r="J3582" t="n">
        <x:v>24</x:v>
      </x:c>
      <x:c r="K3582" t="n">
        <x:v>7</x:v>
      </x:c>
      <x:c r="L3582" t="str">
        <x:v>STORE-001</x:v>
      </x:c>
      <x:c r="M3582" s="22" t="n">
        <x:v>46172</x:v>
      </x:c>
      <x:c r="N3582" t="str">
        <x:v>SKU-009</x:v>
      </x:c>
      <x:c r="O3582" t="n">
        <x:v>3</x:v>
      </x:c>
      <x:c r="P3582" s="26" t="n">
        <x:f>F3582/O3582</x:f>
        <x:v>475.07666666666665</x:v>
      </x:c>
    </x:row>
    <x:row r="3583">
      <x:c r="A3583" t="n">
        <x:v>3582</x:v>
      </x:c>
      <x:c r="B3583" t="n">
        <x:v>36</x:v>
      </x:c>
      <x:c r="C3583" t="str">
        <x:v>Male</x:v>
      </x:c>
      <x:c r="D3583" t="str">
        <x:v>Mens Clothing</x:v>
      </x:c>
      <x:c r="E3583" t="str">
        <x:v>Jacket</x:v>
      </x:c>
      <x:c r="F3583" s="24" t="n">
        <x:v>76.67</x:v>
      </x:c>
      <x:c r="G3583" t="str">
        <x:v>Autumn</x:v>
      </x:c>
      <x:c r="H3583" t="str">
        <x:v>Cash on Delivery</x:v>
      </x:c>
      <x:c r="I3583" t="n">
        <x:v>2.8</x:v>
      </x:c>
      <x:c r="J3583" t="n">
        <x:v>12</x:v>
      </x:c>
      <x:c r="K3583" t="n">
        <x:v>6</x:v>
      </x:c>
      <x:c r="L3583" t="str">
        <x:v>STORE-001</x:v>
      </x:c>
      <x:c r="M3583" s="22" t="n">
        <x:v>46100</x:v>
      </x:c>
      <x:c r="N3583" t="str">
        <x:v>SKU-010</x:v>
      </x:c>
      <x:c r="O3583" t="n">
        <x:v>1</x:v>
      </x:c>
      <x:c r="P3583" s="26" t="n">
        <x:f>F3583/O3583</x:f>
        <x:v>76.67</x:v>
      </x:c>
    </x:row>
    <x:row r="3584">
      <x:c r="A3584" t="n">
        <x:v>3583</x:v>
      </x:c>
      <x:c r="B3584" t="n">
        <x:v>47</x:v>
      </x:c>
      <x:c r="C3584" t="str">
        <x:v>Female</x:v>
      </x:c>
      <x:c r="D3584" t="str">
        <x:v>Groceries</x:v>
      </x:c>
      <x:c r="E3584" t="str">
        <x:v>Rice Pack</x:v>
      </x:c>
      <x:c r="F3584" s="24" t="n">
        <x:v>46.13</x:v>
      </x:c>
      <x:c r="G3584" t="str">
        <x:v>Autumn</x:v>
      </x:c>
      <x:c r="H3584" t="str">
        <x:v>Card</x:v>
      </x:c>
      <x:c r="I3584" t="n">
        <x:v>3.4</x:v>
      </x:c>
      <x:c r="J3584" t="n">
        <x:v>14</x:v>
      </x:c>
      <x:c r="K3584" t="n">
        <x:v>7</x:v>
      </x:c>
      <x:c r="L3584" t="str">
        <x:v>STORE-001</x:v>
      </x:c>
      <x:c r="M3584" s="22" t="n">
        <x:v>46157</x:v>
      </x:c>
      <x:c r="N3584" t="str">
        <x:v>SKU-018</x:v>
      </x:c>
      <x:c r="O3584" t="n">
        <x:v>2</x:v>
      </x:c>
      <x:c r="P3584" s="26" t="n">
        <x:f>F3584/O3584</x:f>
        <x:v>23.065</x:v>
      </x:c>
    </x:row>
    <x:row r="3585">
      <x:c r="A3585" t="n">
        <x:v>3584</x:v>
      </x:c>
      <x:c r="B3585" t="n">
        <x:v>54</x:v>
      </x:c>
      <x:c r="C3585" t="str">
        <x:v>Male</x:v>
      </x:c>
      <x:c r="D3585" t="str">
        <x:v>Mens Clothing</x:v>
      </x:c>
      <x:c r="E3585" t="str">
        <x:v>Jeans</x:v>
      </x:c>
      <x:c r="F3585" s="24" t="n">
        <x:v>42.34</x:v>
      </x:c>
      <x:c r="G3585" t="str">
        <x:v>Autumn</x:v>
      </x:c>
      <x:c r="H3585" t="str">
        <x:v>Card</x:v>
      </x:c>
      <x:c r="I3585" t="n">
        <x:v>4.2</x:v>
      </x:c>
      <x:c r="J3585" t="n">
        <x:v>22</x:v>
      </x:c>
      <x:c r="K3585" t="n">
        <x:v>6</x:v>
      </x:c>
      <x:c r="L3585" t="str">
        <x:v>STORE-001</x:v>
      </x:c>
      <x:c r="M3585" s="22" t="n">
        <x:v>46106</x:v>
      </x:c>
      <x:c r="N3585" t="str">
        <x:v>SKU-011</x:v>
      </x:c>
      <x:c r="O3585" t="n">
        <x:v>1</x:v>
      </x:c>
      <x:c r="P3585" s="26" t="n">
        <x:f>F3585/O3585</x:f>
        <x:v>42.34</x:v>
      </x:c>
    </x:row>
    <x:row r="3586">
      <x:c r="A3586" t="n">
        <x:v>3585</x:v>
      </x:c>
      <x:c r="B3586" t="n">
        <x:v>46</x:v>
      </x:c>
      <x:c r="C3586" t="str">
        <x:v>Male</x:v>
      </x:c>
      <x:c r="D3586" t="str">
        <x:v>Sports</x:v>
      </x:c>
      <x:c r="E3586" t="str">
        <x:v>Football</x:v>
      </x:c>
      <x:c r="F3586" s="24" t="n">
        <x:v>62.68</x:v>
      </x:c>
      <x:c r="G3586" t="str">
        <x:v>Spring</x:v>
      </x:c>
      <x:c r="H3586" t="str">
        <x:v>Card</x:v>
      </x:c>
      <x:c r="I3586" t="n">
        <x:v>2.3</x:v>
      </x:c>
      <x:c r="J3586" t="n">
        <x:v>13</x:v>
      </x:c>
      <x:c r="K3586" t="n">
        <x:v>4</x:v>
      </x:c>
      <x:c r="L3586" t="str">
        <x:v>STORE-001</x:v>
      </x:c>
      <x:c r="M3586" s="22" t="n">
        <x:v>45945</x:v>
      </x:c>
      <x:c r="N3586" t="str">
        <x:v>SKU-006</x:v>
      </x:c>
      <x:c r="O3586" t="n">
        <x:v>1</x:v>
      </x:c>
      <x:c r="P3586" s="26" t="n">
        <x:f>F3586/O3586</x:f>
        <x:v>62.68</x:v>
      </x:c>
    </x:row>
    <x:row r="3587">
      <x:c r="A3587" t="n">
        <x:v>3586</x:v>
      </x:c>
      <x:c r="B3587" t="n">
        <x:v>38</x:v>
      </x:c>
      <x:c r="C3587" t="str">
        <x:v>Male</x:v>
      </x:c>
      <x:c r="D3587" t="str">
        <x:v>Electronics</x:v>
      </x:c>
      <x:c r="E3587" t="str">
        <x:v>Smart Watch</x:v>
      </x:c>
      <x:c r="F3587" s="24" t="n">
        <x:v>2478.74</x:v>
      </x:c>
      <x:c r="G3587" t="str">
        <x:v>Spring</x:v>
      </x:c>
      <x:c r="H3587" t="str">
        <x:v>Card</x:v>
      </x:c>
      <x:c r="I3587" t="n">
        <x:v>4.9</x:v>
      </x:c>
      <x:c r="J3587" t="n">
        <x:v>32</x:v>
      </x:c>
      <x:c r="K3587" t="n">
        <x:v>11</x:v>
      </x:c>
      <x:c r="L3587" t="str">
        <x:v>STORE-001</x:v>
      </x:c>
      <x:c r="M3587" s="22" t="n">
        <x:v>46272</x:v>
      </x:c>
      <x:c r="N3587" t="str">
        <x:v>SKU-023</x:v>
      </x:c>
      <x:c r="O3587" t="n">
        <x:v>1</x:v>
      </x:c>
      <x:c r="P3587" s="26" t="n">
        <x:f>F3587/O3587</x:f>
        <x:v>2478.74</x:v>
      </x:c>
    </x:row>
    <x:row r="3588">
      <x:c r="A3588" t="n">
        <x:v>3587</x:v>
      </x:c>
      <x:c r="B3588" t="n">
        <x:v>25</x:v>
      </x:c>
      <x:c r="C3588" t="str">
        <x:v>Female</x:v>
      </x:c>
      <x:c r="D3588" t="str">
        <x:v>Accessories</x:v>
      </x:c>
      <x:c r="E3588" t="str">
        <x:v>Wallet</x:v>
      </x:c>
      <x:c r="F3588" s="24" t="n">
        <x:v>84.07</x:v>
      </x:c>
      <x:c r="G3588" t="str">
        <x:v>Spring</x:v>
      </x:c>
      <x:c r="H3588" t="str">
        <x:v>Cash on Delivery</x:v>
      </x:c>
      <x:c r="I3588" t="n">
        <x:v>3.7</x:v>
      </x:c>
      <x:c r="J3588" t="n">
        <x:v>20</x:v>
      </x:c>
      <x:c r="K3588" t="n">
        <x:v>5</x:v>
      </x:c>
      <x:c r="L3588" t="str">
        <x:v>STORE-001</x:v>
      </x:c>
      <x:c r="M3588" s="22" t="n">
        <x:v>46282</x:v>
      </x:c>
      <x:c r="N3588" t="str">
        <x:v>SKU-029</x:v>
      </x:c>
      <x:c r="O3588" t="n">
        <x:v>1</x:v>
      </x:c>
      <x:c r="P3588" s="26" t="n">
        <x:f>F3588/O3588</x:f>
        <x:v>84.07</x:v>
      </x:c>
    </x:row>
    <x:row r="3589">
      <x:c r="A3589" t="n">
        <x:v>3588</x:v>
      </x:c>
      <x:c r="B3589" t="n">
        <x:v>68</x:v>
      </x:c>
      <x:c r="C3589" t="str">
        <x:v>Male</x:v>
      </x:c>
      <x:c r="D3589" t="str">
        <x:v>Electronics</x:v>
      </x:c>
      <x:c r="E3589" t="str">
        <x:v>Headphones</x:v>
      </x:c>
      <x:c r="F3589" s="24" t="n">
        <x:v>2454.39</x:v>
      </x:c>
      <x:c r="G3589" t="str">
        <x:v>Autumn</x:v>
      </x:c>
      <x:c r="H3589" t="str">
        <x:v>Card</x:v>
      </x:c>
      <x:c r="I3589" t="n">
        <x:v>4.1</x:v>
      </x:c>
      <x:c r="J3589" t="n">
        <x:v>20</x:v>
      </x:c>
      <x:c r="K3589" t="n">
        <x:v>5</x:v>
      </x:c>
      <x:c r="L3589" t="str">
        <x:v>STORE-001</x:v>
      </x:c>
      <x:c r="M3589" s="22" t="n">
        <x:v>46138</x:v>
      </x:c>
      <x:c r="N3589" t="str">
        <x:v>SKU-009</x:v>
      </x:c>
      <x:c r="O3589" t="n">
        <x:v>1</x:v>
      </x:c>
      <x:c r="P3589" s="26" t="n">
        <x:f>F3589/O3589</x:f>
        <x:v>2454.39</x:v>
      </x:c>
    </x:row>
    <x:row r="3590">
      <x:c r="A3590" t="n">
        <x:v>3589</x:v>
      </x:c>
      <x:c r="B3590" t="n">
        <x:v>56</x:v>
      </x:c>
      <x:c r="C3590" t="str">
        <x:v>Male</x:v>
      </x:c>
      <x:c r="D3590" t="str">
        <x:v>Electronics</x:v>
      </x:c>
      <x:c r="E3590" t="str">
        <x:v>Smart Watch</x:v>
      </x:c>
      <x:c r="F3590" s="24" t="n">
        <x:v>1041.34</x:v>
      </x:c>
      <x:c r="G3590" t="str">
        <x:v>Autumn</x:v>
      </x:c>
      <x:c r="H3590" t="str">
        <x:v>Card</x:v>
      </x:c>
      <x:c r="I3590" t="n">
        <x:v>3.4</x:v>
      </x:c>
      <x:c r="J3590" t="n">
        <x:v>15</x:v>
      </x:c>
      <x:c r="K3590" t="n">
        <x:v>5</x:v>
      </x:c>
      <x:c r="L3590" t="str">
        <x:v>STORE-001</x:v>
      </x:c>
      <x:c r="M3590" s="22" t="n">
        <x:v>46172</x:v>
      </x:c>
      <x:c r="N3590" t="str">
        <x:v>SKU-023</x:v>
      </x:c>
      <x:c r="O3590" t="n">
        <x:v>1</x:v>
      </x:c>
      <x:c r="P3590" s="26" t="n">
        <x:f>F3590/O3590</x:f>
        <x:v>1041.34</x:v>
      </x:c>
    </x:row>
    <x:row r="3591">
      <x:c r="A3591" t="n">
        <x:v>3590</x:v>
      </x:c>
      <x:c r="B3591" t="n">
        <x:v>56</x:v>
      </x:c>
      <x:c r="C3591" t="str">
        <x:v>Male</x:v>
      </x:c>
      <x:c r="D3591" t="str">
        <x:v>Sports</x:v>
      </x:c>
      <x:c r="E3591" t="str">
        <x:v>Dumbbells</x:v>
      </x:c>
      <x:c r="F3591" s="24" t="n">
        <x:v>235.44</x:v>
      </x:c>
      <x:c r="G3591" t="str">
        <x:v>Summer</x:v>
      </x:c>
      <x:c r="H3591" t="str">
        <x:v>Card</x:v>
      </x:c>
      <x:c r="I3591" t="n">
        <x:v>2.4</x:v>
      </x:c>
      <x:c r="J3591" t="n">
        <x:v>15</x:v>
      </x:c>
      <x:c r="K3591" t="n">
        <x:v>5</x:v>
      </x:c>
      <x:c r="L3591" t="str">
        <x:v>STORE-001</x:v>
      </x:c>
      <x:c r="M3591" s="22" t="n">
        <x:v>46025</x:v>
      </x:c>
      <x:c r="N3591" t="str">
        <x:v>SKU-005</x:v>
      </x:c>
      <x:c r="O3591" t="n">
        <x:v>3</x:v>
      </x:c>
      <x:c r="P3591" s="26" t="n">
        <x:f>F3591/O3591</x:f>
        <x:v>78.48</x:v>
      </x:c>
    </x:row>
    <x:row r="3592">
      <x:c r="A3592" t="n">
        <x:v>3591</x:v>
      </x:c>
      <x:c r="B3592" t="n">
        <x:v>35</x:v>
      </x:c>
      <x:c r="C3592" t="str">
        <x:v>Female</x:v>
      </x:c>
      <x:c r="D3592" t="str">
        <x:v>Beauty</x:v>
      </x:c>
      <x:c r="E3592" t="str">
        <x:v>Makeup Set</x:v>
      </x:c>
      <x:c r="F3592" s="24" t="n">
        <x:v>35.72</x:v>
      </x:c>
      <x:c r="G3592" t="str">
        <x:v>Autumn</x:v>
      </x:c>
      <x:c r="H3592" t="str">
        <x:v>Card</x:v>
      </x:c>
      <x:c r="I3592" t="n">
        <x:v>4.3</x:v>
      </x:c>
      <x:c r="J3592" t="n">
        <x:v>8</x:v>
      </x:c>
      <x:c r="K3592" t="n">
        <x:v>4</x:v>
      </x:c>
      <x:c r="L3592" t="str">
        <x:v>STORE-001</x:v>
      </x:c>
      <x:c r="M3592" s="22" t="n">
        <x:v>46137</x:v>
      </x:c>
      <x:c r="N3592" t="str">
        <x:v>SKU-015</x:v>
      </x:c>
      <x:c r="O3592" t="n">
        <x:v>2</x:v>
      </x:c>
      <x:c r="P3592" s="26" t="n">
        <x:f>F3592/O3592</x:f>
        <x:v>17.86</x:v>
      </x:c>
    </x:row>
    <x:row r="3593">
      <x:c r="A3593" t="n">
        <x:v>3592</x:v>
      </x:c>
      <x:c r="B3593" t="n">
        <x:v>27</x:v>
      </x:c>
      <x:c r="C3593" t="str">
        <x:v>Male</x:v>
      </x:c>
      <x:c r="D3593" t="str">
        <x:v>Mens Clothing</x:v>
      </x:c>
      <x:c r="E3593" t="str">
        <x:v>Shirt</x:v>
      </x:c>
      <x:c r="F3593" s="24" t="n">
        <x:v>134.71</x:v>
      </x:c>
      <x:c r="G3593" t="str">
        <x:v>Spring</x:v>
      </x:c>
      <x:c r="H3593" t="str">
        <x:v>Card</x:v>
      </x:c>
      <x:c r="I3593" t="n">
        <x:v>3.2</x:v>
      </x:c>
      <x:c r="J3593" t="n">
        <x:v>16</x:v>
      </x:c>
      <x:c r="K3593" t="n">
        <x:v>3</x:v>
      </x:c>
      <x:c r="L3593" t="str">
        <x:v>STORE-001</x:v>
      </x:c>
      <x:c r="M3593" s="22" t="n">
        <x:v>46292</x:v>
      </x:c>
      <x:c r="N3593" t="str">
        <x:v>SKU-020</x:v>
      </x:c>
      <x:c r="O3593" t="n">
        <x:v>1</x:v>
      </x:c>
      <x:c r="P3593" s="26" t="n">
        <x:f>F3593/O3593</x:f>
        <x:v>134.71</x:v>
      </x:c>
    </x:row>
    <x:row r="3594">
      <x:c r="A3594" t="n">
        <x:v>3593</x:v>
      </x:c>
      <x:c r="B3594" t="n">
        <x:v>33</x:v>
      </x:c>
      <x:c r="C3594" t="str">
        <x:v>Female</x:v>
      </x:c>
      <x:c r="D3594" t="str">
        <x:v>Footwear</x:v>
      </x:c>
      <x:c r="E3594" t="str">
        <x:v>Sandals</x:v>
      </x:c>
      <x:c r="F3594" s="24" t="n">
        <x:v>148.92</x:v>
      </x:c>
      <x:c r="G3594" t="str">
        <x:v>Winter</x:v>
      </x:c>
      <x:c r="H3594" t="str">
        <x:v>Card</x:v>
      </x:c>
      <x:c r="I3594" t="n">
        <x:v>4.1</x:v>
      </x:c>
      <x:c r="J3594" t="n">
        <x:v>4</x:v>
      </x:c>
      <x:c r="K3594" t="n">
        <x:v>2</x:v>
      </x:c>
      <x:c r="L3594" t="str">
        <x:v>STORE-001</x:v>
      </x:c>
      <x:c r="M3594" s="22" t="n">
        <x:v>46234</x:v>
      </x:c>
      <x:c r="N3594" t="str">
        <x:v>SKU-019</x:v>
      </x:c>
      <x:c r="O3594" t="n">
        <x:v>1</x:v>
      </x:c>
      <x:c r="P3594" s="26" t="n">
        <x:f>F3594/O3594</x:f>
        <x:v>148.92</x:v>
      </x:c>
    </x:row>
    <x:row r="3595">
      <x:c r="A3595" t="n">
        <x:v>3594</x:v>
      </x:c>
      <x:c r="B3595" t="n">
        <x:v>30</x:v>
      </x:c>
      <x:c r="C3595" t="str">
        <x:v>Male</x:v>
      </x:c>
      <x:c r="D3595" t="str">
        <x:v>Mens Clothing</x:v>
      </x:c>
      <x:c r="E3595" t="str">
        <x:v>Jacket</x:v>
      </x:c>
      <x:c r="F3595" s="24" t="n">
        <x:v>104.95</x:v>
      </x:c>
      <x:c r="G3595" t="str">
        <x:v>Summer</x:v>
      </x:c>
      <x:c r="H3595" t="str">
        <x:v>Card</x:v>
      </x:c>
      <x:c r="I3595" t="n">
        <x:v>3.9</x:v>
      </x:c>
      <x:c r="J3595" t="n">
        <x:v>22</x:v>
      </x:c>
      <x:c r="K3595" t="n">
        <x:v>6</x:v>
      </x:c>
      <x:c r="L3595" t="str">
        <x:v>STORE-001</x:v>
      </x:c>
      <x:c r="M3595" s="22" t="n">
        <x:v>46044</x:v>
      </x:c>
      <x:c r="N3595" t="str">
        <x:v>SKU-010</x:v>
      </x:c>
      <x:c r="O3595" t="n">
        <x:v>1</x:v>
      </x:c>
      <x:c r="P3595" s="26" t="n">
        <x:f>F3595/O3595</x:f>
        <x:v>104.95</x:v>
      </x:c>
    </x:row>
    <x:row r="3596">
      <x:c r="A3596" t="n">
        <x:v>3595</x:v>
      </x:c>
      <x:c r="B3596" t="n">
        <x:v>49</x:v>
      </x:c>
      <x:c r="C3596" t="str">
        <x:v>Female</x:v>
      </x:c>
      <x:c r="D3596" t="str">
        <x:v>Accessories</x:v>
      </x:c>
      <x:c r="E3596" t="str">
        <x:v>Handbag</x:v>
      </x:c>
      <x:c r="F3596" s="24" t="n">
        <x:v>103.47</x:v>
      </x:c>
      <x:c r="G3596" t="str">
        <x:v>Summer</x:v>
      </x:c>
      <x:c r="H3596" t="str">
        <x:v>Card</x:v>
      </x:c>
      <x:c r="I3596" t="n">
        <x:v>3.5</x:v>
      </x:c>
      <x:c r="J3596" t="n">
        <x:v>26</x:v>
      </x:c>
      <x:c r="K3596" t="n">
        <x:v>8</x:v>
      </x:c>
      <x:c r="L3596" t="str">
        <x:v>STORE-001</x:v>
      </x:c>
      <x:c r="M3596" s="22" t="n">
        <x:v>46008</x:v>
      </x:c>
      <x:c r="N3596" t="str">
        <x:v>SKU-008</x:v>
      </x:c>
      <x:c r="O3596" t="n">
        <x:v>1</x:v>
      </x:c>
      <x:c r="P3596" s="26" t="n">
        <x:f>F3596/O3596</x:f>
        <x:v>103.47</x:v>
      </x:c>
    </x:row>
    <x:row r="3597">
      <x:c r="A3597" t="n">
        <x:v>3596</x:v>
      </x:c>
      <x:c r="B3597" t="n">
        <x:v>55</x:v>
      </x:c>
      <x:c r="C3597" t="str">
        <x:v>Female</x:v>
      </x:c>
      <x:c r="D3597" t="str">
        <x:v>Home</x:v>
      </x:c>
      <x:c r="E3597" t="str">
        <x:v>Lamp</x:v>
      </x:c>
      <x:c r="F3597" s="24" t="n">
        <x:v>298.6</x:v>
      </x:c>
      <x:c r="G3597" t="str">
        <x:v>Autumn</x:v>
      </x:c>
      <x:c r="H3597" t="str">
        <x:v>Card</x:v>
      </x:c>
      <x:c r="I3597" t="n">
        <x:v>4.7</x:v>
      </x:c>
      <x:c r="J3597" t="n">
        <x:v>17</x:v>
      </x:c>
      <x:c r="K3597" t="n">
        <x:v>6</x:v>
      </x:c>
      <x:c r="L3597" t="str">
        <x:v>STORE-001</x:v>
      </x:c>
      <x:c r="M3597" s="22" t="n">
        <x:v>46128</x:v>
      </x:c>
      <x:c r="N3597" t="str">
        <x:v>SKU-013</x:v>
      </x:c>
      <x:c r="O3597" t="n">
        <x:v>1</x:v>
      </x:c>
      <x:c r="P3597" s="26" t="n">
        <x:f>F3597/O3597</x:f>
        <x:v>298.6</x:v>
      </x:c>
    </x:row>
    <x:row r="3598">
      <x:c r="A3598" t="n">
        <x:v>3597</x:v>
      </x:c>
      <x:c r="B3598" t="n">
        <x:v>51</x:v>
      </x:c>
      <x:c r="C3598" t="str">
        <x:v>Male</x:v>
      </x:c>
      <x:c r="D3598" t="str">
        <x:v>Sports</x:v>
      </x:c>
      <x:c r="E3598" t="str">
        <x:v>Yoga Mat</x:v>
      </x:c>
      <x:c r="F3598" s="24" t="n">
        <x:v>39.06</x:v>
      </x:c>
      <x:c r="G3598" t="str">
        <x:v>Spring</x:v>
      </x:c>
      <x:c r="H3598" t="str">
        <x:v>Card</x:v>
      </x:c>
      <x:c r="I3598" t="n">
        <x:v>3.7</x:v>
      </x:c>
      <x:c r="J3598" t="n">
        <x:v>20</x:v>
      </x:c>
      <x:c r="K3598" t="n">
        <x:v>5</x:v>
      </x:c>
      <x:c r="L3598" t="str">
        <x:v>STORE-001</x:v>
      </x:c>
      <x:c r="M3598" s="22" t="n">
        <x:v>46293</x:v>
      </x:c>
      <x:c r="N3598" t="str">
        <x:v>SKU-030</x:v>
      </x:c>
      <x:c r="O3598" t="n">
        <x:v>2</x:v>
      </x:c>
      <x:c r="P3598" s="26" t="n">
        <x:f>F3598/O3598</x:f>
        <x:v>19.53</x:v>
      </x:c>
    </x:row>
    <x:row r="3599">
      <x:c r="A3599" t="n">
        <x:v>3598</x:v>
      </x:c>
      <x:c r="B3599" t="n">
        <x:v>40</x:v>
      </x:c>
      <x:c r="C3599" t="str">
        <x:v>Male</x:v>
      </x:c>
      <x:c r="D3599" t="str">
        <x:v>Mens Clothing</x:v>
      </x:c>
      <x:c r="E3599" t="str">
        <x:v>Shirt</x:v>
      </x:c>
      <x:c r="F3599" s="24" t="n">
        <x:v>133.24</x:v>
      </x:c>
      <x:c r="G3599" t="str">
        <x:v>Summer</x:v>
      </x:c>
      <x:c r="H3599" t="str">
        <x:v>Card</x:v>
      </x:c>
      <x:c r="I3599" t="n">
        <x:v>3.8</x:v>
      </x:c>
      <x:c r="J3599" t="n">
        <x:v>17</x:v>
      </x:c>
      <x:c r="K3599" t="n">
        <x:v>6</x:v>
      </x:c>
      <x:c r="L3599" t="str">
        <x:v>STORE-001</x:v>
      </x:c>
      <x:c r="M3599" s="22" t="n">
        <x:v>46077</x:v>
      </x:c>
      <x:c r="N3599" t="str">
        <x:v>SKU-020</x:v>
      </x:c>
      <x:c r="O3599" t="n">
        <x:v>1</x:v>
      </x:c>
      <x:c r="P3599" s="26" t="n">
        <x:f>F3599/O3599</x:f>
        <x:v>133.24</x:v>
      </x:c>
    </x:row>
    <x:row r="3600">
      <x:c r="A3600" t="n">
        <x:v>3599</x:v>
      </x:c>
      <x:c r="B3600" t="n">
        <x:v>42</x:v>
      </x:c>
      <x:c r="C3600" t="str">
        <x:v>Male</x:v>
      </x:c>
      <x:c r="D3600" t="str">
        <x:v>Electronics</x:v>
      </x:c>
      <x:c r="E3600" t="str">
        <x:v>Mobile Phone</x:v>
      </x:c>
      <x:c r="F3600" s="24" t="n">
        <x:v>897.41</x:v>
      </x:c>
      <x:c r="G3600" t="str">
        <x:v>Autumn</x:v>
      </x:c>
      <x:c r="H3600" t="str">
        <x:v>Card</x:v>
      </x:c>
      <x:c r="I3600" t="n">
        <x:v>3.8</x:v>
      </x:c>
      <x:c r="J3600" t="n">
        <x:v>19</x:v>
      </x:c>
      <x:c r="K3600" t="n">
        <x:v>7</x:v>
      </x:c>
      <x:c r="L3600" t="str">
        <x:v>STORE-001</x:v>
      </x:c>
      <x:c r="M3600" s="22" t="n">
        <x:v>46106</x:v>
      </x:c>
      <x:c r="N3600" t="str">
        <x:v>SKU-016</x:v>
      </x:c>
      <x:c r="O3600" t="n">
        <x:v>1</x:v>
      </x:c>
      <x:c r="P3600" s="26" t="n">
        <x:f>F3600/O3600</x:f>
        <x:v>897.41</x:v>
      </x:c>
    </x:row>
    <x:row r="3601">
      <x:c r="A3601" t="n">
        <x:v>3600</x:v>
      </x:c>
      <x:c r="B3601" t="n">
        <x:v>52</x:v>
      </x:c>
      <x:c r="C3601" t="str">
        <x:v>Male</x:v>
      </x:c>
      <x:c r="D3601" t="str">
        <x:v>Footwear</x:v>
      </x:c>
      <x:c r="E3601" t="str">
        <x:v>Sneakers</x:v>
      </x:c>
      <x:c r="F3601" s="24" t="n">
        <x:v>86.48</x:v>
      </x:c>
      <x:c r="G3601" t="str">
        <x:v>Winter</x:v>
      </x:c>
      <x:c r="H3601" t="str">
        <x:v>Cash on Delivery</x:v>
      </x:c>
      <x:c r="I3601" t="n">
        <x:v>3.2</x:v>
      </x:c>
      <x:c r="J3601" t="n">
        <x:v>22</x:v>
      </x:c>
      <x:c r="K3601" t="n">
        <x:v>6</x:v>
      </x:c>
      <x:c r="L3601" t="str">
        <x:v>STORE-001</x:v>
      </x:c>
      <x:c r="M3601" s="22" t="n">
        <x:v>46198</x:v>
      </x:c>
      <x:c r="N3601" t="str">
        <x:v>SKU-025</x:v>
      </x:c>
      <x:c r="O3601" t="n">
        <x:v>2</x:v>
      </x:c>
      <x:c r="P3601" s="26" t="n">
        <x:f>F3601/O3601</x:f>
        <x:v>43.24</x:v>
      </x:c>
    </x:row>
    <x:row r="3602">
      <x:c r="A3602" t="n">
        <x:v>3601</x:v>
      </x:c>
      <x:c r="B3602" t="n">
        <x:v>56</x:v>
      </x:c>
      <x:c r="C3602" t="str">
        <x:v>Female</x:v>
      </x:c>
      <x:c r="D3602" t="str">
        <x:v>Footwear</x:v>
      </x:c>
      <x:c r="E3602" t="str">
        <x:v>Sandals</x:v>
      </x:c>
      <x:c r="F3602" s="24" t="n">
        <x:v>125.07</x:v>
      </x:c>
      <x:c r="G3602" t="str">
        <x:v>Autumn</x:v>
      </x:c>
      <x:c r="H3602" t="str">
        <x:v>Card</x:v>
      </x:c>
      <x:c r="I3602" t="n">
        <x:v>2.8</x:v>
      </x:c>
      <x:c r="J3602" t="n">
        <x:v>18</x:v>
      </x:c>
      <x:c r="K3602" t="n">
        <x:v>4</x:v>
      </x:c>
      <x:c r="L3602" t="str">
        <x:v>STORE-001</x:v>
      </x:c>
      <x:c r="M3602" s="22" t="n">
        <x:v>46084</x:v>
      </x:c>
      <x:c r="N3602" t="str">
        <x:v>SKU-019</x:v>
      </x:c>
      <x:c r="O3602" t="n">
        <x:v>1</x:v>
      </x:c>
      <x:c r="P3602" s="26" t="n">
        <x:f>F3602/O3602</x:f>
        <x:v>125.07</x:v>
      </x:c>
    </x:row>
    <x:row r="3603">
      <x:c r="A3603" t="n">
        <x:v>3602</x:v>
      </x:c>
      <x:c r="B3603" t="n">
        <x:v>46</x:v>
      </x:c>
      <x:c r="C3603" t="str">
        <x:v>Male</x:v>
      </x:c>
      <x:c r="D3603" t="str">
        <x:v>Sports</x:v>
      </x:c>
      <x:c r="E3603" t="str">
        <x:v>Yoga Mat</x:v>
      </x:c>
      <x:c r="F3603" s="24" t="n">
        <x:v>216.22</x:v>
      </x:c>
      <x:c r="G3603" t="str">
        <x:v>Winter</x:v>
      </x:c>
      <x:c r="H3603" t="str">
        <x:v>Card</x:v>
      </x:c>
      <x:c r="I3603" t="n">
        <x:v>3.2</x:v>
      </x:c>
      <x:c r="J3603" t="n">
        <x:v>22</x:v>
      </x:c>
      <x:c r="K3603" t="n">
        <x:v>6</x:v>
      </x:c>
      <x:c r="L3603" t="str">
        <x:v>STORE-001</x:v>
      </x:c>
      <x:c r="M3603" s="22" t="n">
        <x:v>46177</x:v>
      </x:c>
      <x:c r="N3603" t="str">
        <x:v>SKU-030</x:v>
      </x:c>
      <x:c r="O3603" t="n">
        <x:v>1</x:v>
      </x:c>
      <x:c r="P3603" s="26" t="n">
        <x:f>F3603/O3603</x:f>
        <x:v>216.22</x:v>
      </x:c>
    </x:row>
    <x:row r="3604">
      <x:c r="A3604" t="n">
        <x:v>3603</x:v>
      </x:c>
      <x:c r="B3604" t="n">
        <x:v>55</x:v>
      </x:c>
      <x:c r="C3604" t="str">
        <x:v>Female</x:v>
      </x:c>
      <x:c r="D3604" t="str">
        <x:v>Beauty</x:v>
      </x:c>
      <x:c r="E3604" t="str">
        <x:v>Makeup Set</x:v>
      </x:c>
      <x:c r="F3604" s="24" t="n">
        <x:v>29.52</x:v>
      </x:c>
      <x:c r="G3604" t="str">
        <x:v>Spring</x:v>
      </x:c>
      <x:c r="H3604" t="str">
        <x:v>Cash on Delivery</x:v>
      </x:c>
      <x:c r="I3604" t="n">
        <x:v>3.8</x:v>
      </x:c>
      <x:c r="J3604" t="n">
        <x:v>4</x:v>
      </x:c>
      <x:c r="K3604" t="n">
        <x:v>2</x:v>
      </x:c>
      <x:c r="L3604" t="str">
        <x:v>STORE-001</x:v>
      </x:c>
      <x:c r="M3604" s="22" t="n">
        <x:v>46292</x:v>
      </x:c>
      <x:c r="N3604" t="str">
        <x:v>SKU-015</x:v>
      </x:c>
      <x:c r="O3604" t="n">
        <x:v>1</x:v>
      </x:c>
      <x:c r="P3604" s="26" t="n">
        <x:f>F3604/O3604</x:f>
        <x:v>29.52</x:v>
      </x:c>
    </x:row>
    <x:row r="3605">
      <x:c r="A3605" t="n">
        <x:v>3604</x:v>
      </x:c>
      <x:c r="B3605" t="n">
        <x:v>39</x:v>
      </x:c>
      <x:c r="C3605" t="str">
        <x:v>Female</x:v>
      </x:c>
      <x:c r="D3605" t="str">
        <x:v>Womens Clothing</x:v>
      </x:c>
      <x:c r="E3605" t="str">
        <x:v>Top</x:v>
      </x:c>
      <x:c r="F3605" s="24" t="n">
        <x:v>174.95</x:v>
      </x:c>
      <x:c r="G3605" t="str">
        <x:v>Autumn</x:v>
      </x:c>
      <x:c r="H3605" t="str">
        <x:v>Card</x:v>
      </x:c>
      <x:c r="I3605" t="n">
        <x:v>2.9</x:v>
      </x:c>
      <x:c r="J3605" t="n">
        <x:v>13</x:v>
      </x:c>
      <x:c r="K3605" t="n">
        <x:v>4</x:v>
      </x:c>
      <x:c r="L3605" t="str">
        <x:v>STORE-001</x:v>
      </x:c>
      <x:c r="M3605" s="22" t="n">
        <x:v>46092</x:v>
      </x:c>
      <x:c r="N3605" t="str">
        <x:v>SKU-028</x:v>
      </x:c>
      <x:c r="O3605" t="n">
        <x:v>3</x:v>
      </x:c>
      <x:c r="P3605" s="26" t="n">
        <x:f>F3605/O3605</x:f>
        <x:v>58.31666666666666</x:v>
      </x:c>
    </x:row>
    <x:row r="3606">
      <x:c r="A3606" t="n">
        <x:v>3605</x:v>
      </x:c>
      <x:c r="B3606" t="n">
        <x:v>49</x:v>
      </x:c>
      <x:c r="C3606" t="str">
        <x:v>Male</x:v>
      </x:c>
      <x:c r="D3606" t="str">
        <x:v>Mens Clothing</x:v>
      </x:c>
      <x:c r="E3606" t="str">
        <x:v>Shirt</x:v>
      </x:c>
      <x:c r="F3606" s="24" t="n">
        <x:v>101.38</x:v>
      </x:c>
      <x:c r="G3606" t="str">
        <x:v>Spring</x:v>
      </x:c>
      <x:c r="H3606" t="str">
        <x:v>Card</x:v>
      </x:c>
      <x:c r="I3606" t="n">
        <x:v>3.3</x:v>
      </x:c>
      <x:c r="J3606" t="n">
        <x:v>12</x:v>
      </x:c>
      <x:c r="K3606" t="n">
        <x:v>6</x:v>
      </x:c>
      <x:c r="L3606" t="str">
        <x:v>STORE-001</x:v>
      </x:c>
      <x:c r="M3606" s="22" t="n">
        <x:v>45978</x:v>
      </x:c>
      <x:c r="N3606" t="str">
        <x:v>SKU-020</x:v>
      </x:c>
      <x:c r="O3606" t="n">
        <x:v>2</x:v>
      </x:c>
      <x:c r="P3606" s="26" t="n">
        <x:f>F3606/O3606</x:f>
        <x:v>50.69</x:v>
      </x:c>
    </x:row>
    <x:row r="3607">
      <x:c r="A3607" t="n">
        <x:v>3606</x:v>
      </x:c>
      <x:c r="B3607" t="n">
        <x:v>53</x:v>
      </x:c>
      <x:c r="C3607" t="str">
        <x:v>Male</x:v>
      </x:c>
      <x:c r="D3607" t="str">
        <x:v>Sports</x:v>
      </x:c>
      <x:c r="E3607" t="str">
        <x:v>Dumbbells</x:v>
      </x:c>
      <x:c r="F3607" s="24" t="n">
        <x:v>61.95</x:v>
      </x:c>
      <x:c r="G3607" t="str">
        <x:v>Winter</x:v>
      </x:c>
      <x:c r="H3607" t="str">
        <x:v>Card</x:v>
      </x:c>
      <x:c r="I3607" t="n">
        <x:v>5</x:v>
      </x:c>
      <x:c r="J3607" t="n">
        <x:v>28</x:v>
      </x:c>
      <x:c r="K3607" t="n">
        <x:v>9</x:v>
      </x:c>
      <x:c r="L3607" t="str">
        <x:v>STORE-001</x:v>
      </x:c>
      <x:c r="M3607" s="22" t="n">
        <x:v>46204</x:v>
      </x:c>
      <x:c r="N3607" t="str">
        <x:v>SKU-005</x:v>
      </x:c>
      <x:c r="O3607" t="n">
        <x:v>1</x:v>
      </x:c>
      <x:c r="P3607" s="26" t="n">
        <x:f>F3607/O3607</x:f>
        <x:v>61.95</x:v>
      </x:c>
    </x:row>
    <x:row r="3608">
      <x:c r="A3608" t="n">
        <x:v>3607</x:v>
      </x:c>
      <x:c r="B3608" t="n">
        <x:v>34</x:v>
      </x:c>
      <x:c r="C3608" t="str">
        <x:v>Female</x:v>
      </x:c>
      <x:c r="D3608" t="str">
        <x:v>Sports</x:v>
      </x:c>
      <x:c r="E3608" t="str">
        <x:v>Dumbbells</x:v>
      </x:c>
      <x:c r="F3608" s="24" t="n">
        <x:v>117.57</x:v>
      </x:c>
      <x:c r="G3608" t="str">
        <x:v>Autumn</x:v>
      </x:c>
      <x:c r="H3608" t="str">
        <x:v>Card</x:v>
      </x:c>
      <x:c r="I3608" t="n">
        <x:v>4.4</x:v>
      </x:c>
      <x:c r="J3608" t="n">
        <x:v>16</x:v>
      </x:c>
      <x:c r="K3608" t="n">
        <x:v>3</x:v>
      </x:c>
      <x:c r="L3608" t="str">
        <x:v>STORE-001</x:v>
      </x:c>
      <x:c r="M3608" s="22" t="n">
        <x:v>46127</x:v>
      </x:c>
      <x:c r="N3608" t="str">
        <x:v>SKU-005</x:v>
      </x:c>
      <x:c r="O3608" t="n">
        <x:v>1</x:v>
      </x:c>
      <x:c r="P3608" s="26" t="n">
        <x:f>F3608/O3608</x:f>
        <x:v>117.57</x:v>
      </x:c>
    </x:row>
    <x:row r="3609">
      <x:c r="A3609" t="n">
        <x:v>3608</x:v>
      </x:c>
      <x:c r="B3609" t="n">
        <x:v>70</x:v>
      </x:c>
      <x:c r="C3609" t="str">
        <x:v>Female</x:v>
      </x:c>
      <x:c r="D3609" t="str">
        <x:v>Beauty</x:v>
      </x:c>
      <x:c r="E3609" t="str">
        <x:v>Perfume</x:v>
      </x:c>
      <x:c r="F3609" s="24" t="n">
        <x:v>130.01</x:v>
      </x:c>
      <x:c r="G3609" t="str">
        <x:v>Spring</x:v>
      </x:c>
      <x:c r="H3609" t="str">
        <x:v>Card</x:v>
      </x:c>
      <x:c r="I3609" t="n">
        <x:v>4.3</x:v>
      </x:c>
      <x:c r="J3609" t="n">
        <x:v>15</x:v>
      </x:c>
      <x:c r="K3609" t="n">
        <x:v>5</x:v>
      </x:c>
      <x:c r="L3609" t="str">
        <x:v>STORE-001</x:v>
      </x:c>
      <x:c r="M3609" s="22" t="n">
        <x:v>45969</x:v>
      </x:c>
      <x:c r="N3609" t="str">
        <x:v>SKU-017</x:v>
      </x:c>
      <x:c r="O3609" t="n">
        <x:v>1</x:v>
      </x:c>
      <x:c r="P3609" s="26" t="n">
        <x:f>F3609/O3609</x:f>
        <x:v>130.01</x:v>
      </x:c>
    </x:row>
    <x:row r="3610">
      <x:c r="A3610" t="n">
        <x:v>3609</x:v>
      </x:c>
      <x:c r="B3610" t="n">
        <x:v>69</x:v>
      </x:c>
      <x:c r="C3610" t="str">
        <x:v>Male</x:v>
      </x:c>
      <x:c r="D3610" t="str">
        <x:v>Sports</x:v>
      </x:c>
      <x:c r="E3610" t="str">
        <x:v>Yoga Mat</x:v>
      </x:c>
      <x:c r="F3610" s="24" t="n">
        <x:v>225.9</x:v>
      </x:c>
      <x:c r="G3610" t="str">
        <x:v>Winter</x:v>
      </x:c>
      <x:c r="H3610" t="str">
        <x:v>Card</x:v>
      </x:c>
      <x:c r="I3610" t="n">
        <x:v>3.8</x:v>
      </x:c>
      <x:c r="J3610" t="n">
        <x:v>22</x:v>
      </x:c>
      <x:c r="K3610" t="n">
        <x:v>6</x:v>
      </x:c>
      <x:c r="L3610" t="str">
        <x:v>STORE-001</x:v>
      </x:c>
      <x:c r="M3610" s="22" t="n">
        <x:v>46184</x:v>
      </x:c>
      <x:c r="N3610" t="str">
        <x:v>SKU-030</x:v>
      </x:c>
      <x:c r="O3610" t="n">
        <x:v>1</x:v>
      </x:c>
      <x:c r="P3610" s="26" t="n">
        <x:f>F3610/O3610</x:f>
        <x:v>225.9</x:v>
      </x:c>
    </x:row>
    <x:row r="3611">
      <x:c r="A3611" t="n">
        <x:v>3610</x:v>
      </x:c>
      <x:c r="B3611" t="n">
        <x:v>27</x:v>
      </x:c>
      <x:c r="C3611" t="str">
        <x:v>Male</x:v>
      </x:c>
      <x:c r="D3611" t="str">
        <x:v>Sports</x:v>
      </x:c>
      <x:c r="E3611" t="str">
        <x:v>Dumbbells</x:v>
      </x:c>
      <x:c r="F3611" s="24" t="n">
        <x:v>165.66</x:v>
      </x:c>
      <x:c r="G3611" t="str">
        <x:v>Summer</x:v>
      </x:c>
      <x:c r="H3611" t="str">
        <x:v>Card</x:v>
      </x:c>
      <x:c r="I3611" t="n">
        <x:v>3.4</x:v>
      </x:c>
      <x:c r="J3611" t="n">
        <x:v>14</x:v>
      </x:c>
      <x:c r="K3611" t="n">
        <x:v>2</x:v>
      </x:c>
      <x:c r="L3611" t="str">
        <x:v>STORE-001</x:v>
      </x:c>
      <x:c r="M3611" s="22" t="n">
        <x:v>46079</x:v>
      </x:c>
      <x:c r="N3611" t="str">
        <x:v>SKU-005</x:v>
      </x:c>
      <x:c r="O3611" t="n">
        <x:v>1</x:v>
      </x:c>
      <x:c r="P3611" s="26" t="n">
        <x:f>F3611/O3611</x:f>
        <x:v>165.66</x:v>
      </x:c>
    </x:row>
    <x:row r="3612">
      <x:c r="A3612" t="n">
        <x:v>3611</x:v>
      </x:c>
      <x:c r="B3612" t="n">
        <x:v>30</x:v>
      </x:c>
      <x:c r="C3612" t="str">
        <x:v>Male</x:v>
      </x:c>
      <x:c r="D3612" t="str">
        <x:v>Footwear</x:v>
      </x:c>
      <x:c r="E3612" t="str">
        <x:v>Sneakers</x:v>
      </x:c>
      <x:c r="F3612" s="24" t="n">
        <x:v>197.71</x:v>
      </x:c>
      <x:c r="G3612" t="str">
        <x:v>Spring</x:v>
      </x:c>
      <x:c r="H3612" t="str">
        <x:v>Card</x:v>
      </x:c>
      <x:c r="I3612" t="n">
        <x:v>3.3</x:v>
      </x:c>
      <x:c r="J3612" t="n">
        <x:v>17</x:v>
      </x:c>
      <x:c r="K3612" t="n">
        <x:v>6</x:v>
      </x:c>
      <x:c r="L3612" t="str">
        <x:v>STORE-001</x:v>
      </x:c>
      <x:c r="M3612" s="22" t="n">
        <x:v>45954</x:v>
      </x:c>
      <x:c r="N3612" t="str">
        <x:v>SKU-025</x:v>
      </x:c>
      <x:c r="O3612" t="n">
        <x:v>2</x:v>
      </x:c>
      <x:c r="P3612" s="26" t="n">
        <x:f>F3612/O3612</x:f>
        <x:v>98.855</x:v>
      </x:c>
    </x:row>
    <x:row r="3613">
      <x:c r="A3613" t="n">
        <x:v>3612</x:v>
      </x:c>
      <x:c r="B3613" t="n">
        <x:v>58</x:v>
      </x:c>
      <x:c r="C3613" t="str">
        <x:v>Male</x:v>
      </x:c>
      <x:c r="D3613" t="str">
        <x:v>Mens Clothing</x:v>
      </x:c>
      <x:c r="E3613" t="str">
        <x:v>Jacket</x:v>
      </x:c>
      <x:c r="F3613" s="24" t="n">
        <x:v>104.05</x:v>
      </x:c>
      <x:c r="G3613" t="str">
        <x:v>Autumn</x:v>
      </x:c>
      <x:c r="H3613" t="str">
        <x:v>Card</x:v>
      </x:c>
      <x:c r="I3613" t="n">
        <x:v>2.8</x:v>
      </x:c>
      <x:c r="J3613" t="n">
        <x:v>6</x:v>
      </x:c>
      <x:c r="K3613" t="n">
        <x:v>3</x:v>
      </x:c>
      <x:c r="L3613" t="str">
        <x:v>STORE-001</x:v>
      </x:c>
      <x:c r="M3613" s="22" t="n">
        <x:v>46128</x:v>
      </x:c>
      <x:c r="N3613" t="str">
        <x:v>SKU-010</x:v>
      </x:c>
      <x:c r="O3613" t="n">
        <x:v>1</x:v>
      </x:c>
      <x:c r="P3613" s="26" t="n">
        <x:f>F3613/O3613</x:f>
        <x:v>104.05</x:v>
      </x:c>
    </x:row>
    <x:row r="3614">
      <x:c r="A3614" t="n">
        <x:v>3613</x:v>
      </x:c>
      <x:c r="B3614" t="n">
        <x:v>32</x:v>
      </x:c>
      <x:c r="C3614" t="str">
        <x:v>Male</x:v>
      </x:c>
      <x:c r="D3614" t="str">
        <x:v>Groceries</x:v>
      </x:c>
      <x:c r="E3614" t="str">
        <x:v>Snacks</x:v>
      </x:c>
      <x:c r="F3614" s="24" t="n">
        <x:v>77.81</x:v>
      </x:c>
      <x:c r="G3614" t="str">
        <x:v>Autumn</x:v>
      </x:c>
      <x:c r="H3614" t="str">
        <x:v>Card</x:v>
      </x:c>
      <x:c r="I3614" t="n">
        <x:v>4.2</x:v>
      </x:c>
      <x:c r="J3614" t="n">
        <x:v>8</x:v>
      </x:c>
      <x:c r="K3614" t="n">
        <x:v>4</x:v>
      </x:c>
      <x:c r="L3614" t="str">
        <x:v>STORE-001</x:v>
      </x:c>
      <x:c r="M3614" s="22" t="n">
        <x:v>46163</x:v>
      </x:c>
      <x:c r="N3614" t="str">
        <x:v>SKU-024</x:v>
      </x:c>
      <x:c r="O3614" t="n">
        <x:v>1</x:v>
      </x:c>
      <x:c r="P3614" s="26" t="n">
        <x:f>F3614/O3614</x:f>
        <x:v>77.81</x:v>
      </x:c>
    </x:row>
    <x:row r="3615">
      <x:c r="A3615" t="n">
        <x:v>3614</x:v>
      </x:c>
      <x:c r="B3615" t="n">
        <x:v>43</x:v>
      </x:c>
      <x:c r="C3615" t="str">
        <x:v>Female</x:v>
      </x:c>
      <x:c r="D3615" t="str">
        <x:v>Footwear</x:v>
      </x:c>
      <x:c r="E3615" t="str">
        <x:v>Sneakers</x:v>
      </x:c>
      <x:c r="F3615" s="24" t="n">
        <x:v>117.91</x:v>
      </x:c>
      <x:c r="G3615" t="str">
        <x:v>Spring</x:v>
      </x:c>
      <x:c r="H3615" t="str">
        <x:v>Card</x:v>
      </x:c>
      <x:c r="I3615" t="n">
        <x:v>4</x:v>
      </x:c>
      <x:c r="J3615" t="n">
        <x:v>12</x:v>
      </x:c>
      <x:c r="K3615" t="n">
        <x:v>1</x:v>
      </x:c>
      <x:c r="L3615" t="str">
        <x:v>STORE-001</x:v>
      </x:c>
      <x:c r="M3615" s="22" t="n">
        <x:v>46271</x:v>
      </x:c>
      <x:c r="N3615" t="str">
        <x:v>SKU-025</x:v>
      </x:c>
      <x:c r="O3615" t="n">
        <x:v>1</x:v>
      </x:c>
      <x:c r="P3615" s="26" t="n">
        <x:f>F3615/O3615</x:f>
        <x:v>117.91</x:v>
      </x:c>
    </x:row>
    <x:row r="3616">
      <x:c r="A3616" t="n">
        <x:v>3615</x:v>
      </x:c>
      <x:c r="B3616" t="n">
        <x:v>26</x:v>
      </x:c>
      <x:c r="C3616" t="str">
        <x:v>Male</x:v>
      </x:c>
      <x:c r="D3616" t="str">
        <x:v>Groceries</x:v>
      </x:c>
      <x:c r="E3616" t="str">
        <x:v>Cooking Oil</x:v>
      </x:c>
      <x:c r="F3616" s="24" t="n">
        <x:v>70.44</x:v>
      </x:c>
      <x:c r="G3616" t="str">
        <x:v>Winter</x:v>
      </x:c>
      <x:c r="H3616" t="str">
        <x:v>Card</x:v>
      </x:c>
      <x:c r="I3616" t="n">
        <x:v>2.5</x:v>
      </x:c>
      <x:c r="J3616" t="n">
        <x:v>19</x:v>
      </x:c>
      <x:c r="K3616" t="n">
        <x:v>7</x:v>
      </x:c>
      <x:c r="L3616" t="str">
        <x:v>STORE-001</x:v>
      </x:c>
      <x:c r="M3616" s="22" t="n">
        <x:v>46216</x:v>
      </x:c>
      <x:c r="N3616" t="str">
        <x:v>SKU-002</x:v>
      </x:c>
      <x:c r="O3616" t="n">
        <x:v>2</x:v>
      </x:c>
      <x:c r="P3616" s="26" t="n">
        <x:f>F3616/O3616</x:f>
        <x:v>35.22</x:v>
      </x:c>
    </x:row>
    <x:row r="3617">
      <x:c r="A3617" t="n">
        <x:v>3616</x:v>
      </x:c>
      <x:c r="B3617" t="n">
        <x:v>60</x:v>
      </x:c>
      <x:c r="C3617" t="str">
        <x:v>Female</x:v>
      </x:c>
      <x:c r="D3617" t="str">
        <x:v>Accessories</x:v>
      </x:c>
      <x:c r="E3617" t="str">
        <x:v>Wallet</x:v>
      </x:c>
      <x:c r="F3617" s="24" t="n">
        <x:v>104.64</x:v>
      </x:c>
      <x:c r="G3617" t="str">
        <x:v>Autumn</x:v>
      </x:c>
      <x:c r="H3617" t="str">
        <x:v>Card</x:v>
      </x:c>
      <x:c r="I3617" t="n">
        <x:v>3.7</x:v>
      </x:c>
      <x:c r="J3617" t="n">
        <x:v>17</x:v>
      </x:c>
      <x:c r="K3617" t="n">
        <x:v>6</x:v>
      </x:c>
      <x:c r="L3617" t="str">
        <x:v>STORE-001</x:v>
      </x:c>
      <x:c r="M3617" s="22" t="n">
        <x:v>46148</x:v>
      </x:c>
      <x:c r="N3617" t="str">
        <x:v>SKU-029</x:v>
      </x:c>
      <x:c r="O3617" t="n">
        <x:v>2</x:v>
      </x:c>
      <x:c r="P3617" s="26" t="n">
        <x:f>F3617/O3617</x:f>
        <x:v>52.32</x:v>
      </x:c>
    </x:row>
    <x:row r="3618">
      <x:c r="A3618" t="n">
        <x:v>3617</x:v>
      </x:c>
      <x:c r="B3618" t="n">
        <x:v>64</x:v>
      </x:c>
      <x:c r="C3618" t="str">
        <x:v>Female</x:v>
      </x:c>
      <x:c r="D3618" t="str">
        <x:v>Beauty</x:v>
      </x:c>
      <x:c r="E3618" t="str">
        <x:v>Makeup Set</x:v>
      </x:c>
      <x:c r="F3618" s="24" t="n">
        <x:v>71.51</x:v>
      </x:c>
      <x:c r="G3618" t="str">
        <x:v>Winter</x:v>
      </x:c>
      <x:c r="H3618" t="str">
        <x:v>Cash on Delivery</x:v>
      </x:c>
      <x:c r="I3618" t="n">
        <x:v>2.9</x:v>
      </x:c>
      <x:c r="J3618" t="n">
        <x:v>28</x:v>
      </x:c>
      <x:c r="K3618" t="n">
        <x:v>9</x:v>
      </x:c>
      <x:c r="L3618" t="str">
        <x:v>STORE-001</x:v>
      </x:c>
      <x:c r="M3618" s="22" t="n">
        <x:v>46192</x:v>
      </x:c>
      <x:c r="N3618" t="str">
        <x:v>SKU-015</x:v>
      </x:c>
      <x:c r="O3618" t="n">
        <x:v>1</x:v>
      </x:c>
      <x:c r="P3618" s="26" t="n">
        <x:f>F3618/O3618</x:f>
        <x:v>71.51</x:v>
      </x:c>
    </x:row>
    <x:row r="3619">
      <x:c r="A3619" t="n">
        <x:v>3618</x:v>
      </x:c>
      <x:c r="B3619" t="n">
        <x:v>53</x:v>
      </x:c>
      <x:c r="C3619" t="str">
        <x:v>Female</x:v>
      </x:c>
      <x:c r="D3619" t="str">
        <x:v>Beauty</x:v>
      </x:c>
      <x:c r="E3619" t="str">
        <x:v>Skincare Kit</x:v>
      </x:c>
      <x:c r="F3619" s="24" t="n">
        <x:v>51.04</x:v>
      </x:c>
      <x:c r="G3619" t="str">
        <x:v>Autumn</x:v>
      </x:c>
      <x:c r="H3619" t="str">
        <x:v>Card</x:v>
      </x:c>
      <x:c r="I3619" t="n">
        <x:v>4.4</x:v>
      </x:c>
      <x:c r="J3619" t="n">
        <x:v>19</x:v>
      </x:c>
      <x:c r="K3619" t="n">
        <x:v>7</x:v>
      </x:c>
      <x:c r="L3619" t="str">
        <x:v>STORE-001</x:v>
      </x:c>
      <x:c r="M3619" s="22" t="n">
        <x:v>46136</x:v>
      </x:c>
      <x:c r="N3619" t="str">
        <x:v>SKU-021</x:v>
      </x:c>
      <x:c r="O3619" t="n">
        <x:v>1</x:v>
      </x:c>
      <x:c r="P3619" s="26" t="n">
        <x:f>F3619/O3619</x:f>
        <x:v>51.04</x:v>
      </x:c>
    </x:row>
    <x:row r="3620">
      <x:c r="A3620" t="n">
        <x:v>3619</x:v>
      </x:c>
      <x:c r="B3620" t="n">
        <x:v>23</x:v>
      </x:c>
      <x:c r="C3620" t="str">
        <x:v>Male</x:v>
      </x:c>
      <x:c r="D3620" t="str">
        <x:v>Mens Clothing</x:v>
      </x:c>
      <x:c r="E3620" t="str">
        <x:v>Jeans</x:v>
      </x:c>
      <x:c r="F3620" s="24" t="n">
        <x:v>76.95</x:v>
      </x:c>
      <x:c r="G3620" t="str">
        <x:v>Winter</x:v>
      </x:c>
      <x:c r="H3620" t="str">
        <x:v>Card</x:v>
      </x:c>
      <x:c r="I3620" t="n">
        <x:v>3.8</x:v>
      </x:c>
      <x:c r="J3620" t="n">
        <x:v>8</x:v>
      </x:c>
      <x:c r="K3620" t="n">
        <x:v>4</x:v>
      </x:c>
      <x:c r="L3620" t="str">
        <x:v>STORE-001</x:v>
      </x:c>
      <x:c r="M3620" s="22" t="n">
        <x:v>46248</x:v>
      </x:c>
      <x:c r="N3620" t="str">
        <x:v>SKU-011</x:v>
      </x:c>
      <x:c r="O3620" t="n">
        <x:v>1</x:v>
      </x:c>
      <x:c r="P3620" s="26" t="n">
        <x:f>F3620/O3620</x:f>
        <x:v>76.95</x:v>
      </x:c>
    </x:row>
    <x:row r="3621">
      <x:c r="A3621" t="n">
        <x:v>3620</x:v>
      </x:c>
      <x:c r="B3621" t="n">
        <x:v>32</x:v>
      </x:c>
      <x:c r="C3621" t="str">
        <x:v>Male</x:v>
      </x:c>
      <x:c r="D3621" t="str">
        <x:v>Mens Clothing</x:v>
      </x:c>
      <x:c r="E3621" t="str">
        <x:v>Jeans</x:v>
      </x:c>
      <x:c r="F3621" s="24" t="n">
        <x:v>81.88</x:v>
      </x:c>
      <x:c r="G3621" t="str">
        <x:v>Summer</x:v>
      </x:c>
      <x:c r="H3621" t="str">
        <x:v>Card</x:v>
      </x:c>
      <x:c r="I3621" t="n">
        <x:v>3.9</x:v>
      </x:c>
      <x:c r="J3621" t="n">
        <x:v>8</x:v>
      </x:c>
      <x:c r="K3621" t="n">
        <x:v>4</x:v>
      </x:c>
      <x:c r="L3621" t="str">
        <x:v>STORE-001</x:v>
      </x:c>
      <x:c r="M3621" s="22" t="n">
        <x:v>46072</x:v>
      </x:c>
      <x:c r="N3621" t="str">
        <x:v>SKU-011</x:v>
      </x:c>
      <x:c r="O3621" t="n">
        <x:v>2</x:v>
      </x:c>
      <x:c r="P3621" s="26" t="n">
        <x:f>F3621/O3621</x:f>
        <x:v>40.94</x:v>
      </x:c>
    </x:row>
    <x:row r="3622">
      <x:c r="A3622" t="n">
        <x:v>3621</x:v>
      </x:c>
      <x:c r="B3622" t="n">
        <x:v>66</x:v>
      </x:c>
      <x:c r="C3622" t="str">
        <x:v>Male</x:v>
      </x:c>
      <x:c r="D3622" t="str">
        <x:v>Sports</x:v>
      </x:c>
      <x:c r="E3622" t="str">
        <x:v>Dumbbells</x:v>
      </x:c>
      <x:c r="F3622" s="24" t="n">
        <x:v>65.33</x:v>
      </x:c>
      <x:c r="G3622" t="str">
        <x:v>Spring</x:v>
      </x:c>
      <x:c r="H3622" t="str">
        <x:v>Card</x:v>
      </x:c>
      <x:c r="I3622" t="n">
        <x:v>3.2</x:v>
      </x:c>
      <x:c r="J3622" t="n">
        <x:v>20</x:v>
      </x:c>
      <x:c r="K3622" t="n">
        <x:v>5</x:v>
      </x:c>
      <x:c r="L3622" t="str">
        <x:v>STORE-001</x:v>
      </x:c>
      <x:c r="M3622" s="22" t="n">
        <x:v>46275</x:v>
      </x:c>
      <x:c r="N3622" t="str">
        <x:v>SKU-005</x:v>
      </x:c>
      <x:c r="O3622" t="n">
        <x:v>1</x:v>
      </x:c>
      <x:c r="P3622" s="26" t="n">
        <x:f>F3622/O3622</x:f>
        <x:v>65.33</x:v>
      </x:c>
    </x:row>
    <x:row r="3623">
      <x:c r="A3623" t="n">
        <x:v>3622</x:v>
      </x:c>
      <x:c r="B3623" t="n">
        <x:v>47</x:v>
      </x:c>
      <x:c r="C3623" t="str">
        <x:v>Female</x:v>
      </x:c>
      <x:c r="D3623" t="str">
        <x:v>Womens Clothing</x:v>
      </x:c>
      <x:c r="E3623" t="str">
        <x:v>Top</x:v>
      </x:c>
      <x:c r="F3623" s="24" t="n">
        <x:v>52.4</x:v>
      </x:c>
      <x:c r="G3623" t="str">
        <x:v>Winter</x:v>
      </x:c>
      <x:c r="H3623" t="str">
        <x:v>Cash on Delivery</x:v>
      </x:c>
      <x:c r="I3623" t="n">
        <x:v>3.7</x:v>
      </x:c>
      <x:c r="J3623" t="n">
        <x:v>24</x:v>
      </x:c>
      <x:c r="K3623" t="n">
        <x:v>7</x:v>
      </x:c>
      <x:c r="L3623" t="str">
        <x:v>STORE-001</x:v>
      </x:c>
      <x:c r="M3623" s="22" t="n">
        <x:v>46249</x:v>
      </x:c>
      <x:c r="N3623" t="str">
        <x:v>SKU-028</x:v>
      </x:c>
      <x:c r="O3623" t="n">
        <x:v>1</x:v>
      </x:c>
      <x:c r="P3623" s="26" t="n">
        <x:f>F3623/O3623</x:f>
        <x:v>52.4</x:v>
      </x:c>
    </x:row>
    <x:row r="3624">
      <x:c r="A3624" t="n">
        <x:v>3623</x:v>
      </x:c>
      <x:c r="B3624" t="n">
        <x:v>20</x:v>
      </x:c>
      <x:c r="C3624" t="str">
        <x:v>Male</x:v>
      </x:c>
      <x:c r="D3624" t="str">
        <x:v>Footwear</x:v>
      </x:c>
      <x:c r="E3624" t="str">
        <x:v>Formal Shoes</x:v>
      </x:c>
      <x:c r="F3624" s="24" t="n">
        <x:v>205.07</x:v>
      </x:c>
      <x:c r="G3624" t="str">
        <x:v>Spring</x:v>
      </x:c>
      <x:c r="H3624" t="str">
        <x:v>Card</x:v>
      </x:c>
      <x:c r="I3624" t="n">
        <x:v>4.2</x:v>
      </x:c>
      <x:c r="J3624" t="n">
        <x:v>17</x:v>
      </x:c>
      <x:c r="K3624" t="n">
        <x:v>6</x:v>
      </x:c>
      <x:c r="L3624" t="str">
        <x:v>STORE-001</x:v>
      </x:c>
      <x:c r="M3624" s="22" t="n">
        <x:v>46272</x:v>
      </x:c>
      <x:c r="N3624" t="str">
        <x:v>SKU-007</x:v>
      </x:c>
      <x:c r="O3624" t="n">
        <x:v>2</x:v>
      </x:c>
      <x:c r="P3624" s="26" t="n">
        <x:f>F3624/O3624</x:f>
        <x:v>102.535</x:v>
      </x:c>
    </x:row>
    <x:row r="3625">
      <x:c r="A3625" t="n">
        <x:v>3624</x:v>
      </x:c>
      <x:c r="B3625" t="n">
        <x:v>50</x:v>
      </x:c>
      <x:c r="C3625" t="str">
        <x:v>Female</x:v>
      </x:c>
      <x:c r="D3625" t="str">
        <x:v>Beauty</x:v>
      </x:c>
      <x:c r="E3625" t="str">
        <x:v>Skincare Kit</x:v>
      </x:c>
      <x:c r="F3625" s="24" t="n">
        <x:v>29.83</x:v>
      </x:c>
      <x:c r="G3625" t="str">
        <x:v>Winter</x:v>
      </x:c>
      <x:c r="H3625" t="str">
        <x:v>Card</x:v>
      </x:c>
      <x:c r="I3625" t="n">
        <x:v>2.4</x:v>
      </x:c>
      <x:c r="J3625" t="n">
        <x:v>18</x:v>
      </x:c>
      <x:c r="K3625" t="n">
        <x:v>4</x:v>
      </x:c>
      <x:c r="L3625" t="str">
        <x:v>STORE-001</x:v>
      </x:c>
      <x:c r="M3625" s="22" t="n">
        <x:v>46265</x:v>
      </x:c>
      <x:c r="N3625" t="str">
        <x:v>SKU-021</x:v>
      </x:c>
      <x:c r="O3625" t="n">
        <x:v>2</x:v>
      </x:c>
      <x:c r="P3625" s="26" t="n">
        <x:f>F3625/O3625</x:f>
        <x:v>14.915</x:v>
      </x:c>
    </x:row>
    <x:row r="3626">
      <x:c r="A3626" t="n">
        <x:v>3625</x:v>
      </x:c>
      <x:c r="B3626" t="n">
        <x:v>68</x:v>
      </x:c>
      <x:c r="C3626" t="str">
        <x:v>Female</x:v>
      </x:c>
      <x:c r="D3626" t="str">
        <x:v>Sports</x:v>
      </x:c>
      <x:c r="E3626" t="str">
        <x:v>Football</x:v>
      </x:c>
      <x:c r="F3626" s="24" t="n">
        <x:v>151.76</x:v>
      </x:c>
      <x:c r="G3626" t="str">
        <x:v>Autumn</x:v>
      </x:c>
      <x:c r="H3626" t="str">
        <x:v>Card</x:v>
      </x:c>
      <x:c r="I3626" t="n">
        <x:v>4.1</x:v>
      </x:c>
      <x:c r="J3626" t="n">
        <x:v>14</x:v>
      </x:c>
      <x:c r="K3626" t="n">
        <x:v>7</x:v>
      </x:c>
      <x:c r="L3626" t="str">
        <x:v>STORE-001</x:v>
      </x:c>
      <x:c r="M3626" s="22" t="n">
        <x:v>46123</x:v>
      </x:c>
      <x:c r="N3626" t="str">
        <x:v>SKU-006</x:v>
      </x:c>
      <x:c r="O3626" t="n">
        <x:v>2</x:v>
      </x:c>
      <x:c r="P3626" s="26" t="n">
        <x:f>F3626/O3626</x:f>
        <x:v>75.88</x:v>
      </x:c>
    </x:row>
    <x:row r="3627">
      <x:c r="A3627" t="n">
        <x:v>3626</x:v>
      </x:c>
      <x:c r="B3627" t="n">
        <x:v>47</x:v>
      </x:c>
      <x:c r="C3627" t="str">
        <x:v>Male</x:v>
      </x:c>
      <x:c r="D3627" t="str">
        <x:v>Groceries</x:v>
      </x:c>
      <x:c r="E3627" t="str">
        <x:v>Beverages</x:v>
      </x:c>
      <x:c r="F3627" s="24" t="n">
        <x:v>56.84</x:v>
      </x:c>
      <x:c r="G3627" t="str">
        <x:v>Summer</x:v>
      </x:c>
      <x:c r="H3627" t="str">
        <x:v>Card</x:v>
      </x:c>
      <x:c r="I3627" t="n">
        <x:v>3.7</x:v>
      </x:c>
      <x:c r="J3627" t="n">
        <x:v>10</x:v>
      </x:c>
      <x:c r="K3627" t="n">
        <x:v>5</x:v>
      </x:c>
      <x:c r="L3627" t="str">
        <x:v>STORE-001</x:v>
      </x:c>
      <x:c r="M3627" s="22" t="n">
        <x:v>46068</x:v>
      </x:c>
      <x:c r="N3627" t="str">
        <x:v>SKU-001</x:v>
      </x:c>
      <x:c r="O3627" t="n">
        <x:v>2</x:v>
      </x:c>
      <x:c r="P3627" s="26" t="n">
        <x:f>F3627/O3627</x:f>
        <x:v>28.42</x:v>
      </x:c>
    </x:row>
    <x:row r="3628">
      <x:c r="A3628" t="n">
        <x:v>3627</x:v>
      </x:c>
      <x:c r="B3628" t="n">
        <x:v>66</x:v>
      </x:c>
      <x:c r="C3628" t="str">
        <x:v>Female</x:v>
      </x:c>
      <x:c r="D3628" t="str">
        <x:v>Footwear</x:v>
      </x:c>
      <x:c r="E3628" t="str">
        <x:v>Sandals</x:v>
      </x:c>
      <x:c r="F3628" s="24" t="n">
        <x:v>228.84</x:v>
      </x:c>
      <x:c r="G3628" t="str">
        <x:v>Spring</x:v>
      </x:c>
      <x:c r="H3628" t="str">
        <x:v>Card</x:v>
      </x:c>
      <x:c r="I3628" t="n">
        <x:v>4.1</x:v>
      </x:c>
      <x:c r="J3628" t="n">
        <x:v>14</x:v>
      </x:c>
      <x:c r="K3628" t="n">
        <x:v>2</x:v>
      </x:c>
      <x:c r="L3628" t="str">
        <x:v>STORE-001</x:v>
      </x:c>
      <x:c r="M3628" s="22" t="n">
        <x:v>46280</x:v>
      </x:c>
      <x:c r="N3628" t="str">
        <x:v>SKU-019</x:v>
      </x:c>
      <x:c r="O3628" t="n">
        <x:v>1</x:v>
      </x:c>
      <x:c r="P3628" s="26" t="n">
        <x:f>F3628/O3628</x:f>
        <x:v>228.84</x:v>
      </x:c>
    </x:row>
    <x:row r="3629">
      <x:c r="A3629" t="n">
        <x:v>3628</x:v>
      </x:c>
      <x:c r="B3629" t="n">
        <x:v>53</x:v>
      </x:c>
      <x:c r="C3629" t="str">
        <x:v>Female</x:v>
      </x:c>
      <x:c r="D3629" t="str">
        <x:v>Footwear</x:v>
      </x:c>
      <x:c r="E3629" t="str">
        <x:v>Sneakers</x:v>
      </x:c>
      <x:c r="F3629" s="24" t="n">
        <x:v>130.81</x:v>
      </x:c>
      <x:c r="G3629" t="str">
        <x:v>Summer</x:v>
      </x:c>
      <x:c r="H3629" t="str">
        <x:v>Card</x:v>
      </x:c>
      <x:c r="I3629" t="n">
        <x:v>3.8</x:v>
      </x:c>
      <x:c r="J3629" t="n">
        <x:v>16</x:v>
      </x:c>
      <x:c r="K3629" t="n">
        <x:v>8</x:v>
      </x:c>
      <x:c r="L3629" t="str">
        <x:v>STORE-001</x:v>
      </x:c>
      <x:c r="M3629" s="22" t="n">
        <x:v>46048</x:v>
      </x:c>
      <x:c r="N3629" t="str">
        <x:v>SKU-025</x:v>
      </x:c>
      <x:c r="O3629" t="n">
        <x:v>1</x:v>
      </x:c>
      <x:c r="P3629" s="26" t="n">
        <x:f>F3629/O3629</x:f>
        <x:v>130.81</x:v>
      </x:c>
    </x:row>
    <x:row r="3630">
      <x:c r="A3630" t="n">
        <x:v>3629</x:v>
      </x:c>
      <x:c r="B3630" t="n">
        <x:v>57</x:v>
      </x:c>
      <x:c r="C3630" t="str">
        <x:v>Male</x:v>
      </x:c>
      <x:c r="D3630" t="str">
        <x:v>Footwear</x:v>
      </x:c>
      <x:c r="E3630" t="str">
        <x:v>Formal Shoes</x:v>
      </x:c>
      <x:c r="F3630" s="24" t="n">
        <x:v>65.53</x:v>
      </x:c>
      <x:c r="G3630" t="str">
        <x:v>Summer</x:v>
      </x:c>
      <x:c r="H3630" t="str">
        <x:v>Cash on Delivery</x:v>
      </x:c>
      <x:c r="I3630" t="n">
        <x:v>3.9</x:v>
      </x:c>
      <x:c r="J3630" t="n">
        <x:v>17</x:v>
      </x:c>
      <x:c r="K3630" t="n">
        <x:v>6</x:v>
      </x:c>
      <x:c r="L3630" t="str">
        <x:v>STORE-001</x:v>
      </x:c>
      <x:c r="M3630" s="22" t="n">
        <x:v>46065</x:v>
      </x:c>
      <x:c r="N3630" t="str">
        <x:v>SKU-007</x:v>
      </x:c>
      <x:c r="O3630" t="n">
        <x:v>1</x:v>
      </x:c>
      <x:c r="P3630" s="26" t="n">
        <x:f>F3630/O3630</x:f>
        <x:v>65.53</x:v>
      </x:c>
    </x:row>
    <x:row r="3631">
      <x:c r="A3631" t="n">
        <x:v>3630</x:v>
      </x:c>
      <x:c r="B3631" t="n">
        <x:v>60</x:v>
      </x:c>
      <x:c r="C3631" t="str">
        <x:v>Female</x:v>
      </x:c>
      <x:c r="D3631" t="str">
        <x:v>Accessories</x:v>
      </x:c>
      <x:c r="E3631" t="str">
        <x:v>Sunglasses</x:v>
      </x:c>
      <x:c r="F3631" s="24" t="n">
        <x:v>86.31</x:v>
      </x:c>
      <x:c r="G3631" t="str">
        <x:v>Spring</x:v>
      </x:c>
      <x:c r="H3631" t="str">
        <x:v>Card</x:v>
      </x:c>
      <x:c r="I3631" t="n">
        <x:v>4.4</x:v>
      </x:c>
      <x:c r="J3631" t="n">
        <x:v>13</x:v>
      </x:c>
      <x:c r="K3631" t="n">
        <x:v>4</x:v>
      </x:c>
      <x:c r="L3631" t="str">
        <x:v>STORE-001</x:v>
      </x:c>
      <x:c r="M3631" s="22" t="n">
        <x:v>45961</x:v>
      </x:c>
      <x:c r="N3631" t="str">
        <x:v>SKU-026</x:v>
      </x:c>
      <x:c r="O3631" t="n">
        <x:v>1</x:v>
      </x:c>
      <x:c r="P3631" s="26" t="n">
        <x:f>F3631/O3631</x:f>
        <x:v>86.31</x:v>
      </x:c>
    </x:row>
    <x:row r="3632">
      <x:c r="A3632" t="n">
        <x:v>3631</x:v>
      </x:c>
      <x:c r="B3632" t="n">
        <x:v>31</x:v>
      </x:c>
      <x:c r="C3632" t="str">
        <x:v>Male</x:v>
      </x:c>
      <x:c r="D3632" t="str">
        <x:v>Sports</x:v>
      </x:c>
      <x:c r="E3632" t="str">
        <x:v>Yoga Mat</x:v>
      </x:c>
      <x:c r="F3632" s="24" t="n">
        <x:v>204.19</x:v>
      </x:c>
      <x:c r="G3632" t="str">
        <x:v>Winter</x:v>
      </x:c>
      <x:c r="H3632" t="str">
        <x:v>Card</x:v>
      </x:c>
      <x:c r="I3632" t="n">
        <x:v>3.4</x:v>
      </x:c>
      <x:c r="J3632" t="n">
        <x:v>18</x:v>
      </x:c>
      <x:c r="K3632" t="n">
        <x:v>4</x:v>
      </x:c>
      <x:c r="L3632" t="str">
        <x:v>STORE-001</x:v>
      </x:c>
      <x:c r="M3632" s="22" t="n">
        <x:v>46253</x:v>
      </x:c>
      <x:c r="N3632" t="str">
        <x:v>SKU-030</x:v>
      </x:c>
      <x:c r="O3632" t="n">
        <x:v>1</x:v>
      </x:c>
      <x:c r="P3632" s="26" t="n">
        <x:f>F3632/O3632</x:f>
        <x:v>204.19</x:v>
      </x:c>
    </x:row>
    <x:row r="3633">
      <x:c r="A3633" t="n">
        <x:v>3632</x:v>
      </x:c>
      <x:c r="B3633" t="n">
        <x:v>68</x:v>
      </x:c>
      <x:c r="C3633" t="str">
        <x:v>Male</x:v>
      </x:c>
      <x:c r="D3633" t="str">
        <x:v>Home</x:v>
      </x:c>
      <x:c r="E3633" t="str">
        <x:v>Curtains</x:v>
      </x:c>
      <x:c r="F3633" s="24" t="n">
        <x:v>289.19</x:v>
      </x:c>
      <x:c r="G3633" t="str">
        <x:v>Winter</x:v>
      </x:c>
      <x:c r="H3633" t="str">
        <x:v>Card</x:v>
      </x:c>
      <x:c r="I3633" t="n">
        <x:v>3.5</x:v>
      </x:c>
      <x:c r="J3633" t="n">
        <x:v>9</x:v>
      </x:c>
      <x:c r="K3633" t="n">
        <x:v>2</x:v>
      </x:c>
      <x:c r="L3633" t="str">
        <x:v>STORE-001</x:v>
      </x:c>
      <x:c r="M3633" s="22" t="n">
        <x:v>46239</x:v>
      </x:c>
      <x:c r="N3633" t="str">
        <x:v>SKU-003</x:v>
      </x:c>
      <x:c r="O3633" t="n">
        <x:v>2</x:v>
      </x:c>
      <x:c r="P3633" s="26" t="n">
        <x:f>F3633/O3633</x:f>
        <x:v>144.595</x:v>
      </x:c>
    </x:row>
    <x:row r="3634">
      <x:c r="A3634" t="n">
        <x:v>3633</x:v>
      </x:c>
      <x:c r="B3634" t="n">
        <x:v>54</x:v>
      </x:c>
      <x:c r="C3634" t="str">
        <x:v>Male</x:v>
      </x:c>
      <x:c r="D3634" t="str">
        <x:v>Sports</x:v>
      </x:c>
      <x:c r="E3634" t="str">
        <x:v>Football</x:v>
      </x:c>
      <x:c r="F3634" s="24" t="n">
        <x:v>158.37</x:v>
      </x:c>
      <x:c r="G3634" t="str">
        <x:v>Summer</x:v>
      </x:c>
      <x:c r="H3634" t="str">
        <x:v>Card</x:v>
      </x:c>
      <x:c r="I3634" t="n">
        <x:v>2.3</x:v>
      </x:c>
      <x:c r="J3634" t="n">
        <x:v>12</x:v>
      </x:c>
      <x:c r="K3634" t="n">
        <x:v>6</x:v>
      </x:c>
      <x:c r="L3634" t="str">
        <x:v>STORE-001</x:v>
      </x:c>
      <x:c r="M3634" s="22" t="n">
        <x:v>46010</x:v>
      </x:c>
      <x:c r="N3634" t="str">
        <x:v>SKU-006</x:v>
      </x:c>
      <x:c r="O3634" t="n">
        <x:v>1</x:v>
      </x:c>
      <x:c r="P3634" s="26" t="n">
        <x:f>F3634/O3634</x:f>
        <x:v>158.37</x:v>
      </x:c>
    </x:row>
    <x:row r="3635">
      <x:c r="A3635" t="n">
        <x:v>3634</x:v>
      </x:c>
      <x:c r="B3635" t="n">
        <x:v>47</x:v>
      </x:c>
      <x:c r="C3635" t="str">
        <x:v>Female</x:v>
      </x:c>
      <x:c r="D3635" t="str">
        <x:v>Womens Clothing</x:v>
      </x:c>
      <x:c r="E3635" t="str">
        <x:v>Dress</x:v>
      </x:c>
      <x:c r="F3635" s="24" t="n">
        <x:v>71.25</x:v>
      </x:c>
      <x:c r="G3635" t="str">
        <x:v>Summer</x:v>
      </x:c>
      <x:c r="H3635" t="str">
        <x:v>Cash on Delivery</x:v>
      </x:c>
      <x:c r="I3635" t="n">
        <x:v>3.8</x:v>
      </x:c>
      <x:c r="J3635" t="n">
        <x:v>26</x:v>
      </x:c>
      <x:c r="K3635" t="n">
        <x:v>8</x:v>
      </x:c>
      <x:c r="L3635" t="str">
        <x:v>STORE-001</x:v>
      </x:c>
      <x:c r="M3635" s="22" t="n">
        <x:v>46059</x:v>
      </x:c>
      <x:c r="N3635" t="str">
        <x:v>SKU-004</x:v>
      </x:c>
      <x:c r="O3635" t="n">
        <x:v>1</x:v>
      </x:c>
      <x:c r="P3635" s="26" t="n">
        <x:f>F3635/O3635</x:f>
        <x:v>71.25</x:v>
      </x:c>
    </x:row>
    <x:row r="3636">
      <x:c r="A3636" t="n">
        <x:v>3635</x:v>
      </x:c>
      <x:c r="B3636" t="n">
        <x:v>62</x:v>
      </x:c>
      <x:c r="C3636" t="str">
        <x:v>Female</x:v>
      </x:c>
      <x:c r="D3636" t="str">
        <x:v>Accessories</x:v>
      </x:c>
      <x:c r="E3636" t="str">
        <x:v>Handbag</x:v>
      </x:c>
      <x:c r="F3636" s="24" t="n">
        <x:v>176.49</x:v>
      </x:c>
      <x:c r="G3636" t="str">
        <x:v>Autumn</x:v>
      </x:c>
      <x:c r="H3636" t="str">
        <x:v>Card</x:v>
      </x:c>
      <x:c r="I3636" t="n">
        <x:v>3.4</x:v>
      </x:c>
      <x:c r="J3636" t="n">
        <x:v>16</x:v>
      </x:c>
      <x:c r="K3636" t="n">
        <x:v>8</x:v>
      </x:c>
      <x:c r="L3636" t="str">
        <x:v>STORE-001</x:v>
      </x:c>
      <x:c r="M3636" s="22" t="n">
        <x:v>46136</x:v>
      </x:c>
      <x:c r="N3636" t="str">
        <x:v>SKU-008</x:v>
      </x:c>
      <x:c r="O3636" t="n">
        <x:v>2</x:v>
      </x:c>
      <x:c r="P3636" s="26" t="n">
        <x:f>F3636/O3636</x:f>
        <x:v>88.245</x:v>
      </x:c>
    </x:row>
    <x:row r="3637">
      <x:c r="A3637" t="n">
        <x:v>3636</x:v>
      </x:c>
      <x:c r="B3637" t="n">
        <x:v>33</x:v>
      </x:c>
      <x:c r="C3637" t="str">
        <x:v>Female</x:v>
      </x:c>
      <x:c r="D3637" t="str">
        <x:v>Footwear</x:v>
      </x:c>
      <x:c r="E3637" t="str">
        <x:v>Sandals</x:v>
      </x:c>
      <x:c r="F3637" s="24" t="n">
        <x:v>60.85</x:v>
      </x:c>
      <x:c r="G3637" t="str">
        <x:v>Autumn</x:v>
      </x:c>
      <x:c r="H3637" t="str">
        <x:v>Cash on Delivery</x:v>
      </x:c>
      <x:c r="I3637" t="n">
        <x:v>3.3</x:v>
      </x:c>
      <x:c r="J3637" t="n">
        <x:v>12</x:v>
      </x:c>
      <x:c r="K3637" t="n">
        <x:v>6</x:v>
      </x:c>
      <x:c r="L3637" t="str">
        <x:v>STORE-001</x:v>
      </x:c>
      <x:c r="M3637" s="22" t="n">
        <x:v>46148</x:v>
      </x:c>
      <x:c r="N3637" t="str">
        <x:v>SKU-019</x:v>
      </x:c>
      <x:c r="O3637" t="n">
        <x:v>2</x:v>
      </x:c>
      <x:c r="P3637" s="26" t="n">
        <x:f>F3637/O3637</x:f>
        <x:v>30.425</x:v>
      </x:c>
    </x:row>
    <x:row r="3638">
      <x:c r="A3638" t="n">
        <x:v>3637</x:v>
      </x:c>
      <x:c r="B3638" t="n">
        <x:v>40</x:v>
      </x:c>
      <x:c r="C3638" t="str">
        <x:v>Male</x:v>
      </x:c>
      <x:c r="D3638" t="str">
        <x:v>Footwear</x:v>
      </x:c>
      <x:c r="E3638" t="str">
        <x:v>Formal Shoes</x:v>
      </x:c>
      <x:c r="F3638" s="24" t="n">
        <x:v>235.85</x:v>
      </x:c>
      <x:c r="G3638" t="str">
        <x:v>Autumn</x:v>
      </x:c>
      <x:c r="H3638" t="str">
        <x:v>Card</x:v>
      </x:c>
      <x:c r="I3638" t="n">
        <x:v>4.1</x:v>
      </x:c>
      <x:c r="J3638" t="n">
        <x:v>30</x:v>
      </x:c>
      <x:c r="K3638" t="n">
        <x:v>10</x:v>
      </x:c>
      <x:c r="L3638" t="str">
        <x:v>STORE-001</x:v>
      </x:c>
      <x:c r="M3638" s="22" t="n">
        <x:v>46088</x:v>
      </x:c>
      <x:c r="N3638" t="str">
        <x:v>SKU-007</x:v>
      </x:c>
      <x:c r="O3638" t="n">
        <x:v>1</x:v>
      </x:c>
      <x:c r="P3638" s="26" t="n">
        <x:f>F3638/O3638</x:f>
        <x:v>235.85</x:v>
      </x:c>
    </x:row>
    <x:row r="3639">
      <x:c r="A3639" t="n">
        <x:v>3638</x:v>
      </x:c>
      <x:c r="B3639" t="n">
        <x:v>66</x:v>
      </x:c>
      <x:c r="C3639" t="str">
        <x:v>Male</x:v>
      </x:c>
      <x:c r="D3639" t="str">
        <x:v>Electronics</x:v>
      </x:c>
      <x:c r="E3639" t="str">
        <x:v>Smart Watch</x:v>
      </x:c>
      <x:c r="F3639" s="24" t="n">
        <x:v>1417.24</x:v>
      </x:c>
      <x:c r="G3639" t="str">
        <x:v>Winter</x:v>
      </x:c>
      <x:c r="H3639" t="str">
        <x:v>Card</x:v>
      </x:c>
      <x:c r="I3639" t="n">
        <x:v>3.3</x:v>
      </x:c>
      <x:c r="J3639" t="n">
        <x:v>23</x:v>
      </x:c>
      <x:c r="K3639" t="n">
        <x:v>9</x:v>
      </x:c>
      <x:c r="L3639" t="str">
        <x:v>STORE-001</x:v>
      </x:c>
      <x:c r="M3639" s="22" t="n">
        <x:v>46176</x:v>
      </x:c>
      <x:c r="N3639" t="str">
        <x:v>SKU-023</x:v>
      </x:c>
      <x:c r="O3639" t="n">
        <x:v>1</x:v>
      </x:c>
      <x:c r="P3639" s="26" t="n">
        <x:f>F3639/O3639</x:f>
        <x:v>1417.24</x:v>
      </x:c>
    </x:row>
    <x:row r="3640">
      <x:c r="A3640" t="n">
        <x:v>3639</x:v>
      </x:c>
      <x:c r="B3640" t="n">
        <x:v>39</x:v>
      </x:c>
      <x:c r="C3640" t="str">
        <x:v>Female</x:v>
      </x:c>
      <x:c r="D3640" t="str">
        <x:v>Womens Clothing</x:v>
      </x:c>
      <x:c r="E3640" t="str">
        <x:v>Jeans</x:v>
      </x:c>
      <x:c r="F3640" s="24" t="n">
        <x:v>119.67</x:v>
      </x:c>
      <x:c r="G3640" t="str">
        <x:v>Winter</x:v>
      </x:c>
      <x:c r="H3640" t="str">
        <x:v>Card</x:v>
      </x:c>
      <x:c r="I3640" t="n">
        <x:v>4.3</x:v>
      </x:c>
      <x:c r="J3640" t="n">
        <x:v>13</x:v>
      </x:c>
      <x:c r="K3640" t="n">
        <x:v>4</x:v>
      </x:c>
      <x:c r="L3640" t="str">
        <x:v>STORE-001</x:v>
      </x:c>
      <x:c r="M3640" s="22" t="n">
        <x:v>46192</x:v>
      </x:c>
      <x:c r="N3640" t="str">
        <x:v>SKU-011</x:v>
      </x:c>
      <x:c r="O3640" t="n">
        <x:v>1</x:v>
      </x:c>
      <x:c r="P3640" s="26" t="n">
        <x:f>F3640/O3640</x:f>
        <x:v>119.67</x:v>
      </x:c>
    </x:row>
    <x:row r="3641">
      <x:c r="A3641" t="n">
        <x:v>3640</x:v>
      </x:c>
      <x:c r="B3641" t="n">
        <x:v>63</x:v>
      </x:c>
      <x:c r="C3641" t="str">
        <x:v>Female</x:v>
      </x:c>
      <x:c r="D3641" t="str">
        <x:v>Womens Clothing</x:v>
      </x:c>
      <x:c r="E3641" t="str">
        <x:v>Dress</x:v>
      </x:c>
      <x:c r="F3641" s="24" t="n">
        <x:v>77.59</x:v>
      </x:c>
      <x:c r="G3641" t="str">
        <x:v>Summer</x:v>
      </x:c>
      <x:c r="H3641" t="str">
        <x:v>Card</x:v>
      </x:c>
      <x:c r="I3641" t="n">
        <x:v>4.5</x:v>
      </x:c>
      <x:c r="J3641" t="n">
        <x:v>18</x:v>
      </x:c>
      <x:c r="K3641" t="n">
        <x:v>4</x:v>
      </x:c>
      <x:c r="L3641" t="str">
        <x:v>STORE-001</x:v>
      </x:c>
      <x:c r="M3641" s="22" t="n">
        <x:v>46021</x:v>
      </x:c>
      <x:c r="N3641" t="str">
        <x:v>SKU-004</x:v>
      </x:c>
      <x:c r="O3641" t="n">
        <x:v>2</x:v>
      </x:c>
      <x:c r="P3641" s="26" t="n">
        <x:f>F3641/O3641</x:f>
        <x:v>38.795</x:v>
      </x:c>
    </x:row>
    <x:row r="3642">
      <x:c r="A3642" t="n">
        <x:v>3641</x:v>
      </x:c>
      <x:c r="B3642" t="n">
        <x:v>57</x:v>
      </x:c>
      <x:c r="C3642" t="str">
        <x:v>Female</x:v>
      </x:c>
      <x:c r="D3642" t="str">
        <x:v>Footwear</x:v>
      </x:c>
      <x:c r="E3642" t="str">
        <x:v>Sneakers</x:v>
      </x:c>
      <x:c r="F3642" s="24" t="n">
        <x:v>176.39</x:v>
      </x:c>
      <x:c r="G3642" t="str">
        <x:v>Winter</x:v>
      </x:c>
      <x:c r="H3642" t="str">
        <x:v>Card</x:v>
      </x:c>
      <x:c r="I3642" t="n">
        <x:v>5</x:v>
      </x:c>
      <x:c r="J3642" t="n">
        <x:v>6</x:v>
      </x:c>
      <x:c r="K3642" t="n">
        <x:v>3</x:v>
      </x:c>
      <x:c r="L3642" t="str">
        <x:v>STORE-001</x:v>
      </x:c>
      <x:c r="M3642" s="22" t="n">
        <x:v>46229</x:v>
      </x:c>
      <x:c r="N3642" t="str">
        <x:v>SKU-025</x:v>
      </x:c>
      <x:c r="O3642" t="n">
        <x:v>1</x:v>
      </x:c>
      <x:c r="P3642" s="26" t="n">
        <x:f>F3642/O3642</x:f>
        <x:v>176.39</x:v>
      </x:c>
    </x:row>
    <x:row r="3643">
      <x:c r="A3643" t="n">
        <x:v>3642</x:v>
      </x:c>
      <x:c r="B3643" t="n">
        <x:v>50</x:v>
      </x:c>
      <x:c r="C3643" t="str">
        <x:v>Male</x:v>
      </x:c>
      <x:c r="D3643" t="str">
        <x:v>Electronics</x:v>
      </x:c>
      <x:c r="E3643" t="str">
        <x:v>Headphones</x:v>
      </x:c>
      <x:c r="F3643" s="24" t="n">
        <x:v>2463.27</x:v>
      </x:c>
      <x:c r="G3643" t="str">
        <x:v>Autumn</x:v>
      </x:c>
      <x:c r="H3643" t="str">
        <x:v>Card</x:v>
      </x:c>
      <x:c r="I3643" t="n">
        <x:v>3.7</x:v>
      </x:c>
      <x:c r="J3643" t="n">
        <x:v>20</x:v>
      </x:c>
      <x:c r="K3643" t="n">
        <x:v>5</x:v>
      </x:c>
      <x:c r="L3643" t="str">
        <x:v>STORE-001</x:v>
      </x:c>
      <x:c r="M3643" s="22" t="n">
        <x:v>46155</x:v>
      </x:c>
      <x:c r="N3643" t="str">
        <x:v>SKU-009</x:v>
      </x:c>
      <x:c r="O3643" t="n">
        <x:v>1</x:v>
      </x:c>
      <x:c r="P3643" s="26" t="n">
        <x:f>F3643/O3643</x:f>
        <x:v>2463.27</x:v>
      </x:c>
    </x:row>
    <x:row r="3644">
      <x:c r="A3644" t="n">
        <x:v>3643</x:v>
      </x:c>
      <x:c r="B3644" t="n">
        <x:v>65</x:v>
      </x:c>
      <x:c r="C3644" t="str">
        <x:v>Male</x:v>
      </x:c>
      <x:c r="D3644" t="str">
        <x:v>Sports</x:v>
      </x:c>
      <x:c r="E3644" t="str">
        <x:v>Football</x:v>
      </x:c>
      <x:c r="F3644" s="24" t="n">
        <x:v>210.26</x:v>
      </x:c>
      <x:c r="G3644" t="str">
        <x:v>Summer</x:v>
      </x:c>
      <x:c r="H3644" t="str">
        <x:v>Card</x:v>
      </x:c>
      <x:c r="I3644" t="n">
        <x:v>4.5</x:v>
      </x:c>
      <x:c r="J3644" t="n">
        <x:v>19</x:v>
      </x:c>
      <x:c r="K3644" t="n">
        <x:v>7</x:v>
      </x:c>
      <x:c r="L3644" t="str">
        <x:v>STORE-001</x:v>
      </x:c>
      <x:c r="M3644" s="22" t="n">
        <x:v>46011</x:v>
      </x:c>
      <x:c r="N3644" t="str">
        <x:v>SKU-006</x:v>
      </x:c>
      <x:c r="O3644" t="n">
        <x:v>2</x:v>
      </x:c>
      <x:c r="P3644" s="26" t="n">
        <x:f>F3644/O3644</x:f>
        <x:v>105.13</x:v>
      </x:c>
    </x:row>
    <x:row r="3645">
      <x:c r="A3645" t="n">
        <x:v>3644</x:v>
      </x:c>
      <x:c r="B3645" t="n">
        <x:v>43</x:v>
      </x:c>
      <x:c r="C3645" t="str">
        <x:v>Male</x:v>
      </x:c>
      <x:c r="D3645" t="str">
        <x:v>Footwear</x:v>
      </x:c>
      <x:c r="E3645" t="str">
        <x:v>Sneakers</x:v>
      </x:c>
      <x:c r="F3645" s="24" t="n">
        <x:v>43.08</x:v>
      </x:c>
      <x:c r="G3645" t="str">
        <x:v>Autumn</x:v>
      </x:c>
      <x:c r="H3645" t="str">
        <x:v>Cash on Delivery</x:v>
      </x:c>
      <x:c r="I3645" t="n">
        <x:v>3.3</x:v>
      </x:c>
      <x:c r="J3645" t="n">
        <x:v>24</x:v>
      </x:c>
      <x:c r="K3645" t="n">
        <x:v>7</x:v>
      </x:c>
      <x:c r="L3645" t="str">
        <x:v>STORE-001</x:v>
      </x:c>
      <x:c r="M3645" s="22" t="n">
        <x:v>46128</x:v>
      </x:c>
      <x:c r="N3645" t="str">
        <x:v>SKU-025</x:v>
      </x:c>
      <x:c r="O3645" t="n">
        <x:v>1</x:v>
      </x:c>
      <x:c r="P3645" s="26" t="n">
        <x:f>F3645/O3645</x:f>
        <x:v>43.08</x:v>
      </x:c>
    </x:row>
    <x:row r="3646">
      <x:c r="A3646" t="n">
        <x:v>3645</x:v>
      </x:c>
      <x:c r="B3646" t="n">
        <x:v>66</x:v>
      </x:c>
      <x:c r="C3646" t="str">
        <x:v>Male</x:v>
      </x:c>
      <x:c r="D3646" t="str">
        <x:v>Electronics</x:v>
      </x:c>
      <x:c r="E3646" t="str">
        <x:v>Laptop</x:v>
      </x:c>
      <x:c r="F3646" s="24" t="n">
        <x:v>2061.67</x:v>
      </x:c>
      <x:c r="G3646" t="str">
        <x:v>Winter</x:v>
      </x:c>
      <x:c r="H3646" t="str">
        <x:v>Card</x:v>
      </x:c>
      <x:c r="I3646" t="n">
        <x:v>3.8</x:v>
      </x:c>
      <x:c r="J3646" t="n">
        <x:v>11</x:v>
      </x:c>
      <x:c r="K3646" t="n">
        <x:v>3</x:v>
      </x:c>
      <x:c r="L3646" t="str">
        <x:v>STORE-001</x:v>
      </x:c>
      <x:c r="M3646" s="22" t="n">
        <x:v>46226</x:v>
      </x:c>
      <x:c r="N3646" t="str">
        <x:v>SKU-014</x:v>
      </x:c>
      <x:c r="O3646" t="n">
        <x:v>1</x:v>
      </x:c>
      <x:c r="P3646" s="26" t="n">
        <x:f>F3646/O3646</x:f>
        <x:v>2061.67</x:v>
      </x:c>
    </x:row>
    <x:row r="3647">
      <x:c r="A3647" t="n">
        <x:v>3646</x:v>
      </x:c>
      <x:c r="B3647" t="n">
        <x:v>54</x:v>
      </x:c>
      <x:c r="C3647" t="str">
        <x:v>Female</x:v>
      </x:c>
      <x:c r="D3647" t="str">
        <x:v>Beauty</x:v>
      </x:c>
      <x:c r="E3647" t="str">
        <x:v>Skincare Kit</x:v>
      </x:c>
      <x:c r="F3647" s="24" t="n">
        <x:v>116.1</x:v>
      </x:c>
      <x:c r="G3647" t="str">
        <x:v>Autumn</x:v>
      </x:c>
      <x:c r="H3647" t="str">
        <x:v>Card</x:v>
      </x:c>
      <x:c r="I3647" t="n">
        <x:v>3.3</x:v>
      </x:c>
      <x:c r="J3647" t="n">
        <x:v>11</x:v>
      </x:c>
      <x:c r="K3647" t="n">
        <x:v>3</x:v>
      </x:c>
      <x:c r="L3647" t="str">
        <x:v>STORE-001</x:v>
      </x:c>
      <x:c r="M3647" s="22" t="n">
        <x:v>46120</x:v>
      </x:c>
      <x:c r="N3647" t="str">
        <x:v>SKU-021</x:v>
      </x:c>
      <x:c r="O3647" t="n">
        <x:v>1</x:v>
      </x:c>
      <x:c r="P3647" s="26" t="n">
        <x:f>F3647/O3647</x:f>
        <x:v>116.1</x:v>
      </x:c>
    </x:row>
    <x:row r="3648">
      <x:c r="A3648" t="n">
        <x:v>3647</x:v>
      </x:c>
      <x:c r="B3648" t="n">
        <x:v>21</x:v>
      </x:c>
      <x:c r="C3648" t="str">
        <x:v>Female</x:v>
      </x:c>
      <x:c r="D3648" t="str">
        <x:v>Accessories</x:v>
      </x:c>
      <x:c r="E3648" t="str">
        <x:v>Wallet</x:v>
      </x:c>
      <x:c r="F3648" s="24" t="n">
        <x:v>74.01</x:v>
      </x:c>
      <x:c r="G3648" t="str">
        <x:v>Autumn</x:v>
      </x:c>
      <x:c r="H3648" t="str">
        <x:v>Card</x:v>
      </x:c>
      <x:c r="I3648" t="n">
        <x:v>4.1</x:v>
      </x:c>
      <x:c r="J3648" t="n">
        <x:v>22</x:v>
      </x:c>
      <x:c r="K3648" t="n">
        <x:v>6</x:v>
      </x:c>
      <x:c r="L3648" t="str">
        <x:v>STORE-001</x:v>
      </x:c>
      <x:c r="M3648" s="22" t="n">
        <x:v>46150</x:v>
      </x:c>
      <x:c r="N3648" t="str">
        <x:v>SKU-029</x:v>
      </x:c>
      <x:c r="O3648" t="n">
        <x:v>1</x:v>
      </x:c>
      <x:c r="P3648" s="26" t="n">
        <x:f>F3648/O3648</x:f>
        <x:v>74.01</x:v>
      </x:c>
    </x:row>
    <x:row r="3649">
      <x:c r="A3649" t="n">
        <x:v>3648</x:v>
      </x:c>
      <x:c r="B3649" t="n">
        <x:v>49</x:v>
      </x:c>
      <x:c r="C3649" t="str">
        <x:v>Female</x:v>
      </x:c>
      <x:c r="D3649" t="str">
        <x:v>Groceries</x:v>
      </x:c>
      <x:c r="E3649" t="str">
        <x:v>Snacks</x:v>
      </x:c>
      <x:c r="F3649" s="24" t="n">
        <x:v>63.04</x:v>
      </x:c>
      <x:c r="G3649" t="str">
        <x:v>Winter</x:v>
      </x:c>
      <x:c r="H3649" t="str">
        <x:v>Card</x:v>
      </x:c>
      <x:c r="I3649" t="n">
        <x:v>3.5</x:v>
      </x:c>
      <x:c r="J3649" t="n">
        <x:v>22</x:v>
      </x:c>
      <x:c r="K3649" t="n">
        <x:v>6</x:v>
      </x:c>
      <x:c r="L3649" t="str">
        <x:v>STORE-001</x:v>
      </x:c>
      <x:c r="M3649" s="22" t="n">
        <x:v>46227</x:v>
      </x:c>
      <x:c r="N3649" t="str">
        <x:v>SKU-024</x:v>
      </x:c>
      <x:c r="O3649" t="n">
        <x:v>2</x:v>
      </x:c>
      <x:c r="P3649" s="26" t="n">
        <x:f>F3649/O3649</x:f>
        <x:v>31.52</x:v>
      </x:c>
    </x:row>
    <x:row r="3650">
      <x:c r="A3650" t="n">
        <x:v>3649</x:v>
      </x:c>
      <x:c r="B3650" t="n">
        <x:v>41</x:v>
      </x:c>
      <x:c r="C3650" t="str">
        <x:v>Male</x:v>
      </x:c>
      <x:c r="D3650" t="str">
        <x:v>Mens Clothing</x:v>
      </x:c>
      <x:c r="E3650" t="str">
        <x:v>Jeans</x:v>
      </x:c>
      <x:c r="F3650" s="24" t="n">
        <x:v>52.63</x:v>
      </x:c>
      <x:c r="G3650" t="str">
        <x:v>Winter</x:v>
      </x:c>
      <x:c r="H3650" t="str">
        <x:v>Cash on Delivery</x:v>
      </x:c>
      <x:c r="I3650" t="n">
        <x:v>4.4</x:v>
      </x:c>
      <x:c r="J3650" t="n">
        <x:v>16</x:v>
      </x:c>
      <x:c r="K3650" t="n">
        <x:v>3</x:v>
      </x:c>
      <x:c r="L3650" t="str">
        <x:v>STORE-001</x:v>
      </x:c>
      <x:c r="M3650" s="22" t="n">
        <x:v>46224</x:v>
      </x:c>
      <x:c r="N3650" t="str">
        <x:v>SKU-011</x:v>
      </x:c>
      <x:c r="O3650" t="n">
        <x:v>1</x:v>
      </x:c>
      <x:c r="P3650" s="26" t="n">
        <x:f>F3650/O3650</x:f>
        <x:v>52.63</x:v>
      </x:c>
    </x:row>
    <x:row r="3651">
      <x:c r="A3651" t="n">
        <x:v>3650</x:v>
      </x:c>
      <x:c r="B3651" t="n">
        <x:v>51</x:v>
      </x:c>
      <x:c r="C3651" t="str">
        <x:v>Male</x:v>
      </x:c>
      <x:c r="D3651" t="str">
        <x:v>Mens Clothing</x:v>
      </x:c>
      <x:c r="E3651" t="str">
        <x:v>Shirt</x:v>
      </x:c>
      <x:c r="F3651" s="24" t="n">
        <x:v>159.5</x:v>
      </x:c>
      <x:c r="G3651" t="str">
        <x:v>Spring</x:v>
      </x:c>
      <x:c r="H3651" t="str">
        <x:v>Card</x:v>
      </x:c>
      <x:c r="I3651" t="n">
        <x:v>4.3</x:v>
      </x:c>
      <x:c r="J3651" t="n">
        <x:v>22</x:v>
      </x:c>
      <x:c r="K3651" t="n">
        <x:v>6</x:v>
      </x:c>
      <x:c r="L3651" t="str">
        <x:v>STORE-001</x:v>
      </x:c>
      <x:c r="M3651" s="22" t="n">
        <x:v>45991</x:v>
      </x:c>
      <x:c r="N3651" t="str">
        <x:v>SKU-020</x:v>
      </x:c>
      <x:c r="O3651" t="n">
        <x:v>2</x:v>
      </x:c>
      <x:c r="P3651" s="26" t="n">
        <x:f>F3651/O3651</x:f>
        <x:v>79.75</x:v>
      </x:c>
    </x:row>
    <x:row r="3652">
      <x:c r="A3652" t="n">
        <x:v>3651</x:v>
      </x:c>
      <x:c r="B3652" t="n">
        <x:v>63</x:v>
      </x:c>
      <x:c r="C3652" t="str">
        <x:v>Female</x:v>
      </x:c>
      <x:c r="D3652" t="str">
        <x:v>Womens Clothing</x:v>
      </x:c>
      <x:c r="E3652" t="str">
        <x:v>Skirt</x:v>
      </x:c>
      <x:c r="F3652" s="24" t="n">
        <x:v>128.85</x:v>
      </x:c>
      <x:c r="G3652" t="str">
        <x:v>Winter</x:v>
      </x:c>
      <x:c r="H3652" t="str">
        <x:v>Card</x:v>
      </x:c>
      <x:c r="I3652" t="n">
        <x:v>2.9</x:v>
      </x:c>
      <x:c r="J3652" t="n">
        <x:v>11</x:v>
      </x:c>
      <x:c r="K3652" t="n">
        <x:v>3</x:v>
      </x:c>
      <x:c r="L3652" t="str">
        <x:v>STORE-001</x:v>
      </x:c>
      <x:c r="M3652" s="22" t="n">
        <x:v>46181</x:v>
      </x:c>
      <x:c r="N3652" t="str">
        <x:v>SKU-022</x:v>
      </x:c>
      <x:c r="O3652" t="n">
        <x:v>1</x:v>
      </x:c>
      <x:c r="P3652" s="26" t="n">
        <x:f>F3652/O3652</x:f>
        <x:v>128.85</x:v>
      </x:c>
    </x:row>
    <x:row r="3653">
      <x:c r="A3653" t="n">
        <x:v>3652</x:v>
      </x:c>
      <x:c r="B3653" t="n">
        <x:v>29</x:v>
      </x:c>
      <x:c r="C3653" t="str">
        <x:v>Male</x:v>
      </x:c>
      <x:c r="D3653" t="str">
        <x:v>Sports</x:v>
      </x:c>
      <x:c r="E3653" t="str">
        <x:v>Dumbbells</x:v>
      </x:c>
      <x:c r="F3653" s="24" t="n">
        <x:v>206.04</x:v>
      </x:c>
      <x:c r="G3653" t="str">
        <x:v>Summer</x:v>
      </x:c>
      <x:c r="H3653" t="str">
        <x:v>Card</x:v>
      </x:c>
      <x:c r="I3653" t="n">
        <x:v>3.5</x:v>
      </x:c>
      <x:c r="J3653" t="n">
        <x:v>20</x:v>
      </x:c>
      <x:c r="K3653" t="n">
        <x:v>5</x:v>
      </x:c>
      <x:c r="L3653" t="str">
        <x:v>STORE-001</x:v>
      </x:c>
      <x:c r="M3653" s="22" t="n">
        <x:v>45992</x:v>
      </x:c>
      <x:c r="N3653" t="str">
        <x:v>SKU-005</x:v>
      </x:c>
      <x:c r="O3653" t="n">
        <x:v>2</x:v>
      </x:c>
      <x:c r="P3653" s="26" t="n">
        <x:f>F3653/O3653</x:f>
        <x:v>103.02</x:v>
      </x:c>
    </x:row>
    <x:row r="3654">
      <x:c r="A3654" t="n">
        <x:v>3653</x:v>
      </x:c>
      <x:c r="B3654" t="n">
        <x:v>68</x:v>
      </x:c>
      <x:c r="C3654" t="str">
        <x:v>Female</x:v>
      </x:c>
      <x:c r="D3654" t="str">
        <x:v>Footwear</x:v>
      </x:c>
      <x:c r="E3654" t="str">
        <x:v>Sandals</x:v>
      </x:c>
      <x:c r="F3654" s="24" t="n">
        <x:v>86.55</x:v>
      </x:c>
      <x:c r="G3654" t="str">
        <x:v>Summer</x:v>
      </x:c>
      <x:c r="H3654" t="str">
        <x:v>Card</x:v>
      </x:c>
      <x:c r="I3654" t="n">
        <x:v>5</x:v>
      </x:c>
      <x:c r="J3654" t="n">
        <x:v>28</x:v>
      </x:c>
      <x:c r="K3654" t="n">
        <x:v>9</x:v>
      </x:c>
      <x:c r="L3654" t="str">
        <x:v>STORE-001</x:v>
      </x:c>
      <x:c r="M3654" s="22" t="n">
        <x:v>46021</x:v>
      </x:c>
      <x:c r="N3654" t="str">
        <x:v>SKU-019</x:v>
      </x:c>
      <x:c r="O3654" t="n">
        <x:v>2</x:v>
      </x:c>
      <x:c r="P3654" s="26" t="n">
        <x:f>F3654/O3654</x:f>
        <x:v>43.275</x:v>
      </x:c>
    </x:row>
    <x:row r="3655">
      <x:c r="A3655" t="n">
        <x:v>3654</x:v>
      </x:c>
      <x:c r="B3655" t="n">
        <x:v>63</x:v>
      </x:c>
      <x:c r="C3655" t="str">
        <x:v>Male</x:v>
      </x:c>
      <x:c r="D3655" t="str">
        <x:v>Sports</x:v>
      </x:c>
      <x:c r="E3655" t="str">
        <x:v>Yoga Mat</x:v>
      </x:c>
      <x:c r="F3655" s="24" t="n">
        <x:v>138.76</x:v>
      </x:c>
      <x:c r="G3655" t="str">
        <x:v>Spring</x:v>
      </x:c>
      <x:c r="H3655" t="str">
        <x:v>Card</x:v>
      </x:c>
      <x:c r="I3655" t="n">
        <x:v>3.5</x:v>
      </x:c>
      <x:c r="J3655" t="n">
        <x:v>17</x:v>
      </x:c>
      <x:c r="K3655" t="n">
        <x:v>6</x:v>
      </x:c>
      <x:c r="L3655" t="str">
        <x:v>STORE-001</x:v>
      </x:c>
      <x:c r="M3655" s="22" t="n">
        <x:v>46281</x:v>
      </x:c>
      <x:c r="N3655" t="str">
        <x:v>SKU-030</x:v>
      </x:c>
      <x:c r="O3655" t="n">
        <x:v>1</x:v>
      </x:c>
      <x:c r="P3655" s="26" t="n">
        <x:f>F3655/O3655</x:f>
        <x:v>138.76</x:v>
      </x:c>
    </x:row>
    <x:row r="3656">
      <x:c r="A3656" t="n">
        <x:v>3655</x:v>
      </x:c>
      <x:c r="B3656" t="n">
        <x:v>49</x:v>
      </x:c>
      <x:c r="C3656" t="str">
        <x:v>Female</x:v>
      </x:c>
      <x:c r="D3656" t="str">
        <x:v>Womens Clothing</x:v>
      </x:c>
      <x:c r="E3656" t="str">
        <x:v>Skirt</x:v>
      </x:c>
      <x:c r="F3656" s="24" t="n">
        <x:v>45.93</x:v>
      </x:c>
      <x:c r="G3656" t="str">
        <x:v>Spring</x:v>
      </x:c>
      <x:c r="H3656" t="str">
        <x:v>Card</x:v>
      </x:c>
      <x:c r="I3656" t="n">
        <x:v>5</x:v>
      </x:c>
      <x:c r="J3656" t="n">
        <x:v>22</x:v>
      </x:c>
      <x:c r="K3656" t="n">
        <x:v>6</x:v>
      </x:c>
      <x:c r="L3656" t="str">
        <x:v>STORE-001</x:v>
      </x:c>
      <x:c r="M3656" s="22" t="n">
        <x:v>46268</x:v>
      </x:c>
      <x:c r="N3656" t="str">
        <x:v>SKU-022</x:v>
      </x:c>
      <x:c r="O3656" t="n">
        <x:v>2</x:v>
      </x:c>
      <x:c r="P3656" s="26" t="n">
        <x:f>F3656/O3656</x:f>
        <x:v>22.965</x:v>
      </x:c>
    </x:row>
    <x:row r="3657">
      <x:c r="A3657" t="n">
        <x:v>3656</x:v>
      </x:c>
      <x:c r="B3657" t="n">
        <x:v>56</x:v>
      </x:c>
      <x:c r="C3657" t="str">
        <x:v>Female</x:v>
      </x:c>
      <x:c r="D3657" t="str">
        <x:v>Womens Clothing</x:v>
      </x:c>
      <x:c r="E3657" t="str">
        <x:v>Jeans</x:v>
      </x:c>
      <x:c r="F3657" s="24" t="n">
        <x:v>80.56</x:v>
      </x:c>
      <x:c r="G3657" t="str">
        <x:v>Autumn</x:v>
      </x:c>
      <x:c r="H3657" t="str">
        <x:v>Card</x:v>
      </x:c>
      <x:c r="I3657" t="n">
        <x:v>3.5</x:v>
      </x:c>
      <x:c r="J3657" t="n">
        <x:v>14</x:v>
      </x:c>
      <x:c r="K3657" t="n">
        <x:v>7</x:v>
      </x:c>
      <x:c r="L3657" t="str">
        <x:v>STORE-001</x:v>
      </x:c>
      <x:c r="M3657" s="22" t="n">
        <x:v>46105</x:v>
      </x:c>
      <x:c r="N3657" t="str">
        <x:v>SKU-011</x:v>
      </x:c>
      <x:c r="O3657" t="n">
        <x:v>1</x:v>
      </x:c>
      <x:c r="P3657" s="26" t="n">
        <x:f>F3657/O3657</x:f>
        <x:v>80.56</x:v>
      </x:c>
    </x:row>
    <x:row r="3658">
      <x:c r="A3658" t="n">
        <x:v>3657</x:v>
      </x:c>
      <x:c r="B3658" t="n">
        <x:v>42</x:v>
      </x:c>
      <x:c r="C3658" t="str">
        <x:v>Male</x:v>
      </x:c>
      <x:c r="D3658" t="str">
        <x:v>Home</x:v>
      </x:c>
      <x:c r="E3658" t="str">
        <x:v>Kitchen Set</x:v>
      </x:c>
      <x:c r="F3658" s="24" t="n">
        <x:v>133.91</x:v>
      </x:c>
      <x:c r="G3658" t="str">
        <x:v>Summer</x:v>
      </x:c>
      <x:c r="H3658" t="str">
        <x:v>Card</x:v>
      </x:c>
      <x:c r="I3658" t="n">
        <x:v>3.9</x:v>
      </x:c>
      <x:c r="J3658" t="n">
        <x:v>18</x:v>
      </x:c>
      <x:c r="K3658" t="n">
        <x:v>4</x:v>
      </x:c>
      <x:c r="L3658" t="str">
        <x:v>STORE-001</x:v>
      </x:c>
      <x:c r="M3658" s="22" t="n">
        <x:v>46038</x:v>
      </x:c>
      <x:c r="N3658" t="str">
        <x:v>SKU-012</x:v>
      </x:c>
      <x:c r="O3658" t="n">
        <x:v>2</x:v>
      </x:c>
      <x:c r="P3658" s="26" t="n">
        <x:f>F3658/O3658</x:f>
        <x:v>66.955</x:v>
      </x:c>
    </x:row>
    <x:row r="3659">
      <x:c r="A3659" t="n">
        <x:v>3658</x:v>
      </x:c>
      <x:c r="B3659" t="n">
        <x:v>34</x:v>
      </x:c>
      <x:c r="C3659" t="str">
        <x:v>Male</x:v>
      </x:c>
      <x:c r="D3659" t="str">
        <x:v>Electronics</x:v>
      </x:c>
      <x:c r="E3659" t="str">
        <x:v>Laptop</x:v>
      </x:c>
      <x:c r="F3659" s="24" t="n">
        <x:v>739.02</x:v>
      </x:c>
      <x:c r="G3659" t="str">
        <x:v>Autumn</x:v>
      </x:c>
      <x:c r="H3659" t="str">
        <x:v>Card</x:v>
      </x:c>
      <x:c r="I3659" t="n">
        <x:v>4.3</x:v>
      </x:c>
      <x:c r="J3659" t="n">
        <x:v>30</x:v>
      </x:c>
      <x:c r="K3659" t="n">
        <x:v>10</x:v>
      </x:c>
      <x:c r="L3659" t="str">
        <x:v>STORE-001</x:v>
      </x:c>
      <x:c r="M3659" s="22" t="n">
        <x:v>46085</x:v>
      </x:c>
      <x:c r="N3659" t="str">
        <x:v>SKU-014</x:v>
      </x:c>
      <x:c r="O3659" t="n">
        <x:v>1</x:v>
      </x:c>
      <x:c r="P3659" s="26" t="n">
        <x:f>F3659/O3659</x:f>
        <x:v>739.02</x:v>
      </x:c>
    </x:row>
    <x:row r="3660">
      <x:c r="A3660" t="n">
        <x:v>3659</x:v>
      </x:c>
      <x:c r="B3660" t="n">
        <x:v>49</x:v>
      </x:c>
      <x:c r="C3660" t="str">
        <x:v>Male</x:v>
      </x:c>
      <x:c r="D3660" t="str">
        <x:v>Sports</x:v>
      </x:c>
      <x:c r="E3660" t="str">
        <x:v>Football</x:v>
      </x:c>
      <x:c r="F3660" s="24" t="n">
        <x:v>245.64</x:v>
      </x:c>
      <x:c r="G3660" t="str">
        <x:v>Winter</x:v>
      </x:c>
      <x:c r="H3660" t="str">
        <x:v>Card</x:v>
      </x:c>
      <x:c r="I3660" t="n">
        <x:v>4.1</x:v>
      </x:c>
      <x:c r="J3660" t="n">
        <x:v>15</x:v>
      </x:c>
      <x:c r="K3660" t="n">
        <x:v>5</x:v>
      </x:c>
      <x:c r="L3660" t="str">
        <x:v>STORE-001</x:v>
      </x:c>
      <x:c r="M3660" s="22" t="n">
        <x:v>46225</x:v>
      </x:c>
      <x:c r="N3660" t="str">
        <x:v>SKU-006</x:v>
      </x:c>
      <x:c r="O3660" t="n">
        <x:v>2</x:v>
      </x:c>
      <x:c r="P3660" s="26" t="n">
        <x:f>F3660/O3660</x:f>
        <x:v>122.82</x:v>
      </x:c>
    </x:row>
    <x:row r="3661">
      <x:c r="A3661" t="n">
        <x:v>3660</x:v>
      </x:c>
      <x:c r="B3661" t="n">
        <x:v>38</x:v>
      </x:c>
      <x:c r="C3661" t="str">
        <x:v>Male</x:v>
      </x:c>
      <x:c r="D3661" t="str">
        <x:v>Mens Clothing</x:v>
      </x:c>
      <x:c r="E3661" t="str">
        <x:v>Jeans</x:v>
      </x:c>
      <x:c r="F3661" s="24" t="n">
        <x:v>75.67</x:v>
      </x:c>
      <x:c r="G3661" t="str">
        <x:v>Winter</x:v>
      </x:c>
      <x:c r="H3661" t="str">
        <x:v>Cash on Delivery</x:v>
      </x:c>
      <x:c r="I3661" t="n">
        <x:v>3.8</x:v>
      </x:c>
      <x:c r="J3661" t="n">
        <x:v>15</x:v>
      </x:c>
      <x:c r="K3661" t="n">
        <x:v>5</x:v>
      </x:c>
      <x:c r="L3661" t="str">
        <x:v>STORE-001</x:v>
      </x:c>
      <x:c r="M3661" s="22" t="n">
        <x:v>46236</x:v>
      </x:c>
      <x:c r="N3661" t="str">
        <x:v>SKU-011</x:v>
      </x:c>
      <x:c r="O3661" t="n">
        <x:v>1</x:v>
      </x:c>
      <x:c r="P3661" s="26" t="n">
        <x:f>F3661/O3661</x:f>
        <x:v>75.67</x:v>
      </x:c>
    </x:row>
    <x:row r="3662">
      <x:c r="A3662" t="n">
        <x:v>3661</x:v>
      </x:c>
      <x:c r="B3662" t="n">
        <x:v>51</x:v>
      </x:c>
      <x:c r="C3662" t="str">
        <x:v>Female</x:v>
      </x:c>
      <x:c r="D3662" t="str">
        <x:v>Accessories</x:v>
      </x:c>
      <x:c r="E3662" t="str">
        <x:v>Wallet</x:v>
      </x:c>
      <x:c r="F3662" s="24" t="n">
        <x:v>102.13</x:v>
      </x:c>
      <x:c r="G3662" t="str">
        <x:v>Summer</x:v>
      </x:c>
      <x:c r="H3662" t="str">
        <x:v>Card</x:v>
      </x:c>
      <x:c r="I3662" t="n">
        <x:v>4.1</x:v>
      </x:c>
      <x:c r="J3662" t="n">
        <x:v>12</x:v>
      </x:c>
      <x:c r="K3662" t="n">
        <x:v>6</x:v>
      </x:c>
      <x:c r="L3662" t="str">
        <x:v>STORE-001</x:v>
      </x:c>
      <x:c r="M3662" s="22" t="n">
        <x:v>46014</x:v>
      </x:c>
      <x:c r="N3662" t="str">
        <x:v>SKU-029</x:v>
      </x:c>
      <x:c r="O3662" t="n">
        <x:v>2</x:v>
      </x:c>
      <x:c r="P3662" s="26" t="n">
        <x:f>F3662/O3662</x:f>
        <x:v>51.065</x:v>
      </x:c>
    </x:row>
    <x:row r="3663">
      <x:c r="A3663" t="n">
        <x:v>3662</x:v>
      </x:c>
      <x:c r="B3663" t="n">
        <x:v>50</x:v>
      </x:c>
      <x:c r="C3663" t="str">
        <x:v>Female</x:v>
      </x:c>
      <x:c r="D3663" t="str">
        <x:v>Womens Clothing</x:v>
      </x:c>
      <x:c r="E3663" t="str">
        <x:v>Jeans</x:v>
      </x:c>
      <x:c r="F3663" s="24" t="n">
        <x:v>193.62</x:v>
      </x:c>
      <x:c r="G3663" t="str">
        <x:v>Autumn</x:v>
      </x:c>
      <x:c r="H3663" t="str">
        <x:v>Card</x:v>
      </x:c>
      <x:c r="I3663" t="n">
        <x:v>2.9</x:v>
      </x:c>
      <x:c r="J3663" t="n">
        <x:v>19</x:v>
      </x:c>
      <x:c r="K3663" t="n">
        <x:v>7</x:v>
      </x:c>
      <x:c r="L3663" t="str">
        <x:v>STORE-001</x:v>
      </x:c>
      <x:c r="M3663" s="22" t="n">
        <x:v>46173</x:v>
      </x:c>
      <x:c r="N3663" t="str">
        <x:v>SKU-011</x:v>
      </x:c>
      <x:c r="O3663" t="n">
        <x:v>1</x:v>
      </x:c>
      <x:c r="P3663" s="26" t="n">
        <x:f>F3663/O3663</x:f>
        <x:v>193.62</x:v>
      </x:c>
    </x:row>
    <x:row r="3664">
      <x:c r="A3664" t="n">
        <x:v>3663</x:v>
      </x:c>
      <x:c r="B3664" t="n">
        <x:v>27</x:v>
      </x:c>
      <x:c r="C3664" t="str">
        <x:v>Male</x:v>
      </x:c>
      <x:c r="D3664" t="str">
        <x:v>Mens Clothing</x:v>
      </x:c>
      <x:c r="E3664" t="str">
        <x:v>Jacket</x:v>
      </x:c>
      <x:c r="F3664" s="24" t="n">
        <x:v>154.24</x:v>
      </x:c>
      <x:c r="G3664" t="str">
        <x:v>Summer</x:v>
      </x:c>
      <x:c r="H3664" t="str">
        <x:v>Card</x:v>
      </x:c>
      <x:c r="I3664" t="n">
        <x:v>4.2</x:v>
      </x:c>
      <x:c r="J3664" t="n">
        <x:v>22</x:v>
      </x:c>
      <x:c r="K3664" t="n">
        <x:v>6</x:v>
      </x:c>
      <x:c r="L3664" t="str">
        <x:v>STORE-001</x:v>
      </x:c>
      <x:c r="M3664" s="22" t="n">
        <x:v>46041</x:v>
      </x:c>
      <x:c r="N3664" t="str">
        <x:v>SKU-010</x:v>
      </x:c>
      <x:c r="O3664" t="n">
        <x:v>1</x:v>
      </x:c>
      <x:c r="P3664" s="26" t="n">
        <x:f>F3664/O3664</x:f>
        <x:v>154.24</x:v>
      </x:c>
    </x:row>
    <x:row r="3665">
      <x:c r="A3665" t="n">
        <x:v>3664</x:v>
      </x:c>
      <x:c r="B3665" t="n">
        <x:v>40</x:v>
      </x:c>
      <x:c r="C3665" t="str">
        <x:v>Male</x:v>
      </x:c>
      <x:c r="D3665" t="str">
        <x:v>Footwear</x:v>
      </x:c>
      <x:c r="E3665" t="str">
        <x:v>Formal Shoes</x:v>
      </x:c>
      <x:c r="F3665" s="24" t="n">
        <x:v>70.38</x:v>
      </x:c>
      <x:c r="G3665" t="str">
        <x:v>Summer</x:v>
      </x:c>
      <x:c r="H3665" t="str">
        <x:v>Card</x:v>
      </x:c>
      <x:c r="I3665" t="n">
        <x:v>4.3</x:v>
      </x:c>
      <x:c r="J3665" t="n">
        <x:v>21</x:v>
      </x:c>
      <x:c r="K3665" t="n">
        <x:v>8</x:v>
      </x:c>
      <x:c r="L3665" t="str">
        <x:v>STORE-001</x:v>
      </x:c>
      <x:c r="M3665" s="22" t="n">
        <x:v>46034</x:v>
      </x:c>
      <x:c r="N3665" t="str">
        <x:v>SKU-007</x:v>
      </x:c>
      <x:c r="O3665" t="n">
        <x:v>2</x:v>
      </x:c>
      <x:c r="P3665" s="26" t="n">
        <x:f>F3665/O3665</x:f>
        <x:v>35.19</x:v>
      </x:c>
    </x:row>
    <x:row r="3666">
      <x:c r="A3666" t="n">
        <x:v>3665</x:v>
      </x:c>
      <x:c r="B3666" t="n">
        <x:v>43</x:v>
      </x:c>
      <x:c r="C3666" t="str">
        <x:v>Female</x:v>
      </x:c>
      <x:c r="D3666" t="str">
        <x:v>Groceries</x:v>
      </x:c>
      <x:c r="E3666" t="str">
        <x:v>Cooking Oil</x:v>
      </x:c>
      <x:c r="F3666" s="24" t="n">
        <x:v>42.5</x:v>
      </x:c>
      <x:c r="G3666" t="str">
        <x:v>Summer</x:v>
      </x:c>
      <x:c r="H3666" t="str">
        <x:v>Cash on Delivery</x:v>
      </x:c>
      <x:c r="I3666" t="n">
        <x:v>2.4</x:v>
      </x:c>
      <x:c r="J3666" t="n">
        <x:v>9</x:v>
      </x:c>
      <x:c r="K3666" t="n">
        <x:v>2</x:v>
      </x:c>
      <x:c r="L3666" t="str">
        <x:v>STORE-001</x:v>
      </x:c>
      <x:c r="M3666" s="22" t="n">
        <x:v>45996</x:v>
      </x:c>
      <x:c r="N3666" t="str">
        <x:v>SKU-002</x:v>
      </x:c>
      <x:c r="O3666" t="n">
        <x:v>1</x:v>
      </x:c>
      <x:c r="P3666" s="26" t="n">
        <x:f>F3666/O3666</x:f>
        <x:v>42.5</x:v>
      </x:c>
    </x:row>
    <x:row r="3667">
      <x:c r="A3667" t="n">
        <x:v>3666</x:v>
      </x:c>
      <x:c r="B3667" t="n">
        <x:v>57</x:v>
      </x:c>
      <x:c r="C3667" t="str">
        <x:v>Female</x:v>
      </x:c>
      <x:c r="D3667" t="str">
        <x:v>Footwear</x:v>
      </x:c>
      <x:c r="E3667" t="str">
        <x:v>Sneakers</x:v>
      </x:c>
      <x:c r="F3667" s="24" t="n">
        <x:v>185.73</x:v>
      </x:c>
      <x:c r="G3667" t="str">
        <x:v>Spring</x:v>
      </x:c>
      <x:c r="H3667" t="str">
        <x:v>Card</x:v>
      </x:c>
      <x:c r="I3667" t="n">
        <x:v>5</x:v>
      </x:c>
      <x:c r="J3667" t="n">
        <x:v>17</x:v>
      </x:c>
      <x:c r="K3667" t="n">
        <x:v>6</x:v>
      </x:c>
      <x:c r="L3667" t="str">
        <x:v>STORE-001</x:v>
      </x:c>
      <x:c r="M3667" s="22" t="n">
        <x:v>46291</x:v>
      </x:c>
      <x:c r="N3667" t="str">
        <x:v>SKU-025</x:v>
      </x:c>
      <x:c r="O3667" t="n">
        <x:v>1</x:v>
      </x:c>
      <x:c r="P3667" s="26" t="n">
        <x:f>F3667/O3667</x:f>
        <x:v>185.73</x:v>
      </x:c>
    </x:row>
    <x:row r="3668">
      <x:c r="A3668" t="n">
        <x:v>3667</x:v>
      </x:c>
      <x:c r="B3668" t="n">
        <x:v>20</x:v>
      </x:c>
      <x:c r="C3668" t="str">
        <x:v>Male</x:v>
      </x:c>
      <x:c r="D3668" t="str">
        <x:v>Electronics</x:v>
      </x:c>
      <x:c r="E3668" t="str">
        <x:v>Laptop</x:v>
      </x:c>
      <x:c r="F3668" s="24" t="n">
        <x:v>1838.94</x:v>
      </x:c>
      <x:c r="G3668" t="str">
        <x:v>Winter</x:v>
      </x:c>
      <x:c r="H3668" t="str">
        <x:v>Card</x:v>
      </x:c>
      <x:c r="I3668" t="n">
        <x:v>3.8</x:v>
      </x:c>
      <x:c r="J3668" t="n">
        <x:v>10</x:v>
      </x:c>
      <x:c r="K3668" t="n">
        <x:v>5</x:v>
      </x:c>
      <x:c r="L3668" t="str">
        <x:v>STORE-001</x:v>
      </x:c>
      <x:c r="M3668" s="22" t="n">
        <x:v>46204</x:v>
      </x:c>
      <x:c r="N3668" t="str">
        <x:v>SKU-014</x:v>
      </x:c>
      <x:c r="O3668" t="n">
        <x:v>1</x:v>
      </x:c>
      <x:c r="P3668" s="26" t="n">
        <x:f>F3668/O3668</x:f>
        <x:v>1838.94</x:v>
      </x:c>
    </x:row>
    <x:row r="3669">
      <x:c r="A3669" t="n">
        <x:v>3668</x:v>
      </x:c>
      <x:c r="B3669" t="n">
        <x:v>25</x:v>
      </x:c>
      <x:c r="C3669" t="str">
        <x:v>Male</x:v>
      </x:c>
      <x:c r="D3669" t="str">
        <x:v>Sports</x:v>
      </x:c>
      <x:c r="E3669" t="str">
        <x:v>Yoga Mat</x:v>
      </x:c>
      <x:c r="F3669" s="24" t="n">
        <x:v>224.19</x:v>
      </x:c>
      <x:c r="G3669" t="str">
        <x:v>Autumn</x:v>
      </x:c>
      <x:c r="H3669" t="str">
        <x:v>Card</x:v>
      </x:c>
      <x:c r="I3669" t="n">
        <x:v>3.3</x:v>
      </x:c>
      <x:c r="J3669" t="n">
        <x:v>18</x:v>
      </x:c>
      <x:c r="K3669" t="n">
        <x:v>4</x:v>
      </x:c>
      <x:c r="L3669" t="str">
        <x:v>STORE-001</x:v>
      </x:c>
      <x:c r="M3669" s="22" t="n">
        <x:v>46134</x:v>
      </x:c>
      <x:c r="N3669" t="str">
        <x:v>SKU-030</x:v>
      </x:c>
      <x:c r="O3669" t="n">
        <x:v>1</x:v>
      </x:c>
      <x:c r="P3669" s="26" t="n">
        <x:f>F3669/O3669</x:f>
        <x:v>224.19</x:v>
      </x:c>
    </x:row>
    <x:row r="3670">
      <x:c r="A3670" t="n">
        <x:v>3669</x:v>
      </x:c>
      <x:c r="B3670" t="n">
        <x:v>64</x:v>
      </x:c>
      <x:c r="C3670" t="str">
        <x:v>Male</x:v>
      </x:c>
      <x:c r="D3670" t="str">
        <x:v>Mens Clothing</x:v>
      </x:c>
      <x:c r="E3670" t="str">
        <x:v>Jacket</x:v>
      </x:c>
      <x:c r="F3670" s="24" t="n">
        <x:v>64.53</x:v>
      </x:c>
      <x:c r="G3670" t="str">
        <x:v>Summer</x:v>
      </x:c>
      <x:c r="H3670" t="str">
        <x:v>Cash on Delivery</x:v>
      </x:c>
      <x:c r="I3670" t="n">
        <x:v>3.8</x:v>
      </x:c>
      <x:c r="J3670" t="n">
        <x:v>22</x:v>
      </x:c>
      <x:c r="K3670" t="n">
        <x:v>6</x:v>
      </x:c>
      <x:c r="L3670" t="str">
        <x:v>STORE-001</x:v>
      </x:c>
      <x:c r="M3670" s="22" t="n">
        <x:v>46002</x:v>
      </x:c>
      <x:c r="N3670" t="str">
        <x:v>SKU-010</x:v>
      </x:c>
      <x:c r="O3670" t="n">
        <x:v>2</x:v>
      </x:c>
      <x:c r="P3670" s="26" t="n">
        <x:f>F3670/O3670</x:f>
        <x:v>32.265</x:v>
      </x:c>
    </x:row>
    <x:row r="3671">
      <x:c r="A3671" t="n">
        <x:v>3670</x:v>
      </x:c>
      <x:c r="B3671" t="n">
        <x:v>43</x:v>
      </x:c>
      <x:c r="C3671" t="str">
        <x:v>Male</x:v>
      </x:c>
      <x:c r="D3671" t="str">
        <x:v>Electronics</x:v>
      </x:c>
      <x:c r="E3671" t="str">
        <x:v>Headphones</x:v>
      </x:c>
      <x:c r="F3671" s="24" t="n">
        <x:v>907.49</x:v>
      </x:c>
      <x:c r="G3671" t="str">
        <x:v>Winter</x:v>
      </x:c>
      <x:c r="H3671" t="str">
        <x:v>Card</x:v>
      </x:c>
      <x:c r="I3671" t="n">
        <x:v>4.3</x:v>
      </x:c>
      <x:c r="J3671" t="n">
        <x:v>8</x:v>
      </x:c>
      <x:c r="K3671" t="n">
        <x:v>4</x:v>
      </x:c>
      <x:c r="L3671" t="str">
        <x:v>STORE-001</x:v>
      </x:c>
      <x:c r="M3671" s="22" t="n">
        <x:v>46183</x:v>
      </x:c>
      <x:c r="N3671" t="str">
        <x:v>SKU-009</x:v>
      </x:c>
      <x:c r="O3671" t="n">
        <x:v>1</x:v>
      </x:c>
      <x:c r="P3671" s="26" t="n">
        <x:f>F3671/O3671</x:f>
        <x:v>907.49</x:v>
      </x:c>
    </x:row>
    <x:row r="3672">
      <x:c r="A3672" t="n">
        <x:v>3671</x:v>
      </x:c>
      <x:c r="B3672" t="n">
        <x:v>56</x:v>
      </x:c>
      <x:c r="C3672" t="str">
        <x:v>Female</x:v>
      </x:c>
      <x:c r="D3672" t="str">
        <x:v>Beauty</x:v>
      </x:c>
      <x:c r="E3672" t="str">
        <x:v>Makeup Set</x:v>
      </x:c>
      <x:c r="F3672" s="24" t="n">
        <x:v>91.75</x:v>
      </x:c>
      <x:c r="G3672" t="str">
        <x:v>Autumn</x:v>
      </x:c>
      <x:c r="H3672" t="str">
        <x:v>Card</x:v>
      </x:c>
      <x:c r="I3672" t="n">
        <x:v>3.3</x:v>
      </x:c>
      <x:c r="J3672" t="n">
        <x:v>13</x:v>
      </x:c>
      <x:c r="K3672" t="n">
        <x:v>4</x:v>
      </x:c>
      <x:c r="L3672" t="str">
        <x:v>STORE-001</x:v>
      </x:c>
      <x:c r="M3672" s="22" t="n">
        <x:v>46101</x:v>
      </x:c>
      <x:c r="N3672" t="str">
        <x:v>SKU-015</x:v>
      </x:c>
      <x:c r="O3672" t="n">
        <x:v>2</x:v>
      </x:c>
      <x:c r="P3672" s="26" t="n">
        <x:f>F3672/O3672</x:f>
        <x:v>45.875</x:v>
      </x:c>
    </x:row>
    <x:row r="3673">
      <x:c r="A3673" t="n">
        <x:v>3672</x:v>
      </x:c>
      <x:c r="B3673" t="n">
        <x:v>67</x:v>
      </x:c>
      <x:c r="C3673" t="str">
        <x:v>Male</x:v>
      </x:c>
      <x:c r="D3673" t="str">
        <x:v>Mens Clothing</x:v>
      </x:c>
      <x:c r="E3673" t="str">
        <x:v>Jacket</x:v>
      </x:c>
      <x:c r="F3673" s="24" t="n">
        <x:v>51.17</x:v>
      </x:c>
      <x:c r="G3673" t="str">
        <x:v>Summer</x:v>
      </x:c>
      <x:c r="H3673" t="str">
        <x:v>Cash on Delivery</x:v>
      </x:c>
      <x:c r="I3673" t="n">
        <x:v>4</x:v>
      </x:c>
      <x:c r="J3673" t="n">
        <x:v>14</x:v>
      </x:c>
      <x:c r="K3673" t="n">
        <x:v>2</x:v>
      </x:c>
      <x:c r="L3673" t="str">
        <x:v>STORE-001</x:v>
      </x:c>
      <x:c r="M3673" s="22" t="n">
        <x:v>46013</x:v>
      </x:c>
      <x:c r="N3673" t="str">
        <x:v>SKU-010</x:v>
      </x:c>
      <x:c r="O3673" t="n">
        <x:v>1</x:v>
      </x:c>
      <x:c r="P3673" s="26" t="n">
        <x:f>F3673/O3673</x:f>
        <x:v>51.17</x:v>
      </x:c>
    </x:row>
    <x:row r="3674">
      <x:c r="A3674" t="n">
        <x:v>3673</x:v>
      </x:c>
      <x:c r="B3674" t="n">
        <x:v>60</x:v>
      </x:c>
      <x:c r="C3674" t="str">
        <x:v>Female</x:v>
      </x:c>
      <x:c r="D3674" t="str">
        <x:v>Accessories</x:v>
      </x:c>
      <x:c r="E3674" t="str">
        <x:v>Handbag</x:v>
      </x:c>
      <x:c r="F3674" s="24" t="n">
        <x:v>58.89</x:v>
      </x:c>
      <x:c r="G3674" t="str">
        <x:v>Summer</x:v>
      </x:c>
      <x:c r="H3674" t="str">
        <x:v>Card</x:v>
      </x:c>
      <x:c r="I3674" t="n">
        <x:v>4.9</x:v>
      </x:c>
      <x:c r="J3674" t="n">
        <x:v>12</x:v>
      </x:c>
      <x:c r="K3674" t="n">
        <x:v>1</x:v>
      </x:c>
      <x:c r="L3674" t="str">
        <x:v>STORE-001</x:v>
      </x:c>
      <x:c r="M3674" s="22" t="n">
        <x:v>46025</x:v>
      </x:c>
      <x:c r="N3674" t="str">
        <x:v>SKU-008</x:v>
      </x:c>
      <x:c r="O3674" t="n">
        <x:v>3</x:v>
      </x:c>
      <x:c r="P3674" s="26" t="n">
        <x:f>F3674/O3674</x:f>
        <x:v>19.63</x:v>
      </x:c>
    </x:row>
    <x:row r="3675">
      <x:c r="A3675" t="n">
        <x:v>3674</x:v>
      </x:c>
      <x:c r="B3675" t="n">
        <x:v>35</x:v>
      </x:c>
      <x:c r="C3675" t="str">
        <x:v>Male</x:v>
      </x:c>
      <x:c r="D3675" t="str">
        <x:v>Home</x:v>
      </x:c>
      <x:c r="E3675" t="str">
        <x:v>Kitchen Set</x:v>
      </x:c>
      <x:c r="F3675" s="24" t="n">
        <x:v>118.44</x:v>
      </x:c>
      <x:c r="G3675" t="str">
        <x:v>Winter</x:v>
      </x:c>
      <x:c r="H3675" t="str">
        <x:v>Card</x:v>
      </x:c>
      <x:c r="I3675" t="n">
        <x:v>4.7</x:v>
      </x:c>
      <x:c r="J3675" t="n">
        <x:v>28</x:v>
      </x:c>
      <x:c r="K3675" t="n">
        <x:v>9</x:v>
      </x:c>
      <x:c r="L3675" t="str">
        <x:v>STORE-001</x:v>
      </x:c>
      <x:c r="M3675" s="22" t="n">
        <x:v>46231</x:v>
      </x:c>
      <x:c r="N3675" t="str">
        <x:v>SKU-012</x:v>
      </x:c>
      <x:c r="O3675" t="n">
        <x:v>1</x:v>
      </x:c>
      <x:c r="P3675" s="26" t="n">
        <x:f>F3675/O3675</x:f>
        <x:v>118.44</x:v>
      </x:c>
    </x:row>
    <x:row r="3676">
      <x:c r="A3676" t="n">
        <x:v>3675</x:v>
      </x:c>
      <x:c r="B3676" t="n">
        <x:v>35</x:v>
      </x:c>
      <x:c r="C3676" t="str">
        <x:v>Female</x:v>
      </x:c>
      <x:c r="D3676" t="str">
        <x:v>Accessories</x:v>
      </x:c>
      <x:c r="E3676" t="str">
        <x:v>Handbag</x:v>
      </x:c>
      <x:c r="F3676" s="24" t="n">
        <x:v>130.35</x:v>
      </x:c>
      <x:c r="G3676" t="str">
        <x:v>Spring</x:v>
      </x:c>
      <x:c r="H3676" t="str">
        <x:v>Card</x:v>
      </x:c>
      <x:c r="I3676" t="n">
        <x:v>3.8</x:v>
      </x:c>
      <x:c r="J3676" t="n">
        <x:v>24</x:v>
      </x:c>
      <x:c r="K3676" t="n">
        <x:v>7</x:v>
      </x:c>
      <x:c r="L3676" t="str">
        <x:v>STORE-001</x:v>
      </x:c>
      <x:c r="M3676" s="22" t="n">
        <x:v>46268</x:v>
      </x:c>
      <x:c r="N3676" t="str">
        <x:v>SKU-008</x:v>
      </x:c>
      <x:c r="O3676" t="n">
        <x:v>1</x:v>
      </x:c>
      <x:c r="P3676" s="26" t="n">
        <x:f>F3676/O3676</x:f>
        <x:v>130.35</x:v>
      </x:c>
    </x:row>
    <x:row r="3677">
      <x:c r="A3677" t="n">
        <x:v>3676</x:v>
      </x:c>
      <x:c r="B3677" t="n">
        <x:v>44</x:v>
      </x:c>
      <x:c r="C3677" t="str">
        <x:v>Female</x:v>
      </x:c>
      <x:c r="D3677" t="str">
        <x:v>Groceries</x:v>
      </x:c>
      <x:c r="E3677" t="str">
        <x:v>Rice Pack</x:v>
      </x:c>
      <x:c r="F3677" s="24" t="n">
        <x:v>53.11</x:v>
      </x:c>
      <x:c r="G3677" t="str">
        <x:v>Winter</x:v>
      </x:c>
      <x:c r="H3677" t="str">
        <x:v>Cash on Delivery</x:v>
      </x:c>
      <x:c r="I3677" t="n">
        <x:v>3.9</x:v>
      </x:c>
      <x:c r="J3677" t="n">
        <x:v>15</x:v>
      </x:c>
      <x:c r="K3677" t="n">
        <x:v>5</x:v>
      </x:c>
      <x:c r="L3677" t="str">
        <x:v>STORE-001</x:v>
      </x:c>
      <x:c r="M3677" s="22" t="n">
        <x:v>46196</x:v>
      </x:c>
      <x:c r="N3677" t="str">
        <x:v>SKU-018</x:v>
      </x:c>
      <x:c r="O3677" t="n">
        <x:v>4</x:v>
      </x:c>
      <x:c r="P3677" s="26" t="n">
        <x:f>F3677/O3677</x:f>
        <x:v>13.2775</x:v>
      </x:c>
    </x:row>
    <x:row r="3678">
      <x:c r="A3678" t="n">
        <x:v>3677</x:v>
      </x:c>
      <x:c r="B3678" t="n">
        <x:v>47</x:v>
      </x:c>
      <x:c r="C3678" t="str">
        <x:v>Female</x:v>
      </x:c>
      <x:c r="D3678" t="str">
        <x:v>Accessories</x:v>
      </x:c>
      <x:c r="E3678" t="str">
        <x:v>Handbag</x:v>
      </x:c>
      <x:c r="F3678" s="24" t="n">
        <x:v>72</x:v>
      </x:c>
      <x:c r="G3678" t="str">
        <x:v>Spring</x:v>
      </x:c>
      <x:c r="H3678" t="str">
        <x:v>Cash on Delivery</x:v>
      </x:c>
      <x:c r="I3678" t="n">
        <x:v>4.2</x:v>
      </x:c>
      <x:c r="J3678" t="n">
        <x:v>16</x:v>
      </x:c>
      <x:c r="K3678" t="n">
        <x:v>8</x:v>
      </x:c>
      <x:c r="L3678" t="str">
        <x:v>STORE-001</x:v>
      </x:c>
      <x:c r="M3678" s="22" t="n">
        <x:v>45946</x:v>
      </x:c>
      <x:c r="N3678" t="str">
        <x:v>SKU-008</x:v>
      </x:c>
      <x:c r="O3678" t="n">
        <x:v>2</x:v>
      </x:c>
      <x:c r="P3678" s="26" t="n">
        <x:f>F3678/O3678</x:f>
        <x:v>36</x:v>
      </x:c>
    </x:row>
    <x:row r="3679">
      <x:c r="A3679" t="n">
        <x:v>3678</x:v>
      </x:c>
      <x:c r="B3679" t="n">
        <x:v>54</x:v>
      </x:c>
      <x:c r="C3679" t="str">
        <x:v>Male</x:v>
      </x:c>
      <x:c r="D3679" t="str">
        <x:v>Sports</x:v>
      </x:c>
      <x:c r="E3679" t="str">
        <x:v>Dumbbells</x:v>
      </x:c>
      <x:c r="F3679" s="24" t="n">
        <x:v>97.9</x:v>
      </x:c>
      <x:c r="G3679" t="str">
        <x:v>Winter</x:v>
      </x:c>
      <x:c r="H3679" t="str">
        <x:v>Card</x:v>
      </x:c>
      <x:c r="I3679" t="n">
        <x:v>3.7</x:v>
      </x:c>
      <x:c r="J3679" t="n">
        <x:v>10</x:v>
      </x:c>
      <x:c r="K3679" t="n">
        <x:v>5</x:v>
      </x:c>
      <x:c r="L3679" t="str">
        <x:v>STORE-001</x:v>
      </x:c>
      <x:c r="M3679" s="22" t="n">
        <x:v>46181</x:v>
      </x:c>
      <x:c r="N3679" t="str">
        <x:v>SKU-005</x:v>
      </x:c>
      <x:c r="O3679" t="n">
        <x:v>1</x:v>
      </x:c>
      <x:c r="P3679" s="26" t="n">
        <x:f>F3679/O3679</x:f>
        <x:v>97.9</x:v>
      </x:c>
    </x:row>
    <x:row r="3680">
      <x:c r="A3680" t="n">
        <x:v>3679</x:v>
      </x:c>
      <x:c r="B3680" t="n">
        <x:v>70</x:v>
      </x:c>
      <x:c r="C3680" t="str">
        <x:v>Female</x:v>
      </x:c>
      <x:c r="D3680" t="str">
        <x:v>Womens Clothing</x:v>
      </x:c>
      <x:c r="E3680" t="str">
        <x:v>Top</x:v>
      </x:c>
      <x:c r="F3680" s="24" t="n">
        <x:v>131.93</x:v>
      </x:c>
      <x:c r="G3680" t="str">
        <x:v>Autumn</x:v>
      </x:c>
      <x:c r="H3680" t="str">
        <x:v>Card</x:v>
      </x:c>
      <x:c r="I3680" t="n">
        <x:v>3.3</x:v>
      </x:c>
      <x:c r="J3680" t="n">
        <x:v>16</x:v>
      </x:c>
      <x:c r="K3680" t="n">
        <x:v>3</x:v>
      </x:c>
      <x:c r="L3680" t="str">
        <x:v>STORE-001</x:v>
      </x:c>
      <x:c r="M3680" s="22" t="n">
        <x:v>46142</x:v>
      </x:c>
      <x:c r="N3680" t="str">
        <x:v>SKU-028</x:v>
      </x:c>
      <x:c r="O3680" t="n">
        <x:v>1</x:v>
      </x:c>
      <x:c r="P3680" s="26" t="n">
        <x:f>F3680/O3680</x:f>
        <x:v>131.93</x:v>
      </x:c>
    </x:row>
    <x:row r="3681">
      <x:c r="A3681" t="n">
        <x:v>3680</x:v>
      </x:c>
      <x:c r="B3681" t="n">
        <x:v>56</x:v>
      </x:c>
      <x:c r="C3681" t="str">
        <x:v>Female</x:v>
      </x:c>
      <x:c r="D3681" t="str">
        <x:v>Womens Clothing</x:v>
      </x:c>
      <x:c r="E3681" t="str">
        <x:v>Jeans</x:v>
      </x:c>
      <x:c r="F3681" s="24" t="n">
        <x:v>184.09</x:v>
      </x:c>
      <x:c r="G3681" t="str">
        <x:v>Autumn</x:v>
      </x:c>
      <x:c r="H3681" t="str">
        <x:v>Card</x:v>
      </x:c>
      <x:c r="I3681" t="n">
        <x:v>3.4</x:v>
      </x:c>
      <x:c r="J3681" t="n">
        <x:v>22</x:v>
      </x:c>
      <x:c r="K3681" t="n">
        <x:v>6</x:v>
      </x:c>
      <x:c r="L3681" t="str">
        <x:v>STORE-001</x:v>
      </x:c>
      <x:c r="M3681" s="22" t="n">
        <x:v>46151</x:v>
      </x:c>
      <x:c r="N3681" t="str">
        <x:v>SKU-011</x:v>
      </x:c>
      <x:c r="O3681" t="n">
        <x:v>1</x:v>
      </x:c>
      <x:c r="P3681" s="26" t="n">
        <x:f>F3681/O3681</x:f>
        <x:v>184.09</x:v>
      </x:c>
    </x:row>
    <x:row r="3682">
      <x:c r="A3682" t="n">
        <x:v>3681</x:v>
      </x:c>
      <x:c r="B3682" t="n">
        <x:v>20</x:v>
      </x:c>
      <x:c r="C3682" t="str">
        <x:v>Female</x:v>
      </x:c>
      <x:c r="D3682" t="str">
        <x:v>Beauty</x:v>
      </x:c>
      <x:c r="E3682" t="str">
        <x:v>Perfume</x:v>
      </x:c>
      <x:c r="F3682" s="24" t="n">
        <x:v>58.16</x:v>
      </x:c>
      <x:c r="G3682" t="str">
        <x:v>Spring</x:v>
      </x:c>
      <x:c r="H3682" t="str">
        <x:v>Cash on Delivery</x:v>
      </x:c>
      <x:c r="I3682" t="n">
        <x:v>4.5</x:v>
      </x:c>
      <x:c r="J3682" t="n">
        <x:v>11</x:v>
      </x:c>
      <x:c r="K3682" t="n">
        <x:v>3</x:v>
      </x:c>
      <x:c r="L3682" t="str">
        <x:v>STORE-001</x:v>
      </x:c>
      <x:c r="M3682" s="22" t="n">
        <x:v>45939</x:v>
      </x:c>
      <x:c r="N3682" t="str">
        <x:v>SKU-017</x:v>
      </x:c>
      <x:c r="O3682" t="n">
        <x:v>1</x:v>
      </x:c>
      <x:c r="P3682" s="26" t="n">
        <x:f>F3682/O3682</x:f>
        <x:v>58.16</x:v>
      </x:c>
    </x:row>
    <x:row r="3683">
      <x:c r="A3683" t="n">
        <x:v>3682</x:v>
      </x:c>
      <x:c r="B3683" t="n">
        <x:v>25</x:v>
      </x:c>
      <x:c r="C3683" t="str">
        <x:v>Female</x:v>
      </x:c>
      <x:c r="D3683" t="str">
        <x:v>Accessories</x:v>
      </x:c>
      <x:c r="E3683" t="str">
        <x:v>Sunglasses</x:v>
      </x:c>
      <x:c r="F3683" s="24" t="n">
        <x:v>20.67</x:v>
      </x:c>
      <x:c r="G3683" t="str">
        <x:v>Summer</x:v>
      </x:c>
      <x:c r="H3683" t="str">
        <x:v>Card</x:v>
      </x:c>
      <x:c r="I3683" t="n">
        <x:v>5</x:v>
      </x:c>
      <x:c r="J3683" t="n">
        <x:v>8</x:v>
      </x:c>
      <x:c r="K3683" t="n">
        <x:v>4</x:v>
      </x:c>
      <x:c r="L3683" t="str">
        <x:v>STORE-001</x:v>
      </x:c>
      <x:c r="M3683" s="22" t="n">
        <x:v>45992</x:v>
      </x:c>
      <x:c r="N3683" t="str">
        <x:v>SKU-026</x:v>
      </x:c>
      <x:c r="O3683" t="n">
        <x:v>1</x:v>
      </x:c>
      <x:c r="P3683" s="26" t="n">
        <x:f>F3683/O3683</x:f>
        <x:v>20.67</x:v>
      </x:c>
    </x:row>
    <x:row r="3684">
      <x:c r="A3684" t="n">
        <x:v>3683</x:v>
      </x:c>
      <x:c r="B3684" t="n">
        <x:v>57</x:v>
      </x:c>
      <x:c r="C3684" t="str">
        <x:v>Female</x:v>
      </x:c>
      <x:c r="D3684" t="str">
        <x:v>Beauty</x:v>
      </x:c>
      <x:c r="E3684" t="str">
        <x:v>Perfume</x:v>
      </x:c>
      <x:c r="F3684" s="24" t="n">
        <x:v>93.07</x:v>
      </x:c>
      <x:c r="G3684" t="str">
        <x:v>Spring</x:v>
      </x:c>
      <x:c r="H3684" t="str">
        <x:v>Card</x:v>
      </x:c>
      <x:c r="I3684" t="n">
        <x:v>3.4</x:v>
      </x:c>
      <x:c r="J3684" t="n">
        <x:v>14</x:v>
      </x:c>
      <x:c r="K3684" t="n">
        <x:v>2</x:v>
      </x:c>
      <x:c r="L3684" t="str">
        <x:v>STORE-001</x:v>
      </x:c>
      <x:c r="M3684" s="22" t="n">
        <x:v>45988</x:v>
      </x:c>
      <x:c r="N3684" t="str">
        <x:v>SKU-017</x:v>
      </x:c>
      <x:c r="O3684" t="n">
        <x:v>1</x:v>
      </x:c>
      <x:c r="P3684" s="26" t="n">
        <x:f>F3684/O3684</x:f>
        <x:v>93.07</x:v>
      </x:c>
    </x:row>
    <x:row r="3685">
      <x:c r="A3685" t="n">
        <x:v>3684</x:v>
      </x:c>
      <x:c r="B3685" t="n">
        <x:v>30</x:v>
      </x:c>
      <x:c r="C3685" t="str">
        <x:v>Female</x:v>
      </x:c>
      <x:c r="D3685" t="str">
        <x:v>Accessories</x:v>
      </x:c>
      <x:c r="E3685" t="str">
        <x:v>Sunglasses</x:v>
      </x:c>
      <x:c r="F3685" s="24" t="n">
        <x:v>95.38</x:v>
      </x:c>
      <x:c r="G3685" t="str">
        <x:v>Spring</x:v>
      </x:c>
      <x:c r="H3685" t="str">
        <x:v>Card</x:v>
      </x:c>
      <x:c r="I3685" t="n">
        <x:v>5</x:v>
      </x:c>
      <x:c r="J3685" t="n">
        <x:v>10</x:v>
      </x:c>
      <x:c r="K3685" t="n">
        <x:v>5</x:v>
      </x:c>
      <x:c r="L3685" t="str">
        <x:v>STORE-001</x:v>
      </x:c>
      <x:c r="M3685" s="22" t="n">
        <x:v>46284</x:v>
      </x:c>
      <x:c r="N3685" t="str">
        <x:v>SKU-026</x:v>
      </x:c>
      <x:c r="O3685" t="n">
        <x:v>2</x:v>
      </x:c>
      <x:c r="P3685" s="26" t="n">
        <x:f>F3685/O3685</x:f>
        <x:v>47.69</x:v>
      </x:c>
    </x:row>
    <x:row r="3686">
      <x:c r="A3686" t="n">
        <x:v>3685</x:v>
      </x:c>
      <x:c r="B3686" t="n">
        <x:v>20</x:v>
      </x:c>
      <x:c r="C3686" t="str">
        <x:v>Male</x:v>
      </x:c>
      <x:c r="D3686" t="str">
        <x:v>Sports</x:v>
      </x:c>
      <x:c r="E3686" t="str">
        <x:v>Football</x:v>
      </x:c>
      <x:c r="F3686" s="24" t="n">
        <x:v>167.54</x:v>
      </x:c>
      <x:c r="G3686" t="str">
        <x:v>Winter</x:v>
      </x:c>
      <x:c r="H3686" t="str">
        <x:v>Card</x:v>
      </x:c>
      <x:c r="I3686" t="n">
        <x:v>3.8</x:v>
      </x:c>
      <x:c r="J3686" t="n">
        <x:v>20</x:v>
      </x:c>
      <x:c r="K3686" t="n">
        <x:v>5</x:v>
      </x:c>
      <x:c r="L3686" t="str">
        <x:v>STORE-001</x:v>
      </x:c>
      <x:c r="M3686" s="22" t="n">
        <x:v>46214</x:v>
      </x:c>
      <x:c r="N3686" t="str">
        <x:v>SKU-006</x:v>
      </x:c>
      <x:c r="O3686" t="n">
        <x:v>1</x:v>
      </x:c>
      <x:c r="P3686" s="26" t="n">
        <x:f>F3686/O3686</x:f>
        <x:v>167.54</x:v>
      </x:c>
    </x:row>
    <x:row r="3687">
      <x:c r="A3687" t="n">
        <x:v>3686</x:v>
      </x:c>
      <x:c r="B3687" t="n">
        <x:v>70</x:v>
      </x:c>
      <x:c r="C3687" t="str">
        <x:v>Male</x:v>
      </x:c>
      <x:c r="D3687" t="str">
        <x:v>Mens Clothing</x:v>
      </x:c>
      <x:c r="E3687" t="str">
        <x:v>Jacket</x:v>
      </x:c>
      <x:c r="F3687" s="24" t="n">
        <x:v>78.89</x:v>
      </x:c>
      <x:c r="G3687" t="str">
        <x:v>Summer</x:v>
      </x:c>
      <x:c r="H3687" t="str">
        <x:v>Card</x:v>
      </x:c>
      <x:c r="I3687" t="n">
        <x:v>3.9</x:v>
      </x:c>
      <x:c r="J3687" t="n">
        <x:v>8</x:v>
      </x:c>
      <x:c r="K3687" t="n">
        <x:v>4</x:v>
      </x:c>
      <x:c r="L3687" t="str">
        <x:v>STORE-001</x:v>
      </x:c>
      <x:c r="M3687" s="22" t="n">
        <x:v>46029</x:v>
      </x:c>
      <x:c r="N3687" t="str">
        <x:v>SKU-010</x:v>
      </x:c>
      <x:c r="O3687" t="n">
        <x:v>3</x:v>
      </x:c>
      <x:c r="P3687" s="26" t="n">
        <x:f>F3687/O3687</x:f>
        <x:v>26.296666666666667</x:v>
      </x:c>
    </x:row>
    <x:row r="3688">
      <x:c r="A3688" t="n">
        <x:v>3687</x:v>
      </x:c>
      <x:c r="B3688" t="n">
        <x:v>28</x:v>
      </x:c>
      <x:c r="C3688" t="str">
        <x:v>Male</x:v>
      </x:c>
      <x:c r="D3688" t="str">
        <x:v>Sports</x:v>
      </x:c>
      <x:c r="E3688" t="str">
        <x:v>Football</x:v>
      </x:c>
      <x:c r="F3688" s="24" t="n">
        <x:v>39.16</x:v>
      </x:c>
      <x:c r="G3688" t="str">
        <x:v>Summer</x:v>
      </x:c>
      <x:c r="H3688" t="str">
        <x:v>Cash on Delivery</x:v>
      </x:c>
      <x:c r="I3688" t="n">
        <x:v>3.9</x:v>
      </x:c>
      <x:c r="J3688" t="n">
        <x:v>13</x:v>
      </x:c>
      <x:c r="K3688" t="n">
        <x:v>4</x:v>
      </x:c>
      <x:c r="L3688" t="str">
        <x:v>STORE-001</x:v>
      </x:c>
      <x:c r="M3688" s="22" t="n">
        <x:v>46027</x:v>
      </x:c>
      <x:c r="N3688" t="str">
        <x:v>SKU-006</x:v>
      </x:c>
      <x:c r="O3688" t="n">
        <x:v>1</x:v>
      </x:c>
      <x:c r="P3688" s="26" t="n">
        <x:f>F3688/O3688</x:f>
        <x:v>39.16</x:v>
      </x:c>
    </x:row>
    <x:row r="3689">
      <x:c r="A3689" t="n">
        <x:v>3688</x:v>
      </x:c>
      <x:c r="B3689" t="n">
        <x:v>35</x:v>
      </x:c>
      <x:c r="C3689" t="str">
        <x:v>Female</x:v>
      </x:c>
      <x:c r="D3689" t="str">
        <x:v>Home</x:v>
      </x:c>
      <x:c r="E3689" t="str">
        <x:v>Curtains</x:v>
      </x:c>
      <x:c r="F3689" s="24" t="n">
        <x:v>299.25</x:v>
      </x:c>
      <x:c r="G3689" t="str">
        <x:v>Winter</x:v>
      </x:c>
      <x:c r="H3689" t="str">
        <x:v>Card</x:v>
      </x:c>
      <x:c r="I3689" t="n">
        <x:v>3.4</x:v>
      </x:c>
      <x:c r="J3689" t="n">
        <x:v>10</x:v>
      </x:c>
      <x:c r="K3689" t="n">
        <x:v>5</x:v>
      </x:c>
      <x:c r="L3689" t="str">
        <x:v>STORE-001</x:v>
      </x:c>
      <x:c r="M3689" s="22" t="n">
        <x:v>46219</x:v>
      </x:c>
      <x:c r="N3689" t="str">
        <x:v>SKU-003</x:v>
      </x:c>
      <x:c r="O3689" t="n">
        <x:v>3</x:v>
      </x:c>
      <x:c r="P3689" s="26" t="n">
        <x:f>F3689/O3689</x:f>
        <x:v>99.75</x:v>
      </x:c>
    </x:row>
    <x:row r="3690">
      <x:c r="A3690" t="n">
        <x:v>3689</x:v>
      </x:c>
      <x:c r="B3690" t="n">
        <x:v>29</x:v>
      </x:c>
      <x:c r="C3690" t="str">
        <x:v>Female</x:v>
      </x:c>
      <x:c r="D3690" t="str">
        <x:v>Groceries</x:v>
      </x:c>
      <x:c r="E3690" t="str">
        <x:v>Snacks</x:v>
      </x:c>
      <x:c r="F3690" s="24" t="n">
        <x:v>70.76</x:v>
      </x:c>
      <x:c r="G3690" t="str">
        <x:v>Autumn</x:v>
      </x:c>
      <x:c r="H3690" t="str">
        <x:v>Card</x:v>
      </x:c>
      <x:c r="I3690" t="n">
        <x:v>3.8</x:v>
      </x:c>
      <x:c r="J3690" t="n">
        <x:v>13</x:v>
      </x:c>
      <x:c r="K3690" t="n">
        <x:v>4</x:v>
      </x:c>
      <x:c r="L3690" t="str">
        <x:v>STORE-001</x:v>
      </x:c>
      <x:c r="M3690" s="22" t="n">
        <x:v>46088</x:v>
      </x:c>
      <x:c r="N3690" t="str">
        <x:v>SKU-024</x:v>
      </x:c>
      <x:c r="O3690" t="n">
        <x:v>2</x:v>
      </x:c>
      <x:c r="P3690" s="26" t="n">
        <x:f>F3690/O3690</x:f>
        <x:v>35.38</x:v>
      </x:c>
    </x:row>
    <x:row r="3691">
      <x:c r="A3691" t="n">
        <x:v>3690</x:v>
      </x:c>
      <x:c r="B3691" t="n">
        <x:v>40</x:v>
      </x:c>
      <x:c r="C3691" t="str">
        <x:v>Female</x:v>
      </x:c>
      <x:c r="D3691" t="str">
        <x:v>Womens Clothing</x:v>
      </x:c>
      <x:c r="E3691" t="str">
        <x:v>Skirt</x:v>
      </x:c>
      <x:c r="F3691" s="24" t="n">
        <x:v>191.37</x:v>
      </x:c>
      <x:c r="G3691" t="str">
        <x:v>Spring</x:v>
      </x:c>
      <x:c r="H3691" t="str">
        <x:v>Card</x:v>
      </x:c>
      <x:c r="I3691" t="n">
        <x:v>4.1</x:v>
      </x:c>
      <x:c r="J3691" t="n">
        <x:v>16</x:v>
      </x:c>
      <x:c r="K3691" t="n">
        <x:v>3</x:v>
      </x:c>
      <x:c r="L3691" t="str">
        <x:v>STORE-001</x:v>
      </x:c>
      <x:c r="M3691" s="22" t="n">
        <x:v>45939</x:v>
      </x:c>
      <x:c r="N3691" t="str">
        <x:v>SKU-022</x:v>
      </x:c>
      <x:c r="O3691" t="n">
        <x:v>1</x:v>
      </x:c>
      <x:c r="P3691" s="26" t="n">
        <x:f>F3691/O3691</x:f>
        <x:v>191.37</x:v>
      </x:c>
    </x:row>
    <x:row r="3692">
      <x:c r="A3692" t="n">
        <x:v>3691</x:v>
      </x:c>
      <x:c r="B3692" t="n">
        <x:v>34</x:v>
      </x:c>
      <x:c r="C3692" t="str">
        <x:v>Female</x:v>
      </x:c>
      <x:c r="D3692" t="str">
        <x:v>Footwear</x:v>
      </x:c>
      <x:c r="E3692" t="str">
        <x:v>Sneakers</x:v>
      </x:c>
      <x:c r="F3692" s="24" t="n">
        <x:v>240.46</x:v>
      </x:c>
      <x:c r="G3692" t="str">
        <x:v>Summer</x:v>
      </x:c>
      <x:c r="H3692" t="str">
        <x:v>Card</x:v>
      </x:c>
      <x:c r="I3692" t="n">
        <x:v>5</x:v>
      </x:c>
      <x:c r="J3692" t="n">
        <x:v>18</x:v>
      </x:c>
      <x:c r="K3692" t="n">
        <x:v>9</x:v>
      </x:c>
      <x:c r="L3692" t="str">
        <x:v>STORE-001</x:v>
      </x:c>
      <x:c r="M3692" s="22" t="n">
        <x:v>46006</x:v>
      </x:c>
      <x:c r="N3692" t="str">
        <x:v>SKU-025</x:v>
      </x:c>
      <x:c r="O3692" t="n">
        <x:v>1</x:v>
      </x:c>
      <x:c r="P3692" s="26" t="n">
        <x:f>F3692/O3692</x:f>
        <x:v>240.46</x:v>
      </x:c>
    </x:row>
    <x:row r="3693">
      <x:c r="A3693" t="n">
        <x:v>3692</x:v>
      </x:c>
      <x:c r="B3693" t="n">
        <x:v>57</x:v>
      </x:c>
      <x:c r="C3693" t="str">
        <x:v>Female</x:v>
      </x:c>
      <x:c r="D3693" t="str">
        <x:v>Beauty</x:v>
      </x:c>
      <x:c r="E3693" t="str">
        <x:v>Makeup Set</x:v>
      </x:c>
      <x:c r="F3693" s="24" t="n">
        <x:v>134.16</x:v>
      </x:c>
      <x:c r="G3693" t="str">
        <x:v>Summer</x:v>
      </x:c>
      <x:c r="H3693" t="str">
        <x:v>Card</x:v>
      </x:c>
      <x:c r="I3693" t="n">
        <x:v>4</x:v>
      </x:c>
      <x:c r="J3693" t="n">
        <x:v>12</x:v>
      </x:c>
      <x:c r="K3693" t="n">
        <x:v>6</x:v>
      </x:c>
      <x:c r="L3693" t="str">
        <x:v>STORE-001</x:v>
      </x:c>
      <x:c r="M3693" s="22" t="n">
        <x:v>46020</x:v>
      </x:c>
      <x:c r="N3693" t="str">
        <x:v>SKU-015</x:v>
      </x:c>
      <x:c r="O3693" t="n">
        <x:v>1</x:v>
      </x:c>
      <x:c r="P3693" s="26" t="n">
        <x:f>F3693/O3693</x:f>
        <x:v>134.16</x:v>
      </x:c>
    </x:row>
    <x:row r="3694">
      <x:c r="A3694" t="n">
        <x:v>3693</x:v>
      </x:c>
      <x:c r="B3694" t="n">
        <x:v>50</x:v>
      </x:c>
      <x:c r="C3694" t="str">
        <x:v>Female</x:v>
      </x:c>
      <x:c r="D3694" t="str">
        <x:v>Beauty</x:v>
      </x:c>
      <x:c r="E3694" t="str">
        <x:v>Skincare Kit</x:v>
      </x:c>
      <x:c r="F3694" s="24" t="n">
        <x:v>92.73</x:v>
      </x:c>
      <x:c r="G3694" t="str">
        <x:v>Autumn</x:v>
      </x:c>
      <x:c r="H3694" t="str">
        <x:v>Card</x:v>
      </x:c>
      <x:c r="I3694" t="n">
        <x:v>4.2</x:v>
      </x:c>
      <x:c r="J3694" t="n">
        <x:v>26</x:v>
      </x:c>
      <x:c r="K3694" t="n">
        <x:v>8</x:v>
      </x:c>
      <x:c r="L3694" t="str">
        <x:v>STORE-001</x:v>
      </x:c>
      <x:c r="M3694" s="22" t="n">
        <x:v>46104</x:v>
      </x:c>
      <x:c r="N3694" t="str">
        <x:v>SKU-021</x:v>
      </x:c>
      <x:c r="O3694" t="n">
        <x:v>1</x:v>
      </x:c>
      <x:c r="P3694" s="26" t="n">
        <x:f>F3694/O3694</x:f>
        <x:v>92.73</x:v>
      </x:c>
    </x:row>
    <x:row r="3695">
      <x:c r="A3695" t="n">
        <x:v>3694</x:v>
      </x:c>
      <x:c r="B3695" t="n">
        <x:v>60</x:v>
      </x:c>
      <x:c r="C3695" t="str">
        <x:v>Female</x:v>
      </x:c>
      <x:c r="D3695" t="str">
        <x:v>Womens Clothing</x:v>
      </x:c>
      <x:c r="E3695" t="str">
        <x:v>Top</x:v>
      </x:c>
      <x:c r="F3695" s="24" t="n">
        <x:v>169.58</x:v>
      </x:c>
      <x:c r="G3695" t="str">
        <x:v>Autumn</x:v>
      </x:c>
      <x:c r="H3695" t="str">
        <x:v>Card</x:v>
      </x:c>
      <x:c r="I3695" t="n">
        <x:v>4.8</x:v>
      </x:c>
      <x:c r="J3695" t="n">
        <x:v>23</x:v>
      </x:c>
      <x:c r="K3695" t="n">
        <x:v>9</x:v>
      </x:c>
      <x:c r="L3695" t="str">
        <x:v>STORE-001</x:v>
      </x:c>
      <x:c r="M3695" s="22" t="n">
        <x:v>46111</x:v>
      </x:c>
      <x:c r="N3695" t="str">
        <x:v>SKU-028</x:v>
      </x:c>
      <x:c r="O3695" t="n">
        <x:v>2</x:v>
      </x:c>
      <x:c r="P3695" s="26" t="n">
        <x:f>F3695/O3695</x:f>
        <x:v>84.79</x:v>
      </x:c>
    </x:row>
    <x:row r="3696">
      <x:c r="A3696" t="n">
        <x:v>3695</x:v>
      </x:c>
      <x:c r="B3696" t="n">
        <x:v>70</x:v>
      </x:c>
      <x:c r="C3696" t="str">
        <x:v>Female</x:v>
      </x:c>
      <x:c r="D3696" t="str">
        <x:v>Womens Clothing</x:v>
      </x:c>
      <x:c r="E3696" t="str">
        <x:v>Skirt</x:v>
      </x:c>
      <x:c r="F3696" s="24" t="n">
        <x:v>51.99</x:v>
      </x:c>
      <x:c r="G3696" t="str">
        <x:v>Autumn</x:v>
      </x:c>
      <x:c r="H3696" t="str">
        <x:v>Cash on Delivery</x:v>
      </x:c>
      <x:c r="I3696" t="n">
        <x:v>3.4</x:v>
      </x:c>
      <x:c r="J3696" t="n">
        <x:v>24</x:v>
      </x:c>
      <x:c r="K3696" t="n">
        <x:v>7</x:v>
      </x:c>
      <x:c r="L3696" t="str">
        <x:v>STORE-001</x:v>
      </x:c>
      <x:c r="M3696" s="22" t="n">
        <x:v>46144</x:v>
      </x:c>
      <x:c r="N3696" t="str">
        <x:v>SKU-022</x:v>
      </x:c>
      <x:c r="O3696" t="n">
        <x:v>2</x:v>
      </x:c>
      <x:c r="P3696" s="26" t="n">
        <x:f>F3696/O3696</x:f>
        <x:v>25.995</x:v>
      </x:c>
    </x:row>
    <x:row r="3697">
      <x:c r="A3697" t="n">
        <x:v>3696</x:v>
      </x:c>
      <x:c r="B3697" t="n">
        <x:v>35</x:v>
      </x:c>
      <x:c r="C3697" t="str">
        <x:v>Female</x:v>
      </x:c>
      <x:c r="D3697" t="str">
        <x:v>Footwear</x:v>
      </x:c>
      <x:c r="E3697" t="str">
        <x:v>Sandals</x:v>
      </x:c>
      <x:c r="F3697" s="24" t="n">
        <x:v>220.75</x:v>
      </x:c>
      <x:c r="G3697" t="str">
        <x:v>Summer</x:v>
      </x:c>
      <x:c r="H3697" t="str">
        <x:v>Card</x:v>
      </x:c>
      <x:c r="I3697" t="n">
        <x:v>3.7</x:v>
      </x:c>
      <x:c r="J3697" t="n">
        <x:v>14</x:v>
      </x:c>
      <x:c r="K3697" t="n">
        <x:v>7</x:v>
      </x:c>
      <x:c r="L3697" t="str">
        <x:v>STORE-001</x:v>
      </x:c>
      <x:c r="M3697" s="22" t="n">
        <x:v>46012</x:v>
      </x:c>
      <x:c r="N3697" t="str">
        <x:v>SKU-019</x:v>
      </x:c>
      <x:c r="O3697" t="n">
        <x:v>1</x:v>
      </x:c>
      <x:c r="P3697" s="26" t="n">
        <x:f>F3697/O3697</x:f>
        <x:v>220.75</x:v>
      </x:c>
    </x:row>
    <x:row r="3698">
      <x:c r="A3698" t="n">
        <x:v>3697</x:v>
      </x:c>
      <x:c r="B3698" t="n">
        <x:v>31</x:v>
      </x:c>
      <x:c r="C3698" t="str">
        <x:v>Female</x:v>
      </x:c>
      <x:c r="D3698" t="str">
        <x:v>Home</x:v>
      </x:c>
      <x:c r="E3698" t="str">
        <x:v>Curtains</x:v>
      </x:c>
      <x:c r="F3698" s="24" t="n">
        <x:v>86.63</x:v>
      </x:c>
      <x:c r="G3698" t="str">
        <x:v>Autumn</x:v>
      </x:c>
      <x:c r="H3698" t="str">
        <x:v>Cash on Delivery</x:v>
      </x:c>
      <x:c r="I3698" t="n">
        <x:v>4.5</x:v>
      </x:c>
      <x:c r="J3698" t="n">
        <x:v>20</x:v>
      </x:c>
      <x:c r="K3698" t="n">
        <x:v>10</x:v>
      </x:c>
      <x:c r="L3698" t="str">
        <x:v>STORE-001</x:v>
      </x:c>
      <x:c r="M3698" s="22" t="n">
        <x:v>46150</x:v>
      </x:c>
      <x:c r="N3698" t="str">
        <x:v>SKU-003</x:v>
      </x:c>
      <x:c r="O3698" t="n">
        <x:v>1</x:v>
      </x:c>
      <x:c r="P3698" s="26" t="n">
        <x:f>F3698/O3698</x:f>
        <x:v>86.63</x:v>
      </x:c>
    </x:row>
    <x:row r="3699">
      <x:c r="A3699" t="n">
        <x:v>3698</x:v>
      </x:c>
      <x:c r="B3699" t="n">
        <x:v>37</x:v>
      </x:c>
      <x:c r="C3699" t="str">
        <x:v>Male</x:v>
      </x:c>
      <x:c r="D3699" t="str">
        <x:v>Groceries</x:v>
      </x:c>
      <x:c r="E3699" t="str">
        <x:v>Rice Pack</x:v>
      </x:c>
      <x:c r="F3699" s="24" t="n">
        <x:v>43.63</x:v>
      </x:c>
      <x:c r="G3699" t="str">
        <x:v>Autumn</x:v>
      </x:c>
      <x:c r="H3699" t="str">
        <x:v>Card</x:v>
      </x:c>
      <x:c r="I3699" t="n">
        <x:v>4.6</x:v>
      </x:c>
      <x:c r="J3699" t="n">
        <x:v>16</x:v>
      </x:c>
      <x:c r="K3699" t="n">
        <x:v>3</x:v>
      </x:c>
      <x:c r="L3699" t="str">
        <x:v>STORE-001</x:v>
      </x:c>
      <x:c r="M3699" s="22" t="n">
        <x:v>46158</x:v>
      </x:c>
      <x:c r="N3699" t="str">
        <x:v>SKU-018</x:v>
      </x:c>
      <x:c r="O3699" t="n">
        <x:v>1</x:v>
      </x:c>
      <x:c r="P3699" s="26" t="n">
        <x:f>F3699/O3699</x:f>
        <x:v>43.63</x:v>
      </x:c>
    </x:row>
    <x:row r="3700">
      <x:c r="A3700" t="n">
        <x:v>3699</x:v>
      </x:c>
      <x:c r="B3700" t="n">
        <x:v>63</x:v>
      </x:c>
      <x:c r="C3700" t="str">
        <x:v>Male</x:v>
      </x:c>
      <x:c r="D3700" t="str">
        <x:v>Footwear</x:v>
      </x:c>
      <x:c r="E3700" t="str">
        <x:v>Sneakers</x:v>
      </x:c>
      <x:c r="F3700" s="24" t="n">
        <x:v>173.53</x:v>
      </x:c>
      <x:c r="G3700" t="str">
        <x:v>Spring</x:v>
      </x:c>
      <x:c r="H3700" t="str">
        <x:v>Card</x:v>
      </x:c>
      <x:c r="I3700" t="n">
        <x:v>4.4</x:v>
      </x:c>
      <x:c r="J3700" t="n">
        <x:v>16</x:v>
      </x:c>
      <x:c r="K3700" t="n">
        <x:v>3</x:v>
      </x:c>
      <x:c r="L3700" t="str">
        <x:v>STORE-001</x:v>
      </x:c>
      <x:c r="M3700" s="22" t="n">
        <x:v>46271</x:v>
      </x:c>
      <x:c r="N3700" t="str">
        <x:v>SKU-025</x:v>
      </x:c>
      <x:c r="O3700" t="n">
        <x:v>2</x:v>
      </x:c>
      <x:c r="P3700" s="26" t="n">
        <x:f>F3700/O3700</x:f>
        <x:v>86.765</x:v>
      </x:c>
    </x:row>
    <x:row r="3701">
      <x:c r="A3701" t="n">
        <x:v>3700</x:v>
      </x:c>
      <x:c r="B3701" t="n">
        <x:v>46</x:v>
      </x:c>
      <x:c r="C3701" t="str">
        <x:v>Male</x:v>
      </x:c>
      <x:c r="D3701" t="str">
        <x:v>Home</x:v>
      </x:c>
      <x:c r="E3701" t="str">
        <x:v>Curtains</x:v>
      </x:c>
      <x:c r="F3701" s="24" t="n">
        <x:v>162.93</x:v>
      </x:c>
      <x:c r="G3701" t="str">
        <x:v>Autumn</x:v>
      </x:c>
      <x:c r="H3701" t="str">
        <x:v>Card</x:v>
      </x:c>
      <x:c r="I3701" t="n">
        <x:v>4.7</x:v>
      </x:c>
      <x:c r="J3701" t="n">
        <x:v>18</x:v>
      </x:c>
      <x:c r="K3701" t="n">
        <x:v>4</x:v>
      </x:c>
      <x:c r="L3701" t="str">
        <x:v>STORE-001</x:v>
      </x:c>
      <x:c r="M3701" s="22" t="n">
        <x:v>46135</x:v>
      </x:c>
      <x:c r="N3701" t="str">
        <x:v>SKU-003</x:v>
      </x:c>
      <x:c r="O3701" t="n">
        <x:v>3</x:v>
      </x:c>
      <x:c r="P3701" s="26" t="n">
        <x:f>F3701/O3701</x:f>
        <x:v>54.31</x:v>
      </x:c>
    </x:row>
    <x:row r="3702">
      <x:c r="A3702" t="n">
        <x:v>3701</x:v>
      </x:c>
      <x:c r="B3702" t="n">
        <x:v>35</x:v>
      </x:c>
      <x:c r="C3702" t="str">
        <x:v>Female</x:v>
      </x:c>
      <x:c r="D3702" t="str">
        <x:v>Beauty</x:v>
      </x:c>
      <x:c r="E3702" t="str">
        <x:v>Skincare Kit</x:v>
      </x:c>
      <x:c r="F3702" s="24" t="n">
        <x:v>75.51</x:v>
      </x:c>
      <x:c r="G3702" t="str">
        <x:v>Spring</x:v>
      </x:c>
      <x:c r="H3702" t="str">
        <x:v>Card</x:v>
      </x:c>
      <x:c r="I3702" t="n">
        <x:v>4.1</x:v>
      </x:c>
      <x:c r="J3702" t="n">
        <x:v>17</x:v>
      </x:c>
      <x:c r="K3702" t="n">
        <x:v>6</x:v>
      </x:c>
      <x:c r="L3702" t="str">
        <x:v>STORE-001</x:v>
      </x:c>
      <x:c r="M3702" s="22" t="n">
        <x:v>46282</x:v>
      </x:c>
      <x:c r="N3702" t="str">
        <x:v>SKU-021</x:v>
      </x:c>
      <x:c r="O3702" t="n">
        <x:v>4</x:v>
      </x:c>
      <x:c r="P3702" s="26" t="n">
        <x:f>F3702/O3702</x:f>
        <x:v>18.8775</x:v>
      </x:c>
    </x:row>
    <x:row r="3703">
      <x:c r="A3703" t="n">
        <x:v>3702</x:v>
      </x:c>
      <x:c r="B3703" t="n">
        <x:v>42</x:v>
      </x:c>
      <x:c r="C3703" t="str">
        <x:v>Female</x:v>
      </x:c>
      <x:c r="D3703" t="str">
        <x:v>Footwear</x:v>
      </x:c>
      <x:c r="E3703" t="str">
        <x:v>Sneakers</x:v>
      </x:c>
      <x:c r="F3703" s="24" t="n">
        <x:v>148.02</x:v>
      </x:c>
      <x:c r="G3703" t="str">
        <x:v>Winter</x:v>
      </x:c>
      <x:c r="H3703" t="str">
        <x:v>Card</x:v>
      </x:c>
      <x:c r="I3703" t="n">
        <x:v>2.7</x:v>
      </x:c>
      <x:c r="J3703" t="n">
        <x:v>12</x:v>
      </x:c>
      <x:c r="K3703" t="n">
        <x:v>6</x:v>
      </x:c>
      <x:c r="L3703" t="str">
        <x:v>STORE-001</x:v>
      </x:c>
      <x:c r="M3703" s="22" t="n">
        <x:v>46237</x:v>
      </x:c>
      <x:c r="N3703" t="str">
        <x:v>SKU-025</x:v>
      </x:c>
      <x:c r="O3703" t="n">
        <x:v>2</x:v>
      </x:c>
      <x:c r="P3703" s="26" t="n">
        <x:f>F3703/O3703</x:f>
        <x:v>74.01</x:v>
      </x:c>
    </x:row>
    <x:row r="3704">
      <x:c r="A3704" t="n">
        <x:v>3703</x:v>
      </x:c>
      <x:c r="B3704" t="n">
        <x:v>47</x:v>
      </x:c>
      <x:c r="C3704" t="str">
        <x:v>Female</x:v>
      </x:c>
      <x:c r="D3704" t="str">
        <x:v>Beauty</x:v>
      </x:c>
      <x:c r="E3704" t="str">
        <x:v>Makeup Set</x:v>
      </x:c>
      <x:c r="F3704" s="24" t="n">
        <x:v>31.89</x:v>
      </x:c>
      <x:c r="G3704" t="str">
        <x:v>Winter</x:v>
      </x:c>
      <x:c r="H3704" t="str">
        <x:v>Cash on Delivery</x:v>
      </x:c>
      <x:c r="I3704" t="n">
        <x:v>4.3</x:v>
      </x:c>
      <x:c r="J3704" t="n">
        <x:v>13</x:v>
      </x:c>
      <x:c r="K3704" t="n">
        <x:v>4</x:v>
      </x:c>
      <x:c r="L3704" t="str">
        <x:v>STORE-001</x:v>
      </x:c>
      <x:c r="M3704" s="22" t="n">
        <x:v>46258</x:v>
      </x:c>
      <x:c r="N3704" t="str">
        <x:v>SKU-015</x:v>
      </x:c>
      <x:c r="O3704" t="n">
        <x:v>1</x:v>
      </x:c>
      <x:c r="P3704" s="26" t="n">
        <x:f>F3704/O3704</x:f>
        <x:v>31.89</x:v>
      </x:c>
    </x:row>
    <x:row r="3705">
      <x:c r="A3705" t="n">
        <x:v>3704</x:v>
      </x:c>
      <x:c r="B3705" t="n">
        <x:v>62</x:v>
      </x:c>
      <x:c r="C3705" t="str">
        <x:v>Male</x:v>
      </x:c>
      <x:c r="D3705" t="str">
        <x:v>Home</x:v>
      </x:c>
      <x:c r="E3705" t="str">
        <x:v>Lamp</x:v>
      </x:c>
      <x:c r="F3705" s="24" t="n">
        <x:v>36.04</x:v>
      </x:c>
      <x:c r="G3705" t="str">
        <x:v>Winter</x:v>
      </x:c>
      <x:c r="H3705" t="str">
        <x:v>Cash on Delivery</x:v>
      </x:c>
      <x:c r="I3705" t="n">
        <x:v>3.7</x:v>
      </x:c>
      <x:c r="J3705" t="n">
        <x:v>18</x:v>
      </x:c>
      <x:c r="K3705" t="n">
        <x:v>4</x:v>
      </x:c>
      <x:c r="L3705" t="str">
        <x:v>STORE-001</x:v>
      </x:c>
      <x:c r="M3705" s="22" t="n">
        <x:v>46176</x:v>
      </x:c>
      <x:c r="N3705" t="str">
        <x:v>SKU-013</x:v>
      </x:c>
      <x:c r="O3705" t="n">
        <x:v>1</x:v>
      </x:c>
      <x:c r="P3705" s="26" t="n">
        <x:f>F3705/O3705</x:f>
        <x:v>36.04</x:v>
      </x:c>
    </x:row>
    <x:row r="3706">
      <x:c r="A3706" t="n">
        <x:v>3705</x:v>
      </x:c>
      <x:c r="B3706" t="n">
        <x:v>47</x:v>
      </x:c>
      <x:c r="C3706" t="str">
        <x:v>Female</x:v>
      </x:c>
      <x:c r="D3706" t="str">
        <x:v>Beauty</x:v>
      </x:c>
      <x:c r="E3706" t="str">
        <x:v>Makeup Set</x:v>
      </x:c>
      <x:c r="F3706" s="24" t="n">
        <x:v>110.64</x:v>
      </x:c>
      <x:c r="G3706" t="str">
        <x:v>Winter</x:v>
      </x:c>
      <x:c r="H3706" t="str">
        <x:v>Card</x:v>
      </x:c>
      <x:c r="I3706" t="n">
        <x:v>4.1</x:v>
      </x:c>
      <x:c r="J3706" t="n">
        <x:v>10</x:v>
      </x:c>
      <x:c r="K3706" t="n">
        <x:v>5</x:v>
      </x:c>
      <x:c r="L3706" t="str">
        <x:v>STORE-001</x:v>
      </x:c>
      <x:c r="M3706" s="22" t="n">
        <x:v>46200</x:v>
      </x:c>
      <x:c r="N3706" t="str">
        <x:v>SKU-015</x:v>
      </x:c>
      <x:c r="O3706" t="n">
        <x:v>1</x:v>
      </x:c>
      <x:c r="P3706" s="26" t="n">
        <x:f>F3706/O3706</x:f>
        <x:v>110.64</x:v>
      </x:c>
    </x:row>
    <x:row r="3707">
      <x:c r="A3707" t="n">
        <x:v>3706</x:v>
      </x:c>
      <x:c r="B3707" t="n">
        <x:v>70</x:v>
      </x:c>
      <x:c r="C3707" t="str">
        <x:v>Female</x:v>
      </x:c>
      <x:c r="D3707" t="str">
        <x:v>Womens Clothing</x:v>
      </x:c>
      <x:c r="E3707" t="str">
        <x:v>Skirt</x:v>
      </x:c>
      <x:c r="F3707" s="24" t="n">
        <x:v>166.68</x:v>
      </x:c>
      <x:c r="G3707" t="str">
        <x:v>Spring</x:v>
      </x:c>
      <x:c r="H3707" t="str">
        <x:v>Card</x:v>
      </x:c>
      <x:c r="I3707" t="n">
        <x:v>3.5</x:v>
      </x:c>
      <x:c r="J3707" t="n">
        <x:v>2</x:v>
      </x:c>
      <x:c r="K3707" t="n">
        <x:v>1</x:v>
      </x:c>
      <x:c r="L3707" t="str">
        <x:v>STORE-001</x:v>
      </x:c>
      <x:c r="M3707" s="22" t="n">
        <x:v>46290</x:v>
      </x:c>
      <x:c r="N3707" t="str">
        <x:v>SKU-022</x:v>
      </x:c>
      <x:c r="O3707" t="n">
        <x:v>1</x:v>
      </x:c>
      <x:c r="P3707" s="26" t="n">
        <x:f>F3707/O3707</x:f>
        <x:v>166.68</x:v>
      </x:c>
    </x:row>
    <x:row r="3708">
      <x:c r="A3708" t="n">
        <x:v>3707</x:v>
      </x:c>
      <x:c r="B3708" t="n">
        <x:v>56</x:v>
      </x:c>
      <x:c r="C3708" t="str">
        <x:v>Female</x:v>
      </x:c>
      <x:c r="D3708" t="str">
        <x:v>Footwear</x:v>
      </x:c>
      <x:c r="E3708" t="str">
        <x:v>Formal Shoes</x:v>
      </x:c>
      <x:c r="F3708" s="24" t="n">
        <x:v>239.19</x:v>
      </x:c>
      <x:c r="G3708" t="str">
        <x:v>Spring</x:v>
      </x:c>
      <x:c r="H3708" t="str">
        <x:v>Card</x:v>
      </x:c>
      <x:c r="I3708" t="n">
        <x:v>5</x:v>
      </x:c>
      <x:c r="J3708" t="n">
        <x:v>20</x:v>
      </x:c>
      <x:c r="K3708" t="n">
        <x:v>5</x:v>
      </x:c>
      <x:c r="L3708" t="str">
        <x:v>STORE-001</x:v>
      </x:c>
      <x:c r="M3708" s="22" t="n">
        <x:v>46276</x:v>
      </x:c>
      <x:c r="N3708" t="str">
        <x:v>SKU-007</x:v>
      </x:c>
      <x:c r="O3708" t="n">
        <x:v>1</x:v>
      </x:c>
      <x:c r="P3708" s="26" t="n">
        <x:f>F3708/O3708</x:f>
        <x:v>239.19</x:v>
      </x:c>
    </x:row>
    <x:row r="3709">
      <x:c r="A3709" t="n">
        <x:v>3708</x:v>
      </x:c>
      <x:c r="B3709" t="n">
        <x:v>38</x:v>
      </x:c>
      <x:c r="C3709" t="str">
        <x:v>Male</x:v>
      </x:c>
      <x:c r="D3709" t="str">
        <x:v>Mens Clothing</x:v>
      </x:c>
      <x:c r="E3709" t="str">
        <x:v>Shirt</x:v>
      </x:c>
      <x:c r="F3709" s="24" t="n">
        <x:v>51.09</x:v>
      </x:c>
      <x:c r="G3709" t="str">
        <x:v>Summer</x:v>
      </x:c>
      <x:c r="H3709" t="str">
        <x:v>Cash on Delivery</x:v>
      </x:c>
      <x:c r="I3709" t="n">
        <x:v>4.6</x:v>
      </x:c>
      <x:c r="J3709" t="n">
        <x:v>6</x:v>
      </x:c>
      <x:c r="K3709" t="n">
        <x:v>3</x:v>
      </x:c>
      <x:c r="L3709" t="str">
        <x:v>STORE-001</x:v>
      </x:c>
      <x:c r="M3709" s="22" t="n">
        <x:v>46071</x:v>
      </x:c>
      <x:c r="N3709" t="str">
        <x:v>SKU-020</x:v>
      </x:c>
      <x:c r="O3709" t="n">
        <x:v>1</x:v>
      </x:c>
      <x:c r="P3709" s="26" t="n">
        <x:f>F3709/O3709</x:f>
        <x:v>51.09</x:v>
      </x:c>
    </x:row>
    <x:row r="3710">
      <x:c r="A3710" t="n">
        <x:v>3709</x:v>
      </x:c>
      <x:c r="B3710" t="n">
        <x:v>67</x:v>
      </x:c>
      <x:c r="C3710" t="str">
        <x:v>Male</x:v>
      </x:c>
      <x:c r="D3710" t="str">
        <x:v>Electronics</x:v>
      </x:c>
      <x:c r="E3710" t="str">
        <x:v>Laptop</x:v>
      </x:c>
      <x:c r="F3710" s="24" t="n">
        <x:v>2033.97</x:v>
      </x:c>
      <x:c r="G3710" t="str">
        <x:v>Autumn</x:v>
      </x:c>
      <x:c r="H3710" t="str">
        <x:v>Card</x:v>
      </x:c>
      <x:c r="I3710" t="n">
        <x:v>4.3</x:v>
      </x:c>
      <x:c r="J3710" t="n">
        <x:v>20</x:v>
      </x:c>
      <x:c r="K3710" t="n">
        <x:v>5</x:v>
      </x:c>
      <x:c r="L3710" t="str">
        <x:v>STORE-001</x:v>
      </x:c>
      <x:c r="M3710" s="22" t="n">
        <x:v>46087</x:v>
      </x:c>
      <x:c r="N3710" t="str">
        <x:v>SKU-014</x:v>
      </x:c>
      <x:c r="O3710" t="n">
        <x:v>1</x:v>
      </x:c>
      <x:c r="P3710" s="26" t="n">
        <x:f>F3710/O3710</x:f>
        <x:v>2033.97</x:v>
      </x:c>
    </x:row>
    <x:row r="3711">
      <x:c r="A3711" t="n">
        <x:v>3710</x:v>
      </x:c>
      <x:c r="B3711" t="n">
        <x:v>32</x:v>
      </x:c>
      <x:c r="C3711" t="str">
        <x:v>Female</x:v>
      </x:c>
      <x:c r="D3711" t="str">
        <x:v>Beauty</x:v>
      </x:c>
      <x:c r="E3711" t="str">
        <x:v>Perfume</x:v>
      </x:c>
      <x:c r="F3711" s="24" t="n">
        <x:v>25.5</x:v>
      </x:c>
      <x:c r="G3711" t="str">
        <x:v>Spring</x:v>
      </x:c>
      <x:c r="H3711" t="str">
        <x:v>Card</x:v>
      </x:c>
      <x:c r="I3711" t="n">
        <x:v>4.3</x:v>
      </x:c>
      <x:c r="J3711" t="n">
        <x:v>21</x:v>
      </x:c>
      <x:c r="K3711" t="n">
        <x:v>8</x:v>
      </x:c>
      <x:c r="L3711" t="str">
        <x:v>STORE-001</x:v>
      </x:c>
      <x:c r="M3711" s="22" t="n">
        <x:v>46294</x:v>
      </x:c>
      <x:c r="N3711" t="str">
        <x:v>SKU-017</x:v>
      </x:c>
      <x:c r="O3711" t="n">
        <x:v>1</x:v>
      </x:c>
      <x:c r="P3711" s="26" t="n">
        <x:f>F3711/O3711</x:f>
        <x:v>25.5</x:v>
      </x:c>
    </x:row>
    <x:row r="3712">
      <x:c r="A3712" t="n">
        <x:v>3711</x:v>
      </x:c>
      <x:c r="B3712" t="n">
        <x:v>41</x:v>
      </x:c>
      <x:c r="C3712" t="str">
        <x:v>Female</x:v>
      </x:c>
      <x:c r="D3712" t="str">
        <x:v>Footwear</x:v>
      </x:c>
      <x:c r="E3712" t="str">
        <x:v>Sandals</x:v>
      </x:c>
      <x:c r="F3712" s="24" t="n">
        <x:v>194.63</x:v>
      </x:c>
      <x:c r="G3712" t="str">
        <x:v>Autumn</x:v>
      </x:c>
      <x:c r="H3712" t="str">
        <x:v>Card</x:v>
      </x:c>
      <x:c r="I3712" t="n">
        <x:v>3.6</x:v>
      </x:c>
      <x:c r="J3712" t="n">
        <x:v>15</x:v>
      </x:c>
      <x:c r="K3712" t="n">
        <x:v>5</x:v>
      </x:c>
      <x:c r="L3712" t="str">
        <x:v>STORE-001</x:v>
      </x:c>
      <x:c r="M3712" s="22" t="n">
        <x:v>46094</x:v>
      </x:c>
      <x:c r="N3712" t="str">
        <x:v>SKU-019</x:v>
      </x:c>
      <x:c r="O3712" t="n">
        <x:v>1</x:v>
      </x:c>
      <x:c r="P3712" s="26" t="n">
        <x:f>F3712/O3712</x:f>
        <x:v>194.63</x:v>
      </x:c>
    </x:row>
    <x:row r="3713">
      <x:c r="A3713" t="n">
        <x:v>3712</x:v>
      </x:c>
      <x:c r="B3713" t="n">
        <x:v>65</x:v>
      </x:c>
      <x:c r="C3713" t="str">
        <x:v>Male</x:v>
      </x:c>
      <x:c r="D3713" t="str">
        <x:v>Groceries</x:v>
      </x:c>
      <x:c r="E3713" t="str">
        <x:v>Beverages</x:v>
      </x:c>
      <x:c r="F3713" s="24" t="n">
        <x:v>56.5</x:v>
      </x:c>
      <x:c r="G3713" t="str">
        <x:v>Summer</x:v>
      </x:c>
      <x:c r="H3713" t="str">
        <x:v>Card</x:v>
      </x:c>
      <x:c r="I3713" t="n">
        <x:v>3.4</x:v>
      </x:c>
      <x:c r="J3713" t="n">
        <x:v>20</x:v>
      </x:c>
      <x:c r="K3713" t="n">
        <x:v>5</x:v>
      </x:c>
      <x:c r="L3713" t="str">
        <x:v>STORE-001</x:v>
      </x:c>
      <x:c r="M3713" s="22" t="n">
        <x:v>46018</x:v>
      </x:c>
      <x:c r="N3713" t="str">
        <x:v>SKU-001</x:v>
      </x:c>
      <x:c r="O3713" t="n">
        <x:v>2</x:v>
      </x:c>
      <x:c r="P3713" s="26" t="n">
        <x:f>F3713/O3713</x:f>
        <x:v>28.25</x:v>
      </x:c>
    </x:row>
    <x:row r="3714">
      <x:c r="A3714" t="n">
        <x:v>3713</x:v>
      </x:c>
      <x:c r="B3714" t="n">
        <x:v>46</x:v>
      </x:c>
      <x:c r="C3714" t="str">
        <x:v>Female</x:v>
      </x:c>
      <x:c r="D3714" t="str">
        <x:v>Accessories</x:v>
      </x:c>
      <x:c r="E3714" t="str">
        <x:v>Wallet</x:v>
      </x:c>
      <x:c r="F3714" s="24" t="n">
        <x:v>118.52</x:v>
      </x:c>
      <x:c r="G3714" t="str">
        <x:v>Spring</x:v>
      </x:c>
      <x:c r="H3714" t="str">
        <x:v>Card</x:v>
      </x:c>
      <x:c r="I3714" t="n">
        <x:v>5</x:v>
      </x:c>
      <x:c r="J3714" t="n">
        <x:v>26</x:v>
      </x:c>
      <x:c r="K3714" t="n">
        <x:v>8</x:v>
      </x:c>
      <x:c r="L3714" t="str">
        <x:v>STORE-001</x:v>
      </x:c>
      <x:c r="M3714" s="22" t="n">
        <x:v>45991</x:v>
      </x:c>
      <x:c r="N3714" t="str">
        <x:v>SKU-029</x:v>
      </x:c>
      <x:c r="O3714" t="n">
        <x:v>3</x:v>
      </x:c>
      <x:c r="P3714" s="26" t="n">
        <x:f>F3714/O3714</x:f>
        <x:v>39.50666666666667</x:v>
      </x:c>
    </x:row>
    <x:row r="3715">
      <x:c r="A3715" t="n">
        <x:v>3714</x:v>
      </x:c>
      <x:c r="B3715" t="n">
        <x:v>50</x:v>
      </x:c>
      <x:c r="C3715" t="str">
        <x:v>Male</x:v>
      </x:c>
      <x:c r="D3715" t="str">
        <x:v>Groceries</x:v>
      </x:c>
      <x:c r="E3715" t="str">
        <x:v>Beverages</x:v>
      </x:c>
      <x:c r="F3715" s="24" t="n">
        <x:v>30.62</x:v>
      </x:c>
      <x:c r="G3715" t="str">
        <x:v>Autumn</x:v>
      </x:c>
      <x:c r="H3715" t="str">
        <x:v>Card</x:v>
      </x:c>
      <x:c r="I3715" t="n">
        <x:v>4.2</x:v>
      </x:c>
      <x:c r="J3715" t="n">
        <x:v>26</x:v>
      </x:c>
      <x:c r="K3715" t="n">
        <x:v>8</x:v>
      </x:c>
      <x:c r="L3715" t="str">
        <x:v>STORE-001</x:v>
      </x:c>
      <x:c r="M3715" s="22" t="n">
        <x:v>46167</x:v>
      </x:c>
      <x:c r="N3715" t="str">
        <x:v>SKU-001</x:v>
      </x:c>
      <x:c r="O3715" t="n">
        <x:v>1</x:v>
      </x:c>
      <x:c r="P3715" s="26" t="n">
        <x:f>F3715/O3715</x:f>
        <x:v>30.62</x:v>
      </x:c>
    </x:row>
    <x:row r="3716">
      <x:c r="A3716" t="n">
        <x:v>3715</x:v>
      </x:c>
      <x:c r="B3716" t="n">
        <x:v>21</x:v>
      </x:c>
      <x:c r="C3716" t="str">
        <x:v>Female</x:v>
      </x:c>
      <x:c r="D3716" t="str">
        <x:v>Footwear</x:v>
      </x:c>
      <x:c r="E3716" t="str">
        <x:v>Sandals</x:v>
      </x:c>
      <x:c r="F3716" s="24" t="n">
        <x:v>225.81</x:v>
      </x:c>
      <x:c r="G3716" t="str">
        <x:v>Winter</x:v>
      </x:c>
      <x:c r="H3716" t="str">
        <x:v>Card</x:v>
      </x:c>
      <x:c r="I3716" t="n">
        <x:v>3.2</x:v>
      </x:c>
      <x:c r="J3716" t="n">
        <x:v>17</x:v>
      </x:c>
      <x:c r="K3716" t="n">
        <x:v>6</x:v>
      </x:c>
      <x:c r="L3716" t="str">
        <x:v>STORE-001</x:v>
      </x:c>
      <x:c r="M3716" s="22" t="n">
        <x:v>46216</x:v>
      </x:c>
      <x:c r="N3716" t="str">
        <x:v>SKU-019</x:v>
      </x:c>
      <x:c r="O3716" t="n">
        <x:v>1</x:v>
      </x:c>
      <x:c r="P3716" s="26" t="n">
        <x:f>F3716/O3716</x:f>
        <x:v>225.81</x:v>
      </x:c>
    </x:row>
    <x:row r="3717">
      <x:c r="A3717" t="n">
        <x:v>3716</x:v>
      </x:c>
      <x:c r="B3717" t="n">
        <x:v>38</x:v>
      </x:c>
      <x:c r="C3717" t="str">
        <x:v>Male</x:v>
      </x:c>
      <x:c r="D3717" t="str">
        <x:v>Sports</x:v>
      </x:c>
      <x:c r="E3717" t="str">
        <x:v>Yoga Mat</x:v>
      </x:c>
      <x:c r="F3717" s="24" t="n">
        <x:v>42.08</x:v>
      </x:c>
      <x:c r="G3717" t="str">
        <x:v>Autumn</x:v>
      </x:c>
      <x:c r="H3717" t="str">
        <x:v>Cash on Delivery</x:v>
      </x:c>
      <x:c r="I3717" t="n">
        <x:v>4.1</x:v>
      </x:c>
      <x:c r="J3717" t="n">
        <x:v>6</x:v>
      </x:c>
      <x:c r="K3717" t="n">
        <x:v>3</x:v>
      </x:c>
      <x:c r="L3717" t="str">
        <x:v>STORE-001</x:v>
      </x:c>
      <x:c r="M3717" s="22" t="n">
        <x:v>46169</x:v>
      </x:c>
      <x:c r="N3717" t="str">
        <x:v>SKU-030</x:v>
      </x:c>
      <x:c r="O3717" t="n">
        <x:v>2</x:v>
      </x:c>
      <x:c r="P3717" s="26" t="n">
        <x:f>F3717/O3717</x:f>
        <x:v>21.04</x:v>
      </x:c>
    </x:row>
    <x:row r="3718">
      <x:c r="A3718" t="n">
        <x:v>3717</x:v>
      </x:c>
      <x:c r="B3718" t="n">
        <x:v>22</x:v>
      </x:c>
      <x:c r="C3718" t="str">
        <x:v>Male</x:v>
      </x:c>
      <x:c r="D3718" t="str">
        <x:v>Sports</x:v>
      </x:c>
      <x:c r="E3718" t="str">
        <x:v>Dumbbells</x:v>
      </x:c>
      <x:c r="F3718" s="24" t="n">
        <x:v>78.2</x:v>
      </x:c>
      <x:c r="G3718" t="str">
        <x:v>Spring</x:v>
      </x:c>
      <x:c r="H3718" t="str">
        <x:v>Cash on Delivery</x:v>
      </x:c>
      <x:c r="I3718" t="n">
        <x:v>4.1</x:v>
      </x:c>
      <x:c r="J3718" t="n">
        <x:v>15</x:v>
      </x:c>
      <x:c r="K3718" t="n">
        <x:v>5</x:v>
      </x:c>
      <x:c r="L3718" t="str">
        <x:v>STORE-001</x:v>
      </x:c>
      <x:c r="M3718" s="22" t="n">
        <x:v>46287</x:v>
      </x:c>
      <x:c r="N3718" t="str">
        <x:v>SKU-005</x:v>
      </x:c>
      <x:c r="O3718" t="n">
        <x:v>2</x:v>
      </x:c>
      <x:c r="P3718" s="26" t="n">
        <x:f>F3718/O3718</x:f>
        <x:v>39.1</x:v>
      </x:c>
    </x:row>
    <x:row r="3719">
      <x:c r="A3719" t="n">
        <x:v>3718</x:v>
      </x:c>
      <x:c r="B3719" t="n">
        <x:v>51</x:v>
      </x:c>
      <x:c r="C3719" t="str">
        <x:v>Male</x:v>
      </x:c>
      <x:c r="D3719" t="str">
        <x:v>Sports</x:v>
      </x:c>
      <x:c r="E3719" t="str">
        <x:v>Yoga Mat</x:v>
      </x:c>
      <x:c r="F3719" s="24" t="n">
        <x:v>238.8</x:v>
      </x:c>
      <x:c r="G3719" t="str">
        <x:v>Winter</x:v>
      </x:c>
      <x:c r="H3719" t="str">
        <x:v>Card</x:v>
      </x:c>
      <x:c r="I3719" t="n">
        <x:v>3.2</x:v>
      </x:c>
      <x:c r="J3719" t="n">
        <x:v>10</x:v>
      </x:c>
      <x:c r="K3719" t="n">
        <x:v>5</x:v>
      </x:c>
      <x:c r="L3719" t="str">
        <x:v>STORE-001</x:v>
      </x:c>
      <x:c r="M3719" s="22" t="n">
        <x:v>46187</x:v>
      </x:c>
      <x:c r="N3719" t="str">
        <x:v>SKU-030</x:v>
      </x:c>
      <x:c r="O3719" t="n">
        <x:v>2</x:v>
      </x:c>
      <x:c r="P3719" s="26" t="n">
        <x:f>F3719/O3719</x:f>
        <x:v>119.4</x:v>
      </x:c>
    </x:row>
    <x:row r="3720">
      <x:c r="A3720" t="n">
        <x:v>3719</x:v>
      </x:c>
      <x:c r="B3720" t="n">
        <x:v>29</x:v>
      </x:c>
      <x:c r="C3720" t="str">
        <x:v>Female</x:v>
      </x:c>
      <x:c r="D3720" t="str">
        <x:v>Footwear</x:v>
      </x:c>
      <x:c r="E3720" t="str">
        <x:v>Formal Shoes</x:v>
      </x:c>
      <x:c r="F3720" s="24" t="n">
        <x:v>232.13</x:v>
      </x:c>
      <x:c r="G3720" t="str">
        <x:v>Autumn</x:v>
      </x:c>
      <x:c r="H3720" t="str">
        <x:v>Card</x:v>
      </x:c>
      <x:c r="I3720" t="n">
        <x:v>3.8</x:v>
      </x:c>
      <x:c r="J3720" t="n">
        <x:v>16</x:v>
      </x:c>
      <x:c r="K3720" t="n">
        <x:v>8</x:v>
      </x:c>
      <x:c r="L3720" t="str">
        <x:v>STORE-001</x:v>
      </x:c>
      <x:c r="M3720" s="22" t="n">
        <x:v>46158</x:v>
      </x:c>
      <x:c r="N3720" t="str">
        <x:v>SKU-007</x:v>
      </x:c>
      <x:c r="O3720" t="n">
        <x:v>2</x:v>
      </x:c>
      <x:c r="P3720" s="26" t="n">
        <x:f>F3720/O3720</x:f>
        <x:v>116.065</x:v>
      </x:c>
    </x:row>
    <x:row r="3721">
      <x:c r="A3721" t="n">
        <x:v>3720</x:v>
      </x:c>
      <x:c r="B3721" t="n">
        <x:v>43</x:v>
      </x:c>
      <x:c r="C3721" t="str">
        <x:v>Male</x:v>
      </x:c>
      <x:c r="D3721" t="str">
        <x:v>Mens Clothing</x:v>
      </x:c>
      <x:c r="E3721" t="str">
        <x:v>Shirt</x:v>
      </x:c>
      <x:c r="F3721" s="24" t="n">
        <x:v>63.05</x:v>
      </x:c>
      <x:c r="G3721" t="str">
        <x:v>Winter</x:v>
      </x:c>
      <x:c r="H3721" t="str">
        <x:v>Card</x:v>
      </x:c>
      <x:c r="I3721" t="n">
        <x:v>3.6</x:v>
      </x:c>
      <x:c r="J3721" t="n">
        <x:v>9</x:v>
      </x:c>
      <x:c r="K3721" t="n">
        <x:v>2</x:v>
      </x:c>
      <x:c r="L3721" t="str">
        <x:v>STORE-001</x:v>
      </x:c>
      <x:c r="M3721" s="22" t="n">
        <x:v>46228</x:v>
      </x:c>
      <x:c r="N3721" t="str">
        <x:v>SKU-020</x:v>
      </x:c>
      <x:c r="O3721" t="n">
        <x:v>2</x:v>
      </x:c>
      <x:c r="P3721" s="26" t="n">
        <x:f>F3721/O3721</x:f>
        <x:v>31.525</x:v>
      </x:c>
    </x:row>
    <x:row r="3722">
      <x:c r="A3722" t="n">
        <x:v>3721</x:v>
      </x:c>
      <x:c r="B3722" t="n">
        <x:v>58</x:v>
      </x:c>
      <x:c r="C3722" t="str">
        <x:v>Male</x:v>
      </x:c>
      <x:c r="D3722" t="str">
        <x:v>Sports</x:v>
      </x:c>
      <x:c r="E3722" t="str">
        <x:v>Football</x:v>
      </x:c>
      <x:c r="F3722" s="24" t="n">
        <x:v>103.55</x:v>
      </x:c>
      <x:c r="G3722" t="str">
        <x:v>Autumn</x:v>
      </x:c>
      <x:c r="H3722" t="str">
        <x:v>Card</x:v>
      </x:c>
      <x:c r="I3722" t="n">
        <x:v>3.3</x:v>
      </x:c>
      <x:c r="J3722" t="n">
        <x:v>11</x:v>
      </x:c>
      <x:c r="K3722" t="n">
        <x:v>3</x:v>
      </x:c>
      <x:c r="L3722" t="str">
        <x:v>STORE-001</x:v>
      </x:c>
      <x:c r="M3722" s="22" t="n">
        <x:v>46084</x:v>
      </x:c>
      <x:c r="N3722" t="str">
        <x:v>SKU-006</x:v>
      </x:c>
      <x:c r="O3722" t="n">
        <x:v>1</x:v>
      </x:c>
      <x:c r="P3722" s="26" t="n">
        <x:f>F3722/O3722</x:f>
        <x:v>103.55</x:v>
      </x:c>
    </x:row>
    <x:row r="3723">
      <x:c r="A3723" t="n">
        <x:v>3722</x:v>
      </x:c>
      <x:c r="B3723" t="n">
        <x:v>62</x:v>
      </x:c>
      <x:c r="C3723" t="str">
        <x:v>Male</x:v>
      </x:c>
      <x:c r="D3723" t="str">
        <x:v>Groceries</x:v>
      </x:c>
      <x:c r="E3723" t="str">
        <x:v>Cooking Oil</x:v>
      </x:c>
      <x:c r="F3723" s="24" t="n">
        <x:v>21.14</x:v>
      </x:c>
      <x:c r="G3723" t="str">
        <x:v>Autumn</x:v>
      </x:c>
      <x:c r="H3723" t="str">
        <x:v>Cash on Delivery</x:v>
      </x:c>
      <x:c r="I3723" t="n">
        <x:v>4.1</x:v>
      </x:c>
      <x:c r="J3723" t="n">
        <x:v>11</x:v>
      </x:c>
      <x:c r="K3723" t="n">
        <x:v>3</x:v>
      </x:c>
      <x:c r="L3723" t="str">
        <x:v>STORE-001</x:v>
      </x:c>
      <x:c r="M3723" s="22" t="n">
        <x:v>46108</x:v>
      </x:c>
      <x:c r="N3723" t="str">
        <x:v>SKU-002</x:v>
      </x:c>
      <x:c r="O3723" t="n">
        <x:v>2</x:v>
      </x:c>
      <x:c r="P3723" s="26" t="n">
        <x:f>F3723/O3723</x:f>
        <x:v>10.57</x:v>
      </x:c>
    </x:row>
    <x:row r="3724">
      <x:c r="A3724" t="n">
        <x:v>3723</x:v>
      </x:c>
      <x:c r="B3724" t="n">
        <x:v>69</x:v>
      </x:c>
      <x:c r="C3724" t="str">
        <x:v>Female</x:v>
      </x:c>
      <x:c r="D3724" t="str">
        <x:v>Accessories</x:v>
      </x:c>
      <x:c r="E3724" t="str">
        <x:v>Sunglasses</x:v>
      </x:c>
      <x:c r="F3724" s="24" t="n">
        <x:v>175.97</x:v>
      </x:c>
      <x:c r="G3724" t="str">
        <x:v>Winter</x:v>
      </x:c>
      <x:c r="H3724" t="str">
        <x:v>Card</x:v>
      </x:c>
      <x:c r="I3724" t="n">
        <x:v>3.4</x:v>
      </x:c>
      <x:c r="J3724" t="n">
        <x:v>8</x:v>
      </x:c>
      <x:c r="K3724" t="n">
        <x:v>4</x:v>
      </x:c>
      <x:c r="L3724" t="str">
        <x:v>STORE-001</x:v>
      </x:c>
      <x:c r="M3724" s="22" t="n">
        <x:v>46251</x:v>
      </x:c>
      <x:c r="N3724" t="str">
        <x:v>SKU-026</x:v>
      </x:c>
      <x:c r="O3724" t="n">
        <x:v>1</x:v>
      </x:c>
      <x:c r="P3724" s="26" t="n">
        <x:f>F3724/O3724</x:f>
        <x:v>175.97</x:v>
      </x:c>
    </x:row>
    <x:row r="3725">
      <x:c r="A3725" t="n">
        <x:v>3724</x:v>
      </x:c>
      <x:c r="B3725" t="n">
        <x:v>37</x:v>
      </x:c>
      <x:c r="C3725" t="str">
        <x:v>Female</x:v>
      </x:c>
      <x:c r="D3725" t="str">
        <x:v>Accessories</x:v>
      </x:c>
      <x:c r="E3725" t="str">
        <x:v>Sunglasses</x:v>
      </x:c>
      <x:c r="F3725" s="24" t="n">
        <x:v>175.84</x:v>
      </x:c>
      <x:c r="G3725" t="str">
        <x:v>Spring</x:v>
      </x:c>
      <x:c r="H3725" t="str">
        <x:v>Card</x:v>
      </x:c>
      <x:c r="I3725" t="n">
        <x:v>3.9</x:v>
      </x:c>
      <x:c r="J3725" t="n">
        <x:v>15</x:v>
      </x:c>
      <x:c r="K3725" t="n">
        <x:v>5</x:v>
      </x:c>
      <x:c r="L3725" t="str">
        <x:v>STORE-001</x:v>
      </x:c>
      <x:c r="M3725" s="22" t="n">
        <x:v>45947</x:v>
      </x:c>
      <x:c r="N3725" t="str">
        <x:v>SKU-026</x:v>
      </x:c>
      <x:c r="O3725" t="n">
        <x:v>1</x:v>
      </x:c>
      <x:c r="P3725" s="26" t="n">
        <x:f>F3725/O3725</x:f>
        <x:v>175.84</x:v>
      </x:c>
    </x:row>
    <x:row r="3726">
      <x:c r="A3726" t="n">
        <x:v>3725</x:v>
      </x:c>
      <x:c r="B3726" t="n">
        <x:v>44</x:v>
      </x:c>
      <x:c r="C3726" t="str">
        <x:v>Male</x:v>
      </x:c>
      <x:c r="D3726" t="str">
        <x:v>Footwear</x:v>
      </x:c>
      <x:c r="E3726" t="str">
        <x:v>Sandals</x:v>
      </x:c>
      <x:c r="F3726" s="24" t="n">
        <x:v>199.68</x:v>
      </x:c>
      <x:c r="G3726" t="str">
        <x:v>Summer</x:v>
      </x:c>
      <x:c r="H3726" t="str">
        <x:v>Card</x:v>
      </x:c>
      <x:c r="I3726" t="n">
        <x:v>4.6</x:v>
      </x:c>
      <x:c r="J3726" t="n">
        <x:v>12</x:v>
      </x:c>
      <x:c r="K3726" t="n">
        <x:v>6</x:v>
      </x:c>
      <x:c r="L3726" t="str">
        <x:v>STORE-001</x:v>
      </x:c>
      <x:c r="M3726" s="22" t="n">
        <x:v>46002</x:v>
      </x:c>
      <x:c r="N3726" t="str">
        <x:v>SKU-019</x:v>
      </x:c>
      <x:c r="O3726" t="n">
        <x:v>2</x:v>
      </x:c>
      <x:c r="P3726" s="26" t="n">
        <x:f>F3726/O3726</x:f>
        <x:v>99.84</x:v>
      </x:c>
    </x:row>
    <x:row r="3727">
      <x:c r="A3727" t="n">
        <x:v>3726</x:v>
      </x:c>
      <x:c r="B3727" t="n">
        <x:v>56</x:v>
      </x:c>
      <x:c r="C3727" t="str">
        <x:v>Female</x:v>
      </x:c>
      <x:c r="D3727" t="str">
        <x:v>Accessories</x:v>
      </x:c>
      <x:c r="E3727" t="str">
        <x:v>Wallet</x:v>
      </x:c>
      <x:c r="F3727" s="24" t="n">
        <x:v>121.61</x:v>
      </x:c>
      <x:c r="G3727" t="str">
        <x:v>Winter</x:v>
      </x:c>
      <x:c r="H3727" t="str">
        <x:v>Card</x:v>
      </x:c>
      <x:c r="I3727" t="n">
        <x:v>3.8</x:v>
      </x:c>
      <x:c r="J3727" t="n">
        <x:v>8</x:v>
      </x:c>
      <x:c r="K3727" t="n">
        <x:v>4</x:v>
      </x:c>
      <x:c r="L3727" t="str">
        <x:v>STORE-001</x:v>
      </x:c>
      <x:c r="M3727" s="22" t="n">
        <x:v>46249</x:v>
      </x:c>
      <x:c r="N3727" t="str">
        <x:v>SKU-029</x:v>
      </x:c>
      <x:c r="O3727" t="n">
        <x:v>1</x:v>
      </x:c>
      <x:c r="P3727" s="26" t="n">
        <x:f>F3727/O3727</x:f>
        <x:v>121.61</x:v>
      </x:c>
    </x:row>
    <x:row r="3728">
      <x:c r="A3728" t="n">
        <x:v>3727</x:v>
      </x:c>
      <x:c r="B3728" t="n">
        <x:v>35</x:v>
      </x:c>
      <x:c r="C3728" t="str">
        <x:v>Male</x:v>
      </x:c>
      <x:c r="D3728" t="str">
        <x:v>Electronics</x:v>
      </x:c>
      <x:c r="E3728" t="str">
        <x:v>Smart Watch</x:v>
      </x:c>
      <x:c r="F3728" s="24" t="n">
        <x:v>2019.58</x:v>
      </x:c>
      <x:c r="G3728" t="str">
        <x:v>Autumn</x:v>
      </x:c>
      <x:c r="H3728" t="str">
        <x:v>Card</x:v>
      </x:c>
      <x:c r="I3728" t="n">
        <x:v>3</x:v>
      </x:c>
      <x:c r="J3728" t="n">
        <x:v>17</x:v>
      </x:c>
      <x:c r="K3728" t="n">
        <x:v>6</x:v>
      </x:c>
      <x:c r="L3728" t="str">
        <x:v>STORE-001</x:v>
      </x:c>
      <x:c r="M3728" s="22" t="n">
        <x:v>46126</x:v>
      </x:c>
      <x:c r="N3728" t="str">
        <x:v>SKU-023</x:v>
      </x:c>
      <x:c r="O3728" t="n">
        <x:v>1</x:v>
      </x:c>
      <x:c r="P3728" s="26" t="n">
        <x:f>F3728/O3728</x:f>
        <x:v>2019.58</x:v>
      </x:c>
    </x:row>
    <x:row r="3729">
      <x:c r="A3729" t="n">
        <x:v>3728</x:v>
      </x:c>
      <x:c r="B3729" t="n">
        <x:v>35</x:v>
      </x:c>
      <x:c r="C3729" t="str">
        <x:v>Female</x:v>
      </x:c>
      <x:c r="D3729" t="str">
        <x:v>Beauty</x:v>
      </x:c>
      <x:c r="E3729" t="str">
        <x:v>Skincare Kit</x:v>
      </x:c>
      <x:c r="F3729" s="24" t="n">
        <x:v>53.04</x:v>
      </x:c>
      <x:c r="G3729" t="str">
        <x:v>Spring</x:v>
      </x:c>
      <x:c r="H3729" t="str">
        <x:v>Card</x:v>
      </x:c>
      <x:c r="I3729" t="n">
        <x:v>3.5</x:v>
      </x:c>
      <x:c r="J3729" t="n">
        <x:v>20</x:v>
      </x:c>
      <x:c r="K3729" t="n">
        <x:v>5</x:v>
      </x:c>
      <x:c r="L3729" t="str">
        <x:v>STORE-001</x:v>
      </x:c>
      <x:c r="M3729" s="22" t="n">
        <x:v>46280</x:v>
      </x:c>
      <x:c r="N3729" t="str">
        <x:v>SKU-021</x:v>
      </x:c>
      <x:c r="O3729" t="n">
        <x:v>3</x:v>
      </x:c>
      <x:c r="P3729" s="26" t="n">
        <x:f>F3729/O3729</x:f>
        <x:v>17.68</x:v>
      </x:c>
    </x:row>
    <x:row r="3730">
      <x:c r="A3730" t="n">
        <x:v>3729</x:v>
      </x:c>
      <x:c r="B3730" t="n">
        <x:v>62</x:v>
      </x:c>
      <x:c r="C3730" t="str">
        <x:v>Female</x:v>
      </x:c>
      <x:c r="D3730" t="str">
        <x:v>Womens Clothing</x:v>
      </x:c>
      <x:c r="E3730" t="str">
        <x:v>Top</x:v>
      </x:c>
      <x:c r="F3730" s="24" t="n">
        <x:v>149.16</x:v>
      </x:c>
      <x:c r="G3730" t="str">
        <x:v>Autumn</x:v>
      </x:c>
      <x:c r="H3730" t="str">
        <x:v>Card</x:v>
      </x:c>
      <x:c r="I3730" t="n">
        <x:v>3.5</x:v>
      </x:c>
      <x:c r="J3730" t="n">
        <x:v>20</x:v>
      </x:c>
      <x:c r="K3730" t="n">
        <x:v>5</x:v>
      </x:c>
      <x:c r="L3730" t="str">
        <x:v>STORE-001</x:v>
      </x:c>
      <x:c r="M3730" s="22" t="n">
        <x:v>46096</x:v>
      </x:c>
      <x:c r="N3730" t="str">
        <x:v>SKU-028</x:v>
      </x:c>
      <x:c r="O3730" t="n">
        <x:v>1</x:v>
      </x:c>
      <x:c r="P3730" s="26" t="n">
        <x:f>F3730/O3730</x:f>
        <x:v>149.16</x:v>
      </x:c>
    </x:row>
    <x:row r="3731">
      <x:c r="A3731" t="n">
        <x:v>3730</x:v>
      </x:c>
      <x:c r="B3731" t="n">
        <x:v>48</x:v>
      </x:c>
      <x:c r="C3731" t="str">
        <x:v>Female</x:v>
      </x:c>
      <x:c r="D3731" t="str">
        <x:v>Footwear</x:v>
      </x:c>
      <x:c r="E3731" t="str">
        <x:v>Sandals</x:v>
      </x:c>
      <x:c r="F3731" s="24" t="n">
        <x:v>165.93</x:v>
      </x:c>
      <x:c r="G3731" t="str">
        <x:v>Autumn</x:v>
      </x:c>
      <x:c r="H3731" t="str">
        <x:v>Card</x:v>
      </x:c>
      <x:c r="I3731" t="n">
        <x:v>3</x:v>
      </x:c>
      <x:c r="J3731" t="n">
        <x:v>16</x:v>
      </x:c>
      <x:c r="K3731" t="n">
        <x:v>3</x:v>
      </x:c>
      <x:c r="L3731" t="str">
        <x:v>STORE-001</x:v>
      </x:c>
      <x:c r="M3731" s="22" t="n">
        <x:v>46085</x:v>
      </x:c>
      <x:c r="N3731" t="str">
        <x:v>SKU-019</x:v>
      </x:c>
      <x:c r="O3731" t="n">
        <x:v>3</x:v>
      </x:c>
      <x:c r="P3731" s="26" t="n">
        <x:f>F3731/O3731</x:f>
        <x:v>55.31</x:v>
      </x:c>
    </x:row>
    <x:row r="3732">
      <x:c r="A3732" t="n">
        <x:v>3731</x:v>
      </x:c>
      <x:c r="B3732" t="n">
        <x:v>38</x:v>
      </x:c>
      <x:c r="C3732" t="str">
        <x:v>Female</x:v>
      </x:c>
      <x:c r="D3732" t="str">
        <x:v>Footwear</x:v>
      </x:c>
      <x:c r="E3732" t="str">
        <x:v>Sandals</x:v>
      </x:c>
      <x:c r="F3732" s="24" t="n">
        <x:v>138.47</x:v>
      </x:c>
      <x:c r="G3732" t="str">
        <x:v>Autumn</x:v>
      </x:c>
      <x:c r="H3732" t="str">
        <x:v>Card</x:v>
      </x:c>
      <x:c r="I3732" t="n">
        <x:v>4.1</x:v>
      </x:c>
      <x:c r="J3732" t="n">
        <x:v>20</x:v>
      </x:c>
      <x:c r="K3732" t="n">
        <x:v>5</x:v>
      </x:c>
      <x:c r="L3732" t="str">
        <x:v>STORE-001</x:v>
      </x:c>
      <x:c r="M3732" s="22" t="n">
        <x:v>46134</x:v>
      </x:c>
      <x:c r="N3732" t="str">
        <x:v>SKU-019</x:v>
      </x:c>
      <x:c r="O3732" t="n">
        <x:v>1</x:v>
      </x:c>
      <x:c r="P3732" s="26" t="n">
        <x:f>F3732/O3732</x:f>
        <x:v>138.47</x:v>
      </x:c>
    </x:row>
    <x:row r="3733">
      <x:c r="A3733" t="n">
        <x:v>3732</x:v>
      </x:c>
      <x:c r="B3733" t="n">
        <x:v>49</x:v>
      </x:c>
      <x:c r="C3733" t="str">
        <x:v>Female</x:v>
      </x:c>
      <x:c r="D3733" t="str">
        <x:v>Womens Clothing</x:v>
      </x:c>
      <x:c r="E3733" t="str">
        <x:v>Jeans</x:v>
      </x:c>
      <x:c r="F3733" s="24" t="n">
        <x:v>61.75</x:v>
      </x:c>
      <x:c r="G3733" t="str">
        <x:v>Summer</x:v>
      </x:c>
      <x:c r="H3733" t="str">
        <x:v>Cash on Delivery</x:v>
      </x:c>
      <x:c r="I3733" t="n">
        <x:v>2.9</x:v>
      </x:c>
      <x:c r="J3733" t="n">
        <x:v>4</x:v>
      </x:c>
      <x:c r="K3733" t="n">
        <x:v>2</x:v>
      </x:c>
      <x:c r="L3733" t="str">
        <x:v>STORE-001</x:v>
      </x:c>
      <x:c r="M3733" s="22" t="n">
        <x:v>46081</x:v>
      </x:c>
      <x:c r="N3733" t="str">
        <x:v>SKU-011</x:v>
      </x:c>
      <x:c r="O3733" t="n">
        <x:v>1</x:v>
      </x:c>
      <x:c r="P3733" s="26" t="n">
        <x:f>F3733/O3733</x:f>
        <x:v>61.75</x:v>
      </x:c>
    </x:row>
    <x:row r="3734">
      <x:c r="A3734" t="n">
        <x:v>3733</x:v>
      </x:c>
      <x:c r="B3734" t="n">
        <x:v>25</x:v>
      </x:c>
      <x:c r="C3734" t="str">
        <x:v>Male</x:v>
      </x:c>
      <x:c r="D3734" t="str">
        <x:v>Mens Clothing</x:v>
      </x:c>
      <x:c r="E3734" t="str">
        <x:v>T-Shirt</x:v>
      </x:c>
      <x:c r="F3734" s="24" t="n">
        <x:v>186.83</x:v>
      </x:c>
      <x:c r="G3734" t="str">
        <x:v>Summer</x:v>
      </x:c>
      <x:c r="H3734" t="str">
        <x:v>Card</x:v>
      </x:c>
      <x:c r="I3734" t="n">
        <x:v>3.3</x:v>
      </x:c>
      <x:c r="J3734" t="n">
        <x:v>20</x:v>
      </x:c>
      <x:c r="K3734" t="n">
        <x:v>5</x:v>
      </x:c>
      <x:c r="L3734" t="str">
        <x:v>STORE-001</x:v>
      </x:c>
      <x:c r="M3734" s="22" t="n">
        <x:v>46003</x:v>
      </x:c>
      <x:c r="N3734" t="str">
        <x:v>SKU-027</x:v>
      </x:c>
      <x:c r="O3734" t="n">
        <x:v>1</x:v>
      </x:c>
      <x:c r="P3734" s="26" t="n">
        <x:f>F3734/O3734</x:f>
        <x:v>186.83</x:v>
      </x:c>
    </x:row>
    <x:row r="3735">
      <x:c r="A3735" t="n">
        <x:v>3734</x:v>
      </x:c>
      <x:c r="B3735" t="n">
        <x:v>32</x:v>
      </x:c>
      <x:c r="C3735" t="str">
        <x:v>Female</x:v>
      </x:c>
      <x:c r="D3735" t="str">
        <x:v>Home</x:v>
      </x:c>
      <x:c r="E3735" t="str">
        <x:v>Lamp</x:v>
      </x:c>
      <x:c r="F3735" s="24" t="n">
        <x:v>161.13</x:v>
      </x:c>
      <x:c r="G3735" t="str">
        <x:v>Autumn</x:v>
      </x:c>
      <x:c r="H3735" t="str">
        <x:v>Card</x:v>
      </x:c>
      <x:c r="I3735" t="n">
        <x:v>4.6</x:v>
      </x:c>
      <x:c r="J3735" t="n">
        <x:v>24</x:v>
      </x:c>
      <x:c r="K3735" t="n">
        <x:v>7</x:v>
      </x:c>
      <x:c r="L3735" t="str">
        <x:v>STORE-001</x:v>
      </x:c>
      <x:c r="M3735" s="22" t="n">
        <x:v>46111</x:v>
      </x:c>
      <x:c r="N3735" t="str">
        <x:v>SKU-013</x:v>
      </x:c>
      <x:c r="O3735" t="n">
        <x:v>3</x:v>
      </x:c>
      <x:c r="P3735" s="26" t="n">
        <x:f>F3735/O3735</x:f>
        <x:v>53.71</x:v>
      </x:c>
    </x:row>
    <x:row r="3736">
      <x:c r="A3736" t="n">
        <x:v>3735</x:v>
      </x:c>
      <x:c r="B3736" t="n">
        <x:v>24</x:v>
      </x:c>
      <x:c r="C3736" t="str">
        <x:v>Female</x:v>
      </x:c>
      <x:c r="D3736" t="str">
        <x:v>Groceries</x:v>
      </x:c>
      <x:c r="E3736" t="str">
        <x:v>Snacks</x:v>
      </x:c>
      <x:c r="F3736" s="24" t="n">
        <x:v>34.75</x:v>
      </x:c>
      <x:c r="G3736" t="str">
        <x:v>Winter</x:v>
      </x:c>
      <x:c r="H3736" t="str">
        <x:v>Cash on Delivery</x:v>
      </x:c>
      <x:c r="I3736" t="n">
        <x:v>3.1</x:v>
      </x:c>
      <x:c r="J3736" t="n">
        <x:v>20</x:v>
      </x:c>
      <x:c r="K3736" t="n">
        <x:v>5</x:v>
      </x:c>
      <x:c r="L3736" t="str">
        <x:v>STORE-001</x:v>
      </x:c>
      <x:c r="M3736" s="22" t="n">
        <x:v>46260</x:v>
      </x:c>
      <x:c r="N3736" t="str">
        <x:v>SKU-024</x:v>
      </x:c>
      <x:c r="O3736" t="n">
        <x:v>3</x:v>
      </x:c>
      <x:c r="P3736" s="26" t="n">
        <x:f>F3736/O3736</x:f>
        <x:v>11.583333333333334</x:v>
      </x:c>
    </x:row>
    <x:row r="3737">
      <x:c r="A3737" t="n">
        <x:v>3736</x:v>
      </x:c>
      <x:c r="B3737" t="n">
        <x:v>52</x:v>
      </x:c>
      <x:c r="C3737" t="str">
        <x:v>Male</x:v>
      </x:c>
      <x:c r="D3737" t="str">
        <x:v>Sports</x:v>
      </x:c>
      <x:c r="E3737" t="str">
        <x:v>Dumbbells</x:v>
      </x:c>
      <x:c r="F3737" s="24" t="n">
        <x:v>40.54</x:v>
      </x:c>
      <x:c r="G3737" t="str">
        <x:v>Autumn</x:v>
      </x:c>
      <x:c r="H3737" t="str">
        <x:v>Card</x:v>
      </x:c>
      <x:c r="I3737" t="n">
        <x:v>5</x:v>
      </x:c>
      <x:c r="J3737" t="n">
        <x:v>15</x:v>
      </x:c>
      <x:c r="K3737" t="n">
        <x:v>5</x:v>
      </x:c>
      <x:c r="L3737" t="str">
        <x:v>STORE-001</x:v>
      </x:c>
      <x:c r="M3737" s="22" t="n">
        <x:v>46113</x:v>
      </x:c>
      <x:c r="N3737" t="str">
        <x:v>SKU-005</x:v>
      </x:c>
      <x:c r="O3737" t="n">
        <x:v>1</x:v>
      </x:c>
      <x:c r="P3737" s="26" t="n">
        <x:f>F3737/O3737</x:f>
        <x:v>40.54</x:v>
      </x:c>
    </x:row>
    <x:row r="3738">
      <x:c r="A3738" t="n">
        <x:v>3737</x:v>
      </x:c>
      <x:c r="B3738" t="n">
        <x:v>38</x:v>
      </x:c>
      <x:c r="C3738" t="str">
        <x:v>Male</x:v>
      </x:c>
      <x:c r="D3738" t="str">
        <x:v>Mens Clothing</x:v>
      </x:c>
      <x:c r="E3738" t="str">
        <x:v>T-Shirt</x:v>
      </x:c>
      <x:c r="F3738" s="24" t="n">
        <x:v>156.15</x:v>
      </x:c>
      <x:c r="G3738" t="str">
        <x:v>Winter</x:v>
      </x:c>
      <x:c r="H3738" t="str">
        <x:v>Card</x:v>
      </x:c>
      <x:c r="I3738" t="n">
        <x:v>4.9</x:v>
      </x:c>
      <x:c r="J3738" t="n">
        <x:v>18</x:v>
      </x:c>
      <x:c r="K3738" t="n">
        <x:v>4</x:v>
      </x:c>
      <x:c r="L3738" t="str">
        <x:v>STORE-001</x:v>
      </x:c>
      <x:c r="M3738" s="22" t="n">
        <x:v>46185</x:v>
      </x:c>
      <x:c r="N3738" t="str">
        <x:v>SKU-027</x:v>
      </x:c>
      <x:c r="O3738" t="n">
        <x:v>2</x:v>
      </x:c>
      <x:c r="P3738" s="26" t="n">
        <x:f>F3738/O3738</x:f>
        <x:v>78.075</x:v>
      </x:c>
    </x:row>
    <x:row r="3739">
      <x:c r="A3739" t="n">
        <x:v>3738</x:v>
      </x:c>
      <x:c r="B3739" t="n">
        <x:v>30</x:v>
      </x:c>
      <x:c r="C3739" t="str">
        <x:v>Female</x:v>
      </x:c>
      <x:c r="D3739" t="str">
        <x:v>Womens Clothing</x:v>
      </x:c>
      <x:c r="E3739" t="str">
        <x:v>Top</x:v>
      </x:c>
      <x:c r="F3739" s="24" t="n">
        <x:v>53.27</x:v>
      </x:c>
      <x:c r="G3739" t="str">
        <x:v>Autumn</x:v>
      </x:c>
      <x:c r="H3739" t="str">
        <x:v>Cash on Delivery</x:v>
      </x:c>
      <x:c r="I3739" t="n">
        <x:v>3.2</x:v>
      </x:c>
      <x:c r="J3739" t="n">
        <x:v>22</x:v>
      </x:c>
      <x:c r="K3739" t="n">
        <x:v>6</x:v>
      </x:c>
      <x:c r="L3739" t="str">
        <x:v>STORE-001</x:v>
      </x:c>
      <x:c r="M3739" s="22" t="n">
        <x:v>46161</x:v>
      </x:c>
      <x:c r="N3739" t="str">
        <x:v>SKU-028</x:v>
      </x:c>
      <x:c r="O3739" t="n">
        <x:v>1</x:v>
      </x:c>
      <x:c r="P3739" s="26" t="n">
        <x:f>F3739/O3739</x:f>
        <x:v>53.27</x:v>
      </x:c>
    </x:row>
    <x:row r="3740">
      <x:c r="A3740" t="n">
        <x:v>3739</x:v>
      </x:c>
      <x:c r="B3740" t="n">
        <x:v>70</x:v>
      </x:c>
      <x:c r="C3740" t="str">
        <x:v>Female</x:v>
      </x:c>
      <x:c r="D3740" t="str">
        <x:v>Womens Clothing</x:v>
      </x:c>
      <x:c r="E3740" t="str">
        <x:v>Skirt</x:v>
      </x:c>
      <x:c r="F3740" s="24" t="n">
        <x:v>90.81</x:v>
      </x:c>
      <x:c r="G3740" t="str">
        <x:v>Spring</x:v>
      </x:c>
      <x:c r="H3740" t="str">
        <x:v>Cash on Delivery</x:v>
      </x:c>
      <x:c r="I3740" t="n">
        <x:v>4</x:v>
      </x:c>
      <x:c r="J3740" t="n">
        <x:v>8</x:v>
      </x:c>
      <x:c r="K3740" t="n">
        <x:v>4</x:v>
      </x:c>
      <x:c r="L3740" t="str">
        <x:v>STORE-001</x:v>
      </x:c>
      <x:c r="M3740" s="22" t="n">
        <x:v>45934</x:v>
      </x:c>
      <x:c r="N3740" t="str">
        <x:v>SKU-022</x:v>
      </x:c>
      <x:c r="O3740" t="n">
        <x:v>1</x:v>
      </x:c>
      <x:c r="P3740" s="26" t="n">
        <x:f>F3740/O3740</x:f>
        <x:v>90.81</x:v>
      </x:c>
    </x:row>
    <x:row r="3741">
      <x:c r="A3741" t="n">
        <x:v>3740</x:v>
      </x:c>
      <x:c r="B3741" t="n">
        <x:v>23</x:v>
      </x:c>
      <x:c r="C3741" t="str">
        <x:v>Female</x:v>
      </x:c>
      <x:c r="D3741" t="str">
        <x:v>Womens Clothing</x:v>
      </x:c>
      <x:c r="E3741" t="str">
        <x:v>Top</x:v>
      </x:c>
      <x:c r="F3741" s="24" t="n">
        <x:v>101.78</x:v>
      </x:c>
      <x:c r="G3741" t="str">
        <x:v>Winter</x:v>
      </x:c>
      <x:c r="H3741" t="str">
        <x:v>Card</x:v>
      </x:c>
      <x:c r="I3741" t="n">
        <x:v>2.4</x:v>
      </x:c>
      <x:c r="J3741" t="n">
        <x:v>16</x:v>
      </x:c>
      <x:c r="K3741" t="n">
        <x:v>3</x:v>
      </x:c>
      <x:c r="L3741" t="str">
        <x:v>STORE-001</x:v>
      </x:c>
      <x:c r="M3741" s="22" t="n">
        <x:v>46261</x:v>
      </x:c>
      <x:c r="N3741" t="str">
        <x:v>SKU-028</x:v>
      </x:c>
      <x:c r="O3741" t="n">
        <x:v>3</x:v>
      </x:c>
      <x:c r="P3741" s="26" t="n">
        <x:f>F3741/O3741</x:f>
        <x:v>33.92666666666667</x:v>
      </x:c>
    </x:row>
    <x:row r="3742">
      <x:c r="A3742" t="n">
        <x:v>3741</x:v>
      </x:c>
      <x:c r="B3742" t="n">
        <x:v>52</x:v>
      </x:c>
      <x:c r="C3742" t="str">
        <x:v>Male</x:v>
      </x:c>
      <x:c r="D3742" t="str">
        <x:v>Footwear</x:v>
      </x:c>
      <x:c r="E3742" t="str">
        <x:v>Formal Shoes</x:v>
      </x:c>
      <x:c r="F3742" s="24" t="n">
        <x:v>83.51</x:v>
      </x:c>
      <x:c r="G3742" t="str">
        <x:v>Autumn</x:v>
      </x:c>
      <x:c r="H3742" t="str">
        <x:v>Card</x:v>
      </x:c>
      <x:c r="I3742" t="n">
        <x:v>3.5</x:v>
      </x:c>
      <x:c r="J3742" t="n">
        <x:v>15</x:v>
      </x:c>
      <x:c r="K3742" t="n">
        <x:v>5</x:v>
      </x:c>
      <x:c r="L3742" t="str">
        <x:v>STORE-001</x:v>
      </x:c>
      <x:c r="M3742" s="22" t="n">
        <x:v>46099</x:v>
      </x:c>
      <x:c r="N3742" t="str">
        <x:v>SKU-007</x:v>
      </x:c>
      <x:c r="O3742" t="n">
        <x:v>1</x:v>
      </x:c>
      <x:c r="P3742" s="26" t="n">
        <x:f>F3742/O3742</x:f>
        <x:v>83.51</x:v>
      </x:c>
    </x:row>
    <x:row r="3743">
      <x:c r="A3743" t="n">
        <x:v>3742</x:v>
      </x:c>
      <x:c r="B3743" t="n">
        <x:v>35</x:v>
      </x:c>
      <x:c r="C3743" t="str">
        <x:v>Female</x:v>
      </x:c>
      <x:c r="D3743" t="str">
        <x:v>Womens Clothing</x:v>
      </x:c>
      <x:c r="E3743" t="str">
        <x:v>Top</x:v>
      </x:c>
      <x:c r="F3743" s="24" t="n">
        <x:v>156.25</x:v>
      </x:c>
      <x:c r="G3743" t="str">
        <x:v>Summer</x:v>
      </x:c>
      <x:c r="H3743" t="str">
        <x:v>Card</x:v>
      </x:c>
      <x:c r="I3743" t="n">
        <x:v>4.1</x:v>
      </x:c>
      <x:c r="J3743" t="n">
        <x:v>15</x:v>
      </x:c>
      <x:c r="K3743" t="n">
        <x:v>5</x:v>
      </x:c>
      <x:c r="L3743" t="str">
        <x:v>STORE-001</x:v>
      </x:c>
      <x:c r="M3743" s="22" t="n">
        <x:v>45995</x:v>
      </x:c>
      <x:c r="N3743" t="str">
        <x:v>SKU-028</x:v>
      </x:c>
      <x:c r="O3743" t="n">
        <x:v>1</x:v>
      </x:c>
      <x:c r="P3743" s="26" t="n">
        <x:f>F3743/O3743</x:f>
        <x:v>156.25</x:v>
      </x:c>
    </x:row>
    <x:row r="3744">
      <x:c r="A3744" t="n">
        <x:v>3743</x:v>
      </x:c>
      <x:c r="B3744" t="n">
        <x:v>61</x:v>
      </x:c>
      <x:c r="C3744" t="str">
        <x:v>Female</x:v>
      </x:c>
      <x:c r="D3744" t="str">
        <x:v>Footwear</x:v>
      </x:c>
      <x:c r="E3744" t="str">
        <x:v>Sandals</x:v>
      </x:c>
      <x:c r="F3744" s="24" t="n">
        <x:v>240.97</x:v>
      </x:c>
      <x:c r="G3744" t="str">
        <x:v>Spring</x:v>
      </x:c>
      <x:c r="H3744" t="str">
        <x:v>Card</x:v>
      </x:c>
      <x:c r="I3744" t="n">
        <x:v>4</x:v>
      </x:c>
      <x:c r="J3744" t="n">
        <x:v>26</x:v>
      </x:c>
      <x:c r="K3744" t="n">
        <x:v>8</x:v>
      </x:c>
      <x:c r="L3744" t="str">
        <x:v>STORE-001</x:v>
      </x:c>
      <x:c r="M3744" s="22" t="n">
        <x:v>45954</x:v>
      </x:c>
      <x:c r="N3744" t="str">
        <x:v>SKU-019</x:v>
      </x:c>
      <x:c r="O3744" t="n">
        <x:v>1</x:v>
      </x:c>
      <x:c r="P3744" s="26" t="n">
        <x:f>F3744/O3744</x:f>
        <x:v>240.97</x:v>
      </x:c>
    </x:row>
    <x:row r="3745">
      <x:c r="A3745" t="n">
        <x:v>3744</x:v>
      </x:c>
      <x:c r="B3745" t="n">
        <x:v>25</x:v>
      </x:c>
      <x:c r="C3745" t="str">
        <x:v>Female</x:v>
      </x:c>
      <x:c r="D3745" t="str">
        <x:v>Footwear</x:v>
      </x:c>
      <x:c r="E3745" t="str">
        <x:v>Sneakers</x:v>
      </x:c>
      <x:c r="F3745" s="24" t="n">
        <x:v>161.52</x:v>
      </x:c>
      <x:c r="G3745" t="str">
        <x:v>Summer</x:v>
      </x:c>
      <x:c r="H3745" t="str">
        <x:v>Card</x:v>
      </x:c>
      <x:c r="I3745" t="n">
        <x:v>4.2</x:v>
      </x:c>
      <x:c r="J3745" t="n">
        <x:v>10</x:v>
      </x:c>
      <x:c r="K3745" t="n">
        <x:v>5</x:v>
      </x:c>
      <x:c r="L3745" t="str">
        <x:v>STORE-001</x:v>
      </x:c>
      <x:c r="M3745" s="22" t="n">
        <x:v>46015</x:v>
      </x:c>
      <x:c r="N3745" t="str">
        <x:v>SKU-025</x:v>
      </x:c>
      <x:c r="O3745" t="n">
        <x:v>1</x:v>
      </x:c>
      <x:c r="P3745" s="26" t="n">
        <x:f>F3745/O3745</x:f>
        <x:v>161.52</x:v>
      </x:c>
    </x:row>
    <x:row r="3746">
      <x:c r="A3746" t="n">
        <x:v>3745</x:v>
      </x:c>
      <x:c r="B3746" t="n">
        <x:v>60</x:v>
      </x:c>
      <x:c r="C3746" t="str">
        <x:v>Male</x:v>
      </x:c>
      <x:c r="D3746" t="str">
        <x:v>Home</x:v>
      </x:c>
      <x:c r="E3746" t="str">
        <x:v>Lamp</x:v>
      </x:c>
      <x:c r="F3746" s="24" t="n">
        <x:v>52.07</x:v>
      </x:c>
      <x:c r="G3746" t="str">
        <x:v>Winter</x:v>
      </x:c>
      <x:c r="H3746" t="str">
        <x:v>Card</x:v>
      </x:c>
      <x:c r="I3746" t="n">
        <x:v>5</x:v>
      </x:c>
      <x:c r="J3746" t="n">
        <x:v>18</x:v>
      </x:c>
      <x:c r="K3746" t="n">
        <x:v>4</x:v>
      </x:c>
      <x:c r="L3746" t="str">
        <x:v>STORE-001</x:v>
      </x:c>
      <x:c r="M3746" s="22" t="n">
        <x:v>46180</x:v>
      </x:c>
      <x:c r="N3746" t="str">
        <x:v>SKU-013</x:v>
      </x:c>
      <x:c r="O3746" t="n">
        <x:v>1</x:v>
      </x:c>
      <x:c r="P3746" s="26" t="n">
        <x:f>F3746/O3746</x:f>
        <x:v>52.07</x:v>
      </x:c>
    </x:row>
    <x:row r="3747">
      <x:c r="A3747" t="n">
        <x:v>3746</x:v>
      </x:c>
      <x:c r="B3747" t="n">
        <x:v>21</x:v>
      </x:c>
      <x:c r="C3747" t="str">
        <x:v>Female</x:v>
      </x:c>
      <x:c r="D3747" t="str">
        <x:v>Beauty</x:v>
      </x:c>
      <x:c r="E3747" t="str">
        <x:v>Skincare Kit</x:v>
      </x:c>
      <x:c r="F3747" s="24" t="n">
        <x:v>41.3</x:v>
      </x:c>
      <x:c r="G3747" t="str">
        <x:v>Autumn</x:v>
      </x:c>
      <x:c r="H3747" t="str">
        <x:v>Cash on Delivery</x:v>
      </x:c>
      <x:c r="I3747" t="n">
        <x:v>3.8</x:v>
      </x:c>
      <x:c r="J3747" t="n">
        <x:v>8</x:v>
      </x:c>
      <x:c r="K3747" t="n">
        <x:v>4</x:v>
      </x:c>
      <x:c r="L3747" t="str">
        <x:v>STORE-001</x:v>
      </x:c>
      <x:c r="M3747" s="22" t="n">
        <x:v>46145</x:v>
      </x:c>
      <x:c r="N3747" t="str">
        <x:v>SKU-021</x:v>
      </x:c>
      <x:c r="O3747" t="n">
        <x:v>1</x:v>
      </x:c>
      <x:c r="P3747" s="26" t="n">
        <x:f>F3747/O3747</x:f>
        <x:v>41.3</x:v>
      </x:c>
    </x:row>
    <x:row r="3748">
      <x:c r="A3748" t="n">
        <x:v>3747</x:v>
      </x:c>
      <x:c r="B3748" t="n">
        <x:v>59</x:v>
      </x:c>
      <x:c r="C3748" t="str">
        <x:v>Female</x:v>
      </x:c>
      <x:c r="D3748" t="str">
        <x:v>Accessories</x:v>
      </x:c>
      <x:c r="E3748" t="str">
        <x:v>Sunglasses</x:v>
      </x:c>
      <x:c r="F3748" s="24" t="n">
        <x:v>77.78</x:v>
      </x:c>
      <x:c r="G3748" t="str">
        <x:v>Summer</x:v>
      </x:c>
      <x:c r="H3748" t="str">
        <x:v>Cash on Delivery</x:v>
      </x:c>
      <x:c r="I3748" t="n">
        <x:v>4</x:v>
      </x:c>
      <x:c r="J3748" t="n">
        <x:v>13</x:v>
      </x:c>
      <x:c r="K3748" t="n">
        <x:v>4</x:v>
      </x:c>
      <x:c r="L3748" t="str">
        <x:v>STORE-001</x:v>
      </x:c>
      <x:c r="M3748" s="22" t="n">
        <x:v>46010</x:v>
      </x:c>
      <x:c r="N3748" t="str">
        <x:v>SKU-026</x:v>
      </x:c>
      <x:c r="O3748" t="n">
        <x:v>1</x:v>
      </x:c>
      <x:c r="P3748" s="26" t="n">
        <x:f>F3748/O3748</x:f>
        <x:v>77.78</x:v>
      </x:c>
    </x:row>
    <x:row r="3749">
      <x:c r="A3749" t="n">
        <x:v>3748</x:v>
      </x:c>
      <x:c r="B3749" t="n">
        <x:v>51</x:v>
      </x:c>
      <x:c r="C3749" t="str">
        <x:v>Female</x:v>
      </x:c>
      <x:c r="D3749" t="str">
        <x:v>Home</x:v>
      </x:c>
      <x:c r="E3749" t="str">
        <x:v>Curtains</x:v>
      </x:c>
      <x:c r="F3749" s="24" t="n">
        <x:v>74.72</x:v>
      </x:c>
      <x:c r="G3749" t="str">
        <x:v>Spring</x:v>
      </x:c>
      <x:c r="H3749" t="str">
        <x:v>Card</x:v>
      </x:c>
      <x:c r="I3749" t="n">
        <x:v>4</x:v>
      </x:c>
      <x:c r="J3749" t="n">
        <x:v>8</x:v>
      </x:c>
      <x:c r="K3749" t="n">
        <x:v>4</x:v>
      </x:c>
      <x:c r="L3749" t="str">
        <x:v>STORE-001</x:v>
      </x:c>
      <x:c r="M3749" s="22" t="n">
        <x:v>45983</x:v>
      </x:c>
      <x:c r="N3749" t="str">
        <x:v>SKU-003</x:v>
      </x:c>
      <x:c r="O3749" t="n">
        <x:v>2</x:v>
      </x:c>
      <x:c r="P3749" s="26" t="n">
        <x:f>F3749/O3749</x:f>
        <x:v>37.36</x:v>
      </x:c>
    </x:row>
    <x:row r="3750">
      <x:c r="A3750" t="n">
        <x:v>3749</x:v>
      </x:c>
      <x:c r="B3750" t="n">
        <x:v>39</x:v>
      </x:c>
      <x:c r="C3750" t="str">
        <x:v>Female</x:v>
      </x:c>
      <x:c r="D3750" t="str">
        <x:v>Footwear</x:v>
      </x:c>
      <x:c r="E3750" t="str">
        <x:v>Formal Shoes</x:v>
      </x:c>
      <x:c r="F3750" s="24" t="n">
        <x:v>88.03</x:v>
      </x:c>
      <x:c r="G3750" t="str">
        <x:v>Autumn</x:v>
      </x:c>
      <x:c r="H3750" t="str">
        <x:v>Cash on Delivery</x:v>
      </x:c>
      <x:c r="I3750" t="n">
        <x:v>4</x:v>
      </x:c>
      <x:c r="J3750" t="n">
        <x:v>10</x:v>
      </x:c>
      <x:c r="K3750" t="n">
        <x:v>5</x:v>
      </x:c>
      <x:c r="L3750" t="str">
        <x:v>STORE-001</x:v>
      </x:c>
      <x:c r="M3750" s="22" t="n">
        <x:v>46162</x:v>
      </x:c>
      <x:c r="N3750" t="str">
        <x:v>SKU-007</x:v>
      </x:c>
      <x:c r="O3750" t="n">
        <x:v>2</x:v>
      </x:c>
      <x:c r="P3750" s="26" t="n">
        <x:f>F3750/O3750</x:f>
        <x:v>44.015</x:v>
      </x:c>
    </x:row>
    <x:row r="3751">
      <x:c r="A3751" t="n">
        <x:v>3750</x:v>
      </x:c>
      <x:c r="B3751" t="n">
        <x:v>23</x:v>
      </x:c>
      <x:c r="C3751" t="str">
        <x:v>Female</x:v>
      </x:c>
      <x:c r="D3751" t="str">
        <x:v>Womens Clothing</x:v>
      </x:c>
      <x:c r="E3751" t="str">
        <x:v>Jeans</x:v>
      </x:c>
      <x:c r="F3751" s="24" t="n">
        <x:v>83.7</x:v>
      </x:c>
      <x:c r="G3751" t="str">
        <x:v>Spring</x:v>
      </x:c>
      <x:c r="H3751" t="str">
        <x:v>Cash on Delivery</x:v>
      </x:c>
      <x:c r="I3751" t="n">
        <x:v>3.3</x:v>
      </x:c>
      <x:c r="J3751" t="n">
        <x:v>20</x:v>
      </x:c>
      <x:c r="K3751" t="n">
        <x:v>5</x:v>
      </x:c>
      <x:c r="L3751" t="str">
        <x:v>STORE-001</x:v>
      </x:c>
      <x:c r="M3751" s="22" t="n">
        <x:v>46284</x:v>
      </x:c>
      <x:c r="N3751" t="str">
        <x:v>SKU-011</x:v>
      </x:c>
      <x:c r="O3751" t="n">
        <x:v>2</x:v>
      </x:c>
      <x:c r="P3751" s="26" t="n">
        <x:f>F3751/O3751</x:f>
        <x:v>41.85</x:v>
      </x:c>
    </x:row>
    <x:row r="3752">
      <x:c r="A3752" t="n">
        <x:v>3751</x:v>
      </x:c>
      <x:c r="B3752" t="n">
        <x:v>43</x:v>
      </x:c>
      <x:c r="C3752" t="str">
        <x:v>Female</x:v>
      </x:c>
      <x:c r="D3752" t="str">
        <x:v>Womens Clothing</x:v>
      </x:c>
      <x:c r="E3752" t="str">
        <x:v>Dress</x:v>
      </x:c>
      <x:c r="F3752" s="24" t="n">
        <x:v>87.63</x:v>
      </x:c>
      <x:c r="G3752" t="str">
        <x:v>Autumn</x:v>
      </x:c>
      <x:c r="H3752" t="str">
        <x:v>Cash on Delivery</x:v>
      </x:c>
      <x:c r="I3752" t="n">
        <x:v>4.6</x:v>
      </x:c>
      <x:c r="J3752" t="n">
        <x:v>4</x:v>
      </x:c>
      <x:c r="K3752" t="n">
        <x:v>2</x:v>
      </x:c>
      <x:c r="L3752" t="str">
        <x:v>STORE-001</x:v>
      </x:c>
      <x:c r="M3752" s="22" t="n">
        <x:v>46161</x:v>
      </x:c>
      <x:c r="N3752" t="str">
        <x:v>SKU-004</x:v>
      </x:c>
      <x:c r="O3752" t="n">
        <x:v>2</x:v>
      </x:c>
      <x:c r="P3752" s="26" t="n">
        <x:f>F3752/O3752</x:f>
        <x:v>43.815</x:v>
      </x:c>
    </x:row>
    <x:row r="3753">
      <x:c r="A3753" t="n">
        <x:v>3752</x:v>
      </x:c>
      <x:c r="B3753" t="n">
        <x:v>53</x:v>
      </x:c>
      <x:c r="C3753" t="str">
        <x:v>Female</x:v>
      </x:c>
      <x:c r="D3753" t="str">
        <x:v>Beauty</x:v>
      </x:c>
      <x:c r="E3753" t="str">
        <x:v>Perfume</x:v>
      </x:c>
      <x:c r="F3753" s="24" t="n">
        <x:v>78.65</x:v>
      </x:c>
      <x:c r="G3753" t="str">
        <x:v>Autumn</x:v>
      </x:c>
      <x:c r="H3753" t="str">
        <x:v>Card</x:v>
      </x:c>
      <x:c r="I3753" t="n">
        <x:v>3.6</x:v>
      </x:c>
      <x:c r="J3753" t="n">
        <x:v>12</x:v>
      </x:c>
      <x:c r="K3753" t="n">
        <x:v>6</x:v>
      </x:c>
      <x:c r="L3753" t="str">
        <x:v>STORE-001</x:v>
      </x:c>
      <x:c r="M3753" s="22" t="n">
        <x:v>46103</x:v>
      </x:c>
      <x:c r="N3753" t="str">
        <x:v>SKU-017</x:v>
      </x:c>
      <x:c r="O3753" t="n">
        <x:v>3</x:v>
      </x:c>
      <x:c r="P3753" s="26" t="n">
        <x:f>F3753/O3753</x:f>
        <x:v>26.21666666666667</x:v>
      </x:c>
    </x:row>
    <x:row r="3754">
      <x:c r="A3754" t="n">
        <x:v>3753</x:v>
      </x:c>
      <x:c r="B3754" t="n">
        <x:v>37</x:v>
      </x:c>
      <x:c r="C3754" t="str">
        <x:v>Female</x:v>
      </x:c>
      <x:c r="D3754" t="str">
        <x:v>Accessories</x:v>
      </x:c>
      <x:c r="E3754" t="str">
        <x:v>Wallet</x:v>
      </x:c>
      <x:c r="F3754" s="24" t="n">
        <x:v>29.21</x:v>
      </x:c>
      <x:c r="G3754" t="str">
        <x:v>Summer</x:v>
      </x:c>
      <x:c r="H3754" t="str">
        <x:v>Card</x:v>
      </x:c>
      <x:c r="I3754" t="n">
        <x:v>4.1</x:v>
      </x:c>
      <x:c r="J3754" t="n">
        <x:v>11</x:v>
      </x:c>
      <x:c r="K3754" t="n">
        <x:v>3</x:v>
      </x:c>
      <x:c r="L3754" t="str">
        <x:v>STORE-001</x:v>
      </x:c>
      <x:c r="M3754" s="22" t="n">
        <x:v>46045</x:v>
      </x:c>
      <x:c r="N3754" t="str">
        <x:v>SKU-029</x:v>
      </x:c>
      <x:c r="O3754" t="n">
        <x:v>2</x:v>
      </x:c>
      <x:c r="P3754" s="26" t="n">
        <x:f>F3754/O3754</x:f>
        <x:v>14.605</x:v>
      </x:c>
    </x:row>
    <x:row r="3755">
      <x:c r="A3755" t="n">
        <x:v>3754</x:v>
      </x:c>
      <x:c r="B3755" t="n">
        <x:v>54</x:v>
      </x:c>
      <x:c r="C3755" t="str">
        <x:v>Female</x:v>
      </x:c>
      <x:c r="D3755" t="str">
        <x:v>Sports</x:v>
      </x:c>
      <x:c r="E3755" t="str">
        <x:v>Dumbbells</x:v>
      </x:c>
      <x:c r="F3755" s="24" t="n">
        <x:v>107.34</x:v>
      </x:c>
      <x:c r="G3755" t="str">
        <x:v>Summer</x:v>
      </x:c>
      <x:c r="H3755" t="str">
        <x:v>Card</x:v>
      </x:c>
      <x:c r="I3755" t="n">
        <x:v>3.5</x:v>
      </x:c>
      <x:c r="J3755" t="n">
        <x:v>19</x:v>
      </x:c>
      <x:c r="K3755" t="n">
        <x:v>7</x:v>
      </x:c>
      <x:c r="L3755" t="str">
        <x:v>STORE-001</x:v>
      </x:c>
      <x:c r="M3755" s="22" t="n">
        <x:v>46045</x:v>
      </x:c>
      <x:c r="N3755" t="str">
        <x:v>SKU-005</x:v>
      </x:c>
      <x:c r="O3755" t="n">
        <x:v>1</x:v>
      </x:c>
      <x:c r="P3755" s="26" t="n">
        <x:f>F3755/O3755</x:f>
        <x:v>107.34</x:v>
      </x:c>
    </x:row>
    <x:row r="3756">
      <x:c r="A3756" t="n">
        <x:v>3755</x:v>
      </x:c>
      <x:c r="B3756" t="n">
        <x:v>56</x:v>
      </x:c>
      <x:c r="C3756" t="str">
        <x:v>Male</x:v>
      </x:c>
      <x:c r="D3756" t="str">
        <x:v>Footwear</x:v>
      </x:c>
      <x:c r="E3756" t="str">
        <x:v>Sneakers</x:v>
      </x:c>
      <x:c r="F3756" s="24" t="n">
        <x:v>241.91</x:v>
      </x:c>
      <x:c r="G3756" t="str">
        <x:v>Summer</x:v>
      </x:c>
      <x:c r="H3756" t="str">
        <x:v>Card</x:v>
      </x:c>
      <x:c r="I3756" t="n">
        <x:v>3.5</x:v>
      </x:c>
      <x:c r="J3756" t="n">
        <x:v>16</x:v>
      </x:c>
      <x:c r="K3756" t="n">
        <x:v>3</x:v>
      </x:c>
      <x:c r="L3756" t="str">
        <x:v>STORE-001</x:v>
      </x:c>
      <x:c r="M3756" s="22" t="n">
        <x:v>45996</x:v>
      </x:c>
      <x:c r="N3756" t="str">
        <x:v>SKU-025</x:v>
      </x:c>
      <x:c r="O3756" t="n">
        <x:v>1</x:v>
      </x:c>
      <x:c r="P3756" s="26" t="n">
        <x:f>F3756/O3756</x:f>
        <x:v>241.91</x:v>
      </x:c>
    </x:row>
    <x:row r="3757">
      <x:c r="A3757" t="n">
        <x:v>3756</x:v>
      </x:c>
      <x:c r="B3757" t="n">
        <x:v>31</x:v>
      </x:c>
      <x:c r="C3757" t="str">
        <x:v>Female</x:v>
      </x:c>
      <x:c r="D3757" t="str">
        <x:v>Beauty</x:v>
      </x:c>
      <x:c r="E3757" t="str">
        <x:v>Skincare Kit</x:v>
      </x:c>
      <x:c r="F3757" s="24" t="n">
        <x:v>105.94</x:v>
      </x:c>
      <x:c r="G3757" t="str">
        <x:v>Summer</x:v>
      </x:c>
      <x:c r="H3757" t="str">
        <x:v>Card</x:v>
      </x:c>
      <x:c r="I3757" t="n">
        <x:v>3.3</x:v>
      </x:c>
      <x:c r="J3757" t="n">
        <x:v>16</x:v>
      </x:c>
      <x:c r="K3757" t="n">
        <x:v>3</x:v>
      </x:c>
      <x:c r="L3757" t="str">
        <x:v>STORE-001</x:v>
      </x:c>
      <x:c r="M3757" s="22" t="n">
        <x:v>46069</x:v>
      </x:c>
      <x:c r="N3757" t="str">
        <x:v>SKU-021</x:v>
      </x:c>
      <x:c r="O3757" t="n">
        <x:v>2</x:v>
      </x:c>
      <x:c r="P3757" s="26" t="n">
        <x:f>F3757/O3757</x:f>
        <x:v>52.97</x:v>
      </x:c>
    </x:row>
    <x:row r="3758">
      <x:c r="A3758" t="n">
        <x:v>3757</x:v>
      </x:c>
      <x:c r="B3758" t="n">
        <x:v>47</x:v>
      </x:c>
      <x:c r="C3758" t="str">
        <x:v>Male</x:v>
      </x:c>
      <x:c r="D3758" t="str">
        <x:v>Mens Clothing</x:v>
      </x:c>
      <x:c r="E3758" t="str">
        <x:v>Jacket</x:v>
      </x:c>
      <x:c r="F3758" s="24" t="n">
        <x:v>100.06</x:v>
      </x:c>
      <x:c r="G3758" t="str">
        <x:v>Autumn</x:v>
      </x:c>
      <x:c r="H3758" t="str">
        <x:v>Card</x:v>
      </x:c>
      <x:c r="I3758" t="n">
        <x:v>3.7</x:v>
      </x:c>
      <x:c r="J3758" t="n">
        <x:v>18</x:v>
      </x:c>
      <x:c r="K3758" t="n">
        <x:v>4</x:v>
      </x:c>
      <x:c r="L3758" t="str">
        <x:v>STORE-001</x:v>
      </x:c>
      <x:c r="M3758" s="22" t="n">
        <x:v>46085</x:v>
      </x:c>
      <x:c r="N3758" t="str">
        <x:v>SKU-010</x:v>
      </x:c>
      <x:c r="O3758" t="n">
        <x:v>3</x:v>
      </x:c>
      <x:c r="P3758" s="26" t="n">
        <x:f>F3758/O3758</x:f>
        <x:v>33.35333333333333</x:v>
      </x:c>
    </x:row>
    <x:row r="3759">
      <x:c r="A3759" t="n">
        <x:v>3758</x:v>
      </x:c>
      <x:c r="B3759" t="n">
        <x:v>41</x:v>
      </x:c>
      <x:c r="C3759" t="str">
        <x:v>Female</x:v>
      </x:c>
      <x:c r="D3759" t="str">
        <x:v>Sports</x:v>
      </x:c>
      <x:c r="E3759" t="str">
        <x:v>Dumbbells</x:v>
      </x:c>
      <x:c r="F3759" s="24" t="n">
        <x:v>53.69</x:v>
      </x:c>
      <x:c r="G3759" t="str">
        <x:v>Spring</x:v>
      </x:c>
      <x:c r="H3759" t="str">
        <x:v>Cash on Delivery</x:v>
      </x:c>
      <x:c r="I3759" t="n">
        <x:v>3.7</x:v>
      </x:c>
      <x:c r="J3759" t="n">
        <x:v>21</x:v>
      </x:c>
      <x:c r="K3759" t="n">
        <x:v>8</x:v>
      </x:c>
      <x:c r="L3759" t="str">
        <x:v>STORE-001</x:v>
      </x:c>
      <x:c r="M3759" s="22" t="n">
        <x:v>45942</x:v>
      </x:c>
      <x:c r="N3759" t="str">
        <x:v>SKU-005</x:v>
      </x:c>
      <x:c r="O3759" t="n">
        <x:v>1</x:v>
      </x:c>
      <x:c r="P3759" s="26" t="n">
        <x:f>F3759/O3759</x:f>
        <x:v>53.69</x:v>
      </x:c>
    </x:row>
    <x:row r="3760">
      <x:c r="A3760" t="n">
        <x:v>3759</x:v>
      </x:c>
      <x:c r="B3760" t="n">
        <x:v>69</x:v>
      </x:c>
      <x:c r="C3760" t="str">
        <x:v>Male</x:v>
      </x:c>
      <x:c r="D3760" t="str">
        <x:v>Mens Clothing</x:v>
      </x:c>
      <x:c r="E3760" t="str">
        <x:v>Jacket</x:v>
      </x:c>
      <x:c r="F3760" s="24" t="n">
        <x:v>95.85</x:v>
      </x:c>
      <x:c r="G3760" t="str">
        <x:v>Autumn</x:v>
      </x:c>
      <x:c r="H3760" t="str">
        <x:v>Card</x:v>
      </x:c>
      <x:c r="I3760" t="n">
        <x:v>4.3</x:v>
      </x:c>
      <x:c r="J3760" t="n">
        <x:v>12</x:v>
      </x:c>
      <x:c r="K3760" t="n">
        <x:v>6</x:v>
      </x:c>
      <x:c r="L3760" t="str">
        <x:v>STORE-001</x:v>
      </x:c>
      <x:c r="M3760" s="22" t="n">
        <x:v>46115</x:v>
      </x:c>
      <x:c r="N3760" t="str">
        <x:v>SKU-010</x:v>
      </x:c>
      <x:c r="O3760" t="n">
        <x:v>2</x:v>
      </x:c>
      <x:c r="P3760" s="26" t="n">
        <x:f>F3760/O3760</x:f>
        <x:v>47.925</x:v>
      </x:c>
    </x:row>
    <x:row r="3761">
      <x:c r="A3761" t="n">
        <x:v>3760</x:v>
      </x:c>
      <x:c r="B3761" t="n">
        <x:v>25</x:v>
      </x:c>
      <x:c r="C3761" t="str">
        <x:v>Female</x:v>
      </x:c>
      <x:c r="D3761" t="str">
        <x:v>Accessories</x:v>
      </x:c>
      <x:c r="E3761" t="str">
        <x:v>Handbag</x:v>
      </x:c>
      <x:c r="F3761" s="24" t="n">
        <x:v>177.89</x:v>
      </x:c>
      <x:c r="G3761" t="str">
        <x:v>Spring</x:v>
      </x:c>
      <x:c r="H3761" t="str">
        <x:v>Card</x:v>
      </x:c>
      <x:c r="I3761" t="n">
        <x:v>3.7</x:v>
      </x:c>
      <x:c r="J3761" t="n">
        <x:v>16</x:v>
      </x:c>
      <x:c r="K3761" t="n">
        <x:v>8</x:v>
      </x:c>
      <x:c r="L3761" t="str">
        <x:v>STORE-001</x:v>
      </x:c>
      <x:c r="M3761" s="22" t="n">
        <x:v>45968</x:v>
      </x:c>
      <x:c r="N3761" t="str">
        <x:v>SKU-008</x:v>
      </x:c>
      <x:c r="O3761" t="n">
        <x:v>2</x:v>
      </x:c>
      <x:c r="P3761" s="26" t="n">
        <x:f>F3761/O3761</x:f>
        <x:v>88.945</x:v>
      </x:c>
    </x:row>
    <x:row r="3762">
      <x:c r="A3762" t="n">
        <x:v>3761</x:v>
      </x:c>
      <x:c r="B3762" t="n">
        <x:v>57</x:v>
      </x:c>
      <x:c r="C3762" t="str">
        <x:v>Female</x:v>
      </x:c>
      <x:c r="D3762" t="str">
        <x:v>Accessories</x:v>
      </x:c>
      <x:c r="E3762" t="str">
        <x:v>Sunglasses</x:v>
      </x:c>
      <x:c r="F3762" s="24" t="n">
        <x:v>97</x:v>
      </x:c>
      <x:c r="G3762" t="str">
        <x:v>Winter</x:v>
      </x:c>
      <x:c r="H3762" t="str">
        <x:v>Cash on Delivery</x:v>
      </x:c>
      <x:c r="I3762" t="n">
        <x:v>4.1</x:v>
      </x:c>
      <x:c r="J3762" t="n">
        <x:v>24</x:v>
      </x:c>
      <x:c r="K3762" t="n">
        <x:v>7</x:v>
      </x:c>
      <x:c r="L3762" t="str">
        <x:v>STORE-001</x:v>
      </x:c>
      <x:c r="M3762" s="22" t="n">
        <x:v>46198</x:v>
      </x:c>
      <x:c r="N3762" t="str">
        <x:v>SKU-026</x:v>
      </x:c>
      <x:c r="O3762" t="n">
        <x:v>1</x:v>
      </x:c>
      <x:c r="P3762" s="26" t="n">
        <x:f>F3762/O3762</x:f>
        <x:v>97</x:v>
      </x:c>
    </x:row>
    <x:row r="3763">
      <x:c r="A3763" t="n">
        <x:v>3762</x:v>
      </x:c>
      <x:c r="B3763" t="n">
        <x:v>43</x:v>
      </x:c>
      <x:c r="C3763" t="str">
        <x:v>Male</x:v>
      </x:c>
      <x:c r="D3763" t="str">
        <x:v>Footwear</x:v>
      </x:c>
      <x:c r="E3763" t="str">
        <x:v>Sneakers</x:v>
      </x:c>
      <x:c r="F3763" s="24" t="n">
        <x:v>135.26</x:v>
      </x:c>
      <x:c r="G3763" t="str">
        <x:v>Spring</x:v>
      </x:c>
      <x:c r="H3763" t="str">
        <x:v>Card</x:v>
      </x:c>
      <x:c r="I3763" t="n">
        <x:v>4.3</x:v>
      </x:c>
      <x:c r="J3763" t="n">
        <x:v>28</x:v>
      </x:c>
      <x:c r="K3763" t="n">
        <x:v>9</x:v>
      </x:c>
      <x:c r="L3763" t="str">
        <x:v>STORE-001</x:v>
      </x:c>
      <x:c r="M3763" s="22" t="n">
        <x:v>45974</x:v>
      </x:c>
      <x:c r="N3763" t="str">
        <x:v>SKU-025</x:v>
      </x:c>
      <x:c r="O3763" t="n">
        <x:v>3</x:v>
      </x:c>
      <x:c r="P3763" s="26" t="n">
        <x:f>F3763/O3763</x:f>
        <x:v>45.086666666666666</x:v>
      </x:c>
    </x:row>
    <x:row r="3764">
      <x:c r="A3764" t="n">
        <x:v>3763</x:v>
      </x:c>
      <x:c r="B3764" t="n">
        <x:v>55</x:v>
      </x:c>
      <x:c r="C3764" t="str">
        <x:v>Male</x:v>
      </x:c>
      <x:c r="D3764" t="str">
        <x:v>Sports</x:v>
      </x:c>
      <x:c r="E3764" t="str">
        <x:v>Dumbbells</x:v>
      </x:c>
      <x:c r="F3764" s="24" t="n">
        <x:v>153.95</x:v>
      </x:c>
      <x:c r="G3764" t="str">
        <x:v>Spring</x:v>
      </x:c>
      <x:c r="H3764" t="str">
        <x:v>Card</x:v>
      </x:c>
      <x:c r="I3764" t="n">
        <x:v>3.4</x:v>
      </x:c>
      <x:c r="J3764" t="n">
        <x:v>13</x:v>
      </x:c>
      <x:c r="K3764" t="n">
        <x:v>4</x:v>
      </x:c>
      <x:c r="L3764" t="str">
        <x:v>STORE-001</x:v>
      </x:c>
      <x:c r="M3764" s="22" t="n">
        <x:v>45966</x:v>
      </x:c>
      <x:c r="N3764" t="str">
        <x:v>SKU-005</x:v>
      </x:c>
      <x:c r="O3764" t="n">
        <x:v>1</x:v>
      </x:c>
      <x:c r="P3764" s="26" t="n">
        <x:f>F3764/O3764</x:f>
        <x:v>153.95</x:v>
      </x:c>
    </x:row>
    <x:row r="3765">
      <x:c r="A3765" t="n">
        <x:v>3764</x:v>
      </x:c>
      <x:c r="B3765" t="n">
        <x:v>55</x:v>
      </x:c>
      <x:c r="C3765" t="str">
        <x:v>Male</x:v>
      </x:c>
      <x:c r="D3765" t="str">
        <x:v>Sports</x:v>
      </x:c>
      <x:c r="E3765" t="str">
        <x:v>Dumbbells</x:v>
      </x:c>
      <x:c r="F3765" s="24" t="n">
        <x:v>73.22</x:v>
      </x:c>
      <x:c r="G3765" t="str">
        <x:v>Spring</x:v>
      </x:c>
      <x:c r="H3765" t="str">
        <x:v>Cash on Delivery</x:v>
      </x:c>
      <x:c r="I3765" t="n">
        <x:v>3</x:v>
      </x:c>
      <x:c r="J3765" t="n">
        <x:v>17</x:v>
      </x:c>
      <x:c r="K3765" t="n">
        <x:v>6</x:v>
      </x:c>
      <x:c r="L3765" t="str">
        <x:v>STORE-001</x:v>
      </x:c>
      <x:c r="M3765" s="22" t="n">
        <x:v>45971</x:v>
      </x:c>
      <x:c r="N3765" t="str">
        <x:v>SKU-005</x:v>
      </x:c>
      <x:c r="O3765" t="n">
        <x:v>1</x:v>
      </x:c>
      <x:c r="P3765" s="26" t="n">
        <x:f>F3765/O3765</x:f>
        <x:v>73.22</x:v>
      </x:c>
    </x:row>
    <x:row r="3766">
      <x:c r="A3766" t="n">
        <x:v>3765</x:v>
      </x:c>
      <x:c r="B3766" t="n">
        <x:v>59</x:v>
      </x:c>
      <x:c r="C3766" t="str">
        <x:v>Female</x:v>
      </x:c>
      <x:c r="D3766" t="str">
        <x:v>Womens Clothing</x:v>
      </x:c>
      <x:c r="E3766" t="str">
        <x:v>Skirt</x:v>
      </x:c>
      <x:c r="F3766" s="24" t="n">
        <x:v>78.74</x:v>
      </x:c>
      <x:c r="G3766" t="str">
        <x:v>Autumn</x:v>
      </x:c>
      <x:c r="H3766" t="str">
        <x:v>Card</x:v>
      </x:c>
      <x:c r="I3766" t="n">
        <x:v>3.9</x:v>
      </x:c>
      <x:c r="J3766" t="n">
        <x:v>17</x:v>
      </x:c>
      <x:c r="K3766" t="n">
        <x:v>6</x:v>
      </x:c>
      <x:c r="L3766" t="str">
        <x:v>STORE-001</x:v>
      </x:c>
      <x:c r="M3766" s="22" t="n">
        <x:v>46114</x:v>
      </x:c>
      <x:c r="N3766" t="str">
        <x:v>SKU-022</x:v>
      </x:c>
      <x:c r="O3766" t="n">
        <x:v>1</x:v>
      </x:c>
      <x:c r="P3766" s="26" t="n">
        <x:f>F3766/O3766</x:f>
        <x:v>78.74</x:v>
      </x:c>
    </x:row>
    <x:row r="3767">
      <x:c r="A3767" t="n">
        <x:v>3766</x:v>
      </x:c>
      <x:c r="B3767" t="n">
        <x:v>59</x:v>
      </x:c>
      <x:c r="C3767" t="str">
        <x:v>Male</x:v>
      </x:c>
      <x:c r="D3767" t="str">
        <x:v>Sports</x:v>
      </x:c>
      <x:c r="E3767" t="str">
        <x:v>Dumbbells</x:v>
      </x:c>
      <x:c r="F3767" s="24" t="n">
        <x:v>193.24</x:v>
      </x:c>
      <x:c r="G3767" t="str">
        <x:v>Autumn</x:v>
      </x:c>
      <x:c r="H3767" t="str">
        <x:v>Card</x:v>
      </x:c>
      <x:c r="I3767" t="n">
        <x:v>4.1</x:v>
      </x:c>
      <x:c r="J3767" t="n">
        <x:v>8</x:v>
      </x:c>
      <x:c r="K3767" t="n">
        <x:v>4</x:v>
      </x:c>
      <x:c r="L3767" t="str">
        <x:v>STORE-001</x:v>
      </x:c>
      <x:c r="M3767" s="22" t="n">
        <x:v>46093</x:v>
      </x:c>
      <x:c r="N3767" t="str">
        <x:v>SKU-005</x:v>
      </x:c>
      <x:c r="O3767" t="n">
        <x:v>1</x:v>
      </x:c>
      <x:c r="P3767" s="26" t="n">
        <x:f>F3767/O3767</x:f>
        <x:v>193.24</x:v>
      </x:c>
    </x:row>
    <x:row r="3768">
      <x:c r="A3768" t="n">
        <x:v>3767</x:v>
      </x:c>
      <x:c r="B3768" t="n">
        <x:v>58</x:v>
      </x:c>
      <x:c r="C3768" t="str">
        <x:v>Female</x:v>
      </x:c>
      <x:c r="D3768" t="str">
        <x:v>Womens Clothing</x:v>
      </x:c>
      <x:c r="E3768" t="str">
        <x:v>Dress</x:v>
      </x:c>
      <x:c r="F3768" s="24" t="n">
        <x:v>123.99</x:v>
      </x:c>
      <x:c r="G3768" t="str">
        <x:v>Summer</x:v>
      </x:c>
      <x:c r="H3768" t="str">
        <x:v>Card</x:v>
      </x:c>
      <x:c r="I3768" t="n">
        <x:v>4.3</x:v>
      </x:c>
      <x:c r="J3768" t="n">
        <x:v>12</x:v>
      </x:c>
      <x:c r="K3768" t="n">
        <x:v>6</x:v>
      </x:c>
      <x:c r="L3768" t="str">
        <x:v>STORE-001</x:v>
      </x:c>
      <x:c r="M3768" s="22" t="n">
        <x:v>46012</x:v>
      </x:c>
      <x:c r="N3768" t="str">
        <x:v>SKU-004</x:v>
      </x:c>
      <x:c r="O3768" t="n">
        <x:v>2</x:v>
      </x:c>
      <x:c r="P3768" s="26" t="n">
        <x:f>F3768/O3768</x:f>
        <x:v>61.995</x:v>
      </x:c>
    </x:row>
    <x:row r="3769">
      <x:c r="A3769" t="n">
        <x:v>3768</x:v>
      </x:c>
      <x:c r="B3769" t="n">
        <x:v>31</x:v>
      </x:c>
      <x:c r="C3769" t="str">
        <x:v>Female</x:v>
      </x:c>
      <x:c r="D3769" t="str">
        <x:v>Accessories</x:v>
      </x:c>
      <x:c r="E3769" t="str">
        <x:v>Handbag</x:v>
      </x:c>
      <x:c r="F3769" s="24" t="n">
        <x:v>127.18</x:v>
      </x:c>
      <x:c r="G3769" t="str">
        <x:v>Summer</x:v>
      </x:c>
      <x:c r="H3769" t="str">
        <x:v>Card</x:v>
      </x:c>
      <x:c r="I3769" t="n">
        <x:v>3.3</x:v>
      </x:c>
      <x:c r="J3769" t="n">
        <x:v>10</x:v>
      </x:c>
      <x:c r="K3769" t="n">
        <x:v>5</x:v>
      </x:c>
      <x:c r="L3769" t="str">
        <x:v>STORE-001</x:v>
      </x:c>
      <x:c r="M3769" s="22" t="n">
        <x:v>46068</x:v>
      </x:c>
      <x:c r="N3769" t="str">
        <x:v>SKU-008</x:v>
      </x:c>
      <x:c r="O3769" t="n">
        <x:v>1</x:v>
      </x:c>
      <x:c r="P3769" s="26" t="n">
        <x:f>F3769/O3769</x:f>
        <x:v>127.18</x:v>
      </x:c>
    </x:row>
    <x:row r="3770">
      <x:c r="A3770" t="n">
        <x:v>3769</x:v>
      </x:c>
      <x:c r="B3770" t="n">
        <x:v>42</x:v>
      </x:c>
      <x:c r="C3770" t="str">
        <x:v>Male</x:v>
      </x:c>
      <x:c r="D3770" t="str">
        <x:v>Electronics</x:v>
      </x:c>
      <x:c r="E3770" t="str">
        <x:v>Laptop</x:v>
      </x:c>
      <x:c r="F3770" s="24" t="n">
        <x:v>2662.7</x:v>
      </x:c>
      <x:c r="G3770" t="str">
        <x:v>Summer</x:v>
      </x:c>
      <x:c r="H3770" t="str">
        <x:v>Card</x:v>
      </x:c>
      <x:c r="I3770" t="n">
        <x:v>3.6</x:v>
      </x:c>
      <x:c r="J3770" t="n">
        <x:v>19</x:v>
      </x:c>
      <x:c r="K3770" t="n">
        <x:v>7</x:v>
      </x:c>
      <x:c r="L3770" t="str">
        <x:v>STORE-001</x:v>
      </x:c>
      <x:c r="M3770" s="22" t="n">
        <x:v>46067</x:v>
      </x:c>
      <x:c r="N3770" t="str">
        <x:v>SKU-014</x:v>
      </x:c>
      <x:c r="O3770" t="n">
        <x:v>1</x:v>
      </x:c>
      <x:c r="P3770" s="26" t="n">
        <x:f>F3770/O3770</x:f>
        <x:v>2662.7</x:v>
      </x:c>
    </x:row>
    <x:row r="3771">
      <x:c r="A3771" t="n">
        <x:v>3770</x:v>
      </x:c>
      <x:c r="B3771" t="n">
        <x:v>68</x:v>
      </x:c>
      <x:c r="C3771" t="str">
        <x:v>Male</x:v>
      </x:c>
      <x:c r="D3771" t="str">
        <x:v>Footwear</x:v>
      </x:c>
      <x:c r="E3771" t="str">
        <x:v>Formal Shoes</x:v>
      </x:c>
      <x:c r="F3771" s="24" t="n">
        <x:v>207</x:v>
      </x:c>
      <x:c r="G3771" t="str">
        <x:v>Summer</x:v>
      </x:c>
      <x:c r="H3771" t="str">
        <x:v>Card</x:v>
      </x:c>
      <x:c r="I3771" t="n">
        <x:v>5</x:v>
      </x:c>
      <x:c r="J3771" t="n">
        <x:v>26</x:v>
      </x:c>
      <x:c r="K3771" t="n">
        <x:v>8</x:v>
      </x:c>
      <x:c r="L3771" t="str">
        <x:v>STORE-001</x:v>
      </x:c>
      <x:c r="M3771" s="22" t="n">
        <x:v>46077</x:v>
      </x:c>
      <x:c r="N3771" t="str">
        <x:v>SKU-007</x:v>
      </x:c>
      <x:c r="O3771" t="n">
        <x:v>1</x:v>
      </x:c>
      <x:c r="P3771" s="26" t="n">
        <x:f>F3771/O3771</x:f>
        <x:v>207</x:v>
      </x:c>
    </x:row>
    <x:row r="3772">
      <x:c r="A3772" t="n">
        <x:v>3771</x:v>
      </x:c>
      <x:c r="B3772" t="n">
        <x:v>54</x:v>
      </x:c>
      <x:c r="C3772" t="str">
        <x:v>Female</x:v>
      </x:c>
      <x:c r="D3772" t="str">
        <x:v>Accessories</x:v>
      </x:c>
      <x:c r="E3772" t="str">
        <x:v>Handbag</x:v>
      </x:c>
      <x:c r="F3772" s="24" t="n">
        <x:v>148.96</x:v>
      </x:c>
      <x:c r="G3772" t="str">
        <x:v>Autumn</x:v>
      </x:c>
      <x:c r="H3772" t="str">
        <x:v>Card</x:v>
      </x:c>
      <x:c r="I3772" t="n">
        <x:v>4</x:v>
      </x:c>
      <x:c r="J3772" t="n">
        <x:v>22</x:v>
      </x:c>
      <x:c r="K3772" t="n">
        <x:v>6</x:v>
      </x:c>
      <x:c r="L3772" t="str">
        <x:v>STORE-001</x:v>
      </x:c>
      <x:c r="M3772" s="22" t="n">
        <x:v>46156</x:v>
      </x:c>
      <x:c r="N3772" t="str">
        <x:v>SKU-008</x:v>
      </x:c>
      <x:c r="O3772" t="n">
        <x:v>1</x:v>
      </x:c>
      <x:c r="P3772" s="26" t="n">
        <x:f>F3772/O3772</x:f>
        <x:v>148.96</x:v>
      </x:c>
    </x:row>
    <x:row r="3773">
      <x:c r="A3773" t="n">
        <x:v>3772</x:v>
      </x:c>
      <x:c r="B3773" t="n">
        <x:v>33</x:v>
      </x:c>
      <x:c r="C3773" t="str">
        <x:v>Male</x:v>
      </x:c>
      <x:c r="D3773" t="str">
        <x:v>Mens Clothing</x:v>
      </x:c>
      <x:c r="E3773" t="str">
        <x:v>Jacket</x:v>
      </x:c>
      <x:c r="F3773" s="24" t="n">
        <x:v>91.42</x:v>
      </x:c>
      <x:c r="G3773" t="str">
        <x:v>Autumn</x:v>
      </x:c>
      <x:c r="H3773" t="str">
        <x:v>Cash on Delivery</x:v>
      </x:c>
      <x:c r="I3773" t="n">
        <x:v>4.5</x:v>
      </x:c>
      <x:c r="J3773" t="n">
        <x:v>14</x:v>
      </x:c>
      <x:c r="K3773" t="n">
        <x:v>2</x:v>
      </x:c>
      <x:c r="L3773" t="str">
        <x:v>STORE-001</x:v>
      </x:c>
      <x:c r="M3773" s="22" t="n">
        <x:v>46160</x:v>
      </x:c>
      <x:c r="N3773" t="str">
        <x:v>SKU-010</x:v>
      </x:c>
      <x:c r="O3773" t="n">
        <x:v>2</x:v>
      </x:c>
      <x:c r="P3773" s="26" t="n">
        <x:f>F3773/O3773</x:f>
        <x:v>45.71</x:v>
      </x:c>
    </x:row>
    <x:row r="3774">
      <x:c r="A3774" t="n">
        <x:v>3773</x:v>
      </x:c>
      <x:c r="B3774" t="n">
        <x:v>45</x:v>
      </x:c>
      <x:c r="C3774" t="str">
        <x:v>Female</x:v>
      </x:c>
      <x:c r="D3774" t="str">
        <x:v>Footwear</x:v>
      </x:c>
      <x:c r="E3774" t="str">
        <x:v>Sandals</x:v>
      </x:c>
      <x:c r="F3774" s="24" t="n">
        <x:v>153.68</x:v>
      </x:c>
      <x:c r="G3774" t="str">
        <x:v>Spring</x:v>
      </x:c>
      <x:c r="H3774" t="str">
        <x:v>Card</x:v>
      </x:c>
      <x:c r="I3774" t="n">
        <x:v>4</x:v>
      </x:c>
      <x:c r="J3774" t="n">
        <x:v>20</x:v>
      </x:c>
      <x:c r="K3774" t="n">
        <x:v>5</x:v>
      </x:c>
      <x:c r="L3774" t="str">
        <x:v>STORE-001</x:v>
      </x:c>
      <x:c r="M3774" s="22" t="n">
        <x:v>46287</x:v>
      </x:c>
      <x:c r="N3774" t="str">
        <x:v>SKU-019</x:v>
      </x:c>
      <x:c r="O3774" t="n">
        <x:v>1</x:v>
      </x:c>
      <x:c r="P3774" s="26" t="n">
        <x:f>F3774/O3774</x:f>
        <x:v>153.68</x:v>
      </x:c>
    </x:row>
    <x:row r="3775">
      <x:c r="A3775" t="n">
        <x:v>3774</x:v>
      </x:c>
      <x:c r="B3775" t="n">
        <x:v>68</x:v>
      </x:c>
      <x:c r="C3775" t="str">
        <x:v>Male</x:v>
      </x:c>
      <x:c r="D3775" t="str">
        <x:v>Sports</x:v>
      </x:c>
      <x:c r="E3775" t="str">
        <x:v>Dumbbells</x:v>
      </x:c>
      <x:c r="F3775" s="24" t="n">
        <x:v>110.62</x:v>
      </x:c>
      <x:c r="G3775" t="str">
        <x:v>Autumn</x:v>
      </x:c>
      <x:c r="H3775" t="str">
        <x:v>Card</x:v>
      </x:c>
      <x:c r="I3775" t="n">
        <x:v>3.9</x:v>
      </x:c>
      <x:c r="J3775" t="n">
        <x:v>15</x:v>
      </x:c>
      <x:c r="K3775" t="n">
        <x:v>5</x:v>
      </x:c>
      <x:c r="L3775" t="str">
        <x:v>STORE-001</x:v>
      </x:c>
      <x:c r="M3775" s="22" t="n">
        <x:v>46095</x:v>
      </x:c>
      <x:c r="N3775" t="str">
        <x:v>SKU-005</x:v>
      </x:c>
      <x:c r="O3775" t="n">
        <x:v>1</x:v>
      </x:c>
      <x:c r="P3775" s="26" t="n">
        <x:f>F3775/O3775</x:f>
        <x:v>110.62</x:v>
      </x:c>
    </x:row>
    <x:row r="3776">
      <x:c r="A3776" t="n">
        <x:v>3775</x:v>
      </x:c>
      <x:c r="B3776" t="n">
        <x:v>43</x:v>
      </x:c>
      <x:c r="C3776" t="str">
        <x:v>Female</x:v>
      </x:c>
      <x:c r="D3776" t="str">
        <x:v>Accessories</x:v>
      </x:c>
      <x:c r="E3776" t="str">
        <x:v>Wallet</x:v>
      </x:c>
      <x:c r="F3776" s="24" t="n">
        <x:v>178.57</x:v>
      </x:c>
      <x:c r="G3776" t="str">
        <x:v>Autumn</x:v>
      </x:c>
      <x:c r="H3776" t="str">
        <x:v>Card</x:v>
      </x:c>
      <x:c r="I3776" t="n">
        <x:v>3.2</x:v>
      </x:c>
      <x:c r="J3776" t="n">
        <x:v>16</x:v>
      </x:c>
      <x:c r="K3776" t="n">
        <x:v>3</x:v>
      </x:c>
      <x:c r="L3776" t="str">
        <x:v>STORE-001</x:v>
      </x:c>
      <x:c r="M3776" s="22" t="n">
        <x:v>46138</x:v>
      </x:c>
      <x:c r="N3776" t="str">
        <x:v>SKU-029</x:v>
      </x:c>
      <x:c r="O3776" t="n">
        <x:v>2</x:v>
      </x:c>
      <x:c r="P3776" s="26" t="n">
        <x:f>F3776/O3776</x:f>
        <x:v>89.285</x:v>
      </x:c>
    </x:row>
    <x:row r="3777">
      <x:c r="A3777" t="n">
        <x:v>3776</x:v>
      </x:c>
      <x:c r="B3777" t="n">
        <x:v>23</x:v>
      </x:c>
      <x:c r="C3777" t="str">
        <x:v>Male</x:v>
      </x:c>
      <x:c r="D3777" t="str">
        <x:v>Mens Clothing</x:v>
      </x:c>
      <x:c r="E3777" t="str">
        <x:v>Jacket</x:v>
      </x:c>
      <x:c r="F3777" s="24" t="n">
        <x:v>84.91</x:v>
      </x:c>
      <x:c r="G3777" t="str">
        <x:v>Winter</x:v>
      </x:c>
      <x:c r="H3777" t="str">
        <x:v>Card</x:v>
      </x:c>
      <x:c r="I3777" t="n">
        <x:v>2.6</x:v>
      </x:c>
      <x:c r="J3777" t="n">
        <x:v>18</x:v>
      </x:c>
      <x:c r="K3777" t="n">
        <x:v>9</x:v>
      </x:c>
      <x:c r="L3777" t="str">
        <x:v>STORE-001</x:v>
      </x:c>
      <x:c r="M3777" s="22" t="n">
        <x:v>46211</x:v>
      </x:c>
      <x:c r="N3777" t="str">
        <x:v>SKU-010</x:v>
      </x:c>
      <x:c r="O3777" t="n">
        <x:v>1</x:v>
      </x:c>
      <x:c r="P3777" s="26" t="n">
        <x:f>F3777/O3777</x:f>
        <x:v>84.91</x:v>
      </x:c>
    </x:row>
    <x:row r="3778">
      <x:c r="A3778" t="n">
        <x:v>3777</x:v>
      </x:c>
      <x:c r="B3778" t="n">
        <x:v>59</x:v>
      </x:c>
      <x:c r="C3778" t="str">
        <x:v>Female</x:v>
      </x:c>
      <x:c r="D3778" t="str">
        <x:v>Accessories</x:v>
      </x:c>
      <x:c r="E3778" t="str">
        <x:v>Sunglasses</x:v>
      </x:c>
      <x:c r="F3778" s="24" t="n">
        <x:v>95.39</x:v>
      </x:c>
      <x:c r="G3778" t="str">
        <x:v>Autumn</x:v>
      </x:c>
      <x:c r="H3778" t="str">
        <x:v>Card</x:v>
      </x:c>
      <x:c r="I3778" t="n">
        <x:v>5</x:v>
      </x:c>
      <x:c r="J3778" t="n">
        <x:v>9</x:v>
      </x:c>
      <x:c r="K3778" t="n">
        <x:v>2</x:v>
      </x:c>
      <x:c r="L3778" t="str">
        <x:v>STORE-001</x:v>
      </x:c>
      <x:c r="M3778" s="22" t="n">
        <x:v>46139</x:v>
      </x:c>
      <x:c r="N3778" t="str">
        <x:v>SKU-026</x:v>
      </x:c>
      <x:c r="O3778" t="n">
        <x:v>2</x:v>
      </x:c>
      <x:c r="P3778" s="26" t="n">
        <x:f>F3778/O3778</x:f>
        <x:v>47.695</x:v>
      </x:c>
    </x:row>
    <x:row r="3779">
      <x:c r="A3779" t="n">
        <x:v>3778</x:v>
      </x:c>
      <x:c r="B3779" t="n">
        <x:v>21</x:v>
      </x:c>
      <x:c r="C3779" t="str">
        <x:v>Male</x:v>
      </x:c>
      <x:c r="D3779" t="str">
        <x:v>Electronics</x:v>
      </x:c>
      <x:c r="E3779" t="str">
        <x:v>Smart Watch</x:v>
      </x:c>
      <x:c r="F3779" s="24" t="n">
        <x:v>1512.5</x:v>
      </x:c>
      <x:c r="G3779" t="str">
        <x:v>Spring</x:v>
      </x:c>
      <x:c r="H3779" t="str">
        <x:v>Card</x:v>
      </x:c>
      <x:c r="I3779" t="n">
        <x:v>4</x:v>
      </x:c>
      <x:c r="J3779" t="n">
        <x:v>15</x:v>
      </x:c>
      <x:c r="K3779" t="n">
        <x:v>5</x:v>
      </x:c>
      <x:c r="L3779" t="str">
        <x:v>STORE-001</x:v>
      </x:c>
      <x:c r="M3779" s="22" t="n">
        <x:v>45950</x:v>
      </x:c>
      <x:c r="N3779" t="str">
        <x:v>SKU-023</x:v>
      </x:c>
      <x:c r="O3779" t="n">
        <x:v>1</x:v>
      </x:c>
      <x:c r="P3779" s="26" t="n">
        <x:f>F3779/O3779</x:f>
        <x:v>1512.5</x:v>
      </x:c>
    </x:row>
    <x:row r="3780">
      <x:c r="A3780" t="n">
        <x:v>3779</x:v>
      </x:c>
      <x:c r="B3780" t="n">
        <x:v>35</x:v>
      </x:c>
      <x:c r="C3780" t="str">
        <x:v>Female</x:v>
      </x:c>
      <x:c r="D3780" t="str">
        <x:v>Footwear</x:v>
      </x:c>
      <x:c r="E3780" t="str">
        <x:v>Sandals</x:v>
      </x:c>
      <x:c r="F3780" s="24" t="n">
        <x:v>68.79</x:v>
      </x:c>
      <x:c r="G3780" t="str">
        <x:v>Spring</x:v>
      </x:c>
      <x:c r="H3780" t="str">
        <x:v>Cash on Delivery</x:v>
      </x:c>
      <x:c r="I3780" t="n">
        <x:v>5</x:v>
      </x:c>
      <x:c r="J3780" t="n">
        <x:v>20</x:v>
      </x:c>
      <x:c r="K3780" t="n">
        <x:v>5</x:v>
      </x:c>
      <x:c r="L3780" t="str">
        <x:v>STORE-001</x:v>
      </x:c>
      <x:c r="M3780" s="22" t="n">
        <x:v>46278</x:v>
      </x:c>
      <x:c r="N3780" t="str">
        <x:v>SKU-019</x:v>
      </x:c>
      <x:c r="O3780" t="n">
        <x:v>1</x:v>
      </x:c>
      <x:c r="P3780" s="26" t="n">
        <x:f>F3780/O3780</x:f>
        <x:v>68.79</x:v>
      </x:c>
    </x:row>
    <x:row r="3781">
      <x:c r="A3781" t="n">
        <x:v>3780</x:v>
      </x:c>
      <x:c r="B3781" t="n">
        <x:v>26</x:v>
      </x:c>
      <x:c r="C3781" t="str">
        <x:v>Female</x:v>
      </x:c>
      <x:c r="D3781" t="str">
        <x:v>Beauty</x:v>
      </x:c>
      <x:c r="E3781" t="str">
        <x:v>Skincare Kit</x:v>
      </x:c>
      <x:c r="F3781" s="24" t="n">
        <x:v>30.17</x:v>
      </x:c>
      <x:c r="G3781" t="str">
        <x:v>Spring</x:v>
      </x:c>
      <x:c r="H3781" t="str">
        <x:v>Card</x:v>
      </x:c>
      <x:c r="I3781" t="n">
        <x:v>2.8</x:v>
      </x:c>
      <x:c r="J3781" t="n">
        <x:v>13</x:v>
      </x:c>
      <x:c r="K3781" t="n">
        <x:v>4</x:v>
      </x:c>
      <x:c r="L3781" t="str">
        <x:v>STORE-001</x:v>
      </x:c>
      <x:c r="M3781" s="22" t="n">
        <x:v>46289</x:v>
      </x:c>
      <x:c r="N3781" t="str">
        <x:v>SKU-021</x:v>
      </x:c>
      <x:c r="O3781" t="n">
        <x:v>1</x:v>
      </x:c>
      <x:c r="P3781" s="26" t="n">
        <x:f>F3781/O3781</x:f>
        <x:v>30.17</x:v>
      </x:c>
    </x:row>
    <x:row r="3782">
      <x:c r="A3782" t="n">
        <x:v>3781</x:v>
      </x:c>
      <x:c r="B3782" t="n">
        <x:v>40</x:v>
      </x:c>
      <x:c r="C3782" t="str">
        <x:v>Male</x:v>
      </x:c>
      <x:c r="D3782" t="str">
        <x:v>Sports</x:v>
      </x:c>
      <x:c r="E3782" t="str">
        <x:v>Yoga Mat</x:v>
      </x:c>
      <x:c r="F3782" s="24" t="n">
        <x:v>199.87</x:v>
      </x:c>
      <x:c r="G3782" t="str">
        <x:v>Autumn</x:v>
      </x:c>
      <x:c r="H3782" t="str">
        <x:v>Card</x:v>
      </x:c>
      <x:c r="I3782" t="n">
        <x:v>3.1</x:v>
      </x:c>
      <x:c r="J3782" t="n">
        <x:v>7</x:v>
      </x:c>
      <x:c r="K3782" t="n">
        <x:v>1</x:v>
      </x:c>
      <x:c r="L3782" t="str">
        <x:v>STORE-001</x:v>
      </x:c>
      <x:c r="M3782" s="22" t="n">
        <x:v>46113</x:v>
      </x:c>
      <x:c r="N3782" t="str">
        <x:v>SKU-030</x:v>
      </x:c>
      <x:c r="O3782" t="n">
        <x:v>2</x:v>
      </x:c>
      <x:c r="P3782" s="26" t="n">
        <x:f>F3782/O3782</x:f>
        <x:v>99.935</x:v>
      </x:c>
    </x:row>
    <x:row r="3783">
      <x:c r="A3783" t="n">
        <x:v>3782</x:v>
      </x:c>
      <x:c r="B3783" t="n">
        <x:v>24</x:v>
      </x:c>
      <x:c r="C3783" t="str">
        <x:v>Female</x:v>
      </x:c>
      <x:c r="D3783" t="str">
        <x:v>Beauty</x:v>
      </x:c>
      <x:c r="E3783" t="str">
        <x:v>Skincare Kit</x:v>
      </x:c>
      <x:c r="F3783" s="24" t="n">
        <x:v>47.98</x:v>
      </x:c>
      <x:c r="G3783" t="str">
        <x:v>Summer</x:v>
      </x:c>
      <x:c r="H3783" t="str">
        <x:v>Card</x:v>
      </x:c>
      <x:c r="I3783" t="n">
        <x:v>4.6</x:v>
      </x:c>
      <x:c r="J3783" t="n">
        <x:v>4</x:v>
      </x:c>
      <x:c r="K3783" t="n">
        <x:v>2</x:v>
      </x:c>
      <x:c r="L3783" t="str">
        <x:v>STORE-001</x:v>
      </x:c>
      <x:c r="M3783" s="22" t="n">
        <x:v>46070</x:v>
      </x:c>
      <x:c r="N3783" t="str">
        <x:v>SKU-021</x:v>
      </x:c>
      <x:c r="O3783" t="n">
        <x:v>1</x:v>
      </x:c>
      <x:c r="P3783" s="26" t="n">
        <x:f>F3783/O3783</x:f>
        <x:v>47.98</x:v>
      </x:c>
    </x:row>
    <x:row r="3784">
      <x:c r="A3784" t="n">
        <x:v>3783</x:v>
      </x:c>
      <x:c r="B3784" t="n">
        <x:v>68</x:v>
      </x:c>
      <x:c r="C3784" t="str">
        <x:v>Female</x:v>
      </x:c>
      <x:c r="D3784" t="str">
        <x:v>Womens Clothing</x:v>
      </x:c>
      <x:c r="E3784" t="str">
        <x:v>Top</x:v>
      </x:c>
      <x:c r="F3784" s="24" t="n">
        <x:v>184.65</x:v>
      </x:c>
      <x:c r="G3784" t="str">
        <x:v>Summer</x:v>
      </x:c>
      <x:c r="H3784" t="str">
        <x:v>Card</x:v>
      </x:c>
      <x:c r="I3784" t="n">
        <x:v>3.4</x:v>
      </x:c>
      <x:c r="J3784" t="n">
        <x:v>14</x:v>
      </x:c>
      <x:c r="K3784" t="n">
        <x:v>2</x:v>
      </x:c>
      <x:c r="L3784" t="str">
        <x:v>STORE-001</x:v>
      </x:c>
      <x:c r="M3784" s="22" t="n">
        <x:v>46007</x:v>
      </x:c>
      <x:c r="N3784" t="str">
        <x:v>SKU-028</x:v>
      </x:c>
      <x:c r="O3784" t="n">
        <x:v>1</x:v>
      </x:c>
      <x:c r="P3784" s="26" t="n">
        <x:f>F3784/O3784</x:f>
        <x:v>184.65</x:v>
      </x:c>
    </x:row>
    <x:row r="3785">
      <x:c r="A3785" t="n">
        <x:v>3784</x:v>
      </x:c>
      <x:c r="B3785" t="n">
        <x:v>39</x:v>
      </x:c>
      <x:c r="C3785" t="str">
        <x:v>Female</x:v>
      </x:c>
      <x:c r="D3785" t="str">
        <x:v>Sports</x:v>
      </x:c>
      <x:c r="E3785" t="str">
        <x:v>Football</x:v>
      </x:c>
      <x:c r="F3785" s="24" t="n">
        <x:v>101.5</x:v>
      </x:c>
      <x:c r="G3785" t="str">
        <x:v>Summer</x:v>
      </x:c>
      <x:c r="H3785" t="str">
        <x:v>Card</x:v>
      </x:c>
      <x:c r="I3785" t="n">
        <x:v>4.5</x:v>
      </x:c>
      <x:c r="J3785" t="n">
        <x:v>20</x:v>
      </x:c>
      <x:c r="K3785" t="n">
        <x:v>5</x:v>
      </x:c>
      <x:c r="L3785" t="str">
        <x:v>STORE-001</x:v>
      </x:c>
      <x:c r="M3785" s="22" t="n">
        <x:v>46072</x:v>
      </x:c>
      <x:c r="N3785" t="str">
        <x:v>SKU-006</x:v>
      </x:c>
      <x:c r="O3785" t="n">
        <x:v>1</x:v>
      </x:c>
      <x:c r="P3785" s="26" t="n">
        <x:f>F3785/O3785</x:f>
        <x:v>101.5</x:v>
      </x:c>
    </x:row>
    <x:row r="3786">
      <x:c r="A3786" t="n">
        <x:v>3785</x:v>
      </x:c>
      <x:c r="B3786" t="n">
        <x:v>27</x:v>
      </x:c>
      <x:c r="C3786" t="str">
        <x:v>Male</x:v>
      </x:c>
      <x:c r="D3786" t="str">
        <x:v>Electronics</x:v>
      </x:c>
      <x:c r="E3786" t="str">
        <x:v>Mobile Phone</x:v>
      </x:c>
      <x:c r="F3786" s="24" t="n">
        <x:v>502.45</x:v>
      </x:c>
      <x:c r="G3786" t="str">
        <x:v>Winter</x:v>
      </x:c>
      <x:c r="H3786" t="str">
        <x:v>Card</x:v>
      </x:c>
      <x:c r="I3786" t="n">
        <x:v>5</x:v>
      </x:c>
      <x:c r="J3786" t="n">
        <x:v>16</x:v>
      </x:c>
      <x:c r="K3786" t="n">
        <x:v>3</x:v>
      </x:c>
      <x:c r="L3786" t="str">
        <x:v>STORE-001</x:v>
      </x:c>
      <x:c r="M3786" s="22" t="n">
        <x:v>46216</x:v>
      </x:c>
      <x:c r="N3786" t="str">
        <x:v>SKU-016</x:v>
      </x:c>
      <x:c r="O3786" t="n">
        <x:v>1</x:v>
      </x:c>
      <x:c r="P3786" s="26" t="n">
        <x:f>F3786/O3786</x:f>
        <x:v>502.45</x:v>
      </x:c>
    </x:row>
    <x:row r="3787">
      <x:c r="A3787" t="n">
        <x:v>3786</x:v>
      </x:c>
      <x:c r="B3787" t="n">
        <x:v>29</x:v>
      </x:c>
      <x:c r="C3787" t="str">
        <x:v>Female</x:v>
      </x:c>
      <x:c r="D3787" t="str">
        <x:v>Beauty</x:v>
      </x:c>
      <x:c r="E3787" t="str">
        <x:v>Skincare Kit</x:v>
      </x:c>
      <x:c r="F3787" s="24" t="n">
        <x:v>137</x:v>
      </x:c>
      <x:c r="G3787" t="str">
        <x:v>Autumn</x:v>
      </x:c>
      <x:c r="H3787" t="str">
        <x:v>Card</x:v>
      </x:c>
      <x:c r="I3787" t="n">
        <x:v>4.7</x:v>
      </x:c>
      <x:c r="J3787" t="n">
        <x:v>22</x:v>
      </x:c>
      <x:c r="K3787" t="n">
        <x:v>6</x:v>
      </x:c>
      <x:c r="L3787" t="str">
        <x:v>STORE-001</x:v>
      </x:c>
      <x:c r="M3787" s="22" t="n">
        <x:v>46121</x:v>
      </x:c>
      <x:c r="N3787" t="str">
        <x:v>SKU-021</x:v>
      </x:c>
      <x:c r="O3787" t="n">
        <x:v>2</x:v>
      </x:c>
      <x:c r="P3787" s="26" t="n">
        <x:f>F3787/O3787</x:f>
        <x:v>68.5</x:v>
      </x:c>
    </x:row>
    <x:row r="3788">
      <x:c r="A3788" t="n">
        <x:v>3787</x:v>
      </x:c>
      <x:c r="B3788" t="n">
        <x:v>21</x:v>
      </x:c>
      <x:c r="C3788" t="str">
        <x:v>Male</x:v>
      </x:c>
      <x:c r="D3788" t="str">
        <x:v>Sports</x:v>
      </x:c>
      <x:c r="E3788" t="str">
        <x:v>Dumbbells</x:v>
      </x:c>
      <x:c r="F3788" s="24" t="n">
        <x:v>137.18</x:v>
      </x:c>
      <x:c r="G3788" t="str">
        <x:v>Summer</x:v>
      </x:c>
      <x:c r="H3788" t="str">
        <x:v>Card</x:v>
      </x:c>
      <x:c r="I3788" t="n">
        <x:v>2.8</x:v>
      </x:c>
      <x:c r="J3788" t="n">
        <x:v>12</x:v>
      </x:c>
      <x:c r="K3788" t="n">
        <x:v>6</x:v>
      </x:c>
      <x:c r="L3788" t="str">
        <x:v>STORE-001</x:v>
      </x:c>
      <x:c r="M3788" s="22" t="n">
        <x:v>46003</x:v>
      </x:c>
      <x:c r="N3788" t="str">
        <x:v>SKU-005</x:v>
      </x:c>
      <x:c r="O3788" t="n">
        <x:v>2</x:v>
      </x:c>
      <x:c r="P3788" s="26" t="n">
        <x:f>F3788/O3788</x:f>
        <x:v>68.59</x:v>
      </x:c>
    </x:row>
    <x:row r="3789">
      <x:c r="A3789" t="n">
        <x:v>3788</x:v>
      </x:c>
      <x:c r="B3789" t="n">
        <x:v>52</x:v>
      </x:c>
      <x:c r="C3789" t="str">
        <x:v>Female</x:v>
      </x:c>
      <x:c r="D3789" t="str">
        <x:v>Sports</x:v>
      </x:c>
      <x:c r="E3789" t="str">
        <x:v>Football</x:v>
      </x:c>
      <x:c r="F3789" s="24" t="n">
        <x:v>129.61</x:v>
      </x:c>
      <x:c r="G3789" t="str">
        <x:v>Autumn</x:v>
      </x:c>
      <x:c r="H3789" t="str">
        <x:v>Card</x:v>
      </x:c>
      <x:c r="I3789" t="n">
        <x:v>3.8</x:v>
      </x:c>
      <x:c r="J3789" t="n">
        <x:v>11</x:v>
      </x:c>
      <x:c r="K3789" t="n">
        <x:v>3</x:v>
      </x:c>
      <x:c r="L3789" t="str">
        <x:v>STORE-001</x:v>
      </x:c>
      <x:c r="M3789" s="22" t="n">
        <x:v>46082</x:v>
      </x:c>
      <x:c r="N3789" t="str">
        <x:v>SKU-006</x:v>
      </x:c>
      <x:c r="O3789" t="n">
        <x:v>1</x:v>
      </x:c>
      <x:c r="P3789" s="26" t="n">
        <x:f>F3789/O3789</x:f>
        <x:v>129.61</x:v>
      </x:c>
    </x:row>
    <x:row r="3790">
      <x:c r="A3790" t="n">
        <x:v>3789</x:v>
      </x:c>
      <x:c r="B3790" t="n">
        <x:v>39</x:v>
      </x:c>
      <x:c r="C3790" t="str">
        <x:v>Female</x:v>
      </x:c>
      <x:c r="D3790" t="str">
        <x:v>Footwear</x:v>
      </x:c>
      <x:c r="E3790" t="str">
        <x:v>Sneakers</x:v>
      </x:c>
      <x:c r="F3790" s="24" t="n">
        <x:v>129.19</x:v>
      </x:c>
      <x:c r="G3790" t="str">
        <x:v>Spring</x:v>
      </x:c>
      <x:c r="H3790" t="str">
        <x:v>Card</x:v>
      </x:c>
      <x:c r="I3790" t="n">
        <x:v>3.5</x:v>
      </x:c>
      <x:c r="J3790" t="n">
        <x:v>11</x:v>
      </x:c>
      <x:c r="K3790" t="n">
        <x:v>3</x:v>
      </x:c>
      <x:c r="L3790" t="str">
        <x:v>STORE-001</x:v>
      </x:c>
      <x:c r="M3790" s="22" t="n">
        <x:v>45967</x:v>
      </x:c>
      <x:c r="N3790" t="str">
        <x:v>SKU-025</x:v>
      </x:c>
      <x:c r="O3790" t="n">
        <x:v>1</x:v>
      </x:c>
      <x:c r="P3790" s="26" t="n">
        <x:f>F3790/O3790</x:f>
        <x:v>129.19</x:v>
      </x:c>
    </x:row>
    <x:row r="3791">
      <x:c r="A3791" t="n">
        <x:v>3790</x:v>
      </x:c>
      <x:c r="B3791" t="n">
        <x:v>65</x:v>
      </x:c>
      <x:c r="C3791" t="str">
        <x:v>Male</x:v>
      </x:c>
      <x:c r="D3791" t="str">
        <x:v>Sports</x:v>
      </x:c>
      <x:c r="E3791" t="str">
        <x:v>Football</x:v>
      </x:c>
      <x:c r="F3791" s="24" t="n">
        <x:v>154.65</x:v>
      </x:c>
      <x:c r="G3791" t="str">
        <x:v>Winter</x:v>
      </x:c>
      <x:c r="H3791" t="str">
        <x:v>Card</x:v>
      </x:c>
      <x:c r="I3791" t="n">
        <x:v>3.1</x:v>
      </x:c>
      <x:c r="J3791" t="n">
        <x:v>18</x:v>
      </x:c>
      <x:c r="K3791" t="n">
        <x:v>4</x:v>
      </x:c>
      <x:c r="L3791" t="str">
        <x:v>STORE-001</x:v>
      </x:c>
      <x:c r="M3791" s="22" t="n">
        <x:v>46207</x:v>
      </x:c>
      <x:c r="N3791" t="str">
        <x:v>SKU-006</x:v>
      </x:c>
      <x:c r="O3791" t="n">
        <x:v>1</x:v>
      </x:c>
      <x:c r="P3791" s="26" t="n">
        <x:f>F3791/O3791</x:f>
        <x:v>154.65</x:v>
      </x:c>
    </x:row>
    <x:row r="3792">
      <x:c r="A3792" t="n">
        <x:v>3791</x:v>
      </x:c>
      <x:c r="B3792" t="n">
        <x:v>67</x:v>
      </x:c>
      <x:c r="C3792" t="str">
        <x:v>Female</x:v>
      </x:c>
      <x:c r="D3792" t="str">
        <x:v>Womens Clothing</x:v>
      </x:c>
      <x:c r="E3792" t="str">
        <x:v>Jeans</x:v>
      </x:c>
      <x:c r="F3792" s="24" t="n">
        <x:v>54.55</x:v>
      </x:c>
      <x:c r="G3792" t="str">
        <x:v>Autumn</x:v>
      </x:c>
      <x:c r="H3792" t="str">
        <x:v>Card</x:v>
      </x:c>
      <x:c r="I3792" t="n">
        <x:v>4.7</x:v>
      </x:c>
      <x:c r="J3792" t="n">
        <x:v>19</x:v>
      </x:c>
      <x:c r="K3792" t="n">
        <x:v>7</x:v>
      </x:c>
      <x:c r="L3792" t="str">
        <x:v>STORE-001</x:v>
      </x:c>
      <x:c r="M3792" s="22" t="n">
        <x:v>46150</x:v>
      </x:c>
      <x:c r="N3792" t="str">
        <x:v>SKU-011</x:v>
      </x:c>
      <x:c r="O3792" t="n">
        <x:v>2</x:v>
      </x:c>
      <x:c r="P3792" s="26" t="n">
        <x:f>F3792/O3792</x:f>
        <x:v>27.275</x:v>
      </x:c>
    </x:row>
    <x:row r="3793">
      <x:c r="A3793" t="n">
        <x:v>3792</x:v>
      </x:c>
      <x:c r="B3793" t="n">
        <x:v>21</x:v>
      </x:c>
      <x:c r="C3793" t="str">
        <x:v>Male</x:v>
      </x:c>
      <x:c r="D3793" t="str">
        <x:v>Sports</x:v>
      </x:c>
      <x:c r="E3793" t="str">
        <x:v>Yoga Mat</x:v>
      </x:c>
      <x:c r="F3793" s="24" t="n">
        <x:v>77.21</x:v>
      </x:c>
      <x:c r="G3793" t="str">
        <x:v>Spring</x:v>
      </x:c>
      <x:c r="H3793" t="str">
        <x:v>Card</x:v>
      </x:c>
      <x:c r="I3793" t="n">
        <x:v>4.3</x:v>
      </x:c>
      <x:c r="J3793" t="n">
        <x:v>19</x:v>
      </x:c>
      <x:c r="K3793" t="n">
        <x:v>7</x:v>
      </x:c>
      <x:c r="L3793" t="str">
        <x:v>STORE-001</x:v>
      </x:c>
      <x:c r="M3793" s="22" t="n">
        <x:v>45955</x:v>
      </x:c>
      <x:c r="N3793" t="str">
        <x:v>SKU-030</x:v>
      </x:c>
      <x:c r="O3793" t="n">
        <x:v>2</x:v>
      </x:c>
      <x:c r="P3793" s="26" t="n">
        <x:f>F3793/O3793</x:f>
        <x:v>38.605</x:v>
      </x:c>
    </x:row>
    <x:row r="3794">
      <x:c r="A3794" t="n">
        <x:v>3793</x:v>
      </x:c>
      <x:c r="B3794" t="n">
        <x:v>62</x:v>
      </x:c>
      <x:c r="C3794" t="str">
        <x:v>Male</x:v>
      </x:c>
      <x:c r="D3794" t="str">
        <x:v>Electronics</x:v>
      </x:c>
      <x:c r="E3794" t="str">
        <x:v>Laptop</x:v>
      </x:c>
      <x:c r="F3794" s="24" t="n">
        <x:v>1865.21</x:v>
      </x:c>
      <x:c r="G3794" t="str">
        <x:v>Winter</x:v>
      </x:c>
      <x:c r="H3794" t="str">
        <x:v>Card</x:v>
      </x:c>
      <x:c r="I3794" t="n">
        <x:v>3.9</x:v>
      </x:c>
      <x:c r="J3794" t="n">
        <x:v>14</x:v>
      </x:c>
      <x:c r="K3794" t="n">
        <x:v>2</x:v>
      </x:c>
      <x:c r="L3794" t="str">
        <x:v>STORE-001</x:v>
      </x:c>
      <x:c r="M3794" s="22" t="n">
        <x:v>46241</x:v>
      </x:c>
      <x:c r="N3794" t="str">
        <x:v>SKU-014</x:v>
      </x:c>
      <x:c r="O3794" t="n">
        <x:v>1</x:v>
      </x:c>
      <x:c r="P3794" s="26" t="n">
        <x:f>F3794/O3794</x:f>
        <x:v>1865.21</x:v>
      </x:c>
    </x:row>
    <x:row r="3795">
      <x:c r="A3795" t="n">
        <x:v>3794</x:v>
      </x:c>
      <x:c r="B3795" t="n">
        <x:v>52</x:v>
      </x:c>
      <x:c r="C3795" t="str">
        <x:v>Female</x:v>
      </x:c>
      <x:c r="D3795" t="str">
        <x:v>Beauty</x:v>
      </x:c>
      <x:c r="E3795" t="str">
        <x:v>Skincare Kit</x:v>
      </x:c>
      <x:c r="F3795" s="24" t="n">
        <x:v>97.56</x:v>
      </x:c>
      <x:c r="G3795" t="str">
        <x:v>Summer</x:v>
      </x:c>
      <x:c r="H3795" t="str">
        <x:v>Card</x:v>
      </x:c>
      <x:c r="I3795" t="n">
        <x:v>3.6</x:v>
      </x:c>
      <x:c r="J3795" t="n">
        <x:v>15</x:v>
      </x:c>
      <x:c r="K3795" t="n">
        <x:v>5</x:v>
      </x:c>
      <x:c r="L3795" t="str">
        <x:v>STORE-001</x:v>
      </x:c>
      <x:c r="M3795" s="22" t="n">
        <x:v>46061</x:v>
      </x:c>
      <x:c r="N3795" t="str">
        <x:v>SKU-021</x:v>
      </x:c>
      <x:c r="O3795" t="n">
        <x:v>2</x:v>
      </x:c>
      <x:c r="P3795" s="26" t="n">
        <x:f>F3795/O3795</x:f>
        <x:v>48.78</x:v>
      </x:c>
    </x:row>
    <x:row r="3796">
      <x:c r="A3796" t="n">
        <x:v>3795</x:v>
      </x:c>
      <x:c r="B3796" t="n">
        <x:v>28</x:v>
      </x:c>
      <x:c r="C3796" t="str">
        <x:v>Male</x:v>
      </x:c>
      <x:c r="D3796" t="str">
        <x:v>Electronics</x:v>
      </x:c>
      <x:c r="E3796" t="str">
        <x:v>Smart Watch</x:v>
      </x:c>
      <x:c r="F3796" s="24" t="n">
        <x:v>2248.23</x:v>
      </x:c>
      <x:c r="G3796" t="str">
        <x:v>Spring</x:v>
      </x:c>
      <x:c r="H3796" t="str">
        <x:v>Card</x:v>
      </x:c>
      <x:c r="I3796" t="n">
        <x:v>3.6</x:v>
      </x:c>
      <x:c r="J3796" t="n">
        <x:v>23</x:v>
      </x:c>
      <x:c r="K3796" t="n">
        <x:v>9</x:v>
      </x:c>
      <x:c r="L3796" t="str">
        <x:v>STORE-001</x:v>
      </x:c>
      <x:c r="M3796" s="22" t="n">
        <x:v>45940</x:v>
      </x:c>
      <x:c r="N3796" t="str">
        <x:v>SKU-023</x:v>
      </x:c>
      <x:c r="O3796" t="n">
        <x:v>1</x:v>
      </x:c>
      <x:c r="P3796" s="26" t="n">
        <x:f>F3796/O3796</x:f>
        <x:v>2248.23</x:v>
      </x:c>
    </x:row>
    <x:row r="3797">
      <x:c r="A3797" t="n">
        <x:v>3796</x:v>
      </x:c>
      <x:c r="B3797" t="n">
        <x:v>59</x:v>
      </x:c>
      <x:c r="C3797" t="str">
        <x:v>Female</x:v>
      </x:c>
      <x:c r="D3797" t="str">
        <x:v>Groceries</x:v>
      </x:c>
      <x:c r="E3797" t="str">
        <x:v>Cooking Oil</x:v>
      </x:c>
      <x:c r="F3797" s="24" t="n">
        <x:v>26.78</x:v>
      </x:c>
      <x:c r="G3797" t="str">
        <x:v>Winter</x:v>
      </x:c>
      <x:c r="H3797" t="str">
        <x:v>Card</x:v>
      </x:c>
      <x:c r="I3797" t="n">
        <x:v>5</x:v>
      </x:c>
      <x:c r="J3797" t="n">
        <x:v>19</x:v>
      </x:c>
      <x:c r="K3797" t="n">
        <x:v>7</x:v>
      </x:c>
      <x:c r="L3797" t="str">
        <x:v>STORE-001</x:v>
      </x:c>
      <x:c r="M3797" s="22" t="n">
        <x:v>46222</x:v>
      </x:c>
      <x:c r="N3797" t="str">
        <x:v>SKU-002</x:v>
      </x:c>
      <x:c r="O3797" t="n">
        <x:v>4</x:v>
      </x:c>
      <x:c r="P3797" s="26" t="n">
        <x:f>F3797/O3797</x:f>
        <x:v>6.695</x:v>
      </x:c>
    </x:row>
    <x:row r="3798">
      <x:c r="A3798" t="n">
        <x:v>3797</x:v>
      </x:c>
      <x:c r="B3798" t="n">
        <x:v>67</x:v>
      </x:c>
      <x:c r="C3798" t="str">
        <x:v>Female</x:v>
      </x:c>
      <x:c r="D3798" t="str">
        <x:v>Beauty</x:v>
      </x:c>
      <x:c r="E3798" t="str">
        <x:v>Perfume</x:v>
      </x:c>
      <x:c r="F3798" s="24" t="n">
        <x:v>99.35</x:v>
      </x:c>
      <x:c r="G3798" t="str">
        <x:v>Autumn</x:v>
      </x:c>
      <x:c r="H3798" t="str">
        <x:v>Cash on Delivery</x:v>
      </x:c>
      <x:c r="I3798" t="n">
        <x:v>4</x:v>
      </x:c>
      <x:c r="J3798" t="n">
        <x:v>15</x:v>
      </x:c>
      <x:c r="K3798" t="n">
        <x:v>5</x:v>
      </x:c>
      <x:c r="L3798" t="str">
        <x:v>STORE-001</x:v>
      </x:c>
      <x:c r="M3798" s="22" t="n">
        <x:v>46110</x:v>
      </x:c>
      <x:c r="N3798" t="str">
        <x:v>SKU-017</x:v>
      </x:c>
      <x:c r="O3798" t="n">
        <x:v>1</x:v>
      </x:c>
      <x:c r="P3798" s="26" t="n">
        <x:f>F3798/O3798</x:f>
        <x:v>99.35</x:v>
      </x:c>
    </x:row>
    <x:row r="3799">
      <x:c r="A3799" t="n">
        <x:v>3798</x:v>
      </x:c>
      <x:c r="B3799" t="n">
        <x:v>35</x:v>
      </x:c>
      <x:c r="C3799" t="str">
        <x:v>Male</x:v>
      </x:c>
      <x:c r="D3799" t="str">
        <x:v>Electronics</x:v>
      </x:c>
      <x:c r="E3799" t="str">
        <x:v>Smart Watch</x:v>
      </x:c>
      <x:c r="F3799" s="24" t="n">
        <x:v>1797.25</x:v>
      </x:c>
      <x:c r="G3799" t="str">
        <x:v>Winter</x:v>
      </x:c>
      <x:c r="H3799" t="str">
        <x:v>Card</x:v>
      </x:c>
      <x:c r="I3799" t="n">
        <x:v>4.5</x:v>
      </x:c>
      <x:c r="J3799" t="n">
        <x:v>8</x:v>
      </x:c>
      <x:c r="K3799" t="n">
        <x:v>4</x:v>
      </x:c>
      <x:c r="L3799" t="str">
        <x:v>STORE-001</x:v>
      </x:c>
      <x:c r="M3799" s="22" t="n">
        <x:v>46232</x:v>
      </x:c>
      <x:c r="N3799" t="str">
        <x:v>SKU-023</x:v>
      </x:c>
      <x:c r="O3799" t="n">
        <x:v>1</x:v>
      </x:c>
      <x:c r="P3799" s="26" t="n">
        <x:f>F3799/O3799</x:f>
        <x:v>1797.25</x:v>
      </x:c>
    </x:row>
    <x:row r="3800">
      <x:c r="A3800" t="n">
        <x:v>3799</x:v>
      </x:c>
      <x:c r="B3800" t="n">
        <x:v>68</x:v>
      </x:c>
      <x:c r="C3800" t="str">
        <x:v>Male</x:v>
      </x:c>
      <x:c r="D3800" t="str">
        <x:v>Electronics</x:v>
      </x:c>
      <x:c r="E3800" t="str">
        <x:v>Headphones</x:v>
      </x:c>
      <x:c r="F3800" s="24" t="n">
        <x:v>2202.26</x:v>
      </x:c>
      <x:c r="G3800" t="str">
        <x:v>Spring</x:v>
      </x:c>
      <x:c r="H3800" t="str">
        <x:v>Card</x:v>
      </x:c>
      <x:c r="I3800" t="n">
        <x:v>3.9</x:v>
      </x:c>
      <x:c r="J3800" t="n">
        <x:v>15</x:v>
      </x:c>
      <x:c r="K3800" t="n">
        <x:v>5</x:v>
      </x:c>
      <x:c r="L3800" t="str">
        <x:v>STORE-001</x:v>
      </x:c>
      <x:c r="M3800" s="22" t="n">
        <x:v>46292</x:v>
      </x:c>
      <x:c r="N3800" t="str">
        <x:v>SKU-009</x:v>
      </x:c>
      <x:c r="O3800" t="n">
        <x:v>3</x:v>
      </x:c>
      <x:c r="P3800" s="26" t="n">
        <x:f>F3800/O3800</x:f>
        <x:v>734.0866666666667</x:v>
      </x:c>
    </x:row>
    <x:row r="3801">
      <x:c r="A3801" t="n">
        <x:v>3800</x:v>
      </x:c>
      <x:c r="B3801" t="n">
        <x:v>43</x:v>
      </x:c>
      <x:c r="C3801" t="str">
        <x:v>Female</x:v>
      </x:c>
      <x:c r="D3801" t="str">
        <x:v>Accessories</x:v>
      </x:c>
      <x:c r="E3801" t="str">
        <x:v>Wallet</x:v>
      </x:c>
      <x:c r="F3801" s="24" t="n">
        <x:v>109.12</x:v>
      </x:c>
      <x:c r="G3801" t="str">
        <x:v>Winter</x:v>
      </x:c>
      <x:c r="H3801" t="str">
        <x:v>Card</x:v>
      </x:c>
      <x:c r="I3801" t="n">
        <x:v>3.6</x:v>
      </x:c>
      <x:c r="J3801" t="n">
        <x:v>16</x:v>
      </x:c>
      <x:c r="K3801" t="n">
        <x:v>3</x:v>
      </x:c>
      <x:c r="L3801" t="str">
        <x:v>STORE-001</x:v>
      </x:c>
      <x:c r="M3801" s="22" t="n">
        <x:v>46209</x:v>
      </x:c>
      <x:c r="N3801" t="str">
        <x:v>SKU-029</x:v>
      </x:c>
      <x:c r="O3801" t="n">
        <x:v>1</x:v>
      </x:c>
      <x:c r="P3801" s="26" t="n">
        <x:f>F3801/O3801</x:f>
        <x:v>109.12</x:v>
      </x:c>
    </x:row>
    <x:row r="3802">
      <x:c r="A3802" t="n">
        <x:v>3801</x:v>
      </x:c>
      <x:c r="B3802" t="n">
        <x:v>21</x:v>
      </x:c>
      <x:c r="C3802" t="str">
        <x:v>Female</x:v>
      </x:c>
      <x:c r="D3802" t="str">
        <x:v>Beauty</x:v>
      </x:c>
      <x:c r="E3802" t="str">
        <x:v>Skincare Kit</x:v>
      </x:c>
      <x:c r="F3802" s="24" t="n">
        <x:v>76.9</x:v>
      </x:c>
      <x:c r="G3802" t="str">
        <x:v>Spring</x:v>
      </x:c>
      <x:c r="H3802" t="str">
        <x:v>Card</x:v>
      </x:c>
      <x:c r="I3802" t="n">
        <x:v>4.9</x:v>
      </x:c>
      <x:c r="J3802" t="n">
        <x:v>17</x:v>
      </x:c>
      <x:c r="K3802" t="n">
        <x:v>6</x:v>
      </x:c>
      <x:c r="L3802" t="str">
        <x:v>STORE-001</x:v>
      </x:c>
      <x:c r="M3802" s="22" t="n">
        <x:v>46279</x:v>
      </x:c>
      <x:c r="N3802" t="str">
        <x:v>SKU-021</x:v>
      </x:c>
      <x:c r="O3802" t="n">
        <x:v>1</x:v>
      </x:c>
      <x:c r="P3802" s="26" t="n">
        <x:f>F3802/O3802</x:f>
        <x:v>76.9</x:v>
      </x:c>
    </x:row>
    <x:row r="3803">
      <x:c r="A3803" t="n">
        <x:v>3802</x:v>
      </x:c>
      <x:c r="B3803" t="n">
        <x:v>51</x:v>
      </x:c>
      <x:c r="C3803" t="str">
        <x:v>Female</x:v>
      </x:c>
      <x:c r="D3803" t="str">
        <x:v>Accessories</x:v>
      </x:c>
      <x:c r="E3803" t="str">
        <x:v>Wallet</x:v>
      </x:c>
      <x:c r="F3803" s="24" t="n">
        <x:v>99.61</x:v>
      </x:c>
      <x:c r="G3803" t="str">
        <x:v>Winter</x:v>
      </x:c>
      <x:c r="H3803" t="str">
        <x:v>Card</x:v>
      </x:c>
      <x:c r="I3803" t="n">
        <x:v>3.8</x:v>
      </x:c>
      <x:c r="J3803" t="n">
        <x:v>20</x:v>
      </x:c>
      <x:c r="K3803" t="n">
        <x:v>10</x:v>
      </x:c>
      <x:c r="L3803" t="str">
        <x:v>STORE-001</x:v>
      </x:c>
      <x:c r="M3803" s="22" t="n">
        <x:v>46184</x:v>
      </x:c>
      <x:c r="N3803" t="str">
        <x:v>SKU-029</x:v>
      </x:c>
      <x:c r="O3803" t="n">
        <x:v>1</x:v>
      </x:c>
      <x:c r="P3803" s="26" t="n">
        <x:f>F3803/O3803</x:f>
        <x:v>99.61</x:v>
      </x:c>
    </x:row>
    <x:row r="3804">
      <x:c r="A3804" t="n">
        <x:v>3803</x:v>
      </x:c>
      <x:c r="B3804" t="n">
        <x:v>64</x:v>
      </x:c>
      <x:c r="C3804" t="str">
        <x:v>Female</x:v>
      </x:c>
      <x:c r="D3804" t="str">
        <x:v>Beauty</x:v>
      </x:c>
      <x:c r="E3804" t="str">
        <x:v>Perfume</x:v>
      </x:c>
      <x:c r="F3804" s="24" t="n">
        <x:v>81.88</x:v>
      </x:c>
      <x:c r="G3804" t="str">
        <x:v>Autumn</x:v>
      </x:c>
      <x:c r="H3804" t="str">
        <x:v>Cash on Delivery</x:v>
      </x:c>
      <x:c r="I3804" t="n">
        <x:v>4.6</x:v>
      </x:c>
      <x:c r="J3804" t="n">
        <x:v>18</x:v>
      </x:c>
      <x:c r="K3804" t="n">
        <x:v>4</x:v>
      </x:c>
      <x:c r="L3804" t="str">
        <x:v>STORE-001</x:v>
      </x:c>
      <x:c r="M3804" s="22" t="n">
        <x:v>46103</x:v>
      </x:c>
      <x:c r="N3804" t="str">
        <x:v>SKU-017</x:v>
      </x:c>
      <x:c r="O3804" t="n">
        <x:v>1</x:v>
      </x:c>
      <x:c r="P3804" s="26" t="n">
        <x:f>F3804/O3804</x:f>
        <x:v>81.88</x:v>
      </x:c>
    </x:row>
    <x:row r="3805">
      <x:c r="A3805" t="n">
        <x:v>3804</x:v>
      </x:c>
      <x:c r="B3805" t="n">
        <x:v>38</x:v>
      </x:c>
      <x:c r="C3805" t="str">
        <x:v>Female</x:v>
      </x:c>
      <x:c r="D3805" t="str">
        <x:v>Sports</x:v>
      </x:c>
      <x:c r="E3805" t="str">
        <x:v>Yoga Mat</x:v>
      </x:c>
      <x:c r="F3805" s="24" t="n">
        <x:v>211.85</x:v>
      </x:c>
      <x:c r="G3805" t="str">
        <x:v>Summer</x:v>
      </x:c>
      <x:c r="H3805" t="str">
        <x:v>Card</x:v>
      </x:c>
      <x:c r="I3805" t="n">
        <x:v>4.5</x:v>
      </x:c>
      <x:c r="J3805" t="n">
        <x:v>2</x:v>
      </x:c>
      <x:c r="K3805" t="n">
        <x:v>1</x:v>
      </x:c>
      <x:c r="L3805" t="str">
        <x:v>STORE-001</x:v>
      </x:c>
      <x:c r="M3805" s="22" t="n">
        <x:v>46056</x:v>
      </x:c>
      <x:c r="N3805" t="str">
        <x:v>SKU-030</x:v>
      </x:c>
      <x:c r="O3805" t="n">
        <x:v>1</x:v>
      </x:c>
      <x:c r="P3805" s="26" t="n">
        <x:f>F3805/O3805</x:f>
        <x:v>211.85</x:v>
      </x:c>
    </x:row>
    <x:row r="3806">
      <x:c r="A3806" t="n">
        <x:v>3805</x:v>
      </x:c>
      <x:c r="B3806" t="n">
        <x:v>60</x:v>
      </x:c>
      <x:c r="C3806" t="str">
        <x:v>Female</x:v>
      </x:c>
      <x:c r="D3806" t="str">
        <x:v>Beauty</x:v>
      </x:c>
      <x:c r="E3806" t="str">
        <x:v>Makeup Set</x:v>
      </x:c>
      <x:c r="F3806" s="24" t="n">
        <x:v>72.84</x:v>
      </x:c>
      <x:c r="G3806" t="str">
        <x:v>Spring</x:v>
      </x:c>
      <x:c r="H3806" t="str">
        <x:v>Card</x:v>
      </x:c>
      <x:c r="I3806" t="n">
        <x:v>4.5</x:v>
      </x:c>
      <x:c r="J3806" t="n">
        <x:v>13</x:v>
      </x:c>
      <x:c r="K3806" t="n">
        <x:v>4</x:v>
      </x:c>
      <x:c r="L3806" t="str">
        <x:v>STORE-001</x:v>
      </x:c>
      <x:c r="M3806" s="22" t="n">
        <x:v>45977</x:v>
      </x:c>
      <x:c r="N3806" t="str">
        <x:v>SKU-015</x:v>
      </x:c>
      <x:c r="O3806" t="n">
        <x:v>3</x:v>
      </x:c>
      <x:c r="P3806" s="26" t="n">
        <x:f>F3806/O3806</x:f>
        <x:v>24.28</x:v>
      </x:c>
    </x:row>
    <x:row r="3807">
      <x:c r="A3807" t="n">
        <x:v>3806</x:v>
      </x:c>
      <x:c r="B3807" t="n">
        <x:v>33</x:v>
      </x:c>
      <x:c r="C3807" t="str">
        <x:v>Female</x:v>
      </x:c>
      <x:c r="D3807" t="str">
        <x:v>Accessories</x:v>
      </x:c>
      <x:c r="E3807" t="str">
        <x:v>Wallet</x:v>
      </x:c>
      <x:c r="F3807" s="24" t="n">
        <x:v>126.38</x:v>
      </x:c>
      <x:c r="G3807" t="str">
        <x:v>Winter</x:v>
      </x:c>
      <x:c r="H3807" t="str">
        <x:v>Card</x:v>
      </x:c>
      <x:c r="I3807" t="n">
        <x:v>2.8</x:v>
      </x:c>
      <x:c r="J3807" t="n">
        <x:v>12</x:v>
      </x:c>
      <x:c r="K3807" t="n">
        <x:v>6</x:v>
      </x:c>
      <x:c r="L3807" t="str">
        <x:v>STORE-001</x:v>
      </x:c>
      <x:c r="M3807" s="22" t="n">
        <x:v>46239</x:v>
      </x:c>
      <x:c r="N3807" t="str">
        <x:v>SKU-029</x:v>
      </x:c>
      <x:c r="O3807" t="n">
        <x:v>3</x:v>
      </x:c>
      <x:c r="P3807" s="26" t="n">
        <x:f>F3807/O3807</x:f>
        <x:v>42.126666666666665</x:v>
      </x:c>
    </x:row>
    <x:row r="3808">
      <x:c r="A3808" t="n">
        <x:v>3807</x:v>
      </x:c>
      <x:c r="B3808" t="n">
        <x:v>25</x:v>
      </x:c>
      <x:c r="C3808" t="str">
        <x:v>Female</x:v>
      </x:c>
      <x:c r="D3808" t="str">
        <x:v>Sports</x:v>
      </x:c>
      <x:c r="E3808" t="str">
        <x:v>Dumbbells</x:v>
      </x:c>
      <x:c r="F3808" s="24" t="n">
        <x:v>91.07</x:v>
      </x:c>
      <x:c r="G3808" t="str">
        <x:v>Summer</x:v>
      </x:c>
      <x:c r="H3808" t="str">
        <x:v>Card</x:v>
      </x:c>
      <x:c r="I3808" t="n">
        <x:v>4.1</x:v>
      </x:c>
      <x:c r="J3808" t="n">
        <x:v>30</x:v>
      </x:c>
      <x:c r="K3808" t="n">
        <x:v>10</x:v>
      </x:c>
      <x:c r="L3808" t="str">
        <x:v>STORE-001</x:v>
      </x:c>
      <x:c r="M3808" s="22" t="n">
        <x:v>46052</x:v>
      </x:c>
      <x:c r="N3808" t="str">
        <x:v>SKU-005</x:v>
      </x:c>
      <x:c r="O3808" t="n">
        <x:v>1</x:v>
      </x:c>
      <x:c r="P3808" s="26" t="n">
        <x:f>F3808/O3808</x:f>
        <x:v>91.07</x:v>
      </x:c>
    </x:row>
    <x:row r="3809">
      <x:c r="A3809" t="n">
        <x:v>3808</x:v>
      </x:c>
      <x:c r="B3809" t="n">
        <x:v>42</x:v>
      </x:c>
      <x:c r="C3809" t="str">
        <x:v>Male</x:v>
      </x:c>
      <x:c r="D3809" t="str">
        <x:v>Mens Clothing</x:v>
      </x:c>
      <x:c r="E3809" t="str">
        <x:v>Jacket</x:v>
      </x:c>
      <x:c r="F3809" s="24" t="n">
        <x:v>104.3</x:v>
      </x:c>
      <x:c r="G3809" t="str">
        <x:v>Summer</x:v>
      </x:c>
      <x:c r="H3809" t="str">
        <x:v>Card</x:v>
      </x:c>
      <x:c r="I3809" t="n">
        <x:v>4.7</x:v>
      </x:c>
      <x:c r="J3809" t="n">
        <x:v>11</x:v>
      </x:c>
      <x:c r="K3809" t="n">
        <x:v>3</x:v>
      </x:c>
      <x:c r="L3809" t="str">
        <x:v>STORE-001</x:v>
      </x:c>
      <x:c r="M3809" s="22" t="n">
        <x:v>46037</x:v>
      </x:c>
      <x:c r="N3809" t="str">
        <x:v>SKU-010</x:v>
      </x:c>
      <x:c r="O3809" t="n">
        <x:v>1</x:v>
      </x:c>
      <x:c r="P3809" s="26" t="n">
        <x:f>F3809/O3809</x:f>
        <x:v>104.3</x:v>
      </x:c>
    </x:row>
    <x:row r="3810">
      <x:c r="A3810" t="n">
        <x:v>3809</x:v>
      </x:c>
      <x:c r="B3810" t="n">
        <x:v>36</x:v>
      </x:c>
      <x:c r="C3810" t="str">
        <x:v>Female</x:v>
      </x:c>
      <x:c r="D3810" t="str">
        <x:v>Footwear</x:v>
      </x:c>
      <x:c r="E3810" t="str">
        <x:v>Formal Shoes</x:v>
      </x:c>
      <x:c r="F3810" s="24" t="n">
        <x:v>142.78</x:v>
      </x:c>
      <x:c r="G3810" t="str">
        <x:v>Spring</x:v>
      </x:c>
      <x:c r="H3810" t="str">
        <x:v>Card</x:v>
      </x:c>
      <x:c r="I3810" t="n">
        <x:v>3.7</x:v>
      </x:c>
      <x:c r="J3810" t="n">
        <x:v>24</x:v>
      </x:c>
      <x:c r="K3810" t="n">
        <x:v>7</x:v>
      </x:c>
      <x:c r="L3810" t="str">
        <x:v>STORE-001</x:v>
      </x:c>
      <x:c r="M3810" s="22" t="n">
        <x:v>46292</x:v>
      </x:c>
      <x:c r="N3810" t="str">
        <x:v>SKU-007</x:v>
      </x:c>
      <x:c r="O3810" t="n">
        <x:v>1</x:v>
      </x:c>
      <x:c r="P3810" s="26" t="n">
        <x:f>F3810/O3810</x:f>
        <x:v>142.78</x:v>
      </x:c>
    </x:row>
    <x:row r="3811">
      <x:c r="A3811" t="n">
        <x:v>3810</x:v>
      </x:c>
      <x:c r="B3811" t="n">
        <x:v>64</x:v>
      </x:c>
      <x:c r="C3811" t="str">
        <x:v>Female</x:v>
      </x:c>
      <x:c r="D3811" t="str">
        <x:v>Womens Clothing</x:v>
      </x:c>
      <x:c r="E3811" t="str">
        <x:v>Skirt</x:v>
      </x:c>
      <x:c r="F3811" s="24" t="n">
        <x:v>152.88</x:v>
      </x:c>
      <x:c r="G3811" t="str">
        <x:v>Autumn</x:v>
      </x:c>
      <x:c r="H3811" t="str">
        <x:v>Card</x:v>
      </x:c>
      <x:c r="I3811" t="n">
        <x:v>4</x:v>
      </x:c>
      <x:c r="J3811" t="n">
        <x:v>12</x:v>
      </x:c>
      <x:c r="K3811" t="n">
        <x:v>6</x:v>
      </x:c>
      <x:c r="L3811" t="str">
        <x:v>STORE-001</x:v>
      </x:c>
      <x:c r="M3811" s="22" t="n">
        <x:v>46154</x:v>
      </x:c>
      <x:c r="N3811" t="str">
        <x:v>SKU-022</x:v>
      </x:c>
      <x:c r="O3811" t="n">
        <x:v>3</x:v>
      </x:c>
      <x:c r="P3811" s="26" t="n">
        <x:f>F3811/O3811</x:f>
        <x:v>50.96</x:v>
      </x:c>
    </x:row>
    <x:row r="3812">
      <x:c r="A3812" t="n">
        <x:v>3811</x:v>
      </x:c>
      <x:c r="B3812" t="n">
        <x:v>33</x:v>
      </x:c>
      <x:c r="C3812" t="str">
        <x:v>Female</x:v>
      </x:c>
      <x:c r="D3812" t="str">
        <x:v>Accessories</x:v>
      </x:c>
      <x:c r="E3812" t="str">
        <x:v>Wallet</x:v>
      </x:c>
      <x:c r="F3812" s="24" t="n">
        <x:v>92.62</x:v>
      </x:c>
      <x:c r="G3812" t="str">
        <x:v>Autumn</x:v>
      </x:c>
      <x:c r="H3812" t="str">
        <x:v>Card</x:v>
      </x:c>
      <x:c r="I3812" t="n">
        <x:v>3.4</x:v>
      </x:c>
      <x:c r="J3812" t="n">
        <x:v>10</x:v>
      </x:c>
      <x:c r="K3812" t="n">
        <x:v>5</x:v>
      </x:c>
      <x:c r="L3812" t="str">
        <x:v>STORE-001</x:v>
      </x:c>
      <x:c r="M3812" s="22" t="n">
        <x:v>46086</x:v>
      </x:c>
      <x:c r="N3812" t="str">
        <x:v>SKU-029</x:v>
      </x:c>
      <x:c r="O3812" t="n">
        <x:v>1</x:v>
      </x:c>
      <x:c r="P3812" s="26" t="n">
        <x:f>F3812/O3812</x:f>
        <x:v>92.62</x:v>
      </x:c>
    </x:row>
    <x:row r="3813">
      <x:c r="A3813" t="n">
        <x:v>3812</x:v>
      </x:c>
      <x:c r="B3813" t="n">
        <x:v>24</x:v>
      </x:c>
      <x:c r="C3813" t="str">
        <x:v>Female</x:v>
      </x:c>
      <x:c r="D3813" t="str">
        <x:v>Beauty</x:v>
      </x:c>
      <x:c r="E3813" t="str">
        <x:v>Makeup Set</x:v>
      </x:c>
      <x:c r="F3813" s="24" t="n">
        <x:v>35.21</x:v>
      </x:c>
      <x:c r="G3813" t="str">
        <x:v>Summer</x:v>
      </x:c>
      <x:c r="H3813" t="str">
        <x:v>Card</x:v>
      </x:c>
      <x:c r="I3813" t="n">
        <x:v>3.5</x:v>
      </x:c>
      <x:c r="J3813" t="n">
        <x:v>7</x:v>
      </x:c>
      <x:c r="K3813" t="n">
        <x:v>1</x:v>
      </x:c>
      <x:c r="L3813" t="str">
        <x:v>STORE-001</x:v>
      </x:c>
      <x:c r="M3813" s="22" t="n">
        <x:v>46065</x:v>
      </x:c>
      <x:c r="N3813" t="str">
        <x:v>SKU-015</x:v>
      </x:c>
      <x:c r="O3813" t="n">
        <x:v>1</x:v>
      </x:c>
      <x:c r="P3813" s="26" t="n">
        <x:f>F3813/O3813</x:f>
        <x:v>35.21</x:v>
      </x:c>
    </x:row>
    <x:row r="3814">
      <x:c r="A3814" t="n">
        <x:v>3813</x:v>
      </x:c>
      <x:c r="B3814" t="n">
        <x:v>55</x:v>
      </x:c>
      <x:c r="C3814" t="str">
        <x:v>Female</x:v>
      </x:c>
      <x:c r="D3814" t="str">
        <x:v>Beauty</x:v>
      </x:c>
      <x:c r="E3814" t="str">
        <x:v>Makeup Set</x:v>
      </x:c>
      <x:c r="F3814" s="24" t="n">
        <x:v>63.85</x:v>
      </x:c>
      <x:c r="G3814" t="str">
        <x:v>Winter</x:v>
      </x:c>
      <x:c r="H3814" t="str">
        <x:v>Card</x:v>
      </x:c>
      <x:c r="I3814" t="n">
        <x:v>4</x:v>
      </x:c>
      <x:c r="J3814" t="n">
        <x:v>17</x:v>
      </x:c>
      <x:c r="K3814" t="n">
        <x:v>6</x:v>
      </x:c>
      <x:c r="L3814" t="str">
        <x:v>STORE-001</x:v>
      </x:c>
      <x:c r="M3814" s="22" t="n">
        <x:v>46205</x:v>
      </x:c>
      <x:c r="N3814" t="str">
        <x:v>SKU-015</x:v>
      </x:c>
      <x:c r="O3814" t="n">
        <x:v>1</x:v>
      </x:c>
      <x:c r="P3814" s="26" t="n">
        <x:f>F3814/O3814</x:f>
        <x:v>63.85</x:v>
      </x:c>
    </x:row>
    <x:row r="3815">
      <x:c r="A3815" t="n">
        <x:v>3814</x:v>
      </x:c>
      <x:c r="B3815" t="n">
        <x:v>31</x:v>
      </x:c>
      <x:c r="C3815" t="str">
        <x:v>Male</x:v>
      </x:c>
      <x:c r="D3815" t="str">
        <x:v>Electronics</x:v>
      </x:c>
      <x:c r="E3815" t="str">
        <x:v>Smart Watch</x:v>
      </x:c>
      <x:c r="F3815" s="24" t="n">
        <x:v>1015.78</x:v>
      </x:c>
      <x:c r="G3815" t="str">
        <x:v>Autumn</x:v>
      </x:c>
      <x:c r="H3815" t="str">
        <x:v>Card</x:v>
      </x:c>
      <x:c r="I3815" t="n">
        <x:v>3.7</x:v>
      </x:c>
      <x:c r="J3815" t="n">
        <x:v>12</x:v>
      </x:c>
      <x:c r="K3815" t="n">
        <x:v>6</x:v>
      </x:c>
      <x:c r="L3815" t="str">
        <x:v>STORE-001</x:v>
      </x:c>
      <x:c r="M3815" s="22" t="n">
        <x:v>46148</x:v>
      </x:c>
      <x:c r="N3815" t="str">
        <x:v>SKU-023</x:v>
      </x:c>
      <x:c r="O3815" t="n">
        <x:v>1</x:v>
      </x:c>
      <x:c r="P3815" s="26" t="n">
        <x:f>F3815/O3815</x:f>
        <x:v>1015.78</x:v>
      </x:c>
    </x:row>
    <x:row r="3816">
      <x:c r="A3816" t="n">
        <x:v>3815</x:v>
      </x:c>
      <x:c r="B3816" t="n">
        <x:v>49</x:v>
      </x:c>
      <x:c r="C3816" t="str">
        <x:v>Male</x:v>
      </x:c>
      <x:c r="D3816" t="str">
        <x:v>Mens Clothing</x:v>
      </x:c>
      <x:c r="E3816" t="str">
        <x:v>Jeans</x:v>
      </x:c>
      <x:c r="F3816" s="24" t="n">
        <x:v>60.79</x:v>
      </x:c>
      <x:c r="G3816" t="str">
        <x:v>Autumn</x:v>
      </x:c>
      <x:c r="H3816" t="str">
        <x:v>Card</x:v>
      </x:c>
      <x:c r="I3816" t="n">
        <x:v>3.9</x:v>
      </x:c>
      <x:c r="J3816" t="n">
        <x:v>4</x:v>
      </x:c>
      <x:c r="K3816" t="n">
        <x:v>2</x:v>
      </x:c>
      <x:c r="L3816" t="str">
        <x:v>STORE-001</x:v>
      </x:c>
      <x:c r="M3816" s="22" t="n">
        <x:v>46143</x:v>
      </x:c>
      <x:c r="N3816" t="str">
        <x:v>SKU-011</x:v>
      </x:c>
      <x:c r="O3816" t="n">
        <x:v>2</x:v>
      </x:c>
      <x:c r="P3816" s="26" t="n">
        <x:f>F3816/O3816</x:f>
        <x:v>30.395</x:v>
      </x:c>
    </x:row>
    <x:row r="3817">
      <x:c r="A3817" t="n">
        <x:v>3816</x:v>
      </x:c>
      <x:c r="B3817" t="n">
        <x:v>61</x:v>
      </x:c>
      <x:c r="C3817" t="str">
        <x:v>Female</x:v>
      </x:c>
      <x:c r="D3817" t="str">
        <x:v>Womens Clothing</x:v>
      </x:c>
      <x:c r="E3817" t="str">
        <x:v>Dress</x:v>
      </x:c>
      <x:c r="F3817" s="24" t="n">
        <x:v>189.41</x:v>
      </x:c>
      <x:c r="G3817" t="str">
        <x:v>Winter</x:v>
      </x:c>
      <x:c r="H3817" t="str">
        <x:v>Card</x:v>
      </x:c>
      <x:c r="I3817" t="n">
        <x:v>3.2</x:v>
      </x:c>
      <x:c r="J3817" t="n">
        <x:v>6</x:v>
      </x:c>
      <x:c r="K3817" t="n">
        <x:v>3</x:v>
      </x:c>
      <x:c r="L3817" t="str">
        <x:v>STORE-001</x:v>
      </x:c>
      <x:c r="M3817" s="22" t="n">
        <x:v>46226</x:v>
      </x:c>
      <x:c r="N3817" t="str">
        <x:v>SKU-004</x:v>
      </x:c>
      <x:c r="O3817" t="n">
        <x:v>1</x:v>
      </x:c>
      <x:c r="P3817" s="26" t="n">
        <x:f>F3817/O3817</x:f>
        <x:v>189.41</x:v>
      </x:c>
    </x:row>
    <x:row r="3818">
      <x:c r="A3818" t="n">
        <x:v>3817</x:v>
      </x:c>
      <x:c r="B3818" t="n">
        <x:v>24</x:v>
      </x:c>
      <x:c r="C3818" t="str">
        <x:v>Male</x:v>
      </x:c>
      <x:c r="D3818" t="str">
        <x:v>Groceries</x:v>
      </x:c>
      <x:c r="E3818" t="str">
        <x:v>Beverages</x:v>
      </x:c>
      <x:c r="F3818" s="24" t="n">
        <x:v>38.06</x:v>
      </x:c>
      <x:c r="G3818" t="str">
        <x:v>Spring</x:v>
      </x:c>
      <x:c r="H3818" t="str">
        <x:v>Cash on Delivery</x:v>
      </x:c>
      <x:c r="I3818" t="n">
        <x:v>4.7</x:v>
      </x:c>
      <x:c r="J3818" t="n">
        <x:v>20</x:v>
      </x:c>
      <x:c r="K3818" t="n">
        <x:v>5</x:v>
      </x:c>
      <x:c r="L3818" t="str">
        <x:v>STORE-001</x:v>
      </x:c>
      <x:c r="M3818" s="22" t="n">
        <x:v>45973</x:v>
      </x:c>
      <x:c r="N3818" t="str">
        <x:v>SKU-001</x:v>
      </x:c>
      <x:c r="O3818" t="n">
        <x:v>1</x:v>
      </x:c>
      <x:c r="P3818" s="26" t="n">
        <x:f>F3818/O3818</x:f>
        <x:v>38.06</x:v>
      </x:c>
    </x:row>
    <x:row r="3819">
      <x:c r="A3819" t="n">
        <x:v>3818</x:v>
      </x:c>
      <x:c r="B3819" t="n">
        <x:v>32</x:v>
      </x:c>
      <x:c r="C3819" t="str">
        <x:v>Female</x:v>
      </x:c>
      <x:c r="D3819" t="str">
        <x:v>Beauty</x:v>
      </x:c>
      <x:c r="E3819" t="str">
        <x:v>Skincare Kit</x:v>
      </x:c>
      <x:c r="F3819" s="24" t="n">
        <x:v>148.62</x:v>
      </x:c>
      <x:c r="G3819" t="str">
        <x:v>Autumn</x:v>
      </x:c>
      <x:c r="H3819" t="str">
        <x:v>Card</x:v>
      </x:c>
      <x:c r="I3819" t="n">
        <x:v>3.1</x:v>
      </x:c>
      <x:c r="J3819" t="n">
        <x:v>4</x:v>
      </x:c>
      <x:c r="K3819" t="n">
        <x:v>2</x:v>
      </x:c>
      <x:c r="L3819" t="str">
        <x:v>STORE-001</x:v>
      </x:c>
      <x:c r="M3819" s="22" t="n">
        <x:v>46099</x:v>
      </x:c>
      <x:c r="N3819" t="str">
        <x:v>SKU-021</x:v>
      </x:c>
      <x:c r="O3819" t="n">
        <x:v>1</x:v>
      </x:c>
      <x:c r="P3819" s="26" t="n">
        <x:f>F3819/O3819</x:f>
        <x:v>148.62</x:v>
      </x:c>
    </x:row>
    <x:row r="3820">
      <x:c r="A3820" t="n">
        <x:v>3819</x:v>
      </x:c>
      <x:c r="B3820" t="n">
        <x:v>39</x:v>
      </x:c>
      <x:c r="C3820" t="str">
        <x:v>Male</x:v>
      </x:c>
      <x:c r="D3820" t="str">
        <x:v>Groceries</x:v>
      </x:c>
      <x:c r="E3820" t="str">
        <x:v>Rice Pack</x:v>
      </x:c>
      <x:c r="F3820" s="24" t="n">
        <x:v>70.51</x:v>
      </x:c>
      <x:c r="G3820" t="str">
        <x:v>Summer</x:v>
      </x:c>
      <x:c r="H3820" t="str">
        <x:v>Card</x:v>
      </x:c>
      <x:c r="I3820" t="n">
        <x:v>4.1</x:v>
      </x:c>
      <x:c r="J3820" t="n">
        <x:v>18</x:v>
      </x:c>
      <x:c r="K3820" t="n">
        <x:v>4</x:v>
      </x:c>
      <x:c r="L3820" t="str">
        <x:v>STORE-001</x:v>
      </x:c>
      <x:c r="M3820" s="22" t="n">
        <x:v>46008</x:v>
      </x:c>
      <x:c r="N3820" t="str">
        <x:v>SKU-018</x:v>
      </x:c>
      <x:c r="O3820" t="n">
        <x:v>2</x:v>
      </x:c>
      <x:c r="P3820" s="26" t="n">
        <x:f>F3820/O3820</x:f>
        <x:v>35.255</x:v>
      </x:c>
    </x:row>
    <x:row r="3821">
      <x:c r="A3821" t="n">
        <x:v>3820</x:v>
      </x:c>
      <x:c r="B3821" t="n">
        <x:v>47</x:v>
      </x:c>
      <x:c r="C3821" t="str">
        <x:v>Male</x:v>
      </x:c>
      <x:c r="D3821" t="str">
        <x:v>Mens Clothing</x:v>
      </x:c>
      <x:c r="E3821" t="str">
        <x:v>T-Shirt</x:v>
      </x:c>
      <x:c r="F3821" s="24" t="n">
        <x:v>86.22</x:v>
      </x:c>
      <x:c r="G3821" t="str">
        <x:v>Autumn</x:v>
      </x:c>
      <x:c r="H3821" t="str">
        <x:v>Cash on Delivery</x:v>
      </x:c>
      <x:c r="I3821" t="n">
        <x:v>5</x:v>
      </x:c>
      <x:c r="J3821" t="n">
        <x:v>28</x:v>
      </x:c>
      <x:c r="K3821" t="n">
        <x:v>9</x:v>
      </x:c>
      <x:c r="L3821" t="str">
        <x:v>STORE-001</x:v>
      </x:c>
      <x:c r="M3821" s="22" t="n">
        <x:v>46121</x:v>
      </x:c>
      <x:c r="N3821" t="str">
        <x:v>SKU-027</x:v>
      </x:c>
      <x:c r="O3821" t="n">
        <x:v>1</x:v>
      </x:c>
      <x:c r="P3821" s="26" t="n">
        <x:f>F3821/O3821</x:f>
        <x:v>86.22</x:v>
      </x:c>
    </x:row>
    <x:row r="3822">
      <x:c r="A3822" t="n">
        <x:v>3821</x:v>
      </x:c>
      <x:c r="B3822" t="n">
        <x:v>41</x:v>
      </x:c>
      <x:c r="C3822" t="str">
        <x:v>Male</x:v>
      </x:c>
      <x:c r="D3822" t="str">
        <x:v>Groceries</x:v>
      </x:c>
      <x:c r="E3822" t="str">
        <x:v>Cooking Oil</x:v>
      </x:c>
      <x:c r="F3822" s="24" t="n">
        <x:v>14.42</x:v>
      </x:c>
      <x:c r="G3822" t="str">
        <x:v>Summer</x:v>
      </x:c>
      <x:c r="H3822" t="str">
        <x:v>Cash on Delivery</x:v>
      </x:c>
      <x:c r="I3822" t="n">
        <x:v>3.8</x:v>
      </x:c>
      <x:c r="J3822" t="n">
        <x:v>16</x:v>
      </x:c>
      <x:c r="K3822" t="n">
        <x:v>3</x:v>
      </x:c>
      <x:c r="L3822" t="str">
        <x:v>STORE-001</x:v>
      </x:c>
      <x:c r="M3822" s="22" t="n">
        <x:v>46076</x:v>
      </x:c>
      <x:c r="N3822" t="str">
        <x:v>SKU-002</x:v>
      </x:c>
      <x:c r="O3822" t="n">
        <x:v>1</x:v>
      </x:c>
      <x:c r="P3822" s="26" t="n">
        <x:f>F3822/O3822</x:f>
        <x:v>14.42</x:v>
      </x:c>
    </x:row>
    <x:row r="3823">
      <x:c r="A3823" t="n">
        <x:v>3822</x:v>
      </x:c>
      <x:c r="B3823" t="n">
        <x:v>70</x:v>
      </x:c>
      <x:c r="C3823" t="str">
        <x:v>Male</x:v>
      </x:c>
      <x:c r="D3823" t="str">
        <x:v>Mens Clothing</x:v>
      </x:c>
      <x:c r="E3823" t="str">
        <x:v>Jacket</x:v>
      </x:c>
      <x:c r="F3823" s="24" t="n">
        <x:v>189.46</x:v>
      </x:c>
      <x:c r="G3823" t="str">
        <x:v>Summer</x:v>
      </x:c>
      <x:c r="H3823" t="str">
        <x:v>Card</x:v>
      </x:c>
      <x:c r="I3823" t="n">
        <x:v>4.3</x:v>
      </x:c>
      <x:c r="J3823" t="n">
        <x:v>20</x:v>
      </x:c>
      <x:c r="K3823" t="n">
        <x:v>5</x:v>
      </x:c>
      <x:c r="L3823" t="str">
        <x:v>STORE-001</x:v>
      </x:c>
      <x:c r="M3823" s="22" t="n">
        <x:v>46021</x:v>
      </x:c>
      <x:c r="N3823" t="str">
        <x:v>SKU-010</x:v>
      </x:c>
      <x:c r="O3823" t="n">
        <x:v>2</x:v>
      </x:c>
      <x:c r="P3823" s="26" t="n">
        <x:f>F3823/O3823</x:f>
        <x:v>94.73</x:v>
      </x:c>
    </x:row>
    <x:row r="3824">
      <x:c r="A3824" t="n">
        <x:v>3823</x:v>
      </x:c>
      <x:c r="B3824" t="n">
        <x:v>56</x:v>
      </x:c>
      <x:c r="C3824" t="str">
        <x:v>Female</x:v>
      </x:c>
      <x:c r="D3824" t="str">
        <x:v>Beauty</x:v>
      </x:c>
      <x:c r="E3824" t="str">
        <x:v>Perfume</x:v>
      </x:c>
      <x:c r="F3824" s="24" t="n">
        <x:v>68.85</x:v>
      </x:c>
      <x:c r="G3824" t="str">
        <x:v>Autumn</x:v>
      </x:c>
      <x:c r="H3824" t="str">
        <x:v>Cash on Delivery</x:v>
      </x:c>
      <x:c r="I3824" t="n">
        <x:v>5</x:v>
      </x:c>
      <x:c r="J3824" t="n">
        <x:v>10</x:v>
      </x:c>
      <x:c r="K3824" t="n">
        <x:v>5</x:v>
      </x:c>
      <x:c r="L3824" t="str">
        <x:v>STORE-001</x:v>
      </x:c>
      <x:c r="M3824" s="22" t="n">
        <x:v>46128</x:v>
      </x:c>
      <x:c r="N3824" t="str">
        <x:v>SKU-017</x:v>
      </x:c>
      <x:c r="O3824" t="n">
        <x:v>1</x:v>
      </x:c>
      <x:c r="P3824" s="26" t="n">
        <x:f>F3824/O3824</x:f>
        <x:v>68.85</x:v>
      </x:c>
    </x:row>
    <x:row r="3825">
      <x:c r="A3825" t="n">
        <x:v>3824</x:v>
      </x:c>
      <x:c r="B3825" t="n">
        <x:v>30</x:v>
      </x:c>
      <x:c r="C3825" t="str">
        <x:v>Male</x:v>
      </x:c>
      <x:c r="D3825" t="str">
        <x:v>Electronics</x:v>
      </x:c>
      <x:c r="E3825" t="str">
        <x:v>Mobile Phone</x:v>
      </x:c>
      <x:c r="F3825" s="24" t="n">
        <x:v>1289.45</x:v>
      </x:c>
      <x:c r="G3825" t="str">
        <x:v>Spring</x:v>
      </x:c>
      <x:c r="H3825" t="str">
        <x:v>Card</x:v>
      </x:c>
      <x:c r="I3825" t="n">
        <x:v>3.9</x:v>
      </x:c>
      <x:c r="J3825" t="n">
        <x:v>24</x:v>
      </x:c>
      <x:c r="K3825" t="n">
        <x:v>7</x:v>
      </x:c>
      <x:c r="L3825" t="str">
        <x:v>STORE-001</x:v>
      </x:c>
      <x:c r="M3825" s="22" t="n">
        <x:v>45954</x:v>
      </x:c>
      <x:c r="N3825" t="str">
        <x:v>SKU-016</x:v>
      </x:c>
      <x:c r="O3825" t="n">
        <x:v>1</x:v>
      </x:c>
      <x:c r="P3825" s="26" t="n">
        <x:f>F3825/O3825</x:f>
        <x:v>1289.45</x:v>
      </x:c>
    </x:row>
    <x:row r="3826">
      <x:c r="A3826" t="n">
        <x:v>3825</x:v>
      </x:c>
      <x:c r="B3826" t="n">
        <x:v>37</x:v>
      </x:c>
      <x:c r="C3826" t="str">
        <x:v>Male</x:v>
      </x:c>
      <x:c r="D3826" t="str">
        <x:v>Sports</x:v>
      </x:c>
      <x:c r="E3826" t="str">
        <x:v>Dumbbells</x:v>
      </x:c>
      <x:c r="F3826" s="24" t="n">
        <x:v>152.16</x:v>
      </x:c>
      <x:c r="G3826" t="str">
        <x:v>Autumn</x:v>
      </x:c>
      <x:c r="H3826" t="str">
        <x:v>Card</x:v>
      </x:c>
      <x:c r="I3826" t="n">
        <x:v>2.9</x:v>
      </x:c>
      <x:c r="J3826" t="n">
        <x:v>18</x:v>
      </x:c>
      <x:c r="K3826" t="n">
        <x:v>4</x:v>
      </x:c>
      <x:c r="L3826" t="str">
        <x:v>STORE-001</x:v>
      </x:c>
      <x:c r="M3826" s="22" t="n">
        <x:v>46106</x:v>
      </x:c>
      <x:c r="N3826" t="str">
        <x:v>SKU-005</x:v>
      </x:c>
      <x:c r="O3826" t="n">
        <x:v>2</x:v>
      </x:c>
      <x:c r="P3826" s="26" t="n">
        <x:f>F3826/O3826</x:f>
        <x:v>76.08</x:v>
      </x:c>
    </x:row>
    <x:row r="3827">
      <x:c r="A3827" t="n">
        <x:v>3826</x:v>
      </x:c>
      <x:c r="B3827" t="n">
        <x:v>37</x:v>
      </x:c>
      <x:c r="C3827" t="str">
        <x:v>Female</x:v>
      </x:c>
      <x:c r="D3827" t="str">
        <x:v>Accessories</x:v>
      </x:c>
      <x:c r="E3827" t="str">
        <x:v>Handbag</x:v>
      </x:c>
      <x:c r="F3827" s="24" t="n">
        <x:v>108.77</x:v>
      </x:c>
      <x:c r="G3827" t="str">
        <x:v>Summer</x:v>
      </x:c>
      <x:c r="H3827" t="str">
        <x:v>Card</x:v>
      </x:c>
      <x:c r="I3827" t="n">
        <x:v>4.2</x:v>
      </x:c>
      <x:c r="J3827" t="n">
        <x:v>12</x:v>
      </x:c>
      <x:c r="K3827" t="n">
        <x:v>6</x:v>
      </x:c>
      <x:c r="L3827" t="str">
        <x:v>STORE-001</x:v>
      </x:c>
      <x:c r="M3827" s="22" t="n">
        <x:v>46033</x:v>
      </x:c>
      <x:c r="N3827" t="str">
        <x:v>SKU-008</x:v>
      </x:c>
      <x:c r="O3827" t="n">
        <x:v>1</x:v>
      </x:c>
      <x:c r="P3827" s="26" t="n">
        <x:f>F3827/O3827</x:f>
        <x:v>108.77</x:v>
      </x:c>
    </x:row>
    <x:row r="3828">
      <x:c r="A3828" t="n">
        <x:v>3827</x:v>
      </x:c>
      <x:c r="B3828" t="n">
        <x:v>57</x:v>
      </x:c>
      <x:c r="C3828" t="str">
        <x:v>Male</x:v>
      </x:c>
      <x:c r="D3828" t="str">
        <x:v>Sports</x:v>
      </x:c>
      <x:c r="E3828" t="str">
        <x:v>Yoga Mat</x:v>
      </x:c>
      <x:c r="F3828" s="24" t="n">
        <x:v>102.42</x:v>
      </x:c>
      <x:c r="G3828" t="str">
        <x:v>Autumn</x:v>
      </x:c>
      <x:c r="H3828" t="str">
        <x:v>Card</x:v>
      </x:c>
      <x:c r="I3828" t="n">
        <x:v>3.5</x:v>
      </x:c>
      <x:c r="J3828" t="n">
        <x:v>2</x:v>
      </x:c>
      <x:c r="K3828" t="n">
        <x:v>1</x:v>
      </x:c>
      <x:c r="L3828" t="str">
        <x:v>STORE-001</x:v>
      </x:c>
      <x:c r="M3828" s="22" t="n">
        <x:v>46128</x:v>
      </x:c>
      <x:c r="N3828" t="str">
        <x:v>SKU-030</x:v>
      </x:c>
      <x:c r="O3828" t="n">
        <x:v>2</x:v>
      </x:c>
      <x:c r="P3828" s="26" t="n">
        <x:f>F3828/O3828</x:f>
        <x:v>51.21</x:v>
      </x:c>
    </x:row>
    <x:row r="3829">
      <x:c r="A3829" t="n">
        <x:v>3828</x:v>
      </x:c>
      <x:c r="B3829" t="n">
        <x:v>35</x:v>
      </x:c>
      <x:c r="C3829" t="str">
        <x:v>Female</x:v>
      </x:c>
      <x:c r="D3829" t="str">
        <x:v>Accessories</x:v>
      </x:c>
      <x:c r="E3829" t="str">
        <x:v>Wallet</x:v>
      </x:c>
      <x:c r="F3829" s="24" t="n">
        <x:v>89.77</x:v>
      </x:c>
      <x:c r="G3829" t="str">
        <x:v>Spring</x:v>
      </x:c>
      <x:c r="H3829" t="str">
        <x:v>Card</x:v>
      </x:c>
      <x:c r="I3829" t="n">
        <x:v>3.6</x:v>
      </x:c>
      <x:c r="J3829" t="n">
        <x:v>6</x:v>
      </x:c>
      <x:c r="K3829" t="n">
        <x:v>3</x:v>
      </x:c>
      <x:c r="L3829" t="str">
        <x:v>STORE-001</x:v>
      </x:c>
      <x:c r="M3829" s="22" t="n">
        <x:v>45987</x:v>
      </x:c>
      <x:c r="N3829" t="str">
        <x:v>SKU-029</x:v>
      </x:c>
      <x:c r="O3829" t="n">
        <x:v>3</x:v>
      </x:c>
      <x:c r="P3829" s="26" t="n">
        <x:f>F3829/O3829</x:f>
        <x:v>29.923333333333332</x:v>
      </x:c>
    </x:row>
    <x:row r="3830">
      <x:c r="A3830" t="n">
        <x:v>3829</x:v>
      </x:c>
      <x:c r="B3830" t="n">
        <x:v>66</x:v>
      </x:c>
      <x:c r="C3830" t="str">
        <x:v>Male</x:v>
      </x:c>
      <x:c r="D3830" t="str">
        <x:v>Electronics</x:v>
      </x:c>
      <x:c r="E3830" t="str">
        <x:v>Laptop</x:v>
      </x:c>
      <x:c r="F3830" s="24" t="n">
        <x:v>2342.16</x:v>
      </x:c>
      <x:c r="G3830" t="str">
        <x:v>Summer</x:v>
      </x:c>
      <x:c r="H3830" t="str">
        <x:v>Card</x:v>
      </x:c>
      <x:c r="I3830" t="n">
        <x:v>3.7</x:v>
      </x:c>
      <x:c r="J3830" t="n">
        <x:v>23</x:v>
      </x:c>
      <x:c r="K3830" t="n">
        <x:v>9</x:v>
      </x:c>
      <x:c r="L3830" t="str">
        <x:v>STORE-001</x:v>
      </x:c>
      <x:c r="M3830" s="22" t="n">
        <x:v>46046</x:v>
      </x:c>
      <x:c r="N3830" t="str">
        <x:v>SKU-014</x:v>
      </x:c>
      <x:c r="O3830" t="n">
        <x:v>1</x:v>
      </x:c>
      <x:c r="P3830" s="26" t="n">
        <x:f>F3830/O3830</x:f>
        <x:v>2342.16</x:v>
      </x:c>
    </x:row>
    <x:row r="3831">
      <x:c r="A3831" t="n">
        <x:v>3830</x:v>
      </x:c>
      <x:c r="B3831" t="n">
        <x:v>54</x:v>
      </x:c>
      <x:c r="C3831" t="str">
        <x:v>Female</x:v>
      </x:c>
      <x:c r="D3831" t="str">
        <x:v>Beauty</x:v>
      </x:c>
      <x:c r="E3831" t="str">
        <x:v>Makeup Set</x:v>
      </x:c>
      <x:c r="F3831" s="24" t="n">
        <x:v>101.65</x:v>
      </x:c>
      <x:c r="G3831" t="str">
        <x:v>Summer</x:v>
      </x:c>
      <x:c r="H3831" t="str">
        <x:v>Card</x:v>
      </x:c>
      <x:c r="I3831" t="n">
        <x:v>3.9</x:v>
      </x:c>
      <x:c r="J3831" t="n">
        <x:v>12</x:v>
      </x:c>
      <x:c r="K3831" t="n">
        <x:v>6</x:v>
      </x:c>
      <x:c r="L3831" t="str">
        <x:v>STORE-001</x:v>
      </x:c>
      <x:c r="M3831" s="22" t="n">
        <x:v>46005</x:v>
      </x:c>
      <x:c r="N3831" t="str">
        <x:v>SKU-015</x:v>
      </x:c>
      <x:c r="O3831" t="n">
        <x:v>2</x:v>
      </x:c>
      <x:c r="P3831" s="26" t="n">
        <x:f>F3831/O3831</x:f>
        <x:v>50.825</x:v>
      </x:c>
    </x:row>
    <x:row r="3832">
      <x:c r="A3832" t="n">
        <x:v>3831</x:v>
      </x:c>
      <x:c r="B3832" t="n">
        <x:v>57</x:v>
      </x:c>
      <x:c r="C3832" t="str">
        <x:v>Female</x:v>
      </x:c>
      <x:c r="D3832" t="str">
        <x:v>Sports</x:v>
      </x:c>
      <x:c r="E3832" t="str">
        <x:v>Dumbbells</x:v>
      </x:c>
      <x:c r="F3832" s="24" t="n">
        <x:v>194.84</x:v>
      </x:c>
      <x:c r="G3832" t="str">
        <x:v>Spring</x:v>
      </x:c>
      <x:c r="H3832" t="str">
        <x:v>Card</x:v>
      </x:c>
      <x:c r="I3832" t="n">
        <x:v>4.7</x:v>
      </x:c>
      <x:c r="J3832" t="n">
        <x:v>22</x:v>
      </x:c>
      <x:c r="K3832" t="n">
        <x:v>6</x:v>
      </x:c>
      <x:c r="L3832" t="str">
        <x:v>STORE-001</x:v>
      </x:c>
      <x:c r="M3832" s="22" t="n">
        <x:v>45970</x:v>
      </x:c>
      <x:c r="N3832" t="str">
        <x:v>SKU-005</x:v>
      </x:c>
      <x:c r="O3832" t="n">
        <x:v>2</x:v>
      </x:c>
      <x:c r="P3832" s="26" t="n">
        <x:f>F3832/O3832</x:f>
        <x:v>97.42</x:v>
      </x:c>
    </x:row>
    <x:row r="3833">
      <x:c r="A3833" t="n">
        <x:v>3832</x:v>
      </x:c>
      <x:c r="B3833" t="n">
        <x:v>27</x:v>
      </x:c>
      <x:c r="C3833" t="str">
        <x:v>Male</x:v>
      </x:c>
      <x:c r="D3833" t="str">
        <x:v>Electronics</x:v>
      </x:c>
      <x:c r="E3833" t="str">
        <x:v>Smart Watch</x:v>
      </x:c>
      <x:c r="F3833" s="24" t="n">
        <x:v>1483.08</x:v>
      </x:c>
      <x:c r="G3833" t="str">
        <x:v>Spring</x:v>
      </x:c>
      <x:c r="H3833" t="str">
        <x:v>Card</x:v>
      </x:c>
      <x:c r="I3833" t="n">
        <x:v>4.1</x:v>
      </x:c>
      <x:c r="J3833" t="n">
        <x:v>16</x:v>
      </x:c>
      <x:c r="K3833" t="n">
        <x:v>3</x:v>
      </x:c>
      <x:c r="L3833" t="str">
        <x:v>STORE-001</x:v>
      </x:c>
      <x:c r="M3833" s="22" t="n">
        <x:v>46285</x:v>
      </x:c>
      <x:c r="N3833" t="str">
        <x:v>SKU-023</x:v>
      </x:c>
      <x:c r="O3833" t="n">
        <x:v>1</x:v>
      </x:c>
      <x:c r="P3833" s="26" t="n">
        <x:f>F3833/O3833</x:f>
        <x:v>1483.08</x:v>
      </x:c>
    </x:row>
    <x:row r="3834">
      <x:c r="A3834" t="n">
        <x:v>3833</x:v>
      </x:c>
      <x:c r="B3834" t="n">
        <x:v>66</x:v>
      </x:c>
      <x:c r="C3834" t="str">
        <x:v>Female</x:v>
      </x:c>
      <x:c r="D3834" t="str">
        <x:v>Groceries</x:v>
      </x:c>
      <x:c r="E3834" t="str">
        <x:v>Beverages</x:v>
      </x:c>
      <x:c r="F3834" s="24" t="n">
        <x:v>16.63</x:v>
      </x:c>
      <x:c r="G3834" t="str">
        <x:v>Spring</x:v>
      </x:c>
      <x:c r="H3834" t="str">
        <x:v>Cash on Delivery</x:v>
      </x:c>
      <x:c r="I3834" t="n">
        <x:v>3</x:v>
      </x:c>
      <x:c r="J3834" t="n">
        <x:v>15</x:v>
      </x:c>
      <x:c r="K3834" t="n">
        <x:v>5</x:v>
      </x:c>
      <x:c r="L3834" t="str">
        <x:v>STORE-001</x:v>
      </x:c>
      <x:c r="M3834" s="22" t="n">
        <x:v>46276</x:v>
      </x:c>
      <x:c r="N3834" t="str">
        <x:v>SKU-001</x:v>
      </x:c>
      <x:c r="O3834" t="n">
        <x:v>2</x:v>
      </x:c>
      <x:c r="P3834" s="26" t="n">
        <x:f>F3834/O3834</x:f>
        <x:v>8.315</x:v>
      </x:c>
    </x:row>
    <x:row r="3835">
      <x:c r="A3835" t="n">
        <x:v>3834</x:v>
      </x:c>
      <x:c r="B3835" t="n">
        <x:v>45</x:v>
      </x:c>
      <x:c r="C3835" t="str">
        <x:v>Male</x:v>
      </x:c>
      <x:c r="D3835" t="str">
        <x:v>Sports</x:v>
      </x:c>
      <x:c r="E3835" t="str">
        <x:v>Football</x:v>
      </x:c>
      <x:c r="F3835" s="24" t="n">
        <x:v>191.91</x:v>
      </x:c>
      <x:c r="G3835" t="str">
        <x:v>Winter</x:v>
      </x:c>
      <x:c r="H3835" t="str">
        <x:v>Card</x:v>
      </x:c>
      <x:c r="I3835" t="n">
        <x:v>3</x:v>
      </x:c>
      <x:c r="J3835" t="n">
        <x:v>8</x:v>
      </x:c>
      <x:c r="K3835" t="n">
        <x:v>4</x:v>
      </x:c>
      <x:c r="L3835" t="str">
        <x:v>STORE-001</x:v>
      </x:c>
      <x:c r="M3835" s="22" t="n">
        <x:v>46183</x:v>
      </x:c>
      <x:c r="N3835" t="str">
        <x:v>SKU-006</x:v>
      </x:c>
      <x:c r="O3835" t="n">
        <x:v>2</x:v>
      </x:c>
      <x:c r="P3835" s="26" t="n">
        <x:f>F3835/O3835</x:f>
        <x:v>95.955</x:v>
      </x:c>
    </x:row>
    <x:row r="3836">
      <x:c r="A3836" t="n">
        <x:v>3835</x:v>
      </x:c>
      <x:c r="B3836" t="n">
        <x:v>48</x:v>
      </x:c>
      <x:c r="C3836" t="str">
        <x:v>Male</x:v>
      </x:c>
      <x:c r="D3836" t="str">
        <x:v>Mens Clothing</x:v>
      </x:c>
      <x:c r="E3836" t="str">
        <x:v>Jacket</x:v>
      </x:c>
      <x:c r="F3836" s="24" t="n">
        <x:v>114.46</x:v>
      </x:c>
      <x:c r="G3836" t="str">
        <x:v>Autumn</x:v>
      </x:c>
      <x:c r="H3836" t="str">
        <x:v>Card</x:v>
      </x:c>
      <x:c r="I3836" t="n">
        <x:v>3.5</x:v>
      </x:c>
      <x:c r="J3836" t="n">
        <x:v>7</x:v>
      </x:c>
      <x:c r="K3836" t="n">
        <x:v>1</x:v>
      </x:c>
      <x:c r="L3836" t="str">
        <x:v>STORE-001</x:v>
      </x:c>
      <x:c r="M3836" s="22" t="n">
        <x:v>46145</x:v>
      </x:c>
      <x:c r="N3836" t="str">
        <x:v>SKU-010</x:v>
      </x:c>
      <x:c r="O3836" t="n">
        <x:v>2</x:v>
      </x:c>
      <x:c r="P3836" s="26" t="n">
        <x:f>F3836/O3836</x:f>
        <x:v>57.23</x:v>
      </x:c>
    </x:row>
    <x:row r="3837">
      <x:c r="A3837" t="n">
        <x:v>3836</x:v>
      </x:c>
      <x:c r="B3837" t="n">
        <x:v>44</x:v>
      </x:c>
      <x:c r="C3837" t="str">
        <x:v>Male</x:v>
      </x:c>
      <x:c r="D3837" t="str">
        <x:v>Home</x:v>
      </x:c>
      <x:c r="E3837" t="str">
        <x:v>Curtains</x:v>
      </x:c>
      <x:c r="F3837" s="24" t="n">
        <x:v>194.94</x:v>
      </x:c>
      <x:c r="G3837" t="str">
        <x:v>Autumn</x:v>
      </x:c>
      <x:c r="H3837" t="str">
        <x:v>Card</x:v>
      </x:c>
      <x:c r="I3837" t="n">
        <x:v>2.6</x:v>
      </x:c>
      <x:c r="J3837" t="n">
        <x:v>20</x:v>
      </x:c>
      <x:c r="K3837" t="n">
        <x:v>5</x:v>
      </x:c>
      <x:c r="L3837" t="str">
        <x:v>STORE-001</x:v>
      </x:c>
      <x:c r="M3837" s="22" t="n">
        <x:v>46114</x:v>
      </x:c>
      <x:c r="N3837" t="str">
        <x:v>SKU-003</x:v>
      </x:c>
      <x:c r="O3837" t="n">
        <x:v>1</x:v>
      </x:c>
      <x:c r="P3837" s="26" t="n">
        <x:f>F3837/O3837</x:f>
        <x:v>194.94</x:v>
      </x:c>
    </x:row>
    <x:row r="3838">
      <x:c r="A3838" t="n">
        <x:v>3837</x:v>
      </x:c>
      <x:c r="B3838" t="n">
        <x:v>42</x:v>
      </x:c>
      <x:c r="C3838" t="str">
        <x:v>Female</x:v>
      </x:c>
      <x:c r="D3838" t="str">
        <x:v>Womens Clothing</x:v>
      </x:c>
      <x:c r="E3838" t="str">
        <x:v>Dress</x:v>
      </x:c>
      <x:c r="F3838" s="24" t="n">
        <x:v>161.17</x:v>
      </x:c>
      <x:c r="G3838" t="str">
        <x:v>Spring</x:v>
      </x:c>
      <x:c r="H3838" t="str">
        <x:v>Card</x:v>
      </x:c>
      <x:c r="I3838" t="n">
        <x:v>3.2</x:v>
      </x:c>
      <x:c r="J3838" t="n">
        <x:v>10</x:v>
      </x:c>
      <x:c r="K3838" t="n">
        <x:v>5</x:v>
      </x:c>
      <x:c r="L3838" t="str">
        <x:v>STORE-001</x:v>
      </x:c>
      <x:c r="M3838" s="22" t="n">
        <x:v>46293</x:v>
      </x:c>
      <x:c r="N3838" t="str">
        <x:v>SKU-004</x:v>
      </x:c>
      <x:c r="O3838" t="n">
        <x:v>1</x:v>
      </x:c>
      <x:c r="P3838" s="26" t="n">
        <x:f>F3838/O3838</x:f>
        <x:v>161.17</x:v>
      </x:c>
    </x:row>
    <x:row r="3839">
      <x:c r="A3839" t="n">
        <x:v>3838</x:v>
      </x:c>
      <x:c r="B3839" t="n">
        <x:v>21</x:v>
      </x:c>
      <x:c r="C3839" t="str">
        <x:v>Female</x:v>
      </x:c>
      <x:c r="D3839" t="str">
        <x:v>Beauty</x:v>
      </x:c>
      <x:c r="E3839" t="str">
        <x:v>Makeup Set</x:v>
      </x:c>
      <x:c r="F3839" s="24" t="n">
        <x:v>128.63</x:v>
      </x:c>
      <x:c r="G3839" t="str">
        <x:v>Spring</x:v>
      </x:c>
      <x:c r="H3839" t="str">
        <x:v>Card</x:v>
      </x:c>
      <x:c r="I3839" t="n">
        <x:v>3.7</x:v>
      </x:c>
      <x:c r="J3839" t="n">
        <x:v>16</x:v>
      </x:c>
      <x:c r="K3839" t="n">
        <x:v>3</x:v>
      </x:c>
      <x:c r="L3839" t="str">
        <x:v>STORE-001</x:v>
      </x:c>
      <x:c r="M3839" s="22" t="n">
        <x:v>46277</x:v>
      </x:c>
      <x:c r="N3839" t="str">
        <x:v>SKU-015</x:v>
      </x:c>
      <x:c r="O3839" t="n">
        <x:v>1</x:v>
      </x:c>
      <x:c r="P3839" s="26" t="n">
        <x:f>F3839/O3839</x:f>
        <x:v>128.63</x:v>
      </x:c>
    </x:row>
    <x:row r="3840">
      <x:c r="A3840" t="n">
        <x:v>3839</x:v>
      </x:c>
      <x:c r="B3840" t="n">
        <x:v>42</x:v>
      </x:c>
      <x:c r="C3840" t="str">
        <x:v>Male</x:v>
      </x:c>
      <x:c r="D3840" t="str">
        <x:v>Electronics</x:v>
      </x:c>
      <x:c r="E3840" t="str">
        <x:v>Mobile Phone</x:v>
      </x:c>
      <x:c r="F3840" s="24" t="n">
        <x:v>1995.79</x:v>
      </x:c>
      <x:c r="G3840" t="str">
        <x:v>Summer</x:v>
      </x:c>
      <x:c r="H3840" t="str">
        <x:v>Card</x:v>
      </x:c>
      <x:c r="I3840" t="n">
        <x:v>3</x:v>
      </x:c>
      <x:c r="J3840" t="n">
        <x:v>4</x:v>
      </x:c>
      <x:c r="K3840" t="n">
        <x:v>2</x:v>
      </x:c>
      <x:c r="L3840" t="str">
        <x:v>STORE-001</x:v>
      </x:c>
      <x:c r="M3840" s="22" t="n">
        <x:v>46052</x:v>
      </x:c>
      <x:c r="N3840" t="str">
        <x:v>SKU-016</x:v>
      </x:c>
      <x:c r="O3840" t="n">
        <x:v>1</x:v>
      </x:c>
      <x:c r="P3840" s="26" t="n">
        <x:f>F3840/O3840</x:f>
        <x:v>1995.79</x:v>
      </x:c>
    </x:row>
    <x:row r="3841">
      <x:c r="A3841" t="n">
        <x:v>3840</x:v>
      </x:c>
      <x:c r="B3841" t="n">
        <x:v>57</x:v>
      </x:c>
      <x:c r="C3841" t="str">
        <x:v>Male</x:v>
      </x:c>
      <x:c r="D3841" t="str">
        <x:v>Footwear</x:v>
      </x:c>
      <x:c r="E3841" t="str">
        <x:v>Sneakers</x:v>
      </x:c>
      <x:c r="F3841" s="24" t="n">
        <x:v>184.11</x:v>
      </x:c>
      <x:c r="G3841" t="str">
        <x:v>Spring</x:v>
      </x:c>
      <x:c r="H3841" t="str">
        <x:v>Card</x:v>
      </x:c>
      <x:c r="I3841" t="n">
        <x:v>3.4</x:v>
      </x:c>
      <x:c r="J3841" t="n">
        <x:v>17</x:v>
      </x:c>
      <x:c r="K3841" t="n">
        <x:v>6</x:v>
      </x:c>
      <x:c r="L3841" t="str">
        <x:v>STORE-001</x:v>
      </x:c>
      <x:c r="M3841" s="22" t="n">
        <x:v>45974</x:v>
      </x:c>
      <x:c r="N3841" t="str">
        <x:v>SKU-025</x:v>
      </x:c>
      <x:c r="O3841" t="n">
        <x:v>1</x:v>
      </x:c>
      <x:c r="P3841" s="26" t="n">
        <x:f>F3841/O3841</x:f>
        <x:v>184.11</x:v>
      </x:c>
    </x:row>
    <x:row r="3842">
      <x:c r="A3842" t="n">
        <x:v>3841</x:v>
      </x:c>
      <x:c r="B3842" t="n">
        <x:v>31</x:v>
      </x:c>
      <x:c r="C3842" t="str">
        <x:v>Female</x:v>
      </x:c>
      <x:c r="D3842" t="str">
        <x:v>Womens Clothing</x:v>
      </x:c>
      <x:c r="E3842" t="str">
        <x:v>Top</x:v>
      </x:c>
      <x:c r="F3842" s="24" t="n">
        <x:v>42.28</x:v>
      </x:c>
      <x:c r="G3842" t="str">
        <x:v>Autumn</x:v>
      </x:c>
      <x:c r="H3842" t="str">
        <x:v>Card</x:v>
      </x:c>
      <x:c r="I3842" t="n">
        <x:v>4.2</x:v>
      </x:c>
      <x:c r="J3842" t="n">
        <x:v>8</x:v>
      </x:c>
      <x:c r="K3842" t="n">
        <x:v>4</x:v>
      </x:c>
      <x:c r="L3842" t="str">
        <x:v>STORE-001</x:v>
      </x:c>
      <x:c r="M3842" s="22" t="n">
        <x:v>46139</x:v>
      </x:c>
      <x:c r="N3842" t="str">
        <x:v>SKU-028</x:v>
      </x:c>
      <x:c r="O3842" t="n">
        <x:v>2</x:v>
      </x:c>
      <x:c r="P3842" s="26" t="n">
        <x:f>F3842/O3842</x:f>
        <x:v>21.14</x:v>
      </x:c>
    </x:row>
    <x:row r="3843">
      <x:c r="A3843" t="n">
        <x:v>3842</x:v>
      </x:c>
      <x:c r="B3843" t="n">
        <x:v>34</x:v>
      </x:c>
      <x:c r="C3843" t="str">
        <x:v>Female</x:v>
      </x:c>
      <x:c r="D3843" t="str">
        <x:v>Groceries</x:v>
      </x:c>
      <x:c r="E3843" t="str">
        <x:v>Rice Pack</x:v>
      </x:c>
      <x:c r="F3843" s="24" t="n">
        <x:v>32.97</x:v>
      </x:c>
      <x:c r="G3843" t="str">
        <x:v>Spring</x:v>
      </x:c>
      <x:c r="H3843" t="str">
        <x:v>Cash on Delivery</x:v>
      </x:c>
      <x:c r="I3843" t="n">
        <x:v>2.2</x:v>
      </x:c>
      <x:c r="J3843" t="n">
        <x:v>22</x:v>
      </x:c>
      <x:c r="K3843" t="n">
        <x:v>6</x:v>
      </x:c>
      <x:c r="L3843" t="str">
        <x:v>STORE-001</x:v>
      </x:c>
      <x:c r="M3843" s="22" t="n">
        <x:v>46284</x:v>
      </x:c>
      <x:c r="N3843" t="str">
        <x:v>SKU-018</x:v>
      </x:c>
      <x:c r="O3843" t="n">
        <x:v>3</x:v>
      </x:c>
      <x:c r="P3843" s="26" t="n">
        <x:f>F3843/O3843</x:f>
        <x:v>10.99</x:v>
      </x:c>
    </x:row>
    <x:row r="3844">
      <x:c r="A3844" t="n">
        <x:v>3843</x:v>
      </x:c>
      <x:c r="B3844" t="n">
        <x:v>36</x:v>
      </x:c>
      <x:c r="C3844" t="str">
        <x:v>Male</x:v>
      </x:c>
      <x:c r="D3844" t="str">
        <x:v>Mens Clothing</x:v>
      </x:c>
      <x:c r="E3844" t="str">
        <x:v>Jeans</x:v>
      </x:c>
      <x:c r="F3844" s="24" t="n">
        <x:v>177.58</x:v>
      </x:c>
      <x:c r="G3844" t="str">
        <x:v>Autumn</x:v>
      </x:c>
      <x:c r="H3844" t="str">
        <x:v>Card</x:v>
      </x:c>
      <x:c r="I3844" t="n">
        <x:v>5</x:v>
      </x:c>
      <x:c r="J3844" t="n">
        <x:v>20</x:v>
      </x:c>
      <x:c r="K3844" t="n">
        <x:v>5</x:v>
      </x:c>
      <x:c r="L3844" t="str">
        <x:v>STORE-001</x:v>
      </x:c>
      <x:c r="M3844" s="22" t="n">
        <x:v>46098</x:v>
      </x:c>
      <x:c r="N3844" t="str">
        <x:v>SKU-011</x:v>
      </x:c>
      <x:c r="O3844" t="n">
        <x:v>1</x:v>
      </x:c>
      <x:c r="P3844" s="26" t="n">
        <x:f>F3844/O3844</x:f>
        <x:v>177.58</x:v>
      </x:c>
    </x:row>
    <x:row r="3845">
      <x:c r="A3845" t="n">
        <x:v>3844</x:v>
      </x:c>
      <x:c r="B3845" t="n">
        <x:v>52</x:v>
      </x:c>
      <x:c r="C3845" t="str">
        <x:v>Male</x:v>
      </x:c>
      <x:c r="D3845" t="str">
        <x:v>Groceries</x:v>
      </x:c>
      <x:c r="E3845" t="str">
        <x:v>Rice Pack</x:v>
      </x:c>
      <x:c r="F3845" s="24" t="n">
        <x:v>28.33</x:v>
      </x:c>
      <x:c r="G3845" t="str">
        <x:v>Summer</x:v>
      </x:c>
      <x:c r="H3845" t="str">
        <x:v>Card</x:v>
      </x:c>
      <x:c r="I3845" t="n">
        <x:v>2.6</x:v>
      </x:c>
      <x:c r="J3845" t="n">
        <x:v>10</x:v>
      </x:c>
      <x:c r="K3845" t="n">
        <x:v>5</x:v>
      </x:c>
      <x:c r="L3845" t="str">
        <x:v>STORE-001</x:v>
      </x:c>
      <x:c r="M3845" s="22" t="n">
        <x:v>46055</x:v>
      </x:c>
      <x:c r="N3845" t="str">
        <x:v>SKU-018</x:v>
      </x:c>
      <x:c r="O3845" t="n">
        <x:v>4</x:v>
      </x:c>
      <x:c r="P3845" s="26" t="n">
        <x:f>F3845/O3845</x:f>
        <x:v>7.0825</x:v>
      </x:c>
    </x:row>
    <x:row r="3846">
      <x:c r="A3846" t="n">
        <x:v>3845</x:v>
      </x:c>
      <x:c r="B3846" t="n">
        <x:v>56</x:v>
      </x:c>
      <x:c r="C3846" t="str">
        <x:v>Male</x:v>
      </x:c>
      <x:c r="D3846" t="str">
        <x:v>Electronics</x:v>
      </x:c>
      <x:c r="E3846" t="str">
        <x:v>Headphones</x:v>
      </x:c>
      <x:c r="F3846" s="24" t="n">
        <x:v>1509.77</x:v>
      </x:c>
      <x:c r="G3846" t="str">
        <x:v>Spring</x:v>
      </x:c>
      <x:c r="H3846" t="str">
        <x:v>Card</x:v>
      </x:c>
      <x:c r="I3846" t="n">
        <x:v>4.1</x:v>
      </x:c>
      <x:c r="J3846" t="n">
        <x:v>8</x:v>
      </x:c>
      <x:c r="K3846" t="n">
        <x:v>4</x:v>
      </x:c>
      <x:c r="L3846" t="str">
        <x:v>STORE-001</x:v>
      </x:c>
      <x:c r="M3846" s="22" t="n">
        <x:v>46272</x:v>
      </x:c>
      <x:c r="N3846" t="str">
        <x:v>SKU-009</x:v>
      </x:c>
      <x:c r="O3846" t="n">
        <x:v>1</x:v>
      </x:c>
      <x:c r="P3846" s="26" t="n">
        <x:f>F3846/O3846</x:f>
        <x:v>1509.77</x:v>
      </x:c>
    </x:row>
    <x:row r="3847">
      <x:c r="A3847" t="n">
        <x:v>3846</x:v>
      </x:c>
      <x:c r="B3847" t="n">
        <x:v>22</x:v>
      </x:c>
      <x:c r="C3847" t="str">
        <x:v>Male</x:v>
      </x:c>
      <x:c r="D3847" t="str">
        <x:v>Footwear</x:v>
      </x:c>
      <x:c r="E3847" t="str">
        <x:v>Formal Shoes</x:v>
      </x:c>
      <x:c r="F3847" s="24" t="n">
        <x:v>221.34</x:v>
      </x:c>
      <x:c r="G3847" t="str">
        <x:v>Summer</x:v>
      </x:c>
      <x:c r="H3847" t="str">
        <x:v>Card</x:v>
      </x:c>
      <x:c r="I3847" t="n">
        <x:v>3</x:v>
      </x:c>
      <x:c r="J3847" t="n">
        <x:v>9</x:v>
      </x:c>
      <x:c r="K3847" t="n">
        <x:v>2</x:v>
      </x:c>
      <x:c r="L3847" t="str">
        <x:v>STORE-001</x:v>
      </x:c>
      <x:c r="M3847" s="22" t="n">
        <x:v>46080</x:v>
      </x:c>
      <x:c r="N3847" t="str">
        <x:v>SKU-007</x:v>
      </x:c>
      <x:c r="O3847" t="n">
        <x:v>1</x:v>
      </x:c>
      <x:c r="P3847" s="26" t="n">
        <x:f>F3847/O3847</x:f>
        <x:v>221.34</x:v>
      </x:c>
    </x:row>
    <x:row r="3848">
      <x:c r="A3848" t="n">
        <x:v>3847</x:v>
      </x:c>
      <x:c r="B3848" t="n">
        <x:v>25</x:v>
      </x:c>
      <x:c r="C3848" t="str">
        <x:v>Male</x:v>
      </x:c>
      <x:c r="D3848" t="str">
        <x:v>Footwear</x:v>
      </x:c>
      <x:c r="E3848" t="str">
        <x:v>Formal Shoes</x:v>
      </x:c>
      <x:c r="F3848" s="24" t="n">
        <x:v>129.2</x:v>
      </x:c>
      <x:c r="G3848" t="str">
        <x:v>Winter</x:v>
      </x:c>
      <x:c r="H3848" t="str">
        <x:v>Card</x:v>
      </x:c>
      <x:c r="I3848" t="n">
        <x:v>3.8</x:v>
      </x:c>
      <x:c r="J3848" t="n">
        <x:v>11</x:v>
      </x:c>
      <x:c r="K3848" t="n">
        <x:v>3</x:v>
      </x:c>
      <x:c r="L3848" t="str">
        <x:v>STORE-001</x:v>
      </x:c>
      <x:c r="M3848" s="22" t="n">
        <x:v>46251</x:v>
      </x:c>
      <x:c r="N3848" t="str">
        <x:v>SKU-007</x:v>
      </x:c>
      <x:c r="O3848" t="n">
        <x:v>1</x:v>
      </x:c>
      <x:c r="P3848" s="26" t="n">
        <x:f>F3848/O3848</x:f>
        <x:v>129.2</x:v>
      </x:c>
    </x:row>
    <x:row r="3849">
      <x:c r="A3849" t="n">
        <x:v>3848</x:v>
      </x:c>
      <x:c r="B3849" t="n">
        <x:v>33</x:v>
      </x:c>
      <x:c r="C3849" t="str">
        <x:v>Female</x:v>
      </x:c>
      <x:c r="D3849" t="str">
        <x:v>Beauty</x:v>
      </x:c>
      <x:c r="E3849" t="str">
        <x:v>Makeup Set</x:v>
      </x:c>
      <x:c r="F3849" s="24" t="n">
        <x:v>33.51</x:v>
      </x:c>
      <x:c r="G3849" t="str">
        <x:v>Winter</x:v>
      </x:c>
      <x:c r="H3849" t="str">
        <x:v>Card</x:v>
      </x:c>
      <x:c r="I3849" t="n">
        <x:v>3.8</x:v>
      </x:c>
      <x:c r="J3849" t="n">
        <x:v>16</x:v>
      </x:c>
      <x:c r="K3849" t="n">
        <x:v>8</x:v>
      </x:c>
      <x:c r="L3849" t="str">
        <x:v>STORE-001</x:v>
      </x:c>
      <x:c r="M3849" s="22" t="n">
        <x:v>46209</x:v>
      </x:c>
      <x:c r="N3849" t="str">
        <x:v>SKU-015</x:v>
      </x:c>
      <x:c r="O3849" t="n">
        <x:v>1</x:v>
      </x:c>
      <x:c r="P3849" s="26" t="n">
        <x:f>F3849/O3849</x:f>
        <x:v>33.51</x:v>
      </x:c>
    </x:row>
    <x:row r="3850">
      <x:c r="A3850" t="n">
        <x:v>3849</x:v>
      </x:c>
      <x:c r="B3850" t="n">
        <x:v>60</x:v>
      </x:c>
      <x:c r="C3850" t="str">
        <x:v>Female</x:v>
      </x:c>
      <x:c r="D3850" t="str">
        <x:v>Womens Clothing</x:v>
      </x:c>
      <x:c r="E3850" t="str">
        <x:v>Jeans</x:v>
      </x:c>
      <x:c r="F3850" s="24" t="n">
        <x:v>73.26</x:v>
      </x:c>
      <x:c r="G3850" t="str">
        <x:v>Winter</x:v>
      </x:c>
      <x:c r="H3850" t="str">
        <x:v>Card</x:v>
      </x:c>
      <x:c r="I3850" t="n">
        <x:v>3</x:v>
      </x:c>
      <x:c r="J3850" t="n">
        <x:v>9</x:v>
      </x:c>
      <x:c r="K3850" t="n">
        <x:v>2</x:v>
      </x:c>
      <x:c r="L3850" t="str">
        <x:v>STORE-001</x:v>
      </x:c>
      <x:c r="M3850" s="22" t="n">
        <x:v>46239</x:v>
      </x:c>
      <x:c r="N3850" t="str">
        <x:v>SKU-011</x:v>
      </x:c>
      <x:c r="O3850" t="n">
        <x:v>3</x:v>
      </x:c>
      <x:c r="P3850" s="26" t="n">
        <x:f>F3850/O3850</x:f>
        <x:v>24.42</x:v>
      </x:c>
    </x:row>
    <x:row r="3851">
      <x:c r="A3851" t="n">
        <x:v>3850</x:v>
      </x:c>
      <x:c r="B3851" t="n">
        <x:v>22</x:v>
      </x:c>
      <x:c r="C3851" t="str">
        <x:v>Male</x:v>
      </x:c>
      <x:c r="D3851" t="str">
        <x:v>Electronics</x:v>
      </x:c>
      <x:c r="E3851" t="str">
        <x:v>Headphones</x:v>
      </x:c>
      <x:c r="F3851" s="24" t="n">
        <x:v>2440.87</x:v>
      </x:c>
      <x:c r="G3851" t="str">
        <x:v>Summer</x:v>
      </x:c>
      <x:c r="H3851" t="str">
        <x:v>Card</x:v>
      </x:c>
      <x:c r="I3851" t="n">
        <x:v>3.7</x:v>
      </x:c>
      <x:c r="J3851" t="n">
        <x:v>22</x:v>
      </x:c>
      <x:c r="K3851" t="n">
        <x:v>6</x:v>
      </x:c>
      <x:c r="L3851" t="str">
        <x:v>STORE-001</x:v>
      </x:c>
      <x:c r="M3851" s="22" t="n">
        <x:v>46035</x:v>
      </x:c>
      <x:c r="N3851" t="str">
        <x:v>SKU-009</x:v>
      </x:c>
      <x:c r="O3851" t="n">
        <x:v>1</x:v>
      </x:c>
      <x:c r="P3851" s="26" t="n">
        <x:f>F3851/O3851</x:f>
        <x:v>2440.87</x:v>
      </x:c>
    </x:row>
    <x:row r="3852">
      <x:c r="A3852" t="n">
        <x:v>3851</x:v>
      </x:c>
      <x:c r="B3852" t="n">
        <x:v>35</x:v>
      </x:c>
      <x:c r="C3852" t="str">
        <x:v>Female</x:v>
      </x:c>
      <x:c r="D3852" t="str">
        <x:v>Home</x:v>
      </x:c>
      <x:c r="E3852" t="str">
        <x:v>Kitchen Set</x:v>
      </x:c>
      <x:c r="F3852" s="24" t="n">
        <x:v>164.39</x:v>
      </x:c>
      <x:c r="G3852" t="str">
        <x:v>Summer</x:v>
      </x:c>
      <x:c r="H3852" t="str">
        <x:v>Card</x:v>
      </x:c>
      <x:c r="I3852" t="n">
        <x:v>3.9</x:v>
      </x:c>
      <x:c r="J3852" t="n">
        <x:v>15</x:v>
      </x:c>
      <x:c r="K3852" t="n">
        <x:v>5</x:v>
      </x:c>
      <x:c r="L3852" t="str">
        <x:v>STORE-001</x:v>
      </x:c>
      <x:c r="M3852" s="22" t="n">
        <x:v>46047</x:v>
      </x:c>
      <x:c r="N3852" t="str">
        <x:v>SKU-012</x:v>
      </x:c>
      <x:c r="O3852" t="n">
        <x:v>3</x:v>
      </x:c>
      <x:c r="P3852" s="26" t="n">
        <x:f>F3852/O3852</x:f>
        <x:v>54.79666666666666</x:v>
      </x:c>
    </x:row>
    <x:row r="3853">
      <x:c r="A3853" t="n">
        <x:v>3852</x:v>
      </x:c>
      <x:c r="B3853" t="n">
        <x:v>35</x:v>
      </x:c>
      <x:c r="C3853" t="str">
        <x:v>Female</x:v>
      </x:c>
      <x:c r="D3853" t="str">
        <x:v>Accessories</x:v>
      </x:c>
      <x:c r="E3853" t="str">
        <x:v>Handbag</x:v>
      </x:c>
      <x:c r="F3853" s="24" t="n">
        <x:v>72.82</x:v>
      </x:c>
      <x:c r="G3853" t="str">
        <x:v>Spring</x:v>
      </x:c>
      <x:c r="H3853" t="str">
        <x:v>Cash on Delivery</x:v>
      </x:c>
      <x:c r="I3853" t="n">
        <x:v>5</x:v>
      </x:c>
      <x:c r="J3853" t="n">
        <x:v>24</x:v>
      </x:c>
      <x:c r="K3853" t="n">
        <x:v>7</x:v>
      </x:c>
      <x:c r="L3853" t="str">
        <x:v>STORE-001</x:v>
      </x:c>
      <x:c r="M3853" s="22" t="n">
        <x:v>46272</x:v>
      </x:c>
      <x:c r="N3853" t="str">
        <x:v>SKU-008</x:v>
      </x:c>
      <x:c r="O3853" t="n">
        <x:v>2</x:v>
      </x:c>
      <x:c r="P3853" s="26" t="n">
        <x:f>F3853/O3853</x:f>
        <x:v>36.41</x:v>
      </x:c>
    </x:row>
    <x:row r="3854">
      <x:c r="A3854" t="n">
        <x:v>3853</x:v>
      </x:c>
      <x:c r="B3854" t="n">
        <x:v>22</x:v>
      </x:c>
      <x:c r="C3854" t="str">
        <x:v>Female</x:v>
      </x:c>
      <x:c r="D3854" t="str">
        <x:v>Footwear</x:v>
      </x:c>
      <x:c r="E3854" t="str">
        <x:v>Sandals</x:v>
      </x:c>
      <x:c r="F3854" s="24" t="n">
        <x:v>195.2</x:v>
      </x:c>
      <x:c r="G3854" t="str">
        <x:v>Summer</x:v>
      </x:c>
      <x:c r="H3854" t="str">
        <x:v>Card</x:v>
      </x:c>
      <x:c r="I3854" t="n">
        <x:v>3.6</x:v>
      </x:c>
      <x:c r="J3854" t="n">
        <x:v>17</x:v>
      </x:c>
      <x:c r="K3854" t="n">
        <x:v>6</x:v>
      </x:c>
      <x:c r="L3854" t="str">
        <x:v>STORE-001</x:v>
      </x:c>
      <x:c r="M3854" s="22" t="n">
        <x:v>46028</x:v>
      </x:c>
      <x:c r="N3854" t="str">
        <x:v>SKU-019</x:v>
      </x:c>
      <x:c r="O3854" t="n">
        <x:v>1</x:v>
      </x:c>
      <x:c r="P3854" s="26" t="n">
        <x:f>F3854/O3854</x:f>
        <x:v>195.2</x:v>
      </x:c>
    </x:row>
    <x:row r="3855">
      <x:c r="A3855" t="n">
        <x:v>3854</x:v>
      </x:c>
      <x:c r="B3855" t="n">
        <x:v>52</x:v>
      </x:c>
      <x:c r="C3855" t="str">
        <x:v>Female</x:v>
      </x:c>
      <x:c r="D3855" t="str">
        <x:v>Footwear</x:v>
      </x:c>
      <x:c r="E3855" t="str">
        <x:v>Sandals</x:v>
      </x:c>
      <x:c r="F3855" s="24" t="n">
        <x:v>165.9</x:v>
      </x:c>
      <x:c r="G3855" t="str">
        <x:v>Spring</x:v>
      </x:c>
      <x:c r="H3855" t="str">
        <x:v>Card</x:v>
      </x:c>
      <x:c r="I3855" t="n">
        <x:v>3.3</x:v>
      </x:c>
      <x:c r="J3855" t="n">
        <x:v>7</x:v>
      </x:c>
      <x:c r="K3855" t="n">
        <x:v>1</x:v>
      </x:c>
      <x:c r="L3855" t="str">
        <x:v>STORE-001</x:v>
      </x:c>
      <x:c r="M3855" s="22" t="n">
        <x:v>45962</x:v>
      </x:c>
      <x:c r="N3855" t="str">
        <x:v>SKU-019</x:v>
      </x:c>
      <x:c r="O3855" t="n">
        <x:v>1</x:v>
      </x:c>
      <x:c r="P3855" s="26" t="n">
        <x:f>F3855/O3855</x:f>
        <x:v>165.9</x:v>
      </x:c>
    </x:row>
    <x:row r="3856">
      <x:c r="A3856" t="n">
        <x:v>3855</x:v>
      </x:c>
      <x:c r="B3856" t="n">
        <x:v>57</x:v>
      </x:c>
      <x:c r="C3856" t="str">
        <x:v>Male</x:v>
      </x:c>
      <x:c r="D3856" t="str">
        <x:v>Sports</x:v>
      </x:c>
      <x:c r="E3856" t="str">
        <x:v>Yoga Mat</x:v>
      </x:c>
      <x:c r="F3856" s="24" t="n">
        <x:v>53.33</x:v>
      </x:c>
      <x:c r="G3856" t="str">
        <x:v>Autumn</x:v>
      </x:c>
      <x:c r="H3856" t="str">
        <x:v>Card</x:v>
      </x:c>
      <x:c r="I3856" t="n">
        <x:v>3.7</x:v>
      </x:c>
      <x:c r="J3856" t="n">
        <x:v>15</x:v>
      </x:c>
      <x:c r="K3856" t="n">
        <x:v>5</x:v>
      </x:c>
      <x:c r="L3856" t="str">
        <x:v>STORE-001</x:v>
      </x:c>
      <x:c r="M3856" s="22" t="n">
        <x:v>46102</x:v>
      </x:c>
      <x:c r="N3856" t="str">
        <x:v>SKU-030</x:v>
      </x:c>
      <x:c r="O3856" t="n">
        <x:v>3</x:v>
      </x:c>
      <x:c r="P3856" s="26" t="n">
        <x:f>F3856/O3856</x:f>
        <x:v>17.776666666666667</x:v>
      </x:c>
    </x:row>
    <x:row r="3857">
      <x:c r="A3857" t="n">
        <x:v>3856</x:v>
      </x:c>
      <x:c r="B3857" t="n">
        <x:v>43</x:v>
      </x:c>
      <x:c r="C3857" t="str">
        <x:v>Male</x:v>
      </x:c>
      <x:c r="D3857" t="str">
        <x:v>Sports</x:v>
      </x:c>
      <x:c r="E3857" t="str">
        <x:v>Yoga Mat</x:v>
      </x:c>
      <x:c r="F3857" s="24" t="n">
        <x:v>186.13</x:v>
      </x:c>
      <x:c r="G3857" t="str">
        <x:v>Summer</x:v>
      </x:c>
      <x:c r="H3857" t="str">
        <x:v>Card</x:v>
      </x:c>
      <x:c r="I3857" t="n">
        <x:v>2.7</x:v>
      </x:c>
      <x:c r="J3857" t="n">
        <x:v>8</x:v>
      </x:c>
      <x:c r="K3857" t="n">
        <x:v>4</x:v>
      </x:c>
      <x:c r="L3857" t="str">
        <x:v>STORE-001</x:v>
      </x:c>
      <x:c r="M3857" s="22" t="n">
        <x:v>46048</x:v>
      </x:c>
      <x:c r="N3857" t="str">
        <x:v>SKU-030</x:v>
      </x:c>
      <x:c r="O3857" t="n">
        <x:v>1</x:v>
      </x:c>
      <x:c r="P3857" s="26" t="n">
        <x:f>F3857/O3857</x:f>
        <x:v>186.13</x:v>
      </x:c>
    </x:row>
    <x:row r="3858">
      <x:c r="A3858" t="n">
        <x:v>3857</x:v>
      </x:c>
      <x:c r="B3858" t="n">
        <x:v>51</x:v>
      </x:c>
      <x:c r="C3858" t="str">
        <x:v>Male</x:v>
      </x:c>
      <x:c r="D3858" t="str">
        <x:v>Mens Clothing</x:v>
      </x:c>
      <x:c r="E3858" t="str">
        <x:v>T-Shirt</x:v>
      </x:c>
      <x:c r="F3858" s="24" t="n">
        <x:v>71.65</x:v>
      </x:c>
      <x:c r="G3858" t="str">
        <x:v>Summer</x:v>
      </x:c>
      <x:c r="H3858" t="str">
        <x:v>Cash on Delivery</x:v>
      </x:c>
      <x:c r="I3858" t="n">
        <x:v>4.2</x:v>
      </x:c>
      <x:c r="J3858" t="n">
        <x:v>19</x:v>
      </x:c>
      <x:c r="K3858" t="n">
        <x:v>7</x:v>
      </x:c>
      <x:c r="L3858" t="str">
        <x:v>STORE-001</x:v>
      </x:c>
      <x:c r="M3858" s="22" t="n">
        <x:v>46020</x:v>
      </x:c>
      <x:c r="N3858" t="str">
        <x:v>SKU-027</x:v>
      </x:c>
      <x:c r="O3858" t="n">
        <x:v>1</x:v>
      </x:c>
      <x:c r="P3858" s="26" t="n">
        <x:f>F3858/O3858</x:f>
        <x:v>71.65</x:v>
      </x:c>
    </x:row>
    <x:row r="3859">
      <x:c r="A3859" t="n">
        <x:v>3858</x:v>
      </x:c>
      <x:c r="B3859" t="n">
        <x:v>55</x:v>
      </x:c>
      <x:c r="C3859" t="str">
        <x:v>Male</x:v>
      </x:c>
      <x:c r="D3859" t="str">
        <x:v>Sports</x:v>
      </x:c>
      <x:c r="E3859" t="str">
        <x:v>Yoga Mat</x:v>
      </x:c>
      <x:c r="F3859" s="24" t="n">
        <x:v>128.67</x:v>
      </x:c>
      <x:c r="G3859" t="str">
        <x:v>Spring</x:v>
      </x:c>
      <x:c r="H3859" t="str">
        <x:v>Card</x:v>
      </x:c>
      <x:c r="I3859" t="n">
        <x:v>4.1</x:v>
      </x:c>
      <x:c r="J3859" t="n">
        <x:v>20</x:v>
      </x:c>
      <x:c r="K3859" t="n">
        <x:v>5</x:v>
      </x:c>
      <x:c r="L3859" t="str">
        <x:v>STORE-001</x:v>
      </x:c>
      <x:c r="M3859" s="22" t="n">
        <x:v>46276</x:v>
      </x:c>
      <x:c r="N3859" t="str">
        <x:v>SKU-030</x:v>
      </x:c>
      <x:c r="O3859" t="n">
        <x:v>1</x:v>
      </x:c>
      <x:c r="P3859" s="26" t="n">
        <x:f>F3859/O3859</x:f>
        <x:v>128.67</x:v>
      </x:c>
    </x:row>
    <x:row r="3860">
      <x:c r="A3860" t="n">
        <x:v>3859</x:v>
      </x:c>
      <x:c r="B3860" t="n">
        <x:v>68</x:v>
      </x:c>
      <x:c r="C3860" t="str">
        <x:v>Female</x:v>
      </x:c>
      <x:c r="D3860" t="str">
        <x:v>Beauty</x:v>
      </x:c>
      <x:c r="E3860" t="str">
        <x:v>Makeup Set</x:v>
      </x:c>
      <x:c r="F3860" s="24" t="n">
        <x:v>72.5</x:v>
      </x:c>
      <x:c r="G3860" t="str">
        <x:v>Autumn</x:v>
      </x:c>
      <x:c r="H3860" t="str">
        <x:v>Cash on Delivery</x:v>
      </x:c>
      <x:c r="I3860" t="n">
        <x:v>3</x:v>
      </x:c>
      <x:c r="J3860" t="n">
        <x:v>28</x:v>
      </x:c>
      <x:c r="K3860" t="n">
        <x:v>9</x:v>
      </x:c>
      <x:c r="L3860" t="str">
        <x:v>STORE-001</x:v>
      </x:c>
      <x:c r="M3860" s="22" t="n">
        <x:v>46107</x:v>
      </x:c>
      <x:c r="N3860" t="str">
        <x:v>SKU-015</x:v>
      </x:c>
      <x:c r="O3860" t="n">
        <x:v>3</x:v>
      </x:c>
      <x:c r="P3860" s="26" t="n">
        <x:f>F3860/O3860</x:f>
        <x:v>24.166666666666668</x:v>
      </x:c>
    </x:row>
    <x:row r="3861">
      <x:c r="A3861" t="n">
        <x:v>3860</x:v>
      </x:c>
      <x:c r="B3861" t="n">
        <x:v>61</x:v>
      </x:c>
      <x:c r="C3861" t="str">
        <x:v>Female</x:v>
      </x:c>
      <x:c r="D3861" t="str">
        <x:v>Groceries</x:v>
      </x:c>
      <x:c r="E3861" t="str">
        <x:v>Cooking Oil</x:v>
      </x:c>
      <x:c r="F3861" s="24" t="n">
        <x:v>25.6</x:v>
      </x:c>
      <x:c r="G3861" t="str">
        <x:v>Spring</x:v>
      </x:c>
      <x:c r="H3861" t="str">
        <x:v>Cash on Delivery</x:v>
      </x:c>
      <x:c r="I3861" t="n">
        <x:v>4</x:v>
      </x:c>
      <x:c r="J3861" t="n">
        <x:v>13</x:v>
      </x:c>
      <x:c r="K3861" t="n">
        <x:v>4</x:v>
      </x:c>
      <x:c r="L3861" t="str">
        <x:v>STORE-001</x:v>
      </x:c>
      <x:c r="M3861" s="22" t="n">
        <x:v>46271</x:v>
      </x:c>
      <x:c r="N3861" t="str">
        <x:v>SKU-002</x:v>
      </x:c>
      <x:c r="O3861" t="n">
        <x:v>2</x:v>
      </x:c>
      <x:c r="P3861" s="26" t="n">
        <x:f>F3861/O3861</x:f>
        <x:v>12.8</x:v>
      </x:c>
    </x:row>
    <x:row r="3862">
      <x:c r="A3862" t="n">
        <x:v>3861</x:v>
      </x:c>
      <x:c r="B3862" t="n">
        <x:v>54</x:v>
      </x:c>
      <x:c r="C3862" t="str">
        <x:v>Female</x:v>
      </x:c>
      <x:c r="D3862" t="str">
        <x:v>Womens Clothing</x:v>
      </x:c>
      <x:c r="E3862" t="str">
        <x:v>Jeans</x:v>
      </x:c>
      <x:c r="F3862" s="24" t="n">
        <x:v>48.92</x:v>
      </x:c>
      <x:c r="G3862" t="str">
        <x:v>Summer</x:v>
      </x:c>
      <x:c r="H3862" t="str">
        <x:v>Card</x:v>
      </x:c>
      <x:c r="I3862" t="n">
        <x:v>4.2</x:v>
      </x:c>
      <x:c r="J3862" t="n">
        <x:v>22</x:v>
      </x:c>
      <x:c r="K3862" t="n">
        <x:v>6</x:v>
      </x:c>
      <x:c r="L3862" t="str">
        <x:v>STORE-001</x:v>
      </x:c>
      <x:c r="M3862" s="22" t="n">
        <x:v>46065</x:v>
      </x:c>
      <x:c r="N3862" t="str">
        <x:v>SKU-011</x:v>
      </x:c>
      <x:c r="O3862" t="n">
        <x:v>2</x:v>
      </x:c>
      <x:c r="P3862" s="26" t="n">
        <x:f>F3862/O3862</x:f>
        <x:v>24.46</x:v>
      </x:c>
    </x:row>
    <x:row r="3863">
      <x:c r="A3863" t="n">
        <x:v>3862</x:v>
      </x:c>
      <x:c r="B3863" t="n">
        <x:v>65</x:v>
      </x:c>
      <x:c r="C3863" t="str">
        <x:v>Female</x:v>
      </x:c>
      <x:c r="D3863" t="str">
        <x:v>Accessories</x:v>
      </x:c>
      <x:c r="E3863" t="str">
        <x:v>Handbag</x:v>
      </x:c>
      <x:c r="F3863" s="24" t="n">
        <x:v>82.14</x:v>
      </x:c>
      <x:c r="G3863" t="str">
        <x:v>Summer</x:v>
      </x:c>
      <x:c r="H3863" t="str">
        <x:v>Cash on Delivery</x:v>
      </x:c>
      <x:c r="I3863" t="n">
        <x:v>3.3</x:v>
      </x:c>
      <x:c r="J3863" t="n">
        <x:v>17</x:v>
      </x:c>
      <x:c r="K3863" t="n">
        <x:v>6</x:v>
      </x:c>
      <x:c r="L3863" t="str">
        <x:v>STORE-001</x:v>
      </x:c>
      <x:c r="M3863" s="22" t="n">
        <x:v>46002</x:v>
      </x:c>
      <x:c r="N3863" t="str">
        <x:v>SKU-008</x:v>
      </x:c>
      <x:c r="O3863" t="n">
        <x:v>3</x:v>
      </x:c>
      <x:c r="P3863" s="26" t="n">
        <x:f>F3863/O3863</x:f>
        <x:v>27.38</x:v>
      </x:c>
    </x:row>
    <x:row r="3864">
      <x:c r="A3864" t="n">
        <x:v>3863</x:v>
      </x:c>
      <x:c r="B3864" t="n">
        <x:v>42</x:v>
      </x:c>
      <x:c r="C3864" t="str">
        <x:v>Male</x:v>
      </x:c>
      <x:c r="D3864" t="str">
        <x:v>Footwear</x:v>
      </x:c>
      <x:c r="E3864" t="str">
        <x:v>Formal Shoes</x:v>
      </x:c>
      <x:c r="F3864" s="24" t="n">
        <x:v>74.96</x:v>
      </x:c>
      <x:c r="G3864" t="str">
        <x:v>Winter</x:v>
      </x:c>
      <x:c r="H3864" t="str">
        <x:v>Cash on Delivery</x:v>
      </x:c>
      <x:c r="I3864" t="n">
        <x:v>2.4</x:v>
      </x:c>
      <x:c r="J3864" t="n">
        <x:v>22</x:v>
      </x:c>
      <x:c r="K3864" t="n">
        <x:v>6</x:v>
      </x:c>
      <x:c r="L3864" t="str">
        <x:v>STORE-001</x:v>
      </x:c>
      <x:c r="M3864" s="22" t="n">
        <x:v>46227</x:v>
      </x:c>
      <x:c r="N3864" t="str">
        <x:v>SKU-007</x:v>
      </x:c>
      <x:c r="O3864" t="n">
        <x:v>1</x:v>
      </x:c>
      <x:c r="P3864" s="26" t="n">
        <x:f>F3864/O3864</x:f>
        <x:v>74.96</x:v>
      </x:c>
    </x:row>
    <x:row r="3865">
      <x:c r="A3865" t="n">
        <x:v>3864</x:v>
      </x:c>
      <x:c r="B3865" t="n">
        <x:v>53</x:v>
      </x:c>
      <x:c r="C3865" t="str">
        <x:v>Female</x:v>
      </x:c>
      <x:c r="D3865" t="str">
        <x:v>Groceries</x:v>
      </x:c>
      <x:c r="E3865" t="str">
        <x:v>Rice Pack</x:v>
      </x:c>
      <x:c r="F3865" s="24" t="n">
        <x:v>36.55</x:v>
      </x:c>
      <x:c r="G3865" t="str">
        <x:v>Spring</x:v>
      </x:c>
      <x:c r="H3865" t="str">
        <x:v>Card</x:v>
      </x:c>
      <x:c r="I3865" t="n">
        <x:v>3.8</x:v>
      </x:c>
      <x:c r="J3865" t="n">
        <x:v>15</x:v>
      </x:c>
      <x:c r="K3865" t="n">
        <x:v>5</x:v>
      </x:c>
      <x:c r="L3865" t="str">
        <x:v>STORE-001</x:v>
      </x:c>
      <x:c r="M3865" s="22" t="n">
        <x:v>45944</x:v>
      </x:c>
      <x:c r="N3865" t="str">
        <x:v>SKU-018</x:v>
      </x:c>
      <x:c r="O3865" t="n">
        <x:v>3</x:v>
      </x:c>
      <x:c r="P3865" s="26" t="n">
        <x:f>F3865/O3865</x:f>
        <x:v>12.183333333333332</x:v>
      </x:c>
    </x:row>
    <x:row r="3866">
      <x:c r="A3866" t="n">
        <x:v>3865</x:v>
      </x:c>
      <x:c r="B3866" t="n">
        <x:v>25</x:v>
      </x:c>
      <x:c r="C3866" t="str">
        <x:v>Male</x:v>
      </x:c>
      <x:c r="D3866" t="str">
        <x:v>Sports</x:v>
      </x:c>
      <x:c r="E3866" t="str">
        <x:v>Football</x:v>
      </x:c>
      <x:c r="F3866" s="24" t="n">
        <x:v>162.61</x:v>
      </x:c>
      <x:c r="G3866" t="str">
        <x:v>Winter</x:v>
      </x:c>
      <x:c r="H3866" t="str">
        <x:v>Card</x:v>
      </x:c>
      <x:c r="I3866" t="n">
        <x:v>4.7</x:v>
      </x:c>
      <x:c r="J3866" t="n">
        <x:v>16</x:v>
      </x:c>
      <x:c r="K3866" t="n">
        <x:v>3</x:v>
      </x:c>
      <x:c r="L3866" t="str">
        <x:v>STORE-001</x:v>
      </x:c>
      <x:c r="M3866" s="22" t="n">
        <x:v>46227</x:v>
      </x:c>
      <x:c r="N3866" t="str">
        <x:v>SKU-006</x:v>
      </x:c>
      <x:c r="O3866" t="n">
        <x:v>1</x:v>
      </x:c>
      <x:c r="P3866" s="26" t="n">
        <x:f>F3866/O3866</x:f>
        <x:v>162.61</x:v>
      </x:c>
    </x:row>
    <x:row r="3867">
      <x:c r="A3867" t="n">
        <x:v>3866</x:v>
      </x:c>
      <x:c r="B3867" t="n">
        <x:v>49</x:v>
      </x:c>
      <x:c r="C3867" t="str">
        <x:v>Male</x:v>
      </x:c>
      <x:c r="D3867" t="str">
        <x:v>Sports</x:v>
      </x:c>
      <x:c r="E3867" t="str">
        <x:v>Football</x:v>
      </x:c>
      <x:c r="F3867" s="24" t="n">
        <x:v>75.87</x:v>
      </x:c>
      <x:c r="G3867" t="str">
        <x:v>Spring</x:v>
      </x:c>
      <x:c r="H3867" t="str">
        <x:v>Cash on Delivery</x:v>
      </x:c>
      <x:c r="I3867" t="n">
        <x:v>3</x:v>
      </x:c>
      <x:c r="J3867" t="n">
        <x:v>11</x:v>
      </x:c>
      <x:c r="K3867" t="n">
        <x:v>3</x:v>
      </x:c>
      <x:c r="L3867" t="str">
        <x:v>STORE-001</x:v>
      </x:c>
      <x:c r="M3867" s="22" t="n">
        <x:v>45991</x:v>
      </x:c>
      <x:c r="N3867" t="str">
        <x:v>SKU-006</x:v>
      </x:c>
      <x:c r="O3867" t="n">
        <x:v>1</x:v>
      </x:c>
      <x:c r="P3867" s="26" t="n">
        <x:f>F3867/O3867</x:f>
        <x:v>75.87</x:v>
      </x:c>
    </x:row>
    <x:row r="3868">
      <x:c r="A3868" t="n">
        <x:v>3867</x:v>
      </x:c>
      <x:c r="B3868" t="n">
        <x:v>59</x:v>
      </x:c>
      <x:c r="C3868" t="str">
        <x:v>Female</x:v>
      </x:c>
      <x:c r="D3868" t="str">
        <x:v>Groceries</x:v>
      </x:c>
      <x:c r="E3868" t="str">
        <x:v>Rice Pack</x:v>
      </x:c>
      <x:c r="F3868" s="24" t="n">
        <x:v>16.71</x:v>
      </x:c>
      <x:c r="G3868" t="str">
        <x:v>Summer</x:v>
      </x:c>
      <x:c r="H3868" t="str">
        <x:v>Card</x:v>
      </x:c>
      <x:c r="I3868" t="n">
        <x:v>3.9</x:v>
      </x:c>
      <x:c r="J3868" t="n">
        <x:v>17</x:v>
      </x:c>
      <x:c r="K3868" t="n">
        <x:v>6</x:v>
      </x:c>
      <x:c r="L3868" t="str">
        <x:v>STORE-001</x:v>
      </x:c>
      <x:c r="M3868" s="22" t="n">
        <x:v>46073</x:v>
      </x:c>
      <x:c r="N3868" t="str">
        <x:v>SKU-018</x:v>
      </x:c>
      <x:c r="O3868" t="n">
        <x:v>1</x:v>
      </x:c>
      <x:c r="P3868" s="26" t="n">
        <x:f>F3868/O3868</x:f>
        <x:v>16.71</x:v>
      </x:c>
    </x:row>
    <x:row r="3869">
      <x:c r="A3869" t="n">
        <x:v>3868</x:v>
      </x:c>
      <x:c r="B3869" t="n">
        <x:v>66</x:v>
      </x:c>
      <x:c r="C3869" t="str">
        <x:v>Female</x:v>
      </x:c>
      <x:c r="D3869" t="str">
        <x:v>Accessories</x:v>
      </x:c>
      <x:c r="E3869" t="str">
        <x:v>Handbag</x:v>
      </x:c>
      <x:c r="F3869" s="24" t="n">
        <x:v>118.57</x:v>
      </x:c>
      <x:c r="G3869" t="str">
        <x:v>Autumn</x:v>
      </x:c>
      <x:c r="H3869" t="str">
        <x:v>Card</x:v>
      </x:c>
      <x:c r="I3869" t="n">
        <x:v>2.9</x:v>
      </x:c>
      <x:c r="J3869" t="n">
        <x:v>15</x:v>
      </x:c>
      <x:c r="K3869" t="n">
        <x:v>5</x:v>
      </x:c>
      <x:c r="L3869" t="str">
        <x:v>STORE-001</x:v>
      </x:c>
      <x:c r="M3869" s="22" t="n">
        <x:v>46132</x:v>
      </x:c>
      <x:c r="N3869" t="str">
        <x:v>SKU-008</x:v>
      </x:c>
      <x:c r="O3869" t="n">
        <x:v>2</x:v>
      </x:c>
      <x:c r="P3869" s="26" t="n">
        <x:f>F3869/O3869</x:f>
        <x:v>59.285</x:v>
      </x:c>
    </x:row>
    <x:row r="3870">
      <x:c r="A3870" t="n">
        <x:v>3869</x:v>
      </x:c>
      <x:c r="B3870" t="n">
        <x:v>26</x:v>
      </x:c>
      <x:c r="C3870" t="str">
        <x:v>Female</x:v>
      </x:c>
      <x:c r="D3870" t="str">
        <x:v>Womens Clothing</x:v>
      </x:c>
      <x:c r="E3870" t="str">
        <x:v>Jeans</x:v>
      </x:c>
      <x:c r="F3870" s="24" t="n">
        <x:v>71.72</x:v>
      </x:c>
      <x:c r="G3870" t="str">
        <x:v>Spring</x:v>
      </x:c>
      <x:c r="H3870" t="str">
        <x:v>Card</x:v>
      </x:c>
      <x:c r="I3870" t="n">
        <x:v>3.5</x:v>
      </x:c>
      <x:c r="J3870" t="n">
        <x:v>21</x:v>
      </x:c>
      <x:c r="K3870" t="n">
        <x:v>8</x:v>
      </x:c>
      <x:c r="L3870" t="str">
        <x:v>STORE-001</x:v>
      </x:c>
      <x:c r="M3870" s="22" t="n">
        <x:v>46276</x:v>
      </x:c>
      <x:c r="N3870" t="str">
        <x:v>SKU-011</x:v>
      </x:c>
      <x:c r="O3870" t="n">
        <x:v>2</x:v>
      </x:c>
      <x:c r="P3870" s="26" t="n">
        <x:f>F3870/O3870</x:f>
        <x:v>35.86</x:v>
      </x:c>
    </x:row>
    <x:row r="3871">
      <x:c r="A3871" t="n">
        <x:v>3870</x:v>
      </x:c>
      <x:c r="B3871" t="n">
        <x:v>64</x:v>
      </x:c>
      <x:c r="C3871" t="str">
        <x:v>Female</x:v>
      </x:c>
      <x:c r="D3871" t="str">
        <x:v>Home</x:v>
      </x:c>
      <x:c r="E3871" t="str">
        <x:v>Kitchen Set</x:v>
      </x:c>
      <x:c r="F3871" s="24" t="n">
        <x:v>280.59</x:v>
      </x:c>
      <x:c r="G3871" t="str">
        <x:v>Summer</x:v>
      </x:c>
      <x:c r="H3871" t="str">
        <x:v>Card</x:v>
      </x:c>
      <x:c r="I3871" t="n">
        <x:v>4.9</x:v>
      </x:c>
      <x:c r="J3871" t="n">
        <x:v>17</x:v>
      </x:c>
      <x:c r="K3871" t="n">
        <x:v>6</x:v>
      </x:c>
      <x:c r="L3871" t="str">
        <x:v>STORE-001</x:v>
      </x:c>
      <x:c r="M3871" s="22" t="n">
        <x:v>46052</x:v>
      </x:c>
      <x:c r="N3871" t="str">
        <x:v>SKU-012</x:v>
      </x:c>
      <x:c r="O3871" t="n">
        <x:v>2</x:v>
      </x:c>
      <x:c r="P3871" s="26" t="n">
        <x:f>F3871/O3871</x:f>
        <x:v>140.295</x:v>
      </x:c>
    </x:row>
    <x:row r="3872">
      <x:c r="A3872" t="n">
        <x:v>3871</x:v>
      </x:c>
      <x:c r="B3872" t="n">
        <x:v>46</x:v>
      </x:c>
      <x:c r="C3872" t="str">
        <x:v>Female</x:v>
      </x:c>
      <x:c r="D3872" t="str">
        <x:v>Womens Clothing</x:v>
      </x:c>
      <x:c r="E3872" t="str">
        <x:v>Jeans</x:v>
      </x:c>
      <x:c r="F3872" s="24" t="n">
        <x:v>121.97</x:v>
      </x:c>
      <x:c r="G3872" t="str">
        <x:v>Summer</x:v>
      </x:c>
      <x:c r="H3872" t="str">
        <x:v>Card</x:v>
      </x:c>
      <x:c r="I3872" t="n">
        <x:v>4.6</x:v>
      </x:c>
      <x:c r="J3872" t="n">
        <x:v>26</x:v>
      </x:c>
      <x:c r="K3872" t="n">
        <x:v>8</x:v>
      </x:c>
      <x:c r="L3872" t="str">
        <x:v>STORE-001</x:v>
      </x:c>
      <x:c r="M3872" s="22" t="n">
        <x:v>46068</x:v>
      </x:c>
      <x:c r="N3872" t="str">
        <x:v>SKU-011</x:v>
      </x:c>
      <x:c r="O3872" t="n">
        <x:v>1</x:v>
      </x:c>
      <x:c r="P3872" s="26" t="n">
        <x:f>F3872/O3872</x:f>
        <x:v>121.97</x:v>
      </x:c>
    </x:row>
    <x:row r="3873">
      <x:c r="A3873" t="n">
        <x:v>3872</x:v>
      </x:c>
      <x:c r="B3873" t="n">
        <x:v>62</x:v>
      </x:c>
      <x:c r="C3873" t="str">
        <x:v>Male</x:v>
      </x:c>
      <x:c r="D3873" t="str">
        <x:v>Sports</x:v>
      </x:c>
      <x:c r="E3873" t="str">
        <x:v>Dumbbells</x:v>
      </x:c>
      <x:c r="F3873" s="24" t="n">
        <x:v>125.84</x:v>
      </x:c>
      <x:c r="G3873" t="str">
        <x:v>Autumn</x:v>
      </x:c>
      <x:c r="H3873" t="str">
        <x:v>Card</x:v>
      </x:c>
      <x:c r="I3873" t="n">
        <x:v>3.9</x:v>
      </x:c>
      <x:c r="J3873" t="n">
        <x:v>8</x:v>
      </x:c>
      <x:c r="K3873" t="n">
        <x:v>4</x:v>
      </x:c>
      <x:c r="L3873" t="str">
        <x:v>STORE-001</x:v>
      </x:c>
      <x:c r="M3873" s="22" t="n">
        <x:v>46131</x:v>
      </x:c>
      <x:c r="N3873" t="str">
        <x:v>SKU-005</x:v>
      </x:c>
      <x:c r="O3873" t="n">
        <x:v>2</x:v>
      </x:c>
      <x:c r="P3873" s="26" t="n">
        <x:f>F3873/O3873</x:f>
        <x:v>62.92</x:v>
      </x:c>
    </x:row>
    <x:row r="3874">
      <x:c r="A3874" t="n">
        <x:v>3873</x:v>
      </x:c>
      <x:c r="B3874" t="n">
        <x:v>43</x:v>
      </x:c>
      <x:c r="C3874" t="str">
        <x:v>Male</x:v>
      </x:c>
      <x:c r="D3874" t="str">
        <x:v>Sports</x:v>
      </x:c>
      <x:c r="E3874" t="str">
        <x:v>Dumbbells</x:v>
      </x:c>
      <x:c r="F3874" s="24" t="n">
        <x:v>199.76</x:v>
      </x:c>
      <x:c r="G3874" t="str">
        <x:v>Summer</x:v>
      </x:c>
      <x:c r="H3874" t="str">
        <x:v>Card</x:v>
      </x:c>
      <x:c r="I3874" t="n">
        <x:v>2.4</x:v>
      </x:c>
      <x:c r="J3874" t="n">
        <x:v>24</x:v>
      </x:c>
      <x:c r="K3874" t="n">
        <x:v>7</x:v>
      </x:c>
      <x:c r="L3874" t="str">
        <x:v>STORE-001</x:v>
      </x:c>
      <x:c r="M3874" s="22" t="n">
        <x:v>46052</x:v>
      </x:c>
      <x:c r="N3874" t="str">
        <x:v>SKU-005</x:v>
      </x:c>
      <x:c r="O3874" t="n">
        <x:v>1</x:v>
      </x:c>
      <x:c r="P3874" s="26" t="n">
        <x:f>F3874/O3874</x:f>
        <x:v>199.76</x:v>
      </x:c>
    </x:row>
    <x:row r="3875">
      <x:c r="A3875" t="n">
        <x:v>3874</x:v>
      </x:c>
      <x:c r="B3875" t="n">
        <x:v>63</x:v>
      </x:c>
      <x:c r="C3875" t="str">
        <x:v>Male</x:v>
      </x:c>
      <x:c r="D3875" t="str">
        <x:v>Sports</x:v>
      </x:c>
      <x:c r="E3875" t="str">
        <x:v>Football</x:v>
      </x:c>
      <x:c r="F3875" s="24" t="n">
        <x:v>245.47</x:v>
      </x:c>
      <x:c r="G3875" t="str">
        <x:v>Spring</x:v>
      </x:c>
      <x:c r="H3875" t="str">
        <x:v>Card</x:v>
      </x:c>
      <x:c r="I3875" t="n">
        <x:v>4.1</x:v>
      </x:c>
      <x:c r="J3875" t="n">
        <x:v>12</x:v>
      </x:c>
      <x:c r="K3875" t="n">
        <x:v>6</x:v>
      </x:c>
      <x:c r="L3875" t="str">
        <x:v>STORE-001</x:v>
      </x:c>
      <x:c r="M3875" s="22" t="n">
        <x:v>46278</x:v>
      </x:c>
      <x:c r="N3875" t="str">
        <x:v>SKU-006</x:v>
      </x:c>
      <x:c r="O3875" t="n">
        <x:v>3</x:v>
      </x:c>
      <x:c r="P3875" s="26" t="n">
        <x:f>F3875/O3875</x:f>
        <x:v>81.82333333333334</x:v>
      </x:c>
    </x:row>
    <x:row r="3876">
      <x:c r="A3876" t="n">
        <x:v>3875</x:v>
      </x:c>
      <x:c r="B3876" t="n">
        <x:v>36</x:v>
      </x:c>
      <x:c r="C3876" t="str">
        <x:v>Female</x:v>
      </x:c>
      <x:c r="D3876" t="str">
        <x:v>Beauty</x:v>
      </x:c>
      <x:c r="E3876" t="str">
        <x:v>Makeup Set</x:v>
      </x:c>
      <x:c r="F3876" s="24" t="n">
        <x:v>63.27</x:v>
      </x:c>
      <x:c r="G3876" t="str">
        <x:v>Summer</x:v>
      </x:c>
      <x:c r="H3876" t="str">
        <x:v>Card</x:v>
      </x:c>
      <x:c r="I3876" t="n">
        <x:v>2.8</x:v>
      </x:c>
      <x:c r="J3876" t="n">
        <x:v>12</x:v>
      </x:c>
      <x:c r="K3876" t="n">
        <x:v>6</x:v>
      </x:c>
      <x:c r="L3876" t="str">
        <x:v>STORE-001</x:v>
      </x:c>
      <x:c r="M3876" s="22" t="n">
        <x:v>46045</x:v>
      </x:c>
      <x:c r="N3876" t="str">
        <x:v>SKU-015</x:v>
      </x:c>
      <x:c r="O3876" t="n">
        <x:v>2</x:v>
      </x:c>
      <x:c r="P3876" s="26" t="n">
        <x:f>F3876/O3876</x:f>
        <x:v>31.635</x:v>
      </x:c>
    </x:row>
    <x:row r="3877">
      <x:c r="A3877" t="n">
        <x:v>3876</x:v>
      </x:c>
      <x:c r="B3877" t="n">
        <x:v>48</x:v>
      </x:c>
      <x:c r="C3877" t="str">
        <x:v>Female</x:v>
      </x:c>
      <x:c r="D3877" t="str">
        <x:v>Footwear</x:v>
      </x:c>
      <x:c r="E3877" t="str">
        <x:v>Sandals</x:v>
      </x:c>
      <x:c r="F3877" s="24" t="n">
        <x:v>71.12</x:v>
      </x:c>
      <x:c r="G3877" t="str">
        <x:v>Autumn</x:v>
      </x:c>
      <x:c r="H3877" t="str">
        <x:v>Card</x:v>
      </x:c>
      <x:c r="I3877" t="n">
        <x:v>4.2</x:v>
      </x:c>
      <x:c r="J3877" t="n">
        <x:v>18</x:v>
      </x:c>
      <x:c r="K3877" t="n">
        <x:v>4</x:v>
      </x:c>
      <x:c r="L3877" t="str">
        <x:v>STORE-001</x:v>
      </x:c>
      <x:c r="M3877" s="22" t="n">
        <x:v>46094</x:v>
      </x:c>
      <x:c r="N3877" t="str">
        <x:v>SKU-019</x:v>
      </x:c>
      <x:c r="O3877" t="n">
        <x:v>1</x:v>
      </x:c>
      <x:c r="P3877" s="26" t="n">
        <x:f>F3877/O3877</x:f>
        <x:v>71.12</x:v>
      </x:c>
    </x:row>
    <x:row r="3878">
      <x:c r="A3878" t="n">
        <x:v>3877</x:v>
      </x:c>
      <x:c r="B3878" t="n">
        <x:v>52</x:v>
      </x:c>
      <x:c r="C3878" t="str">
        <x:v>Female</x:v>
      </x:c>
      <x:c r="D3878" t="str">
        <x:v>Home</x:v>
      </x:c>
      <x:c r="E3878" t="str">
        <x:v>Lamp</x:v>
      </x:c>
      <x:c r="F3878" s="24" t="n">
        <x:v>71.95</x:v>
      </x:c>
      <x:c r="G3878" t="str">
        <x:v>Summer</x:v>
      </x:c>
      <x:c r="H3878" t="str">
        <x:v>Cash on Delivery</x:v>
      </x:c>
      <x:c r="I3878" t="n">
        <x:v>3.6</x:v>
      </x:c>
      <x:c r="J3878" t="n">
        <x:v>21</x:v>
      </x:c>
      <x:c r="K3878" t="n">
        <x:v>8</x:v>
      </x:c>
      <x:c r="L3878" t="str">
        <x:v>STORE-001</x:v>
      </x:c>
      <x:c r="M3878" s="22" t="n">
        <x:v>46024</x:v>
      </x:c>
      <x:c r="N3878" t="str">
        <x:v>SKU-013</x:v>
      </x:c>
      <x:c r="O3878" t="n">
        <x:v>1</x:v>
      </x:c>
      <x:c r="P3878" s="26" t="n">
        <x:f>F3878/O3878</x:f>
        <x:v>71.95</x:v>
      </x:c>
    </x:row>
    <x:row r="3879">
      <x:c r="A3879" t="n">
        <x:v>3878</x:v>
      </x:c>
      <x:c r="B3879" t="n">
        <x:v>34</x:v>
      </x:c>
      <x:c r="C3879" t="str">
        <x:v>Male</x:v>
      </x:c>
      <x:c r="D3879" t="str">
        <x:v>Home</x:v>
      </x:c>
      <x:c r="E3879" t="str">
        <x:v>Kitchen Set</x:v>
      </x:c>
      <x:c r="F3879" s="24" t="n">
        <x:v>199.66</x:v>
      </x:c>
      <x:c r="G3879" t="str">
        <x:v>Winter</x:v>
      </x:c>
      <x:c r="H3879" t="str">
        <x:v>Card</x:v>
      </x:c>
      <x:c r="I3879" t="n">
        <x:v>3.3</x:v>
      </x:c>
      <x:c r="J3879" t="n">
        <x:v>8</x:v>
      </x:c>
      <x:c r="K3879" t="n">
        <x:v>4</x:v>
      </x:c>
      <x:c r="L3879" t="str">
        <x:v>STORE-001</x:v>
      </x:c>
      <x:c r="M3879" s="22" t="n">
        <x:v>46222</x:v>
      </x:c>
      <x:c r="N3879" t="str">
        <x:v>SKU-012</x:v>
      </x:c>
      <x:c r="O3879" t="n">
        <x:v>2</x:v>
      </x:c>
      <x:c r="P3879" s="26" t="n">
        <x:f>F3879/O3879</x:f>
        <x:v>99.83</x:v>
      </x:c>
    </x:row>
    <x:row r="3880">
      <x:c r="A3880" t="n">
        <x:v>3879</x:v>
      </x:c>
      <x:c r="B3880" t="n">
        <x:v>46</x:v>
      </x:c>
      <x:c r="C3880" t="str">
        <x:v>Female</x:v>
      </x:c>
      <x:c r="D3880" t="str">
        <x:v>Accessories</x:v>
      </x:c>
      <x:c r="E3880" t="str">
        <x:v>Handbag</x:v>
      </x:c>
      <x:c r="F3880" s="24" t="n">
        <x:v>52.31</x:v>
      </x:c>
      <x:c r="G3880" t="str">
        <x:v>Winter</x:v>
      </x:c>
      <x:c r="H3880" t="str">
        <x:v>Cash on Delivery</x:v>
      </x:c>
      <x:c r="I3880" t="n">
        <x:v>5</x:v>
      </x:c>
      <x:c r="J3880" t="n">
        <x:v>22</x:v>
      </x:c>
      <x:c r="K3880" t="n">
        <x:v>6</x:v>
      </x:c>
      <x:c r="L3880" t="str">
        <x:v>STORE-001</x:v>
      </x:c>
      <x:c r="M3880" s="22" t="n">
        <x:v>46230</x:v>
      </x:c>
      <x:c r="N3880" t="str">
        <x:v>SKU-008</x:v>
      </x:c>
      <x:c r="O3880" t="n">
        <x:v>1</x:v>
      </x:c>
      <x:c r="P3880" s="26" t="n">
        <x:f>F3880/O3880</x:f>
        <x:v>52.31</x:v>
      </x:c>
    </x:row>
    <x:row r="3881">
      <x:c r="A3881" t="n">
        <x:v>3880</x:v>
      </x:c>
      <x:c r="B3881" t="n">
        <x:v>35</x:v>
      </x:c>
      <x:c r="C3881" t="str">
        <x:v>Female</x:v>
      </x:c>
      <x:c r="D3881" t="str">
        <x:v>Beauty</x:v>
      </x:c>
      <x:c r="E3881" t="str">
        <x:v>Skincare Kit</x:v>
      </x:c>
      <x:c r="F3881" s="24" t="n">
        <x:v>92</x:v>
      </x:c>
      <x:c r="G3881" t="str">
        <x:v>Summer</x:v>
      </x:c>
      <x:c r="H3881" t="str">
        <x:v>Cash on Delivery</x:v>
      </x:c>
      <x:c r="I3881" t="n">
        <x:v>4.8</x:v>
      </x:c>
      <x:c r="J3881" t="n">
        <x:v>30</x:v>
      </x:c>
      <x:c r="K3881" t="n">
        <x:v>10</x:v>
      </x:c>
      <x:c r="L3881" t="str">
        <x:v>STORE-001</x:v>
      </x:c>
      <x:c r="M3881" s="22" t="n">
        <x:v>46025</x:v>
      </x:c>
      <x:c r="N3881" t="str">
        <x:v>SKU-021</x:v>
      </x:c>
      <x:c r="O3881" t="n">
        <x:v>1</x:v>
      </x:c>
      <x:c r="P3881" s="26" t="n">
        <x:f>F3881/O3881</x:f>
        <x:v>92</x:v>
      </x:c>
    </x:row>
    <x:row r="3882">
      <x:c r="A3882" t="n">
        <x:v>3881</x:v>
      </x:c>
      <x:c r="B3882" t="n">
        <x:v>39</x:v>
      </x:c>
      <x:c r="C3882" t="str">
        <x:v>Female</x:v>
      </x:c>
      <x:c r="D3882" t="str">
        <x:v>Accessories</x:v>
      </x:c>
      <x:c r="E3882" t="str">
        <x:v>Wallet</x:v>
      </x:c>
      <x:c r="F3882" s="24" t="n">
        <x:v>41.86</x:v>
      </x:c>
      <x:c r="G3882" t="str">
        <x:v>Spring</x:v>
      </x:c>
      <x:c r="H3882" t="str">
        <x:v>Card</x:v>
      </x:c>
      <x:c r="I3882" t="n">
        <x:v>2.8</x:v>
      </x:c>
      <x:c r="J3882" t="n">
        <x:v>18</x:v>
      </x:c>
      <x:c r="K3882" t="n">
        <x:v>4</x:v>
      </x:c>
      <x:c r="L3882" t="str">
        <x:v>STORE-001</x:v>
      </x:c>
      <x:c r="M3882" s="22" t="n">
        <x:v>46280</x:v>
      </x:c>
      <x:c r="N3882" t="str">
        <x:v>SKU-029</x:v>
      </x:c>
      <x:c r="O3882" t="n">
        <x:v>1</x:v>
      </x:c>
      <x:c r="P3882" s="26" t="n">
        <x:f>F3882/O3882</x:f>
        <x:v>41.86</x:v>
      </x:c>
    </x:row>
    <x:row r="3883">
      <x:c r="A3883" t="n">
        <x:v>3882</x:v>
      </x:c>
      <x:c r="B3883" t="n">
        <x:v>67</x:v>
      </x:c>
      <x:c r="C3883" t="str">
        <x:v>Female</x:v>
      </x:c>
      <x:c r="D3883" t="str">
        <x:v>Footwear</x:v>
      </x:c>
      <x:c r="E3883" t="str">
        <x:v>Sneakers</x:v>
      </x:c>
      <x:c r="F3883" s="24" t="n">
        <x:v>134.68</x:v>
      </x:c>
      <x:c r="G3883" t="str">
        <x:v>Summer</x:v>
      </x:c>
      <x:c r="H3883" t="str">
        <x:v>Card</x:v>
      </x:c>
      <x:c r="I3883" t="n">
        <x:v>4.1</x:v>
      </x:c>
      <x:c r="J3883" t="n">
        <x:v>15</x:v>
      </x:c>
      <x:c r="K3883" t="n">
        <x:v>5</x:v>
      </x:c>
      <x:c r="L3883" t="str">
        <x:v>STORE-001</x:v>
      </x:c>
      <x:c r="M3883" s="22" t="n">
        <x:v>46080</x:v>
      </x:c>
      <x:c r="N3883" t="str">
        <x:v>SKU-025</x:v>
      </x:c>
      <x:c r="O3883" t="n">
        <x:v>1</x:v>
      </x:c>
      <x:c r="P3883" s="26" t="n">
        <x:f>F3883/O3883</x:f>
        <x:v>134.68</x:v>
      </x:c>
    </x:row>
    <x:row r="3884">
      <x:c r="A3884" t="n">
        <x:v>3883</x:v>
      </x:c>
      <x:c r="B3884" t="n">
        <x:v>52</x:v>
      </x:c>
      <x:c r="C3884" t="str">
        <x:v>Male</x:v>
      </x:c>
      <x:c r="D3884" t="str">
        <x:v>Sports</x:v>
      </x:c>
      <x:c r="E3884" t="str">
        <x:v>Football</x:v>
      </x:c>
      <x:c r="F3884" s="24" t="n">
        <x:v>91.41</x:v>
      </x:c>
      <x:c r="G3884" t="str">
        <x:v>Autumn</x:v>
      </x:c>
      <x:c r="H3884" t="str">
        <x:v>Cash on Delivery</x:v>
      </x:c>
      <x:c r="I3884" t="n">
        <x:v>2.9</x:v>
      </x:c>
      <x:c r="J3884" t="n">
        <x:v>6</x:v>
      </x:c>
      <x:c r="K3884" t="n">
        <x:v>3</x:v>
      </x:c>
      <x:c r="L3884" t="str">
        <x:v>STORE-001</x:v>
      </x:c>
      <x:c r="M3884" s="22" t="n">
        <x:v>46153</x:v>
      </x:c>
      <x:c r="N3884" t="str">
        <x:v>SKU-006</x:v>
      </x:c>
      <x:c r="O3884" t="n">
        <x:v>1</x:v>
      </x:c>
      <x:c r="P3884" s="26" t="n">
        <x:f>F3884/O3884</x:f>
        <x:v>91.41</x:v>
      </x:c>
    </x:row>
    <x:row r="3885">
      <x:c r="A3885" t="n">
        <x:v>3884</x:v>
      </x:c>
      <x:c r="B3885" t="n">
        <x:v>29</x:v>
      </x:c>
      <x:c r="C3885" t="str">
        <x:v>Female</x:v>
      </x:c>
      <x:c r="D3885" t="str">
        <x:v>Groceries</x:v>
      </x:c>
      <x:c r="E3885" t="str">
        <x:v>Rice Pack</x:v>
      </x:c>
      <x:c r="F3885" s="24" t="n">
        <x:v>29.99</x:v>
      </x:c>
      <x:c r="G3885" t="str">
        <x:v>Summer</x:v>
      </x:c>
      <x:c r="H3885" t="str">
        <x:v>Card</x:v>
      </x:c>
      <x:c r="I3885" t="n">
        <x:v>4.5</x:v>
      </x:c>
      <x:c r="J3885" t="n">
        <x:v>17</x:v>
      </x:c>
      <x:c r="K3885" t="n">
        <x:v>6</x:v>
      </x:c>
      <x:c r="L3885" t="str">
        <x:v>STORE-001</x:v>
      </x:c>
      <x:c r="M3885" s="22" t="n">
        <x:v>46027</x:v>
      </x:c>
      <x:c r="N3885" t="str">
        <x:v>SKU-018</x:v>
      </x:c>
      <x:c r="O3885" t="n">
        <x:v>3</x:v>
      </x:c>
      <x:c r="P3885" s="26" t="n">
        <x:f>F3885/O3885</x:f>
        <x:v>9.996666666666666</x:v>
      </x:c>
    </x:row>
    <x:row r="3886">
      <x:c r="A3886" t="n">
        <x:v>3885</x:v>
      </x:c>
      <x:c r="B3886" t="n">
        <x:v>55</x:v>
      </x:c>
      <x:c r="C3886" t="str">
        <x:v>Male</x:v>
      </x:c>
      <x:c r="D3886" t="str">
        <x:v>Home</x:v>
      </x:c>
      <x:c r="E3886" t="str">
        <x:v>Lamp</x:v>
      </x:c>
      <x:c r="F3886" s="24" t="n">
        <x:v>261.19</x:v>
      </x:c>
      <x:c r="G3886" t="str">
        <x:v>Spring</x:v>
      </x:c>
      <x:c r="H3886" t="str">
        <x:v>Card</x:v>
      </x:c>
      <x:c r="I3886" t="n">
        <x:v>3.2</x:v>
      </x:c>
      <x:c r="J3886" t="n">
        <x:v>24</x:v>
      </x:c>
      <x:c r="K3886" t="n">
        <x:v>7</x:v>
      </x:c>
      <x:c r="L3886" t="str">
        <x:v>STORE-001</x:v>
      </x:c>
      <x:c r="M3886" s="22" t="n">
        <x:v>46280</x:v>
      </x:c>
      <x:c r="N3886" t="str">
        <x:v>SKU-013</x:v>
      </x:c>
      <x:c r="O3886" t="n">
        <x:v>1</x:v>
      </x:c>
      <x:c r="P3886" s="26" t="n">
        <x:f>F3886/O3886</x:f>
        <x:v>261.19</x:v>
      </x:c>
    </x:row>
    <x:row r="3887">
      <x:c r="A3887" t="n">
        <x:v>3886</x:v>
      </x:c>
      <x:c r="B3887" t="n">
        <x:v>70</x:v>
      </x:c>
      <x:c r="C3887" t="str">
        <x:v>Male</x:v>
      </x:c>
      <x:c r="D3887" t="str">
        <x:v>Footwear</x:v>
      </x:c>
      <x:c r="E3887" t="str">
        <x:v>Sandals</x:v>
      </x:c>
      <x:c r="F3887" s="24" t="n">
        <x:v>87.98</x:v>
      </x:c>
      <x:c r="G3887" t="str">
        <x:v>Spring</x:v>
      </x:c>
      <x:c r="H3887" t="str">
        <x:v>Card</x:v>
      </x:c>
      <x:c r="I3887" t="n">
        <x:v>3.2</x:v>
      </x:c>
      <x:c r="J3887" t="n">
        <x:v>12</x:v>
      </x:c>
      <x:c r="K3887" t="n">
        <x:v>6</x:v>
      </x:c>
      <x:c r="L3887" t="str">
        <x:v>STORE-001</x:v>
      </x:c>
      <x:c r="M3887" s="22" t="n">
        <x:v>46273</x:v>
      </x:c>
      <x:c r="N3887" t="str">
        <x:v>SKU-019</x:v>
      </x:c>
      <x:c r="O3887" t="n">
        <x:v>1</x:v>
      </x:c>
      <x:c r="P3887" s="26" t="n">
        <x:f>F3887/O3887</x:f>
        <x:v>87.98</x:v>
      </x:c>
    </x:row>
    <x:row r="3888">
      <x:c r="A3888" t="n">
        <x:v>3887</x:v>
      </x:c>
      <x:c r="B3888" t="n">
        <x:v>41</x:v>
      </x:c>
      <x:c r="C3888" t="str">
        <x:v>Male</x:v>
      </x:c>
      <x:c r="D3888" t="str">
        <x:v>Mens Clothing</x:v>
      </x:c>
      <x:c r="E3888" t="str">
        <x:v>T-Shirt</x:v>
      </x:c>
      <x:c r="F3888" s="24" t="n">
        <x:v>152.87</x:v>
      </x:c>
      <x:c r="G3888" t="str">
        <x:v>Summer</x:v>
      </x:c>
      <x:c r="H3888" t="str">
        <x:v>Card</x:v>
      </x:c>
      <x:c r="I3888" t="n">
        <x:v>4.5</x:v>
      </x:c>
      <x:c r="J3888" t="n">
        <x:v>12</x:v>
      </x:c>
      <x:c r="K3888" t="n">
        <x:v>6</x:v>
      </x:c>
      <x:c r="L3888" t="str">
        <x:v>STORE-001</x:v>
      </x:c>
      <x:c r="M3888" s="22" t="n">
        <x:v>46042</x:v>
      </x:c>
      <x:c r="N3888" t="str">
        <x:v>SKU-027</x:v>
      </x:c>
      <x:c r="O3888" t="n">
        <x:v>2</x:v>
      </x:c>
      <x:c r="P3888" s="26" t="n">
        <x:f>F3888/O3888</x:f>
        <x:v>76.435</x:v>
      </x:c>
    </x:row>
    <x:row r="3889">
      <x:c r="A3889" t="n">
        <x:v>3888</x:v>
      </x:c>
      <x:c r="B3889" t="n">
        <x:v>24</x:v>
      </x:c>
      <x:c r="C3889" t="str">
        <x:v>Male</x:v>
      </x:c>
      <x:c r="D3889" t="str">
        <x:v>Home</x:v>
      </x:c>
      <x:c r="E3889" t="str">
        <x:v>Kitchen Set</x:v>
      </x:c>
      <x:c r="F3889" s="24" t="n">
        <x:v>160.17</x:v>
      </x:c>
      <x:c r="G3889" t="str">
        <x:v>Spring</x:v>
      </x:c>
      <x:c r="H3889" t="str">
        <x:v>Card</x:v>
      </x:c>
      <x:c r="I3889" t="n">
        <x:v>3.7</x:v>
      </x:c>
      <x:c r="J3889" t="n">
        <x:v>18</x:v>
      </x:c>
      <x:c r="K3889" t="n">
        <x:v>4</x:v>
      </x:c>
      <x:c r="L3889" t="str">
        <x:v>STORE-001</x:v>
      </x:c>
      <x:c r="M3889" s="22" t="n">
        <x:v>46276</x:v>
      </x:c>
      <x:c r="N3889" t="str">
        <x:v>SKU-012</x:v>
      </x:c>
      <x:c r="O3889" t="n">
        <x:v>1</x:v>
      </x:c>
      <x:c r="P3889" s="26" t="n">
        <x:f>F3889/O3889</x:f>
        <x:v>160.17</x:v>
      </x:c>
    </x:row>
    <x:row r="3890">
      <x:c r="A3890" t="n">
        <x:v>3889</x:v>
      </x:c>
      <x:c r="B3890" t="n">
        <x:v>61</x:v>
      </x:c>
      <x:c r="C3890" t="str">
        <x:v>Male</x:v>
      </x:c>
      <x:c r="D3890" t="str">
        <x:v>Sports</x:v>
      </x:c>
      <x:c r="E3890" t="str">
        <x:v>Football</x:v>
      </x:c>
      <x:c r="F3890" s="24" t="n">
        <x:v>92.21</x:v>
      </x:c>
      <x:c r="G3890" t="str">
        <x:v>Spring</x:v>
      </x:c>
      <x:c r="H3890" t="str">
        <x:v>Card</x:v>
      </x:c>
      <x:c r="I3890" t="n">
        <x:v>4.2</x:v>
      </x:c>
      <x:c r="J3890" t="n">
        <x:v>10</x:v>
      </x:c>
      <x:c r="K3890" t="n">
        <x:v>5</x:v>
      </x:c>
      <x:c r="L3890" t="str">
        <x:v>STORE-001</x:v>
      </x:c>
      <x:c r="M3890" s="22" t="n">
        <x:v>45980</x:v>
      </x:c>
      <x:c r="N3890" t="str">
        <x:v>SKU-006</x:v>
      </x:c>
      <x:c r="O3890" t="n">
        <x:v>1</x:v>
      </x:c>
      <x:c r="P3890" s="26" t="n">
        <x:f>F3890/O3890</x:f>
        <x:v>92.21</x:v>
      </x:c>
    </x:row>
    <x:row r="3891">
      <x:c r="A3891" t="n">
        <x:v>3890</x:v>
      </x:c>
      <x:c r="B3891" t="n">
        <x:v>55</x:v>
      </x:c>
      <x:c r="C3891" t="str">
        <x:v>Female</x:v>
      </x:c>
      <x:c r="D3891" t="str">
        <x:v>Womens Clothing</x:v>
      </x:c>
      <x:c r="E3891" t="str">
        <x:v>Dress</x:v>
      </x:c>
      <x:c r="F3891" s="24" t="n">
        <x:v>68.75</x:v>
      </x:c>
      <x:c r="G3891" t="str">
        <x:v>Summer</x:v>
      </x:c>
      <x:c r="H3891" t="str">
        <x:v>Card</x:v>
      </x:c>
      <x:c r="I3891" t="n">
        <x:v>4.9</x:v>
      </x:c>
      <x:c r="J3891" t="n">
        <x:v>9</x:v>
      </x:c>
      <x:c r="K3891" t="n">
        <x:v>2</x:v>
      </x:c>
      <x:c r="L3891" t="str">
        <x:v>STORE-001</x:v>
      </x:c>
      <x:c r="M3891" s="22" t="n">
        <x:v>46031</x:v>
      </x:c>
      <x:c r="N3891" t="str">
        <x:v>SKU-004</x:v>
      </x:c>
      <x:c r="O3891" t="n">
        <x:v>1</x:v>
      </x:c>
      <x:c r="P3891" s="26" t="n">
        <x:f>F3891/O3891</x:f>
        <x:v>68.75</x:v>
      </x:c>
    </x:row>
    <x:row r="3892">
      <x:c r="A3892" t="n">
        <x:v>3891</x:v>
      </x:c>
      <x:c r="B3892" t="n">
        <x:v>36</x:v>
      </x:c>
      <x:c r="C3892" t="str">
        <x:v>Male</x:v>
      </x:c>
      <x:c r="D3892" t="str">
        <x:v>Electronics</x:v>
      </x:c>
      <x:c r="E3892" t="str">
        <x:v>Smart Watch</x:v>
      </x:c>
      <x:c r="F3892" s="24" t="n">
        <x:v>2199.93</x:v>
      </x:c>
      <x:c r="G3892" t="str">
        <x:v>Winter</x:v>
      </x:c>
      <x:c r="H3892" t="str">
        <x:v>Card</x:v>
      </x:c>
      <x:c r="I3892" t="n">
        <x:v>4.3</x:v>
      </x:c>
      <x:c r="J3892" t="n">
        <x:v>17</x:v>
      </x:c>
      <x:c r="K3892" t="n">
        <x:v>6</x:v>
      </x:c>
      <x:c r="L3892" t="str">
        <x:v>STORE-001</x:v>
      </x:c>
      <x:c r="M3892" s="22" t="n">
        <x:v>46186</x:v>
      </x:c>
      <x:c r="N3892" t="str">
        <x:v>SKU-023</x:v>
      </x:c>
      <x:c r="O3892" t="n">
        <x:v>1</x:v>
      </x:c>
      <x:c r="P3892" s="26" t="n">
        <x:f>F3892/O3892</x:f>
        <x:v>2199.93</x:v>
      </x:c>
    </x:row>
    <x:row r="3893">
      <x:c r="A3893" t="n">
        <x:v>3892</x:v>
      </x:c>
      <x:c r="B3893" t="n">
        <x:v>67</x:v>
      </x:c>
      <x:c r="C3893" t="str">
        <x:v>Female</x:v>
      </x:c>
      <x:c r="D3893" t="str">
        <x:v>Footwear</x:v>
      </x:c>
      <x:c r="E3893" t="str">
        <x:v>Sandals</x:v>
      </x:c>
      <x:c r="F3893" s="24" t="n">
        <x:v>191.36</x:v>
      </x:c>
      <x:c r="G3893" t="str">
        <x:v>Winter</x:v>
      </x:c>
      <x:c r="H3893" t="str">
        <x:v>Card</x:v>
      </x:c>
      <x:c r="I3893" t="n">
        <x:v>4.1</x:v>
      </x:c>
      <x:c r="J3893" t="n">
        <x:v>18</x:v>
      </x:c>
      <x:c r="K3893" t="n">
        <x:v>4</x:v>
      </x:c>
      <x:c r="L3893" t="str">
        <x:v>STORE-001</x:v>
      </x:c>
      <x:c r="M3893" s="22" t="n">
        <x:v>46235</x:v>
      </x:c>
      <x:c r="N3893" t="str">
        <x:v>SKU-019</x:v>
      </x:c>
      <x:c r="O3893" t="n">
        <x:v>1</x:v>
      </x:c>
      <x:c r="P3893" s="26" t="n">
        <x:f>F3893/O3893</x:f>
        <x:v>191.36</x:v>
      </x:c>
    </x:row>
    <x:row r="3894">
      <x:c r="A3894" t="n">
        <x:v>3893</x:v>
      </x:c>
      <x:c r="B3894" t="n">
        <x:v>50</x:v>
      </x:c>
      <x:c r="C3894" t="str">
        <x:v>Male</x:v>
      </x:c>
      <x:c r="D3894" t="str">
        <x:v>Home</x:v>
      </x:c>
      <x:c r="E3894" t="str">
        <x:v>Kitchen Set</x:v>
      </x:c>
      <x:c r="F3894" s="24" t="n">
        <x:v>55.82</x:v>
      </x:c>
      <x:c r="G3894" t="str">
        <x:v>Spring</x:v>
      </x:c>
      <x:c r="H3894" t="str">
        <x:v>Cash on Delivery</x:v>
      </x:c>
      <x:c r="I3894" t="n">
        <x:v>3.7</x:v>
      </x:c>
      <x:c r="J3894" t="n">
        <x:v>16</x:v>
      </x:c>
      <x:c r="K3894" t="n">
        <x:v>3</x:v>
      </x:c>
      <x:c r="L3894" t="str">
        <x:v>STORE-001</x:v>
      </x:c>
      <x:c r="M3894" s="22" t="n">
        <x:v>45980</x:v>
      </x:c>
      <x:c r="N3894" t="str">
        <x:v>SKU-012</x:v>
      </x:c>
      <x:c r="O3894" t="n">
        <x:v>2</x:v>
      </x:c>
      <x:c r="P3894" s="26" t="n">
        <x:f>F3894/O3894</x:f>
        <x:v>27.91</x:v>
      </x:c>
    </x:row>
    <x:row r="3895">
      <x:c r="A3895" t="n">
        <x:v>3894</x:v>
      </x:c>
      <x:c r="B3895" t="n">
        <x:v>33</x:v>
      </x:c>
      <x:c r="C3895" t="str">
        <x:v>Female</x:v>
      </x:c>
      <x:c r="D3895" t="str">
        <x:v>Footwear</x:v>
      </x:c>
      <x:c r="E3895" t="str">
        <x:v>Formal Shoes</x:v>
      </x:c>
      <x:c r="F3895" s="24" t="n">
        <x:v>222.12</x:v>
      </x:c>
      <x:c r="G3895" t="str">
        <x:v>Winter</x:v>
      </x:c>
      <x:c r="H3895" t="str">
        <x:v>Card</x:v>
      </x:c>
      <x:c r="I3895" t="n">
        <x:v>4.1</x:v>
      </x:c>
      <x:c r="J3895" t="n">
        <x:v>10</x:v>
      </x:c>
      <x:c r="K3895" t="n">
        <x:v>5</x:v>
      </x:c>
      <x:c r="L3895" t="str">
        <x:v>STORE-001</x:v>
      </x:c>
      <x:c r="M3895" s="22" t="n">
        <x:v>46249</x:v>
      </x:c>
      <x:c r="N3895" t="str">
        <x:v>SKU-007</x:v>
      </x:c>
      <x:c r="O3895" t="n">
        <x:v>1</x:v>
      </x:c>
      <x:c r="P3895" s="26" t="n">
        <x:f>F3895/O3895</x:f>
        <x:v>222.12</x:v>
      </x:c>
    </x:row>
    <x:row r="3896">
      <x:c r="A3896" t="n">
        <x:v>3895</x:v>
      </x:c>
      <x:c r="B3896" t="n">
        <x:v>33</x:v>
      </x:c>
      <x:c r="C3896" t="str">
        <x:v>Female</x:v>
      </x:c>
      <x:c r="D3896" t="str">
        <x:v>Groceries</x:v>
      </x:c>
      <x:c r="E3896" t="str">
        <x:v>Rice Pack</x:v>
      </x:c>
      <x:c r="F3896" s="24" t="n">
        <x:v>78.68</x:v>
      </x:c>
      <x:c r="G3896" t="str">
        <x:v>Summer</x:v>
      </x:c>
      <x:c r="H3896" t="str">
        <x:v>Card</x:v>
      </x:c>
      <x:c r="I3896" t="n">
        <x:v>3.4</x:v>
      </x:c>
      <x:c r="J3896" t="n">
        <x:v>6</x:v>
      </x:c>
      <x:c r="K3896" t="n">
        <x:v>3</x:v>
      </x:c>
      <x:c r="L3896" t="str">
        <x:v>STORE-001</x:v>
      </x:c>
      <x:c r="M3896" s="22" t="n">
        <x:v>46066</x:v>
      </x:c>
      <x:c r="N3896" t="str">
        <x:v>SKU-018</x:v>
      </x:c>
      <x:c r="O3896" t="n">
        <x:v>2</x:v>
      </x:c>
      <x:c r="P3896" s="26" t="n">
        <x:f>F3896/O3896</x:f>
        <x:v>39.34</x:v>
      </x:c>
    </x:row>
    <x:row r="3897">
      <x:c r="A3897" t="n">
        <x:v>3896</x:v>
      </x:c>
      <x:c r="B3897" t="n">
        <x:v>53</x:v>
      </x:c>
      <x:c r="C3897" t="str">
        <x:v>Female</x:v>
      </x:c>
      <x:c r="D3897" t="str">
        <x:v>Footwear</x:v>
      </x:c>
      <x:c r="E3897" t="str">
        <x:v>Formal Shoes</x:v>
      </x:c>
      <x:c r="F3897" s="24" t="n">
        <x:v>151.9</x:v>
      </x:c>
      <x:c r="G3897" t="str">
        <x:v>Summer</x:v>
      </x:c>
      <x:c r="H3897" t="str">
        <x:v>Card</x:v>
      </x:c>
      <x:c r="I3897" t="n">
        <x:v>3.5</x:v>
      </x:c>
      <x:c r="J3897" t="n">
        <x:v>7</x:v>
      </x:c>
      <x:c r="K3897" t="n">
        <x:v>1</x:v>
      </x:c>
      <x:c r="L3897" t="str">
        <x:v>STORE-001</x:v>
      </x:c>
      <x:c r="M3897" s="22" t="n">
        <x:v>46044</x:v>
      </x:c>
      <x:c r="N3897" t="str">
        <x:v>SKU-007</x:v>
      </x:c>
      <x:c r="O3897" t="n">
        <x:v>1</x:v>
      </x:c>
      <x:c r="P3897" s="26" t="n">
        <x:f>F3897/O3897</x:f>
        <x:v>151.9</x:v>
      </x:c>
    </x:row>
    <x:row r="3898">
      <x:c r="A3898" t="n">
        <x:v>3897</x:v>
      </x:c>
      <x:c r="B3898" t="n">
        <x:v>41</x:v>
      </x:c>
      <x:c r="C3898" t="str">
        <x:v>Female</x:v>
      </x:c>
      <x:c r="D3898" t="str">
        <x:v>Womens Clothing</x:v>
      </x:c>
      <x:c r="E3898" t="str">
        <x:v>Top</x:v>
      </x:c>
      <x:c r="F3898" s="24" t="n">
        <x:v>34.34</x:v>
      </x:c>
      <x:c r="G3898" t="str">
        <x:v>Autumn</x:v>
      </x:c>
      <x:c r="H3898" t="str">
        <x:v>Cash on Delivery</x:v>
      </x:c>
      <x:c r="I3898" t="n">
        <x:v>3.7</x:v>
      </x:c>
      <x:c r="J3898" t="n">
        <x:v>24</x:v>
      </x:c>
      <x:c r="K3898" t="n">
        <x:v>7</x:v>
      </x:c>
      <x:c r="L3898" t="str">
        <x:v>STORE-001</x:v>
      </x:c>
      <x:c r="M3898" s="22" t="n">
        <x:v>46173</x:v>
      </x:c>
      <x:c r="N3898" t="str">
        <x:v>SKU-028</x:v>
      </x:c>
      <x:c r="O3898" t="n">
        <x:v>1</x:v>
      </x:c>
      <x:c r="P3898" s="26" t="n">
        <x:f>F3898/O3898</x:f>
        <x:v>34.34</x:v>
      </x:c>
    </x:row>
    <x:row r="3899">
      <x:c r="A3899" t="n">
        <x:v>3898</x:v>
      </x:c>
      <x:c r="B3899" t="n">
        <x:v>44</x:v>
      </x:c>
      <x:c r="C3899" t="str">
        <x:v>Male</x:v>
      </x:c>
      <x:c r="D3899" t="str">
        <x:v>Home</x:v>
      </x:c>
      <x:c r="E3899" t="str">
        <x:v>Kitchen Set</x:v>
      </x:c>
      <x:c r="F3899" s="24" t="n">
        <x:v>193.78</x:v>
      </x:c>
      <x:c r="G3899" t="str">
        <x:v>Autumn</x:v>
      </x:c>
      <x:c r="H3899" t="str">
        <x:v>Card</x:v>
      </x:c>
      <x:c r="I3899" t="n">
        <x:v>3.9</x:v>
      </x:c>
      <x:c r="J3899" t="n">
        <x:v>11</x:v>
      </x:c>
      <x:c r="K3899" t="n">
        <x:v>3</x:v>
      </x:c>
      <x:c r="L3899" t="str">
        <x:v>STORE-001</x:v>
      </x:c>
      <x:c r="M3899" s="22" t="n">
        <x:v>46111</x:v>
      </x:c>
      <x:c r="N3899" t="str">
        <x:v>SKU-012</x:v>
      </x:c>
      <x:c r="O3899" t="n">
        <x:v>1</x:v>
      </x:c>
      <x:c r="P3899" s="26" t="n">
        <x:f>F3899/O3899</x:f>
        <x:v>193.78</x:v>
      </x:c>
    </x:row>
    <x:row r="3900">
      <x:c r="A3900" t="n">
        <x:v>3899</x:v>
      </x:c>
      <x:c r="B3900" t="n">
        <x:v>44</x:v>
      </x:c>
      <x:c r="C3900" t="str">
        <x:v>Female</x:v>
      </x:c>
      <x:c r="D3900" t="str">
        <x:v>Footwear</x:v>
      </x:c>
      <x:c r="E3900" t="str">
        <x:v>Sneakers</x:v>
      </x:c>
      <x:c r="F3900" s="24" t="n">
        <x:v>165.49</x:v>
      </x:c>
      <x:c r="G3900" t="str">
        <x:v>Winter</x:v>
      </x:c>
      <x:c r="H3900" t="str">
        <x:v>Card</x:v>
      </x:c>
      <x:c r="I3900" t="n">
        <x:v>3.8</x:v>
      </x:c>
      <x:c r="J3900" t="n">
        <x:v>20</x:v>
      </x:c>
      <x:c r="K3900" t="n">
        <x:v>5</x:v>
      </x:c>
      <x:c r="L3900" t="str">
        <x:v>STORE-001</x:v>
      </x:c>
      <x:c r="M3900" s="22" t="n">
        <x:v>46198</x:v>
      </x:c>
      <x:c r="N3900" t="str">
        <x:v>SKU-025</x:v>
      </x:c>
      <x:c r="O3900" t="n">
        <x:v>1</x:v>
      </x:c>
      <x:c r="P3900" s="26" t="n">
        <x:f>F3900/O3900</x:f>
        <x:v>165.49</x:v>
      </x:c>
    </x:row>
    <x:row r="3901">
      <x:c r="A3901" t="n">
        <x:v>3900</x:v>
      </x:c>
      <x:c r="B3901" t="n">
        <x:v>26</x:v>
      </x:c>
      <x:c r="C3901" t="str">
        <x:v>Female</x:v>
      </x:c>
      <x:c r="D3901" t="str">
        <x:v>Womens Clothing</x:v>
      </x:c>
      <x:c r="E3901" t="str">
        <x:v>Dress</x:v>
      </x:c>
      <x:c r="F3901" s="24" t="n">
        <x:v>98.13</x:v>
      </x:c>
      <x:c r="G3901" t="str">
        <x:v>Summer</x:v>
      </x:c>
      <x:c r="H3901" t="str">
        <x:v>Cash on Delivery</x:v>
      </x:c>
      <x:c r="I3901" t="n">
        <x:v>3</x:v>
      </x:c>
      <x:c r="J3901" t="n">
        <x:v>15</x:v>
      </x:c>
      <x:c r="K3901" t="n">
        <x:v>5</x:v>
      </x:c>
      <x:c r="L3901" t="str">
        <x:v>STORE-001</x:v>
      </x:c>
      <x:c r="M3901" s="22" t="n">
        <x:v>45998</x:v>
      </x:c>
      <x:c r="N3901" t="str">
        <x:v>SKU-004</x:v>
      </x:c>
      <x:c r="O3901" t="n">
        <x:v>1</x:v>
      </x:c>
      <x:c r="P3901" s="26" t="n">
        <x:f>F3901/O3901</x:f>
        <x:v>98.13</x:v>
      </x:c>
    </x:row>
    <x:row r="3902">
      <x:c r="A3902" t="n">
        <x:v>3901</x:v>
      </x:c>
      <x:c r="B3902" t="n">
        <x:v>60</x:v>
      </x:c>
      <x:c r="C3902" t="str">
        <x:v>Male</x:v>
      </x:c>
      <x:c r="D3902" t="str">
        <x:v>Mens Clothing</x:v>
      </x:c>
      <x:c r="E3902" t="str">
        <x:v>Shirt</x:v>
      </x:c>
      <x:c r="F3902" s="24" t="n">
        <x:v>101.85</x:v>
      </x:c>
      <x:c r="G3902" t="str">
        <x:v>Winter</x:v>
      </x:c>
      <x:c r="H3902" t="str">
        <x:v>Card</x:v>
      </x:c>
      <x:c r="I3902" t="n">
        <x:v>4.4</x:v>
      </x:c>
      <x:c r="J3902" t="n">
        <x:v>10</x:v>
      </x:c>
      <x:c r="K3902" t="n">
        <x:v>5</x:v>
      </x:c>
      <x:c r="L3902" t="str">
        <x:v>STORE-001</x:v>
      </x:c>
      <x:c r="M3902" s="22" t="n">
        <x:v>46240</x:v>
      </x:c>
      <x:c r="N3902" t="str">
        <x:v>SKU-020</x:v>
      </x:c>
      <x:c r="O3902" t="n">
        <x:v>1</x:v>
      </x:c>
      <x:c r="P3902" s="26" t="n">
        <x:f>F3902/O3902</x:f>
        <x:v>101.85</x:v>
      </x:c>
    </x:row>
    <x:row r="3903">
      <x:c r="A3903" t="n">
        <x:v>3902</x:v>
      </x:c>
      <x:c r="B3903" t="n">
        <x:v>20</x:v>
      </x:c>
      <x:c r="C3903" t="str">
        <x:v>Female</x:v>
      </x:c>
      <x:c r="D3903" t="str">
        <x:v>Beauty</x:v>
      </x:c>
      <x:c r="E3903" t="str">
        <x:v>Skincare Kit</x:v>
      </x:c>
      <x:c r="F3903" s="24" t="n">
        <x:v>140.1</x:v>
      </x:c>
      <x:c r="G3903" t="str">
        <x:v>Summer</x:v>
      </x:c>
      <x:c r="H3903" t="str">
        <x:v>Card</x:v>
      </x:c>
      <x:c r="I3903" t="n">
        <x:v>3.7</x:v>
      </x:c>
      <x:c r="J3903" t="n">
        <x:v>4</x:v>
      </x:c>
      <x:c r="K3903" t="n">
        <x:v>2</x:v>
      </x:c>
      <x:c r="L3903" t="str">
        <x:v>STORE-001</x:v>
      </x:c>
      <x:c r="M3903" s="22" t="n">
        <x:v>46013</x:v>
      </x:c>
      <x:c r="N3903" t="str">
        <x:v>SKU-021</x:v>
      </x:c>
      <x:c r="O3903" t="n">
        <x:v>3</x:v>
      </x:c>
      <x:c r="P3903" s="26" t="n">
        <x:f>F3903/O3903</x:f>
        <x:v>46.699999999999996</x:v>
      </x:c>
    </x:row>
    <x:row r="3904">
      <x:c r="A3904" t="n">
        <x:v>3903</x:v>
      </x:c>
      <x:c r="B3904" t="n">
        <x:v>45</x:v>
      </x:c>
      <x:c r="C3904" t="str">
        <x:v>Male</x:v>
      </x:c>
      <x:c r="D3904" t="str">
        <x:v>Groceries</x:v>
      </x:c>
      <x:c r="E3904" t="str">
        <x:v>Rice Pack</x:v>
      </x:c>
      <x:c r="F3904" s="24" t="n">
        <x:v>8.33</x:v>
      </x:c>
      <x:c r="G3904" t="str">
        <x:v>Spring</x:v>
      </x:c>
      <x:c r="H3904" t="str">
        <x:v>Card</x:v>
      </x:c>
      <x:c r="I3904" t="n">
        <x:v>2.7</x:v>
      </x:c>
      <x:c r="J3904" t="n">
        <x:v>12</x:v>
      </x:c>
      <x:c r="K3904" t="n">
        <x:v>6</x:v>
      </x:c>
      <x:c r="L3904" t="str">
        <x:v>STORE-001</x:v>
      </x:c>
      <x:c r="M3904" s="22" t="n">
        <x:v>46270</x:v>
      </x:c>
      <x:c r="N3904" t="str">
        <x:v>SKU-018</x:v>
      </x:c>
      <x:c r="O3904" t="n">
        <x:v>1</x:v>
      </x:c>
      <x:c r="P3904" s="26" t="n">
        <x:f>F3904/O3904</x:f>
        <x:v>8.33</x:v>
      </x:c>
    </x:row>
    <x:row r="3905">
      <x:c r="A3905" t="n">
        <x:v>3904</x:v>
      </x:c>
      <x:c r="B3905" t="n">
        <x:v>41</x:v>
      </x:c>
      <x:c r="C3905" t="str">
        <x:v>Male</x:v>
      </x:c>
      <x:c r="D3905" t="str">
        <x:v>Electronics</x:v>
      </x:c>
      <x:c r="E3905" t="str">
        <x:v>Mobile Phone</x:v>
      </x:c>
      <x:c r="F3905" s="24" t="n">
        <x:v>2137.8</x:v>
      </x:c>
      <x:c r="G3905" t="str">
        <x:v>Winter</x:v>
      </x:c>
      <x:c r="H3905" t="str">
        <x:v>Card</x:v>
      </x:c>
      <x:c r="I3905" t="n">
        <x:v>2.9</x:v>
      </x:c>
      <x:c r="J3905" t="n">
        <x:v>11</x:v>
      </x:c>
      <x:c r="K3905" t="n">
        <x:v>3</x:v>
      </x:c>
      <x:c r="L3905" t="str">
        <x:v>STORE-001</x:v>
      </x:c>
      <x:c r="M3905" s="22" t="n">
        <x:v>46250</x:v>
      </x:c>
      <x:c r="N3905" t="str">
        <x:v>SKU-016</x:v>
      </x:c>
      <x:c r="O3905" t="n">
        <x:v>1</x:v>
      </x:c>
      <x:c r="P3905" s="26" t="n">
        <x:f>F3905/O3905</x:f>
        <x:v>2137.8</x:v>
      </x:c>
    </x:row>
    <x:row r="3906">
      <x:c r="A3906" t="n">
        <x:v>3905</x:v>
      </x:c>
      <x:c r="B3906" t="n">
        <x:v>24</x:v>
      </x:c>
      <x:c r="C3906" t="str">
        <x:v>Male</x:v>
      </x:c>
      <x:c r="D3906" t="str">
        <x:v>Electronics</x:v>
      </x:c>
      <x:c r="E3906" t="str">
        <x:v>Laptop</x:v>
      </x:c>
      <x:c r="F3906" s="24" t="n">
        <x:v>1012.48</x:v>
      </x:c>
      <x:c r="G3906" t="str">
        <x:v>Winter</x:v>
      </x:c>
      <x:c r="H3906" t="str">
        <x:v>Card</x:v>
      </x:c>
      <x:c r="I3906" t="n">
        <x:v>5</x:v>
      </x:c>
      <x:c r="J3906" t="n">
        <x:v>12</x:v>
      </x:c>
      <x:c r="K3906" t="n">
        <x:v>6</x:v>
      </x:c>
      <x:c r="L3906" t="str">
        <x:v>STORE-001</x:v>
      </x:c>
      <x:c r="M3906" s="22" t="n">
        <x:v>46234</x:v>
      </x:c>
      <x:c r="N3906" t="str">
        <x:v>SKU-014</x:v>
      </x:c>
      <x:c r="O3906" t="n">
        <x:v>1</x:v>
      </x:c>
      <x:c r="P3906" s="26" t="n">
        <x:f>F3906/O3906</x:f>
        <x:v>1012.48</x:v>
      </x:c>
    </x:row>
    <x:row r="3907">
      <x:c r="A3907" t="n">
        <x:v>3906</x:v>
      </x:c>
      <x:c r="B3907" t="n">
        <x:v>23</x:v>
      </x:c>
      <x:c r="C3907" t="str">
        <x:v>Male</x:v>
      </x:c>
      <x:c r="D3907" t="str">
        <x:v>Footwear</x:v>
      </x:c>
      <x:c r="E3907" t="str">
        <x:v>Formal Shoes</x:v>
      </x:c>
      <x:c r="F3907" s="24" t="n">
        <x:v>159.02</x:v>
      </x:c>
      <x:c r="G3907" t="str">
        <x:v>Spring</x:v>
      </x:c>
      <x:c r="H3907" t="str">
        <x:v>Card</x:v>
      </x:c>
      <x:c r="I3907" t="n">
        <x:v>3.4</x:v>
      </x:c>
      <x:c r="J3907" t="n">
        <x:v>6</x:v>
      </x:c>
      <x:c r="K3907" t="n">
        <x:v>3</x:v>
      </x:c>
      <x:c r="L3907" t="str">
        <x:v>STORE-001</x:v>
      </x:c>
      <x:c r="M3907" s="22" t="n">
        <x:v>45969</x:v>
      </x:c>
      <x:c r="N3907" t="str">
        <x:v>SKU-007</x:v>
      </x:c>
      <x:c r="O3907" t="n">
        <x:v>1</x:v>
      </x:c>
      <x:c r="P3907" s="26" t="n">
        <x:f>F3907/O3907</x:f>
        <x:v>159.02</x:v>
      </x:c>
    </x:row>
    <x:row r="3908">
      <x:c r="A3908" t="n">
        <x:v>3907</x:v>
      </x:c>
      <x:c r="B3908" t="n">
        <x:v>70</x:v>
      </x:c>
      <x:c r="C3908" t="str">
        <x:v>Female</x:v>
      </x:c>
      <x:c r="D3908" t="str">
        <x:v>Beauty</x:v>
      </x:c>
      <x:c r="E3908" t="str">
        <x:v>Perfume</x:v>
      </x:c>
      <x:c r="F3908" s="24" t="n">
        <x:v>65.1</x:v>
      </x:c>
      <x:c r="G3908" t="str">
        <x:v>Winter</x:v>
      </x:c>
      <x:c r="H3908" t="str">
        <x:v>Cash on Delivery</x:v>
      </x:c>
      <x:c r="I3908" t="n">
        <x:v>3.5</x:v>
      </x:c>
      <x:c r="J3908" t="n">
        <x:v>11</x:v>
      </x:c>
      <x:c r="K3908" t="n">
        <x:v>3</x:v>
      </x:c>
      <x:c r="L3908" t="str">
        <x:v>STORE-001</x:v>
      </x:c>
      <x:c r="M3908" s="22" t="n">
        <x:v>46215</x:v>
      </x:c>
      <x:c r="N3908" t="str">
        <x:v>SKU-017</x:v>
      </x:c>
      <x:c r="O3908" t="n">
        <x:v>2</x:v>
      </x:c>
      <x:c r="P3908" s="26" t="n">
        <x:f>F3908/O3908</x:f>
        <x:v>32.55</x:v>
      </x:c>
    </x:row>
    <x:row r="3909">
      <x:c r="A3909" t="n">
        <x:v>3908</x:v>
      </x:c>
      <x:c r="B3909" t="n">
        <x:v>45</x:v>
      </x:c>
      <x:c r="C3909" t="str">
        <x:v>Male</x:v>
      </x:c>
      <x:c r="D3909" t="str">
        <x:v>Electronics</x:v>
      </x:c>
      <x:c r="E3909" t="str">
        <x:v>Headphones</x:v>
      </x:c>
      <x:c r="F3909" s="24" t="n">
        <x:v>1162.15</x:v>
      </x:c>
      <x:c r="G3909" t="str">
        <x:v>Spring</x:v>
      </x:c>
      <x:c r="H3909" t="str">
        <x:v>Card</x:v>
      </x:c>
      <x:c r="I3909" t="n">
        <x:v>3.9</x:v>
      </x:c>
      <x:c r="J3909" t="n">
        <x:v>9</x:v>
      </x:c>
      <x:c r="K3909" t="n">
        <x:v>2</x:v>
      </x:c>
      <x:c r="L3909" t="str">
        <x:v>STORE-001</x:v>
      </x:c>
      <x:c r="M3909" s="22" t="n">
        <x:v>46291</x:v>
      </x:c>
      <x:c r="N3909" t="str">
        <x:v>SKU-009</x:v>
      </x:c>
      <x:c r="O3909" t="n">
        <x:v>1</x:v>
      </x:c>
      <x:c r="P3909" s="26" t="n">
        <x:f>F3909/O3909</x:f>
        <x:v>1162.15</x:v>
      </x:c>
    </x:row>
    <x:row r="3910">
      <x:c r="A3910" t="n">
        <x:v>3909</x:v>
      </x:c>
      <x:c r="B3910" t="n">
        <x:v>51</x:v>
      </x:c>
      <x:c r="C3910" t="str">
        <x:v>Male</x:v>
      </x:c>
      <x:c r="D3910" t="str">
        <x:v>Footwear</x:v>
      </x:c>
      <x:c r="E3910" t="str">
        <x:v>Formal Shoes</x:v>
      </x:c>
      <x:c r="F3910" s="24" t="n">
        <x:v>226.35</x:v>
      </x:c>
      <x:c r="G3910" t="str">
        <x:v>Summer</x:v>
      </x:c>
      <x:c r="H3910" t="str">
        <x:v>Card</x:v>
      </x:c>
      <x:c r="I3910" t="n">
        <x:v>4.2</x:v>
      </x:c>
      <x:c r="J3910" t="n">
        <x:v>20</x:v>
      </x:c>
      <x:c r="K3910" t="n">
        <x:v>10</x:v>
      </x:c>
      <x:c r="L3910" t="str">
        <x:v>STORE-001</x:v>
      </x:c>
      <x:c r="M3910" s="22" t="n">
        <x:v>46073</x:v>
      </x:c>
      <x:c r="N3910" t="str">
        <x:v>SKU-007</x:v>
      </x:c>
      <x:c r="O3910" t="n">
        <x:v>1</x:v>
      </x:c>
      <x:c r="P3910" s="26" t="n">
        <x:f>F3910/O3910</x:f>
        <x:v>226.35</x:v>
      </x:c>
    </x:row>
    <x:row r="3911">
      <x:c r="A3911" t="n">
        <x:v>3910</x:v>
      </x:c>
      <x:c r="B3911" t="n">
        <x:v>38</x:v>
      </x:c>
      <x:c r="C3911" t="str">
        <x:v>Male</x:v>
      </x:c>
      <x:c r="D3911" t="str">
        <x:v>Electronics</x:v>
      </x:c>
      <x:c r="E3911" t="str">
        <x:v>Laptop</x:v>
      </x:c>
      <x:c r="F3911" s="24" t="n">
        <x:v>1523</x:v>
      </x:c>
      <x:c r="G3911" t="str">
        <x:v>Summer</x:v>
      </x:c>
      <x:c r="H3911" t="str">
        <x:v>Card</x:v>
      </x:c>
      <x:c r="I3911" t="n">
        <x:v>5</x:v>
      </x:c>
      <x:c r="J3911" t="n">
        <x:v>32</x:v>
      </x:c>
      <x:c r="K3911" t="n">
        <x:v>11</x:v>
      </x:c>
      <x:c r="L3911" t="str">
        <x:v>STORE-001</x:v>
      </x:c>
      <x:c r="M3911" s="22" t="n">
        <x:v>46068</x:v>
      </x:c>
      <x:c r="N3911" t="str">
        <x:v>SKU-014</x:v>
      </x:c>
      <x:c r="O3911" t="n">
        <x:v>1</x:v>
      </x:c>
      <x:c r="P3911" s="26" t="n">
        <x:f>F3911/O3911</x:f>
        <x:v>1523</x:v>
      </x:c>
    </x:row>
    <x:row r="3912">
      <x:c r="A3912" t="n">
        <x:v>3911</x:v>
      </x:c>
      <x:c r="B3912" t="n">
        <x:v>59</x:v>
      </x:c>
      <x:c r="C3912" t="str">
        <x:v>Male</x:v>
      </x:c>
      <x:c r="D3912" t="str">
        <x:v>Home</x:v>
      </x:c>
      <x:c r="E3912" t="str">
        <x:v>Kitchen Set</x:v>
      </x:c>
      <x:c r="F3912" s="24" t="n">
        <x:v>152.75</x:v>
      </x:c>
      <x:c r="G3912" t="str">
        <x:v>Autumn</x:v>
      </x:c>
      <x:c r="H3912" t="str">
        <x:v>Card</x:v>
      </x:c>
      <x:c r="I3912" t="n">
        <x:v>3.6</x:v>
      </x:c>
      <x:c r="J3912" t="n">
        <x:v>30</x:v>
      </x:c>
      <x:c r="K3912" t="n">
        <x:v>10</x:v>
      </x:c>
      <x:c r="L3912" t="str">
        <x:v>STORE-001</x:v>
      </x:c>
      <x:c r="M3912" s="22" t="n">
        <x:v>46124</x:v>
      </x:c>
      <x:c r="N3912" t="str">
        <x:v>SKU-012</x:v>
      </x:c>
      <x:c r="O3912" t="n">
        <x:v>1</x:v>
      </x:c>
      <x:c r="P3912" s="26" t="n">
        <x:f>F3912/O3912</x:f>
        <x:v>152.75</x:v>
      </x:c>
    </x:row>
    <x:row r="3913">
      <x:c r="A3913" t="n">
        <x:v>3912</x:v>
      </x:c>
      <x:c r="B3913" t="n">
        <x:v>42</x:v>
      </x:c>
      <x:c r="C3913" t="str">
        <x:v>Male</x:v>
      </x:c>
      <x:c r="D3913" t="str">
        <x:v>Sports</x:v>
      </x:c>
      <x:c r="E3913" t="str">
        <x:v>Yoga Mat</x:v>
      </x:c>
      <x:c r="F3913" s="24" t="n">
        <x:v>243.12</x:v>
      </x:c>
      <x:c r="G3913" t="str">
        <x:v>Autumn</x:v>
      </x:c>
      <x:c r="H3913" t="str">
        <x:v>Card</x:v>
      </x:c>
      <x:c r="I3913" t="n">
        <x:v>5</x:v>
      </x:c>
      <x:c r="J3913" t="n">
        <x:v>14</x:v>
      </x:c>
      <x:c r="K3913" t="n">
        <x:v>7</x:v>
      </x:c>
      <x:c r="L3913" t="str">
        <x:v>STORE-001</x:v>
      </x:c>
      <x:c r="M3913" s="22" t="n">
        <x:v>46134</x:v>
      </x:c>
      <x:c r="N3913" t="str">
        <x:v>SKU-030</x:v>
      </x:c>
      <x:c r="O3913" t="n">
        <x:v>2</x:v>
      </x:c>
      <x:c r="P3913" s="26" t="n">
        <x:f>F3913/O3913</x:f>
        <x:v>121.56</x:v>
      </x:c>
    </x:row>
    <x:row r="3914">
      <x:c r="A3914" t="n">
        <x:v>3913</x:v>
      </x:c>
      <x:c r="B3914" t="n">
        <x:v>64</x:v>
      </x:c>
      <x:c r="C3914" t="str">
        <x:v>Male</x:v>
      </x:c>
      <x:c r="D3914" t="str">
        <x:v>Groceries</x:v>
      </x:c>
      <x:c r="E3914" t="str">
        <x:v>Snacks</x:v>
      </x:c>
      <x:c r="F3914" s="24" t="n">
        <x:v>11.97</x:v>
      </x:c>
      <x:c r="G3914" t="str">
        <x:v>Summer</x:v>
      </x:c>
      <x:c r="H3914" t="str">
        <x:v>Card</x:v>
      </x:c>
      <x:c r="I3914" t="n">
        <x:v>4</x:v>
      </x:c>
      <x:c r="J3914" t="n">
        <x:v>9</x:v>
      </x:c>
      <x:c r="K3914" t="n">
        <x:v>2</x:v>
      </x:c>
      <x:c r="L3914" t="str">
        <x:v>STORE-001</x:v>
      </x:c>
      <x:c r="M3914" s="22" t="n">
        <x:v>46025</x:v>
      </x:c>
      <x:c r="N3914" t="str">
        <x:v>SKU-024</x:v>
      </x:c>
      <x:c r="O3914" t="n">
        <x:v>2</x:v>
      </x:c>
      <x:c r="P3914" s="26" t="n">
        <x:f>F3914/O3914</x:f>
        <x:v>5.985</x:v>
      </x:c>
    </x:row>
    <x:row r="3915">
      <x:c r="A3915" t="n">
        <x:v>3914</x:v>
      </x:c>
      <x:c r="B3915" t="n">
        <x:v>23</x:v>
      </x:c>
      <x:c r="C3915" t="str">
        <x:v>Male</x:v>
      </x:c>
      <x:c r="D3915" t="str">
        <x:v>Footwear</x:v>
      </x:c>
      <x:c r="E3915" t="str">
        <x:v>Sandals</x:v>
      </x:c>
      <x:c r="F3915" s="24" t="n">
        <x:v>75.64</x:v>
      </x:c>
      <x:c r="G3915" t="str">
        <x:v>Autumn</x:v>
      </x:c>
      <x:c r="H3915" t="str">
        <x:v>Card</x:v>
      </x:c>
      <x:c r="I3915" t="n">
        <x:v>2.8</x:v>
      </x:c>
      <x:c r="J3915" t="n">
        <x:v>22</x:v>
      </x:c>
      <x:c r="K3915" t="n">
        <x:v>6</x:v>
      </x:c>
      <x:c r="L3915" t="str">
        <x:v>STORE-001</x:v>
      </x:c>
      <x:c r="M3915" s="22" t="n">
        <x:v>46159</x:v>
      </x:c>
      <x:c r="N3915" t="str">
        <x:v>SKU-019</x:v>
      </x:c>
      <x:c r="O3915" t="n">
        <x:v>1</x:v>
      </x:c>
      <x:c r="P3915" s="26" t="n">
        <x:f>F3915/O3915</x:f>
        <x:v>75.64</x:v>
      </x:c>
    </x:row>
    <x:row r="3916">
      <x:c r="A3916" t="n">
        <x:v>3915</x:v>
      </x:c>
      <x:c r="B3916" t="n">
        <x:v>31</x:v>
      </x:c>
      <x:c r="C3916" t="str">
        <x:v>Male</x:v>
      </x:c>
      <x:c r="D3916" t="str">
        <x:v>Sports</x:v>
      </x:c>
      <x:c r="E3916" t="str">
        <x:v>Football</x:v>
      </x:c>
      <x:c r="F3916" s="24" t="n">
        <x:v>107.78</x:v>
      </x:c>
      <x:c r="G3916" t="str">
        <x:v>Autumn</x:v>
      </x:c>
      <x:c r="H3916" t="str">
        <x:v>Card</x:v>
      </x:c>
      <x:c r="I3916" t="n">
        <x:v>3.5</x:v>
      </x:c>
      <x:c r="J3916" t="n">
        <x:v>15</x:v>
      </x:c>
      <x:c r="K3916" t="n">
        <x:v>5</x:v>
      </x:c>
      <x:c r="L3916" t="str">
        <x:v>STORE-001</x:v>
      </x:c>
      <x:c r="M3916" s="22" t="n">
        <x:v>46145</x:v>
      </x:c>
      <x:c r="N3916" t="str">
        <x:v>SKU-006</x:v>
      </x:c>
      <x:c r="O3916" t="n">
        <x:v>1</x:v>
      </x:c>
      <x:c r="P3916" s="26" t="n">
        <x:f>F3916/O3916</x:f>
        <x:v>107.78</x:v>
      </x:c>
    </x:row>
    <x:row r="3917">
      <x:c r="A3917" t="n">
        <x:v>3916</x:v>
      </x:c>
      <x:c r="B3917" t="n">
        <x:v>64</x:v>
      </x:c>
      <x:c r="C3917" t="str">
        <x:v>Male</x:v>
      </x:c>
      <x:c r="D3917" t="str">
        <x:v>Sports</x:v>
      </x:c>
      <x:c r="E3917" t="str">
        <x:v>Football</x:v>
      </x:c>
      <x:c r="F3917" s="24" t="n">
        <x:v>170.99</x:v>
      </x:c>
      <x:c r="G3917" t="str">
        <x:v>Summer</x:v>
      </x:c>
      <x:c r="H3917" t="str">
        <x:v>Card</x:v>
      </x:c>
      <x:c r="I3917" t="n">
        <x:v>3.7</x:v>
      </x:c>
      <x:c r="J3917" t="n">
        <x:v>14</x:v>
      </x:c>
      <x:c r="K3917" t="n">
        <x:v>7</x:v>
      </x:c>
      <x:c r="L3917" t="str">
        <x:v>STORE-001</x:v>
      </x:c>
      <x:c r="M3917" s="22" t="n">
        <x:v>46068</x:v>
      </x:c>
      <x:c r="N3917" t="str">
        <x:v>SKU-006</x:v>
      </x:c>
      <x:c r="O3917" t="n">
        <x:v>1</x:v>
      </x:c>
      <x:c r="P3917" s="26" t="n">
        <x:f>F3917/O3917</x:f>
        <x:v>170.99</x:v>
      </x:c>
    </x:row>
    <x:row r="3918">
      <x:c r="A3918" t="n">
        <x:v>3917</x:v>
      </x:c>
      <x:c r="B3918" t="n">
        <x:v>61</x:v>
      </x:c>
      <x:c r="C3918" t="str">
        <x:v>Female</x:v>
      </x:c>
      <x:c r="D3918" t="str">
        <x:v>Accessories</x:v>
      </x:c>
      <x:c r="E3918" t="str">
        <x:v>Wallet</x:v>
      </x:c>
      <x:c r="F3918" s="24" t="n">
        <x:v>171.53</x:v>
      </x:c>
      <x:c r="G3918" t="str">
        <x:v>Summer</x:v>
      </x:c>
      <x:c r="H3918" t="str">
        <x:v>Card</x:v>
      </x:c>
      <x:c r="I3918" t="n">
        <x:v>3.5</x:v>
      </x:c>
      <x:c r="J3918" t="n">
        <x:v>16</x:v>
      </x:c>
      <x:c r="K3918" t="n">
        <x:v>3</x:v>
      </x:c>
      <x:c r="L3918" t="str">
        <x:v>STORE-001</x:v>
      </x:c>
      <x:c r="M3918" s="22" t="n">
        <x:v>46051</x:v>
      </x:c>
      <x:c r="N3918" t="str">
        <x:v>SKU-029</x:v>
      </x:c>
      <x:c r="O3918" t="n">
        <x:v>2</x:v>
      </x:c>
      <x:c r="P3918" s="26" t="n">
        <x:f>F3918/O3918</x:f>
        <x:v>85.765</x:v>
      </x:c>
    </x:row>
    <x:row r="3919">
      <x:c r="A3919" t="n">
        <x:v>3918</x:v>
      </x:c>
      <x:c r="B3919" t="n">
        <x:v>27</x:v>
      </x:c>
      <x:c r="C3919" t="str">
        <x:v>Female</x:v>
      </x:c>
      <x:c r="D3919" t="str">
        <x:v>Beauty</x:v>
      </x:c>
      <x:c r="E3919" t="str">
        <x:v>Skincare Kit</x:v>
      </x:c>
      <x:c r="F3919" s="24" t="n">
        <x:v>76.49</x:v>
      </x:c>
      <x:c r="G3919" t="str">
        <x:v>Spring</x:v>
      </x:c>
      <x:c r="H3919" t="str">
        <x:v>Card</x:v>
      </x:c>
      <x:c r="I3919" t="n">
        <x:v>4.3</x:v>
      </x:c>
      <x:c r="J3919" t="n">
        <x:v>9</x:v>
      </x:c>
      <x:c r="K3919" t="n">
        <x:v>2</x:v>
      </x:c>
      <x:c r="L3919" t="str">
        <x:v>STORE-001</x:v>
      </x:c>
      <x:c r="M3919" s="22" t="n">
        <x:v>46279</x:v>
      </x:c>
      <x:c r="N3919" t="str">
        <x:v>SKU-021</x:v>
      </x:c>
      <x:c r="O3919" t="n">
        <x:v>1</x:v>
      </x:c>
      <x:c r="P3919" s="26" t="n">
        <x:f>F3919/O3919</x:f>
        <x:v>76.49</x:v>
      </x:c>
    </x:row>
    <x:row r="3920">
      <x:c r="A3920" t="n">
        <x:v>3919</x:v>
      </x:c>
      <x:c r="B3920" t="n">
        <x:v>22</x:v>
      </x:c>
      <x:c r="C3920" t="str">
        <x:v>Female</x:v>
      </x:c>
      <x:c r="D3920" t="str">
        <x:v>Womens Clothing</x:v>
      </x:c>
      <x:c r="E3920" t="str">
        <x:v>Jeans</x:v>
      </x:c>
      <x:c r="F3920" s="24" t="n">
        <x:v>180.68</x:v>
      </x:c>
      <x:c r="G3920" t="str">
        <x:v>Winter</x:v>
      </x:c>
      <x:c r="H3920" t="str">
        <x:v>Card</x:v>
      </x:c>
      <x:c r="I3920" t="n">
        <x:v>4.5</x:v>
      </x:c>
      <x:c r="J3920" t="n">
        <x:v>21</x:v>
      </x:c>
      <x:c r="K3920" t="n">
        <x:v>8</x:v>
      </x:c>
      <x:c r="L3920" t="str">
        <x:v>STORE-001</x:v>
      </x:c>
      <x:c r="M3920" s="22" t="n">
        <x:v>46264</x:v>
      </x:c>
      <x:c r="N3920" t="str">
        <x:v>SKU-011</x:v>
      </x:c>
      <x:c r="O3920" t="n">
        <x:v>2</x:v>
      </x:c>
      <x:c r="P3920" s="26" t="n">
        <x:f>F3920/O3920</x:f>
        <x:v>90.34</x:v>
      </x:c>
    </x:row>
    <x:row r="3921">
      <x:c r="A3921" t="n">
        <x:v>3920</x:v>
      </x:c>
      <x:c r="B3921" t="n">
        <x:v>69</x:v>
      </x:c>
      <x:c r="C3921" t="str">
        <x:v>Male</x:v>
      </x:c>
      <x:c r="D3921" t="str">
        <x:v>Sports</x:v>
      </x:c>
      <x:c r="E3921" t="str">
        <x:v>Dumbbells</x:v>
      </x:c>
      <x:c r="F3921" s="24" t="n">
        <x:v>51.3</x:v>
      </x:c>
      <x:c r="G3921" t="str">
        <x:v>Autumn</x:v>
      </x:c>
      <x:c r="H3921" t="str">
        <x:v>Cash on Delivery</x:v>
      </x:c>
      <x:c r="I3921" t="n">
        <x:v>2.5</x:v>
      </x:c>
      <x:c r="J3921" t="n">
        <x:v>9</x:v>
      </x:c>
      <x:c r="K3921" t="n">
        <x:v>2</x:v>
      </x:c>
      <x:c r="L3921" t="str">
        <x:v>STORE-001</x:v>
      </x:c>
      <x:c r="M3921" s="22" t="n">
        <x:v>46097</x:v>
      </x:c>
      <x:c r="N3921" t="str">
        <x:v>SKU-005</x:v>
      </x:c>
      <x:c r="O3921" t="n">
        <x:v>1</x:v>
      </x:c>
      <x:c r="P3921" s="26" t="n">
        <x:f>F3921/O3921</x:f>
        <x:v>51.3</x:v>
      </x:c>
    </x:row>
    <x:row r="3922">
      <x:c r="A3922" t="n">
        <x:v>3921</x:v>
      </x:c>
      <x:c r="B3922" t="n">
        <x:v>66</x:v>
      </x:c>
      <x:c r="C3922" t="str">
        <x:v>Male</x:v>
      </x:c>
      <x:c r="D3922" t="str">
        <x:v>Mens Clothing</x:v>
      </x:c>
      <x:c r="E3922" t="str">
        <x:v>Jeans</x:v>
      </x:c>
      <x:c r="F3922" s="24" t="n">
        <x:v>40.06</x:v>
      </x:c>
      <x:c r="G3922" t="str">
        <x:v>Summer</x:v>
      </x:c>
      <x:c r="H3922" t="str">
        <x:v>Cash on Delivery</x:v>
      </x:c>
      <x:c r="I3922" t="n">
        <x:v>3.1</x:v>
      </x:c>
      <x:c r="J3922" t="n">
        <x:v>20</x:v>
      </x:c>
      <x:c r="K3922" t="n">
        <x:v>5</x:v>
      </x:c>
      <x:c r="L3922" t="str">
        <x:v>STORE-001</x:v>
      </x:c>
      <x:c r="M3922" s="22" t="n">
        <x:v>46012</x:v>
      </x:c>
      <x:c r="N3922" t="str">
        <x:v>SKU-011</x:v>
      </x:c>
      <x:c r="O3922" t="n">
        <x:v>2</x:v>
      </x:c>
      <x:c r="P3922" s="26" t="n">
        <x:f>F3922/O3922</x:f>
        <x:v>20.03</x:v>
      </x:c>
    </x:row>
    <x:row r="3923">
      <x:c r="A3923" t="n">
        <x:v>3922</x:v>
      </x:c>
      <x:c r="B3923" t="n">
        <x:v>39</x:v>
      </x:c>
      <x:c r="C3923" t="str">
        <x:v>Male</x:v>
      </x:c>
      <x:c r="D3923" t="str">
        <x:v>Sports</x:v>
      </x:c>
      <x:c r="E3923" t="str">
        <x:v>Dumbbells</x:v>
      </x:c>
      <x:c r="F3923" s="24" t="n">
        <x:v>149.28</x:v>
      </x:c>
      <x:c r="G3923" t="str">
        <x:v>Winter</x:v>
      </x:c>
      <x:c r="H3923" t="str">
        <x:v>Card</x:v>
      </x:c>
      <x:c r="I3923" t="n">
        <x:v>2.9</x:v>
      </x:c>
      <x:c r="J3923" t="n">
        <x:v>15</x:v>
      </x:c>
      <x:c r="K3923" t="n">
        <x:v>5</x:v>
      </x:c>
      <x:c r="L3923" t="str">
        <x:v>STORE-001</x:v>
      </x:c>
      <x:c r="M3923" s="22" t="n">
        <x:v>46251</x:v>
      </x:c>
      <x:c r="N3923" t="str">
        <x:v>SKU-005</x:v>
      </x:c>
      <x:c r="O3923" t="n">
        <x:v>2</x:v>
      </x:c>
      <x:c r="P3923" s="26" t="n">
        <x:f>F3923/O3923</x:f>
        <x:v>74.64</x:v>
      </x:c>
    </x:row>
    <x:row r="3924">
      <x:c r="A3924" t="n">
        <x:v>3923</x:v>
      </x:c>
      <x:c r="B3924" t="n">
        <x:v>22</x:v>
      </x:c>
      <x:c r="C3924" t="str">
        <x:v>Male</x:v>
      </x:c>
      <x:c r="D3924" t="str">
        <x:v>Footwear</x:v>
      </x:c>
      <x:c r="E3924" t="str">
        <x:v>Sandals</x:v>
      </x:c>
      <x:c r="F3924" s="24" t="n">
        <x:v>168.49</x:v>
      </x:c>
      <x:c r="G3924" t="str">
        <x:v>Spring</x:v>
      </x:c>
      <x:c r="H3924" t="str">
        <x:v>Card</x:v>
      </x:c>
      <x:c r="I3924" t="n">
        <x:v>4.9</x:v>
      </x:c>
      <x:c r="J3924" t="n">
        <x:v>19</x:v>
      </x:c>
      <x:c r="K3924" t="n">
        <x:v>7</x:v>
      </x:c>
      <x:c r="L3924" t="str">
        <x:v>STORE-001</x:v>
      </x:c>
      <x:c r="M3924" s="22" t="n">
        <x:v>45939</x:v>
      </x:c>
      <x:c r="N3924" t="str">
        <x:v>SKU-019</x:v>
      </x:c>
      <x:c r="O3924" t="n">
        <x:v>1</x:v>
      </x:c>
      <x:c r="P3924" s="26" t="n">
        <x:f>F3924/O3924</x:f>
        <x:v>168.49</x:v>
      </x:c>
    </x:row>
    <x:row r="3925">
      <x:c r="A3925" t="n">
        <x:v>3924</x:v>
      </x:c>
      <x:c r="B3925" t="n">
        <x:v>53</x:v>
      </x:c>
      <x:c r="C3925" t="str">
        <x:v>Female</x:v>
      </x:c>
      <x:c r="D3925" t="str">
        <x:v>Footwear</x:v>
      </x:c>
      <x:c r="E3925" t="str">
        <x:v>Sandals</x:v>
      </x:c>
      <x:c r="F3925" s="24" t="n">
        <x:v>141.58</x:v>
      </x:c>
      <x:c r="G3925" t="str">
        <x:v>Spring</x:v>
      </x:c>
      <x:c r="H3925" t="str">
        <x:v>Card</x:v>
      </x:c>
      <x:c r="I3925" t="n">
        <x:v>1.7</x:v>
      </x:c>
      <x:c r="J3925" t="n">
        <x:v>10</x:v>
      </x:c>
      <x:c r="K3925" t="n">
        <x:v>5</x:v>
      </x:c>
      <x:c r="L3925" t="str">
        <x:v>STORE-001</x:v>
      </x:c>
      <x:c r="M3925" s="22" t="n">
        <x:v>46292</x:v>
      </x:c>
      <x:c r="N3925" t="str">
        <x:v>SKU-019</x:v>
      </x:c>
      <x:c r="O3925" t="n">
        <x:v>3</x:v>
      </x:c>
      <x:c r="P3925" s="26" t="n">
        <x:f>F3925/O3925</x:f>
        <x:v>47.193333333333335</x:v>
      </x:c>
    </x:row>
    <x:row r="3926">
      <x:c r="A3926" t="n">
        <x:v>3925</x:v>
      </x:c>
      <x:c r="B3926" t="n">
        <x:v>50</x:v>
      </x:c>
      <x:c r="C3926" t="str">
        <x:v>Female</x:v>
      </x:c>
      <x:c r="D3926" t="str">
        <x:v>Footwear</x:v>
      </x:c>
      <x:c r="E3926" t="str">
        <x:v>Sandals</x:v>
      </x:c>
      <x:c r="F3926" s="24" t="n">
        <x:v>227.28</x:v>
      </x:c>
      <x:c r="G3926" t="str">
        <x:v>Spring</x:v>
      </x:c>
      <x:c r="H3926" t="str">
        <x:v>Card</x:v>
      </x:c>
      <x:c r="I3926" t="n">
        <x:v>3.8</x:v>
      </x:c>
      <x:c r="J3926" t="n">
        <x:v>16</x:v>
      </x:c>
      <x:c r="K3926" t="n">
        <x:v>3</x:v>
      </x:c>
      <x:c r="L3926" t="str">
        <x:v>STORE-001</x:v>
      </x:c>
      <x:c r="M3926" s="22" t="n">
        <x:v>45955</x:v>
      </x:c>
      <x:c r="N3926" t="str">
        <x:v>SKU-019</x:v>
      </x:c>
      <x:c r="O3926" t="n">
        <x:v>1</x:v>
      </x:c>
      <x:c r="P3926" s="26" t="n">
        <x:f>F3926/O3926</x:f>
        <x:v>227.28</x:v>
      </x:c>
    </x:row>
    <x:row r="3927">
      <x:c r="A3927" t="n">
        <x:v>3926</x:v>
      </x:c>
      <x:c r="B3927" t="n">
        <x:v>45</x:v>
      </x:c>
      <x:c r="C3927" t="str">
        <x:v>Male</x:v>
      </x:c>
      <x:c r="D3927" t="str">
        <x:v>Mens Clothing</x:v>
      </x:c>
      <x:c r="E3927" t="str">
        <x:v>Shirt</x:v>
      </x:c>
      <x:c r="F3927" s="24" t="n">
        <x:v>49.65</x:v>
      </x:c>
      <x:c r="G3927" t="str">
        <x:v>Summer</x:v>
      </x:c>
      <x:c r="H3927" t="str">
        <x:v>Card</x:v>
      </x:c>
      <x:c r="I3927" t="n">
        <x:v>4.9</x:v>
      </x:c>
      <x:c r="J3927" t="n">
        <x:v>26</x:v>
      </x:c>
      <x:c r="K3927" t="n">
        <x:v>8</x:v>
      </x:c>
      <x:c r="L3927" t="str">
        <x:v>STORE-001</x:v>
      </x:c>
      <x:c r="M3927" s="22" t="n">
        <x:v>46037</x:v>
      </x:c>
      <x:c r="N3927" t="str">
        <x:v>SKU-020</x:v>
      </x:c>
      <x:c r="O3927" t="n">
        <x:v>1</x:v>
      </x:c>
      <x:c r="P3927" s="26" t="n">
        <x:f>F3927/O3927</x:f>
        <x:v>49.65</x:v>
      </x:c>
    </x:row>
    <x:row r="3928">
      <x:c r="A3928" t="n">
        <x:v>3927</x:v>
      </x:c>
      <x:c r="B3928" t="n">
        <x:v>54</x:v>
      </x:c>
      <x:c r="C3928" t="str">
        <x:v>Male</x:v>
      </x:c>
      <x:c r="D3928" t="str">
        <x:v>Mens Clothing</x:v>
      </x:c>
      <x:c r="E3928" t="str">
        <x:v>Jacket</x:v>
      </x:c>
      <x:c r="F3928" s="24" t="n">
        <x:v>48.95</x:v>
      </x:c>
      <x:c r="G3928" t="str">
        <x:v>Winter</x:v>
      </x:c>
      <x:c r="H3928" t="str">
        <x:v>Card</x:v>
      </x:c>
      <x:c r="I3928" t="n">
        <x:v>2.6</x:v>
      </x:c>
      <x:c r="J3928" t="n">
        <x:v>13</x:v>
      </x:c>
      <x:c r="K3928" t="n">
        <x:v>4</x:v>
      </x:c>
      <x:c r="L3928" t="str">
        <x:v>STORE-001</x:v>
      </x:c>
      <x:c r="M3928" s="22" t="n">
        <x:v>46203</x:v>
      </x:c>
      <x:c r="N3928" t="str">
        <x:v>SKU-010</x:v>
      </x:c>
      <x:c r="O3928" t="n">
        <x:v>1</x:v>
      </x:c>
      <x:c r="P3928" s="26" t="n">
        <x:f>F3928/O3928</x:f>
        <x:v>48.95</x:v>
      </x:c>
    </x:row>
    <x:row r="3929">
      <x:c r="A3929" t="n">
        <x:v>3928</x:v>
      </x:c>
      <x:c r="B3929" t="n">
        <x:v>38</x:v>
      </x:c>
      <x:c r="C3929" t="str">
        <x:v>Female</x:v>
      </x:c>
      <x:c r="D3929" t="str">
        <x:v>Home</x:v>
      </x:c>
      <x:c r="E3929" t="str">
        <x:v>Lamp</x:v>
      </x:c>
      <x:c r="F3929" s="24" t="n">
        <x:v>289.17</x:v>
      </x:c>
      <x:c r="G3929" t="str">
        <x:v>Winter</x:v>
      </x:c>
      <x:c r="H3929" t="str">
        <x:v>Card</x:v>
      </x:c>
      <x:c r="I3929" t="n">
        <x:v>3.9</x:v>
      </x:c>
      <x:c r="J3929" t="n">
        <x:v>6</x:v>
      </x:c>
      <x:c r="K3929" t="n">
        <x:v>3</x:v>
      </x:c>
      <x:c r="L3929" t="str">
        <x:v>STORE-001</x:v>
      </x:c>
      <x:c r="M3929" s="22" t="n">
        <x:v>46235</x:v>
      </x:c>
      <x:c r="N3929" t="str">
        <x:v>SKU-013</x:v>
      </x:c>
      <x:c r="O3929" t="n">
        <x:v>2</x:v>
      </x:c>
      <x:c r="P3929" s="26" t="n">
        <x:f>F3929/O3929</x:f>
        <x:v>144.585</x:v>
      </x:c>
    </x:row>
    <x:row r="3930">
      <x:c r="A3930" t="n">
        <x:v>3929</x:v>
      </x:c>
      <x:c r="B3930" t="n">
        <x:v>45</x:v>
      </x:c>
      <x:c r="C3930" t="str">
        <x:v>Female</x:v>
      </x:c>
      <x:c r="D3930" t="str">
        <x:v>Accessories</x:v>
      </x:c>
      <x:c r="E3930" t="str">
        <x:v>Wallet</x:v>
      </x:c>
      <x:c r="F3930" s="24" t="n">
        <x:v>51.88</x:v>
      </x:c>
      <x:c r="G3930" t="str">
        <x:v>Winter</x:v>
      </x:c>
      <x:c r="H3930" t="str">
        <x:v>Card</x:v>
      </x:c>
      <x:c r="I3930" t="n">
        <x:v>4.6</x:v>
      </x:c>
      <x:c r="J3930" t="n">
        <x:v>8</x:v>
      </x:c>
      <x:c r="K3930" t="n">
        <x:v>4</x:v>
      </x:c>
      <x:c r="L3930" t="str">
        <x:v>STORE-001</x:v>
      </x:c>
      <x:c r="M3930" s="22" t="n">
        <x:v>46232</x:v>
      </x:c>
      <x:c r="N3930" t="str">
        <x:v>SKU-029</x:v>
      </x:c>
      <x:c r="O3930" t="n">
        <x:v>2</x:v>
      </x:c>
      <x:c r="P3930" s="26" t="n">
        <x:f>F3930/O3930</x:f>
        <x:v>25.94</x:v>
      </x:c>
    </x:row>
    <x:row r="3931">
      <x:c r="A3931" t="n">
        <x:v>3930</x:v>
      </x:c>
      <x:c r="B3931" t="n">
        <x:v>36</x:v>
      </x:c>
      <x:c r="C3931" t="str">
        <x:v>Female</x:v>
      </x:c>
      <x:c r="D3931" t="str">
        <x:v>Womens Clothing</x:v>
      </x:c>
      <x:c r="E3931" t="str">
        <x:v>Top</x:v>
      </x:c>
      <x:c r="F3931" s="24" t="n">
        <x:v>70.98</x:v>
      </x:c>
      <x:c r="G3931" t="str">
        <x:v>Winter</x:v>
      </x:c>
      <x:c r="H3931" t="str">
        <x:v>Cash on Delivery</x:v>
      </x:c>
      <x:c r="I3931" t="n">
        <x:v>3.4</x:v>
      </x:c>
      <x:c r="J3931" t="n">
        <x:v>6</x:v>
      </x:c>
      <x:c r="K3931" t="n">
        <x:v>3</x:v>
      </x:c>
      <x:c r="L3931" t="str">
        <x:v>STORE-001</x:v>
      </x:c>
      <x:c r="M3931" s="22" t="n">
        <x:v>46191</x:v>
      </x:c>
      <x:c r="N3931" t="str">
        <x:v>SKU-028</x:v>
      </x:c>
      <x:c r="O3931" t="n">
        <x:v>1</x:v>
      </x:c>
      <x:c r="P3931" s="26" t="n">
        <x:f>F3931/O3931</x:f>
        <x:v>70.98</x:v>
      </x:c>
    </x:row>
    <x:row r="3932">
      <x:c r="A3932" t="n">
        <x:v>3931</x:v>
      </x:c>
      <x:c r="B3932" t="n">
        <x:v>34</x:v>
      </x:c>
      <x:c r="C3932" t="str">
        <x:v>Male</x:v>
      </x:c>
      <x:c r="D3932" t="str">
        <x:v>Mens Clothing</x:v>
      </x:c>
      <x:c r="E3932" t="str">
        <x:v>T-Shirt</x:v>
      </x:c>
      <x:c r="F3932" s="24" t="n">
        <x:v>63.17</x:v>
      </x:c>
      <x:c r="G3932" t="str">
        <x:v>Summer</x:v>
      </x:c>
      <x:c r="H3932" t="str">
        <x:v>Card</x:v>
      </x:c>
      <x:c r="I3932" t="n">
        <x:v>3.6</x:v>
      </x:c>
      <x:c r="J3932" t="n">
        <x:v>20</x:v>
      </x:c>
      <x:c r="K3932" t="n">
        <x:v>10</x:v>
      </x:c>
      <x:c r="L3932" t="str">
        <x:v>STORE-001</x:v>
      </x:c>
      <x:c r="M3932" s="22" t="n">
        <x:v>46079</x:v>
      </x:c>
      <x:c r="N3932" t="str">
        <x:v>SKU-027</x:v>
      </x:c>
      <x:c r="O3932" t="n">
        <x:v>1</x:v>
      </x:c>
      <x:c r="P3932" s="26" t="n">
        <x:f>F3932/O3932</x:f>
        <x:v>63.17</x:v>
      </x:c>
    </x:row>
    <x:row r="3933">
      <x:c r="A3933" t="n">
        <x:v>3932</x:v>
      </x:c>
      <x:c r="B3933" t="n">
        <x:v>69</x:v>
      </x:c>
      <x:c r="C3933" t="str">
        <x:v>Male</x:v>
      </x:c>
      <x:c r="D3933" t="str">
        <x:v>Sports</x:v>
      </x:c>
      <x:c r="E3933" t="str">
        <x:v>Yoga Mat</x:v>
      </x:c>
      <x:c r="F3933" s="24" t="n">
        <x:v>235.79</x:v>
      </x:c>
      <x:c r="G3933" t="str">
        <x:v>Winter</x:v>
      </x:c>
      <x:c r="H3933" t="str">
        <x:v>Card</x:v>
      </x:c>
      <x:c r="I3933" t="n">
        <x:v>3.7</x:v>
      </x:c>
      <x:c r="J3933" t="n">
        <x:v>11</x:v>
      </x:c>
      <x:c r="K3933" t="n">
        <x:v>3</x:v>
      </x:c>
      <x:c r="L3933" t="str">
        <x:v>STORE-001</x:v>
      </x:c>
      <x:c r="M3933" s="22" t="n">
        <x:v>46261</x:v>
      </x:c>
      <x:c r="N3933" t="str">
        <x:v>SKU-030</x:v>
      </x:c>
      <x:c r="O3933" t="n">
        <x:v>2</x:v>
      </x:c>
      <x:c r="P3933" s="26" t="n">
        <x:f>F3933/O3933</x:f>
        <x:v>117.895</x:v>
      </x:c>
    </x:row>
    <x:row r="3934">
      <x:c r="A3934" t="n">
        <x:v>3933</x:v>
      </x:c>
      <x:c r="B3934" t="n">
        <x:v>25</x:v>
      </x:c>
      <x:c r="C3934" t="str">
        <x:v>Male</x:v>
      </x:c>
      <x:c r="D3934" t="str">
        <x:v>Sports</x:v>
      </x:c>
      <x:c r="E3934" t="str">
        <x:v>Dumbbells</x:v>
      </x:c>
      <x:c r="F3934" s="24" t="n">
        <x:v>156.57</x:v>
      </x:c>
      <x:c r="G3934" t="str">
        <x:v>Winter</x:v>
      </x:c>
      <x:c r="H3934" t="str">
        <x:v>Card</x:v>
      </x:c>
      <x:c r="I3934" t="n">
        <x:v>3.5</x:v>
      </x:c>
      <x:c r="J3934" t="n">
        <x:v>17</x:v>
      </x:c>
      <x:c r="K3934" t="n">
        <x:v>6</x:v>
      </x:c>
      <x:c r="L3934" t="str">
        <x:v>STORE-001</x:v>
      </x:c>
      <x:c r="M3934" s="22" t="n">
        <x:v>46179</x:v>
      </x:c>
      <x:c r="N3934" t="str">
        <x:v>SKU-005</x:v>
      </x:c>
      <x:c r="O3934" t="n">
        <x:v>1</x:v>
      </x:c>
      <x:c r="P3934" s="26" t="n">
        <x:f>F3934/O3934</x:f>
        <x:v>156.57</x:v>
      </x:c>
    </x:row>
    <x:row r="3935">
      <x:c r="A3935" t="n">
        <x:v>3934</x:v>
      </x:c>
      <x:c r="B3935" t="n">
        <x:v>70</x:v>
      </x:c>
      <x:c r="C3935" t="str">
        <x:v>Female</x:v>
      </x:c>
      <x:c r="D3935" t="str">
        <x:v>Groceries</x:v>
      </x:c>
      <x:c r="E3935" t="str">
        <x:v>Snacks</x:v>
      </x:c>
      <x:c r="F3935" s="24" t="n">
        <x:v>58.72</x:v>
      </x:c>
      <x:c r="G3935" t="str">
        <x:v>Spring</x:v>
      </x:c>
      <x:c r="H3935" t="str">
        <x:v>Card</x:v>
      </x:c>
      <x:c r="I3935" t="n">
        <x:v>4.5</x:v>
      </x:c>
      <x:c r="J3935" t="n">
        <x:v>26</x:v>
      </x:c>
      <x:c r="K3935" t="n">
        <x:v>8</x:v>
      </x:c>
      <x:c r="L3935" t="str">
        <x:v>STORE-001</x:v>
      </x:c>
      <x:c r="M3935" s="22" t="n">
        <x:v>46295</x:v>
      </x:c>
      <x:c r="N3935" t="str">
        <x:v>SKU-024</x:v>
      </x:c>
      <x:c r="O3935" t="n">
        <x:v>2</x:v>
      </x:c>
      <x:c r="P3935" s="26" t="n">
        <x:f>F3935/O3935</x:f>
        <x:v>29.36</x:v>
      </x:c>
    </x:row>
    <x:row r="3936">
      <x:c r="A3936" t="n">
        <x:v>3935</x:v>
      </x:c>
      <x:c r="B3936" t="n">
        <x:v>26</x:v>
      </x:c>
      <x:c r="C3936" t="str">
        <x:v>Male</x:v>
      </x:c>
      <x:c r="D3936" t="str">
        <x:v>Mens Clothing</x:v>
      </x:c>
      <x:c r="E3936" t="str">
        <x:v>Jeans</x:v>
      </x:c>
      <x:c r="F3936" s="24" t="n">
        <x:v>148.73</x:v>
      </x:c>
      <x:c r="G3936" t="str">
        <x:v>Winter</x:v>
      </x:c>
      <x:c r="H3936" t="str">
        <x:v>Card</x:v>
      </x:c>
      <x:c r="I3936" t="n">
        <x:v>3.5</x:v>
      </x:c>
      <x:c r="J3936" t="n">
        <x:v>20</x:v>
      </x:c>
      <x:c r="K3936" t="n">
        <x:v>5</x:v>
      </x:c>
      <x:c r="L3936" t="str">
        <x:v>STORE-001</x:v>
      </x:c>
      <x:c r="M3936" s="22" t="n">
        <x:v>46183</x:v>
      </x:c>
      <x:c r="N3936" t="str">
        <x:v>SKU-011</x:v>
      </x:c>
      <x:c r="O3936" t="n">
        <x:v>1</x:v>
      </x:c>
      <x:c r="P3936" s="26" t="n">
        <x:f>F3936/O3936</x:f>
        <x:v>148.73</x:v>
      </x:c>
    </x:row>
    <x:row r="3937">
      <x:c r="A3937" t="n">
        <x:v>3936</x:v>
      </x:c>
      <x:c r="B3937" t="n">
        <x:v>41</x:v>
      </x:c>
      <x:c r="C3937" t="str">
        <x:v>Male</x:v>
      </x:c>
      <x:c r="D3937" t="str">
        <x:v>Electronics</x:v>
      </x:c>
      <x:c r="E3937" t="str">
        <x:v>Headphones</x:v>
      </x:c>
      <x:c r="F3937" s="24" t="n">
        <x:v>560.16</x:v>
      </x:c>
      <x:c r="G3937" t="str">
        <x:v>Autumn</x:v>
      </x:c>
      <x:c r="H3937" t="str">
        <x:v>Card</x:v>
      </x:c>
      <x:c r="I3937" t="n">
        <x:v>3.4</x:v>
      </x:c>
      <x:c r="J3937" t="n">
        <x:v>8</x:v>
      </x:c>
      <x:c r="K3937" t="n">
        <x:v>4</x:v>
      </x:c>
      <x:c r="L3937" t="str">
        <x:v>STORE-001</x:v>
      </x:c>
      <x:c r="M3937" s="22" t="n">
        <x:v>46114</x:v>
      </x:c>
      <x:c r="N3937" t="str">
        <x:v>SKU-009</x:v>
      </x:c>
      <x:c r="O3937" t="n">
        <x:v>1</x:v>
      </x:c>
      <x:c r="P3937" s="26" t="n">
        <x:f>F3937/O3937</x:f>
        <x:v>560.16</x:v>
      </x:c>
    </x:row>
    <x:row r="3938">
      <x:c r="A3938" t="n">
        <x:v>3937</x:v>
      </x:c>
      <x:c r="B3938" t="n">
        <x:v>70</x:v>
      </x:c>
      <x:c r="C3938" t="str">
        <x:v>Female</x:v>
      </x:c>
      <x:c r="D3938" t="str">
        <x:v>Beauty</x:v>
      </x:c>
      <x:c r="E3938" t="str">
        <x:v>Makeup Set</x:v>
      </x:c>
      <x:c r="F3938" s="24" t="n">
        <x:v>57.57</x:v>
      </x:c>
      <x:c r="G3938" t="str">
        <x:v>Spring</x:v>
      </x:c>
      <x:c r="H3938" t="str">
        <x:v>Card</x:v>
      </x:c>
      <x:c r="I3938" t="n">
        <x:v>4.2</x:v>
      </x:c>
      <x:c r="J3938" t="n">
        <x:v>28</x:v>
      </x:c>
      <x:c r="K3938" t="n">
        <x:v>9</x:v>
      </x:c>
      <x:c r="L3938" t="str">
        <x:v>STORE-001</x:v>
      </x:c>
      <x:c r="M3938" s="22" t="n">
        <x:v>46271</x:v>
      </x:c>
      <x:c r="N3938" t="str">
        <x:v>SKU-015</x:v>
      </x:c>
      <x:c r="O3938" t="n">
        <x:v>1</x:v>
      </x:c>
      <x:c r="P3938" s="26" t="n">
        <x:f>F3938/O3938</x:f>
        <x:v>57.57</x:v>
      </x:c>
    </x:row>
    <x:row r="3939">
      <x:c r="A3939" t="n">
        <x:v>3938</x:v>
      </x:c>
      <x:c r="B3939" t="n">
        <x:v>67</x:v>
      </x:c>
      <x:c r="C3939" t="str">
        <x:v>Male</x:v>
      </x:c>
      <x:c r="D3939" t="str">
        <x:v>Sports</x:v>
      </x:c>
      <x:c r="E3939" t="str">
        <x:v>Football</x:v>
      </x:c>
      <x:c r="F3939" s="24" t="n">
        <x:v>177.81</x:v>
      </x:c>
      <x:c r="G3939" t="str">
        <x:v>Summer</x:v>
      </x:c>
      <x:c r="H3939" t="str">
        <x:v>Card</x:v>
      </x:c>
      <x:c r="I3939" t="n">
        <x:v>4.4</x:v>
      </x:c>
      <x:c r="J3939" t="n">
        <x:v>24</x:v>
      </x:c>
      <x:c r="K3939" t="n">
        <x:v>7</x:v>
      </x:c>
      <x:c r="L3939" t="str">
        <x:v>STORE-001</x:v>
      </x:c>
      <x:c r="M3939" s="22" t="n">
        <x:v>46033</x:v>
      </x:c>
      <x:c r="N3939" t="str">
        <x:v>SKU-006</x:v>
      </x:c>
      <x:c r="O3939" t="n">
        <x:v>1</x:v>
      </x:c>
      <x:c r="P3939" s="26" t="n">
        <x:f>F3939/O3939</x:f>
        <x:v>177.81</x:v>
      </x:c>
    </x:row>
    <x:row r="3940">
      <x:c r="A3940" t="n">
        <x:v>3939</x:v>
      </x:c>
      <x:c r="B3940" t="n">
        <x:v>51</x:v>
      </x:c>
      <x:c r="C3940" t="str">
        <x:v>Female</x:v>
      </x:c>
      <x:c r="D3940" t="str">
        <x:v>Sports</x:v>
      </x:c>
      <x:c r="E3940" t="str">
        <x:v>Football</x:v>
      </x:c>
      <x:c r="F3940" s="24" t="n">
        <x:v>184.15</x:v>
      </x:c>
      <x:c r="G3940" t="str">
        <x:v>Autumn</x:v>
      </x:c>
      <x:c r="H3940" t="str">
        <x:v>Card</x:v>
      </x:c>
      <x:c r="I3940" t="n">
        <x:v>4.5</x:v>
      </x:c>
      <x:c r="J3940" t="n">
        <x:v>19</x:v>
      </x:c>
      <x:c r="K3940" t="n">
        <x:v>7</x:v>
      </x:c>
      <x:c r="L3940" t="str">
        <x:v>STORE-001</x:v>
      </x:c>
      <x:c r="M3940" s="22" t="n">
        <x:v>46092</x:v>
      </x:c>
      <x:c r="N3940" t="str">
        <x:v>SKU-006</x:v>
      </x:c>
      <x:c r="O3940" t="n">
        <x:v>1</x:v>
      </x:c>
      <x:c r="P3940" s="26" t="n">
        <x:f>F3940/O3940</x:f>
        <x:v>184.15</x:v>
      </x:c>
    </x:row>
    <x:row r="3941">
      <x:c r="A3941" t="n">
        <x:v>3940</x:v>
      </x:c>
      <x:c r="B3941" t="n">
        <x:v>57</x:v>
      </x:c>
      <x:c r="C3941" t="str">
        <x:v>Female</x:v>
      </x:c>
      <x:c r="D3941" t="str">
        <x:v>Beauty</x:v>
      </x:c>
      <x:c r="E3941" t="str">
        <x:v>Makeup Set</x:v>
      </x:c>
      <x:c r="F3941" s="24" t="n">
        <x:v>113.42</x:v>
      </x:c>
      <x:c r="G3941" t="str">
        <x:v>Winter</x:v>
      </x:c>
      <x:c r="H3941" t="str">
        <x:v>Card</x:v>
      </x:c>
      <x:c r="I3941" t="n">
        <x:v>5</x:v>
      </x:c>
      <x:c r="J3941" t="n">
        <x:v>24</x:v>
      </x:c>
      <x:c r="K3941" t="n">
        <x:v>7</x:v>
      </x:c>
      <x:c r="L3941" t="str">
        <x:v>STORE-001</x:v>
      </x:c>
      <x:c r="M3941" s="22" t="n">
        <x:v>46263</x:v>
      </x:c>
      <x:c r="N3941" t="str">
        <x:v>SKU-015</x:v>
      </x:c>
      <x:c r="O3941" t="n">
        <x:v>2</x:v>
      </x:c>
      <x:c r="P3941" s="26" t="n">
        <x:f>F3941/O3941</x:f>
        <x:v>56.71</x:v>
      </x:c>
    </x:row>
    <x:row r="3942">
      <x:c r="A3942" t="n">
        <x:v>3941</x:v>
      </x:c>
      <x:c r="B3942" t="n">
        <x:v>43</x:v>
      </x:c>
      <x:c r="C3942" t="str">
        <x:v>Male</x:v>
      </x:c>
      <x:c r="D3942" t="str">
        <x:v>Mens Clothing</x:v>
      </x:c>
      <x:c r="E3942" t="str">
        <x:v>Shirt</x:v>
      </x:c>
      <x:c r="F3942" s="24" t="n">
        <x:v>73.54</x:v>
      </x:c>
      <x:c r="G3942" t="str">
        <x:v>Autumn</x:v>
      </x:c>
      <x:c r="H3942" t="str">
        <x:v>Cash on Delivery</x:v>
      </x:c>
      <x:c r="I3942" t="n">
        <x:v>2.4</x:v>
      </x:c>
      <x:c r="J3942" t="n">
        <x:v>11</x:v>
      </x:c>
      <x:c r="K3942" t="n">
        <x:v>3</x:v>
      </x:c>
      <x:c r="L3942" t="str">
        <x:v>STORE-001</x:v>
      </x:c>
      <x:c r="M3942" s="22" t="n">
        <x:v>46133</x:v>
      </x:c>
      <x:c r="N3942" t="str">
        <x:v>SKU-020</x:v>
      </x:c>
      <x:c r="O3942" t="n">
        <x:v>2</x:v>
      </x:c>
      <x:c r="P3942" s="26" t="n">
        <x:f>F3942/O3942</x:f>
        <x:v>36.77</x:v>
      </x:c>
    </x:row>
    <x:row r="3943">
      <x:c r="A3943" t="n">
        <x:v>3942</x:v>
      </x:c>
      <x:c r="B3943" t="n">
        <x:v>63</x:v>
      </x:c>
      <x:c r="C3943" t="str">
        <x:v>Female</x:v>
      </x:c>
      <x:c r="D3943" t="str">
        <x:v>Accessories</x:v>
      </x:c>
      <x:c r="E3943" t="str">
        <x:v>Handbag</x:v>
      </x:c>
      <x:c r="F3943" s="24" t="n">
        <x:v>83.01</x:v>
      </x:c>
      <x:c r="G3943" t="str">
        <x:v>Summer</x:v>
      </x:c>
      <x:c r="H3943" t="str">
        <x:v>Card</x:v>
      </x:c>
      <x:c r="I3943" t="n">
        <x:v>2.9</x:v>
      </x:c>
      <x:c r="J3943" t="n">
        <x:v>20</x:v>
      </x:c>
      <x:c r="K3943" t="n">
        <x:v>5</x:v>
      </x:c>
      <x:c r="L3943" t="str">
        <x:v>STORE-001</x:v>
      </x:c>
      <x:c r="M3943" s="22" t="n">
        <x:v>46018</x:v>
      </x:c>
      <x:c r="N3943" t="str">
        <x:v>SKU-008</x:v>
      </x:c>
      <x:c r="O3943" t="n">
        <x:v>1</x:v>
      </x:c>
      <x:c r="P3943" s="26" t="n">
        <x:f>F3943/O3943</x:f>
        <x:v>83.01</x:v>
      </x:c>
    </x:row>
    <x:row r="3944">
      <x:c r="A3944" t="n">
        <x:v>3943</x:v>
      </x:c>
      <x:c r="B3944" t="n">
        <x:v>42</x:v>
      </x:c>
      <x:c r="C3944" t="str">
        <x:v>Female</x:v>
      </x:c>
      <x:c r="D3944" t="str">
        <x:v>Accessories</x:v>
      </x:c>
      <x:c r="E3944" t="str">
        <x:v>Wallet</x:v>
      </x:c>
      <x:c r="F3944" s="24" t="n">
        <x:v>136.71</x:v>
      </x:c>
      <x:c r="G3944" t="str">
        <x:v>Winter</x:v>
      </x:c>
      <x:c r="H3944" t="str">
        <x:v>Card</x:v>
      </x:c>
      <x:c r="I3944" t="n">
        <x:v>2.3</x:v>
      </x:c>
      <x:c r="J3944" t="n">
        <x:v>16</x:v>
      </x:c>
      <x:c r="K3944" t="n">
        <x:v>3</x:v>
      </x:c>
      <x:c r="L3944" t="str">
        <x:v>STORE-001</x:v>
      </x:c>
      <x:c r="M3944" s="22" t="n">
        <x:v>46265</x:v>
      </x:c>
      <x:c r="N3944" t="str">
        <x:v>SKU-029</x:v>
      </x:c>
      <x:c r="O3944" t="n">
        <x:v>1</x:v>
      </x:c>
      <x:c r="P3944" s="26" t="n">
        <x:f>F3944/O3944</x:f>
        <x:v>136.71</x:v>
      </x:c>
    </x:row>
    <x:row r="3945">
      <x:c r="A3945" t="n">
        <x:v>3944</x:v>
      </x:c>
      <x:c r="B3945" t="n">
        <x:v>46</x:v>
      </x:c>
      <x:c r="C3945" t="str">
        <x:v>Male</x:v>
      </x:c>
      <x:c r="D3945" t="str">
        <x:v>Electronics</x:v>
      </x:c>
      <x:c r="E3945" t="str">
        <x:v>Smart Watch</x:v>
      </x:c>
      <x:c r="F3945" s="24" t="n">
        <x:v>1464.71</x:v>
      </x:c>
      <x:c r="G3945" t="str">
        <x:v>Autumn</x:v>
      </x:c>
      <x:c r="H3945" t="str">
        <x:v>Card</x:v>
      </x:c>
      <x:c r="I3945" t="n">
        <x:v>2.3</x:v>
      </x:c>
      <x:c r="J3945" t="n">
        <x:v>12</x:v>
      </x:c>
      <x:c r="K3945" t="n">
        <x:v>6</x:v>
      </x:c>
      <x:c r="L3945" t="str">
        <x:v>STORE-001</x:v>
      </x:c>
      <x:c r="M3945" s="22" t="n">
        <x:v>46133</x:v>
      </x:c>
      <x:c r="N3945" t="str">
        <x:v>SKU-023</x:v>
      </x:c>
      <x:c r="O3945" t="n">
        <x:v>1</x:v>
      </x:c>
      <x:c r="P3945" s="26" t="n">
        <x:f>F3945/O3945</x:f>
        <x:v>1464.71</x:v>
      </x:c>
    </x:row>
    <x:row r="3946">
      <x:c r="A3946" t="n">
        <x:v>3945</x:v>
      </x:c>
      <x:c r="B3946" t="n">
        <x:v>69</x:v>
      </x:c>
      <x:c r="C3946" t="str">
        <x:v>Male</x:v>
      </x:c>
      <x:c r="D3946" t="str">
        <x:v>Mens Clothing</x:v>
      </x:c>
      <x:c r="E3946" t="str">
        <x:v>Jacket</x:v>
      </x:c>
      <x:c r="F3946" s="24" t="n">
        <x:v>173.52</x:v>
      </x:c>
      <x:c r="G3946" t="str">
        <x:v>Summer</x:v>
      </x:c>
      <x:c r="H3946" t="str">
        <x:v>Card</x:v>
      </x:c>
      <x:c r="I3946" t="n">
        <x:v>3.2</x:v>
      </x:c>
      <x:c r="J3946" t="n">
        <x:v>10</x:v>
      </x:c>
      <x:c r="K3946" t="n">
        <x:v>5</x:v>
      </x:c>
      <x:c r="L3946" t="str">
        <x:v>STORE-001</x:v>
      </x:c>
      <x:c r="M3946" s="22" t="n">
        <x:v>45998</x:v>
      </x:c>
      <x:c r="N3946" t="str">
        <x:v>SKU-010</x:v>
      </x:c>
      <x:c r="O3946" t="n">
        <x:v>2</x:v>
      </x:c>
      <x:c r="P3946" s="26" t="n">
        <x:f>F3946/O3946</x:f>
        <x:v>86.76</x:v>
      </x:c>
    </x:row>
    <x:row r="3947">
      <x:c r="A3947" t="n">
        <x:v>3946</x:v>
      </x:c>
      <x:c r="B3947" t="n">
        <x:v>49</x:v>
      </x:c>
      <x:c r="C3947" t="str">
        <x:v>Male</x:v>
      </x:c>
      <x:c r="D3947" t="str">
        <x:v>Electronics</x:v>
      </x:c>
      <x:c r="E3947" t="str">
        <x:v>Headphones</x:v>
      </x:c>
      <x:c r="F3947" s="24" t="n">
        <x:v>1875.63</x:v>
      </x:c>
      <x:c r="G3947" t="str">
        <x:v>Winter</x:v>
      </x:c>
      <x:c r="H3947" t="str">
        <x:v>Card</x:v>
      </x:c>
      <x:c r="I3947" t="n">
        <x:v>3.5</x:v>
      </x:c>
      <x:c r="J3947" t="n">
        <x:v>18</x:v>
      </x:c>
      <x:c r="K3947" t="n">
        <x:v>4</x:v>
      </x:c>
      <x:c r="L3947" t="str">
        <x:v>STORE-001</x:v>
      </x:c>
      <x:c r="M3947" s="22" t="n">
        <x:v>46206</x:v>
      </x:c>
      <x:c r="N3947" t="str">
        <x:v>SKU-009</x:v>
      </x:c>
      <x:c r="O3947" t="n">
        <x:v>3</x:v>
      </x:c>
      <x:c r="P3947" s="26" t="n">
        <x:f>F3947/O3947</x:f>
        <x:v>625.21</x:v>
      </x:c>
    </x:row>
    <x:row r="3948">
      <x:c r="A3948" t="n">
        <x:v>3947</x:v>
      </x:c>
      <x:c r="B3948" t="n">
        <x:v>36</x:v>
      </x:c>
      <x:c r="C3948" t="str">
        <x:v>Female</x:v>
      </x:c>
      <x:c r="D3948" t="str">
        <x:v>Beauty</x:v>
      </x:c>
      <x:c r="E3948" t="str">
        <x:v>Skincare Kit</x:v>
      </x:c>
      <x:c r="F3948" s="24" t="n">
        <x:v>149.27</x:v>
      </x:c>
      <x:c r="G3948" t="str">
        <x:v>Winter</x:v>
      </x:c>
      <x:c r="H3948" t="str">
        <x:v>Card</x:v>
      </x:c>
      <x:c r="I3948" t="n">
        <x:v>3.2</x:v>
      </x:c>
      <x:c r="J3948" t="n">
        <x:v>6</x:v>
      </x:c>
      <x:c r="K3948" t="n">
        <x:v>3</x:v>
      </x:c>
      <x:c r="L3948" t="str">
        <x:v>STORE-001</x:v>
      </x:c>
      <x:c r="M3948" s="22" t="n">
        <x:v>46181</x:v>
      </x:c>
      <x:c r="N3948" t="str">
        <x:v>SKU-021</x:v>
      </x:c>
      <x:c r="O3948" t="n">
        <x:v>1</x:v>
      </x:c>
      <x:c r="P3948" s="26" t="n">
        <x:f>F3948/O3948</x:f>
        <x:v>149.27</x:v>
      </x:c>
    </x:row>
    <x:row r="3949">
      <x:c r="A3949" t="n">
        <x:v>3948</x:v>
      </x:c>
      <x:c r="B3949" t="n">
        <x:v>37</x:v>
      </x:c>
      <x:c r="C3949" t="str">
        <x:v>Female</x:v>
      </x:c>
      <x:c r="D3949" t="str">
        <x:v>Footwear</x:v>
      </x:c>
      <x:c r="E3949" t="str">
        <x:v>Sandals</x:v>
      </x:c>
      <x:c r="F3949" s="24" t="n">
        <x:v>116.16</x:v>
      </x:c>
      <x:c r="G3949" t="str">
        <x:v>Autumn</x:v>
      </x:c>
      <x:c r="H3949" t="str">
        <x:v>Card</x:v>
      </x:c>
      <x:c r="I3949" t="n">
        <x:v>4.7</x:v>
      </x:c>
      <x:c r="J3949" t="n">
        <x:v>20</x:v>
      </x:c>
      <x:c r="K3949" t="n">
        <x:v>5</x:v>
      </x:c>
      <x:c r="L3949" t="str">
        <x:v>STORE-001</x:v>
      </x:c>
      <x:c r="M3949" s="22" t="n">
        <x:v>46116</x:v>
      </x:c>
      <x:c r="N3949" t="str">
        <x:v>SKU-019</x:v>
      </x:c>
      <x:c r="O3949" t="n">
        <x:v>1</x:v>
      </x:c>
      <x:c r="P3949" s="26" t="n">
        <x:f>F3949/O3949</x:f>
        <x:v>116.16</x:v>
      </x:c>
    </x:row>
    <x:row r="3950">
      <x:c r="A3950" t="n">
        <x:v>3949</x:v>
      </x:c>
      <x:c r="B3950" t="n">
        <x:v>21</x:v>
      </x:c>
      <x:c r="C3950" t="str">
        <x:v>Female</x:v>
      </x:c>
      <x:c r="D3950" t="str">
        <x:v>Accessories</x:v>
      </x:c>
      <x:c r="E3950" t="str">
        <x:v>Handbag</x:v>
      </x:c>
      <x:c r="F3950" s="24" t="n">
        <x:v>159.82</x:v>
      </x:c>
      <x:c r="G3950" t="str">
        <x:v>Autumn</x:v>
      </x:c>
      <x:c r="H3950" t="str">
        <x:v>Card</x:v>
      </x:c>
      <x:c r="I3950" t="n">
        <x:v>3.9</x:v>
      </x:c>
      <x:c r="J3950" t="n">
        <x:v>4</x:v>
      </x:c>
      <x:c r="K3950" t="n">
        <x:v>2</x:v>
      </x:c>
      <x:c r="L3950" t="str">
        <x:v>STORE-001</x:v>
      </x:c>
      <x:c r="M3950" s="22" t="n">
        <x:v>46094</x:v>
      </x:c>
      <x:c r="N3950" t="str">
        <x:v>SKU-008</x:v>
      </x:c>
      <x:c r="O3950" t="n">
        <x:v>1</x:v>
      </x:c>
      <x:c r="P3950" s="26" t="n">
        <x:f>F3950/O3950</x:f>
        <x:v>159.82</x:v>
      </x:c>
    </x:row>
    <x:row r="3951">
      <x:c r="A3951" t="n">
        <x:v>3950</x:v>
      </x:c>
      <x:c r="B3951" t="n">
        <x:v>70</x:v>
      </x:c>
      <x:c r="C3951" t="str">
        <x:v>Female</x:v>
      </x:c>
      <x:c r="D3951" t="str">
        <x:v>Womens Clothing</x:v>
      </x:c>
      <x:c r="E3951" t="str">
        <x:v>Top</x:v>
      </x:c>
      <x:c r="F3951" s="24" t="n">
        <x:v>53.66</x:v>
      </x:c>
      <x:c r="G3951" t="str">
        <x:v>Summer</x:v>
      </x:c>
      <x:c r="H3951" t="str">
        <x:v>Cash on Delivery</x:v>
      </x:c>
      <x:c r="I3951" t="n">
        <x:v>2.6</x:v>
      </x:c>
      <x:c r="J3951" t="n">
        <x:v>20</x:v>
      </x:c>
      <x:c r="K3951" t="n">
        <x:v>5</x:v>
      </x:c>
      <x:c r="L3951" t="str">
        <x:v>STORE-001</x:v>
      </x:c>
      <x:c r="M3951" s="22" t="n">
        <x:v>46030</x:v>
      </x:c>
      <x:c r="N3951" t="str">
        <x:v>SKU-028</x:v>
      </x:c>
      <x:c r="O3951" t="n">
        <x:v>1</x:v>
      </x:c>
      <x:c r="P3951" s="26" t="n">
        <x:f>F3951/O3951</x:f>
        <x:v>53.66</x:v>
      </x:c>
    </x:row>
    <x:row r="3952">
      <x:c r="A3952" t="n">
        <x:v>3951</x:v>
      </x:c>
      <x:c r="B3952" t="n">
        <x:v>40</x:v>
      </x:c>
      <x:c r="C3952" t="str">
        <x:v>Female</x:v>
      </x:c>
      <x:c r="D3952" t="str">
        <x:v>Womens Clothing</x:v>
      </x:c>
      <x:c r="E3952" t="str">
        <x:v>Skirt</x:v>
      </x:c>
      <x:c r="F3952" s="24" t="n">
        <x:v>180.23</x:v>
      </x:c>
      <x:c r="G3952" t="str">
        <x:v>Spring</x:v>
      </x:c>
      <x:c r="H3952" t="str">
        <x:v>Card</x:v>
      </x:c>
      <x:c r="I3952" t="n">
        <x:v>3.8</x:v>
      </x:c>
      <x:c r="J3952" t="n">
        <x:v>13</x:v>
      </x:c>
      <x:c r="K3952" t="n">
        <x:v>4</x:v>
      </x:c>
      <x:c r="L3952" t="str">
        <x:v>STORE-001</x:v>
      </x:c>
      <x:c r="M3952" s="22" t="n">
        <x:v>45936</x:v>
      </x:c>
      <x:c r="N3952" t="str">
        <x:v>SKU-022</x:v>
      </x:c>
      <x:c r="O3952" t="n">
        <x:v>3</x:v>
      </x:c>
      <x:c r="P3952" s="26" t="n">
        <x:f>F3952/O3952</x:f>
        <x:v>60.07666666666666</x:v>
      </x:c>
    </x:row>
    <x:row r="3953">
      <x:c r="A3953" t="n">
        <x:v>3952</x:v>
      </x:c>
      <x:c r="B3953" t="n">
        <x:v>65</x:v>
      </x:c>
      <x:c r="C3953" t="str">
        <x:v>Male</x:v>
      </x:c>
      <x:c r="D3953" t="str">
        <x:v>Sports</x:v>
      </x:c>
      <x:c r="E3953" t="str">
        <x:v>Dumbbells</x:v>
      </x:c>
      <x:c r="F3953" s="24" t="n">
        <x:v>177.72</x:v>
      </x:c>
      <x:c r="G3953" t="str">
        <x:v>Winter</x:v>
      </x:c>
      <x:c r="H3953" t="str">
        <x:v>Card</x:v>
      </x:c>
      <x:c r="I3953" t="n">
        <x:v>3.6</x:v>
      </x:c>
      <x:c r="J3953" t="n">
        <x:v>21</x:v>
      </x:c>
      <x:c r="K3953" t="n">
        <x:v>8</x:v>
      </x:c>
      <x:c r="L3953" t="str">
        <x:v>STORE-001</x:v>
      </x:c>
      <x:c r="M3953" s="22" t="n">
        <x:v>46185</x:v>
      </x:c>
      <x:c r="N3953" t="str">
        <x:v>SKU-005</x:v>
      </x:c>
      <x:c r="O3953" t="n">
        <x:v>1</x:v>
      </x:c>
      <x:c r="P3953" s="26" t="n">
        <x:f>F3953/O3953</x:f>
        <x:v>177.72</x:v>
      </x:c>
    </x:row>
    <x:row r="3954">
      <x:c r="A3954" t="n">
        <x:v>3953</x:v>
      </x:c>
      <x:c r="B3954" t="n">
        <x:v>65</x:v>
      </x:c>
      <x:c r="C3954" t="str">
        <x:v>Male</x:v>
      </x:c>
      <x:c r="D3954" t="str">
        <x:v>Electronics</x:v>
      </x:c>
      <x:c r="E3954" t="str">
        <x:v>Smart Watch</x:v>
      </x:c>
      <x:c r="F3954" s="24" t="n">
        <x:v>2849.33</x:v>
      </x:c>
      <x:c r="G3954" t="str">
        <x:v>Spring</x:v>
      </x:c>
      <x:c r="H3954" t="str">
        <x:v>Card</x:v>
      </x:c>
      <x:c r="I3954" t="n">
        <x:v>4.6</x:v>
      </x:c>
      <x:c r="J3954" t="n">
        <x:v>18</x:v>
      </x:c>
      <x:c r="K3954" t="n">
        <x:v>4</x:v>
      </x:c>
      <x:c r="L3954" t="str">
        <x:v>STORE-001</x:v>
      </x:c>
      <x:c r="M3954" s="22" t="n">
        <x:v>46267</x:v>
      </x:c>
      <x:c r="N3954" t="str">
        <x:v>SKU-023</x:v>
      </x:c>
      <x:c r="O3954" t="n">
        <x:v>1</x:v>
      </x:c>
      <x:c r="P3954" s="26" t="n">
        <x:f>F3954/O3954</x:f>
        <x:v>2849.33</x:v>
      </x:c>
    </x:row>
    <x:row r="3955">
      <x:c r="A3955" t="n">
        <x:v>3954</x:v>
      </x:c>
      <x:c r="B3955" t="n">
        <x:v>34</x:v>
      </x:c>
      <x:c r="C3955" t="str">
        <x:v>Male</x:v>
      </x:c>
      <x:c r="D3955" t="str">
        <x:v>Groceries</x:v>
      </x:c>
      <x:c r="E3955" t="str">
        <x:v>Beverages</x:v>
      </x:c>
      <x:c r="F3955" s="24" t="n">
        <x:v>5.92</x:v>
      </x:c>
      <x:c r="G3955" t="str">
        <x:v>Spring</x:v>
      </x:c>
      <x:c r="H3955" t="str">
        <x:v>Card</x:v>
      </x:c>
      <x:c r="I3955" t="n">
        <x:v>4.2</x:v>
      </x:c>
      <x:c r="J3955" t="n">
        <x:v>15</x:v>
      </x:c>
      <x:c r="K3955" t="n">
        <x:v>5</x:v>
      </x:c>
      <x:c r="L3955" t="str">
        <x:v>STORE-001</x:v>
      </x:c>
      <x:c r="M3955" s="22" t="n">
        <x:v>45967</x:v>
      </x:c>
      <x:c r="N3955" t="str">
        <x:v>SKU-001</x:v>
      </x:c>
      <x:c r="O3955" t="n">
        <x:v>2</x:v>
      </x:c>
      <x:c r="P3955" s="26" t="n">
        <x:f>F3955/O3955</x:f>
        <x:v>2.96</x:v>
      </x:c>
    </x:row>
    <x:row r="3956">
      <x:c r="A3956" t="n">
        <x:v>3955</x:v>
      </x:c>
      <x:c r="B3956" t="n">
        <x:v>37</x:v>
      </x:c>
      <x:c r="C3956" t="str">
        <x:v>Male</x:v>
      </x:c>
      <x:c r="D3956" t="str">
        <x:v>Sports</x:v>
      </x:c>
      <x:c r="E3956" t="str">
        <x:v>Football</x:v>
      </x:c>
      <x:c r="F3956" s="24" t="n">
        <x:v>120</x:v>
      </x:c>
      <x:c r="G3956" t="str">
        <x:v>Spring</x:v>
      </x:c>
      <x:c r="H3956" t="str">
        <x:v>Card</x:v>
      </x:c>
      <x:c r="I3956" t="n">
        <x:v>2.8</x:v>
      </x:c>
      <x:c r="J3956" t="n">
        <x:v>15</x:v>
      </x:c>
      <x:c r="K3956" t="n">
        <x:v>5</x:v>
      </x:c>
      <x:c r="L3956" t="str">
        <x:v>STORE-001</x:v>
      </x:c>
      <x:c r="M3956" s="22" t="n">
        <x:v>45962</x:v>
      </x:c>
      <x:c r="N3956" t="str">
        <x:v>SKU-006</x:v>
      </x:c>
      <x:c r="O3956" t="n">
        <x:v>1</x:v>
      </x:c>
      <x:c r="P3956" s="26" t="n">
        <x:f>F3956/O3956</x:f>
        <x:v>120</x:v>
      </x:c>
    </x:row>
    <x:row r="3957">
      <x:c r="A3957" t="n">
        <x:v>3956</x:v>
      </x:c>
      <x:c r="B3957" t="n">
        <x:v>35</x:v>
      </x:c>
      <x:c r="C3957" t="str">
        <x:v>Male</x:v>
      </x:c>
      <x:c r="D3957" t="str">
        <x:v>Footwear</x:v>
      </x:c>
      <x:c r="E3957" t="str">
        <x:v>Formal Shoes</x:v>
      </x:c>
      <x:c r="F3957" s="24" t="n">
        <x:v>151.73</x:v>
      </x:c>
      <x:c r="G3957" t="str">
        <x:v>Summer</x:v>
      </x:c>
      <x:c r="H3957" t="str">
        <x:v>Card</x:v>
      </x:c>
      <x:c r="I3957" t="n">
        <x:v>3.3</x:v>
      </x:c>
      <x:c r="J3957" t="n">
        <x:v>8</x:v>
      </x:c>
      <x:c r="K3957" t="n">
        <x:v>4</x:v>
      </x:c>
      <x:c r="L3957" t="str">
        <x:v>STORE-001</x:v>
      </x:c>
      <x:c r="M3957" s="22" t="n">
        <x:v>46014</x:v>
      </x:c>
      <x:c r="N3957" t="str">
        <x:v>SKU-007</x:v>
      </x:c>
      <x:c r="O3957" t="n">
        <x:v>3</x:v>
      </x:c>
      <x:c r="P3957" s="26" t="n">
        <x:f>F3957/O3957</x:f>
        <x:v>50.57666666666666</x:v>
      </x:c>
    </x:row>
    <x:row r="3958">
      <x:c r="A3958" t="n">
        <x:v>3957</x:v>
      </x:c>
      <x:c r="B3958" t="n">
        <x:v>66</x:v>
      </x:c>
      <x:c r="C3958" t="str">
        <x:v>Male</x:v>
      </x:c>
      <x:c r="D3958" t="str">
        <x:v>Mens Clothing</x:v>
      </x:c>
      <x:c r="E3958" t="str">
        <x:v>T-Shirt</x:v>
      </x:c>
      <x:c r="F3958" s="24" t="n">
        <x:v>188.31</x:v>
      </x:c>
      <x:c r="G3958" t="str">
        <x:v>Winter</x:v>
      </x:c>
      <x:c r="H3958" t="str">
        <x:v>Card</x:v>
      </x:c>
      <x:c r="I3958" t="n">
        <x:v>5</x:v>
      </x:c>
      <x:c r="J3958" t="n">
        <x:v>6</x:v>
      </x:c>
      <x:c r="K3958" t="n">
        <x:v>3</x:v>
      </x:c>
      <x:c r="L3958" t="str">
        <x:v>STORE-001</x:v>
      </x:c>
      <x:c r="M3958" s="22" t="n">
        <x:v>46230</x:v>
      </x:c>
      <x:c r="N3958" t="str">
        <x:v>SKU-027</x:v>
      </x:c>
      <x:c r="O3958" t="n">
        <x:v>2</x:v>
      </x:c>
      <x:c r="P3958" s="26" t="n">
        <x:f>F3958/O3958</x:f>
        <x:v>94.155</x:v>
      </x:c>
    </x:row>
    <x:row r="3959">
      <x:c r="A3959" t="n">
        <x:v>3958</x:v>
      </x:c>
      <x:c r="B3959" t="n">
        <x:v>63</x:v>
      </x:c>
      <x:c r="C3959" t="str">
        <x:v>Female</x:v>
      </x:c>
      <x:c r="D3959" t="str">
        <x:v>Home</x:v>
      </x:c>
      <x:c r="E3959" t="str">
        <x:v>Kitchen Set</x:v>
      </x:c>
      <x:c r="F3959" s="24" t="n">
        <x:v>96.14</x:v>
      </x:c>
      <x:c r="G3959" t="str">
        <x:v>Spring</x:v>
      </x:c>
      <x:c r="H3959" t="str">
        <x:v>Cash on Delivery</x:v>
      </x:c>
      <x:c r="I3959" t="n">
        <x:v>4.9</x:v>
      </x:c>
      <x:c r="J3959" t="n">
        <x:v>24</x:v>
      </x:c>
      <x:c r="K3959" t="n">
        <x:v>7</x:v>
      </x:c>
      <x:c r="L3959" t="str">
        <x:v>STORE-001</x:v>
      </x:c>
      <x:c r="M3959" s="22" t="n">
        <x:v>45979</x:v>
      </x:c>
      <x:c r="N3959" t="str">
        <x:v>SKU-012</x:v>
      </x:c>
      <x:c r="O3959" t="n">
        <x:v>1</x:v>
      </x:c>
      <x:c r="P3959" s="26" t="n">
        <x:f>F3959/O3959</x:f>
        <x:v>96.14</x:v>
      </x:c>
    </x:row>
    <x:row r="3960">
      <x:c r="A3960" t="n">
        <x:v>3959</x:v>
      </x:c>
      <x:c r="B3960" t="n">
        <x:v>68</x:v>
      </x:c>
      <x:c r="C3960" t="str">
        <x:v>Female</x:v>
      </x:c>
      <x:c r="D3960" t="str">
        <x:v>Sports</x:v>
      </x:c>
      <x:c r="E3960" t="str">
        <x:v>Dumbbells</x:v>
      </x:c>
      <x:c r="F3960" s="24" t="n">
        <x:v>57.13</x:v>
      </x:c>
      <x:c r="G3960" t="str">
        <x:v>Autumn</x:v>
      </x:c>
      <x:c r="H3960" t="str">
        <x:v>Cash on Delivery</x:v>
      </x:c>
      <x:c r="I3960" t="n">
        <x:v>3.9</x:v>
      </x:c>
      <x:c r="J3960" t="n">
        <x:v>18</x:v>
      </x:c>
      <x:c r="K3960" t="n">
        <x:v>9</x:v>
      </x:c>
      <x:c r="L3960" t="str">
        <x:v>STORE-001</x:v>
      </x:c>
      <x:c r="M3960" s="22" t="n">
        <x:v>46167</x:v>
      </x:c>
      <x:c r="N3960" t="str">
        <x:v>SKU-005</x:v>
      </x:c>
      <x:c r="O3960" t="n">
        <x:v>1</x:v>
      </x:c>
      <x:c r="P3960" s="26" t="n">
        <x:f>F3960/O3960</x:f>
        <x:v>57.13</x:v>
      </x:c>
    </x:row>
    <x:row r="3961">
      <x:c r="A3961" t="n">
        <x:v>3960</x:v>
      </x:c>
      <x:c r="B3961" t="n">
        <x:v>58</x:v>
      </x:c>
      <x:c r="C3961" t="str">
        <x:v>Male</x:v>
      </x:c>
      <x:c r="D3961" t="str">
        <x:v>Home</x:v>
      </x:c>
      <x:c r="E3961" t="str">
        <x:v>Kitchen Set</x:v>
      </x:c>
      <x:c r="F3961" s="24" t="n">
        <x:v>53.9</x:v>
      </x:c>
      <x:c r="G3961" t="str">
        <x:v>Winter</x:v>
      </x:c>
      <x:c r="H3961" t="str">
        <x:v>Cash on Delivery</x:v>
      </x:c>
      <x:c r="I3961" t="n">
        <x:v>4.4</x:v>
      </x:c>
      <x:c r="J3961" t="n">
        <x:v>24</x:v>
      </x:c>
      <x:c r="K3961" t="n">
        <x:v>7</x:v>
      </x:c>
      <x:c r="L3961" t="str">
        <x:v>STORE-001</x:v>
      </x:c>
      <x:c r="M3961" s="22" t="n">
        <x:v>46205</x:v>
      </x:c>
      <x:c r="N3961" t="str">
        <x:v>SKU-012</x:v>
      </x:c>
      <x:c r="O3961" t="n">
        <x:v>2</x:v>
      </x:c>
      <x:c r="P3961" s="26" t="n">
        <x:f>F3961/O3961</x:f>
        <x:v>26.95</x:v>
      </x:c>
    </x:row>
    <x:row r="3962">
      <x:c r="A3962" t="n">
        <x:v>3961</x:v>
      </x:c>
      <x:c r="B3962" t="n">
        <x:v>48</x:v>
      </x:c>
      <x:c r="C3962" t="str">
        <x:v>Female</x:v>
      </x:c>
      <x:c r="D3962" t="str">
        <x:v>Womens Clothing</x:v>
      </x:c>
      <x:c r="E3962" t="str">
        <x:v>Dress</x:v>
      </x:c>
      <x:c r="F3962" s="24" t="n">
        <x:v>108.03</x:v>
      </x:c>
      <x:c r="G3962" t="str">
        <x:v>Spring</x:v>
      </x:c>
      <x:c r="H3962" t="str">
        <x:v>Card</x:v>
      </x:c>
      <x:c r="I3962" t="n">
        <x:v>2.9</x:v>
      </x:c>
      <x:c r="J3962" t="n">
        <x:v>13</x:v>
      </x:c>
      <x:c r="K3962" t="n">
        <x:v>4</x:v>
      </x:c>
      <x:c r="L3962" t="str">
        <x:v>STORE-001</x:v>
      </x:c>
      <x:c r="M3962" s="22" t="n">
        <x:v>45949</x:v>
      </x:c>
      <x:c r="N3962" t="str">
        <x:v>SKU-004</x:v>
      </x:c>
      <x:c r="O3962" t="n">
        <x:v>3</x:v>
      </x:c>
      <x:c r="P3962" s="26" t="n">
        <x:f>F3962/O3962</x:f>
        <x:v>36.01</x:v>
      </x:c>
    </x:row>
    <x:row r="3963">
      <x:c r="A3963" t="n">
        <x:v>3962</x:v>
      </x:c>
      <x:c r="B3963" t="n">
        <x:v>33</x:v>
      </x:c>
      <x:c r="C3963" t="str">
        <x:v>Female</x:v>
      </x:c>
      <x:c r="D3963" t="str">
        <x:v>Accessories</x:v>
      </x:c>
      <x:c r="E3963" t="str">
        <x:v>Handbag</x:v>
      </x:c>
      <x:c r="F3963" s="24" t="n">
        <x:v>37.95</x:v>
      </x:c>
      <x:c r="G3963" t="str">
        <x:v>Winter</x:v>
      </x:c>
      <x:c r="H3963" t="str">
        <x:v>Cash on Delivery</x:v>
      </x:c>
      <x:c r="I3963" t="n">
        <x:v>4.5</x:v>
      </x:c>
      <x:c r="J3963" t="n">
        <x:v>14</x:v>
      </x:c>
      <x:c r="K3963" t="n">
        <x:v>7</x:v>
      </x:c>
      <x:c r="L3963" t="str">
        <x:v>STORE-001</x:v>
      </x:c>
      <x:c r="M3963" s="22" t="n">
        <x:v>46224</x:v>
      </x:c>
      <x:c r="N3963" t="str">
        <x:v>SKU-008</x:v>
      </x:c>
      <x:c r="O3963" t="n">
        <x:v>2</x:v>
      </x:c>
      <x:c r="P3963" s="26" t="n">
        <x:f>F3963/O3963</x:f>
        <x:v>18.975</x:v>
      </x:c>
    </x:row>
    <x:row r="3964">
      <x:c r="A3964" t="n">
        <x:v>3963</x:v>
      </x:c>
      <x:c r="B3964" t="n">
        <x:v>61</x:v>
      </x:c>
      <x:c r="C3964" t="str">
        <x:v>Male</x:v>
      </x:c>
      <x:c r="D3964" t="str">
        <x:v>Sports</x:v>
      </x:c>
      <x:c r="E3964" t="str">
        <x:v>Dumbbells</x:v>
      </x:c>
      <x:c r="F3964" s="24" t="n">
        <x:v>105.24</x:v>
      </x:c>
      <x:c r="G3964" t="str">
        <x:v>Summer</x:v>
      </x:c>
      <x:c r="H3964" t="str">
        <x:v>Card</x:v>
      </x:c>
      <x:c r="I3964" t="n">
        <x:v>4.6</x:v>
      </x:c>
      <x:c r="J3964" t="n">
        <x:v>12</x:v>
      </x:c>
      <x:c r="K3964" t="n">
        <x:v>6</x:v>
      </x:c>
      <x:c r="L3964" t="str">
        <x:v>STORE-001</x:v>
      </x:c>
      <x:c r="M3964" s="22" t="n">
        <x:v>46058</x:v>
      </x:c>
      <x:c r="N3964" t="str">
        <x:v>SKU-005</x:v>
      </x:c>
      <x:c r="O3964" t="n">
        <x:v>1</x:v>
      </x:c>
      <x:c r="P3964" s="26" t="n">
        <x:f>F3964/O3964</x:f>
        <x:v>105.24</x:v>
      </x:c>
    </x:row>
    <x:row r="3965">
      <x:c r="A3965" t="n">
        <x:v>3964</x:v>
      </x:c>
      <x:c r="B3965" t="n">
        <x:v>39</x:v>
      </x:c>
      <x:c r="C3965" t="str">
        <x:v>Male</x:v>
      </x:c>
      <x:c r="D3965" t="str">
        <x:v>Electronics</x:v>
      </x:c>
      <x:c r="E3965" t="str">
        <x:v>Laptop</x:v>
      </x:c>
      <x:c r="F3965" s="24" t="n">
        <x:v>1041.1</x:v>
      </x:c>
      <x:c r="G3965" t="str">
        <x:v>Winter</x:v>
      </x:c>
      <x:c r="H3965" t="str">
        <x:v>Card</x:v>
      </x:c>
      <x:c r="I3965" t="n">
        <x:v>3.4</x:v>
      </x:c>
      <x:c r="J3965" t="n">
        <x:v>19</x:v>
      </x:c>
      <x:c r="K3965" t="n">
        <x:v>7</x:v>
      </x:c>
      <x:c r="L3965" t="str">
        <x:v>STORE-001</x:v>
      </x:c>
      <x:c r="M3965" s="22" t="n">
        <x:v>46215</x:v>
      </x:c>
      <x:c r="N3965" t="str">
        <x:v>SKU-014</x:v>
      </x:c>
      <x:c r="O3965" t="n">
        <x:v>1</x:v>
      </x:c>
      <x:c r="P3965" s="26" t="n">
        <x:f>F3965/O3965</x:f>
        <x:v>1041.1</x:v>
      </x:c>
    </x:row>
    <x:row r="3966">
      <x:c r="A3966" t="n">
        <x:v>3965</x:v>
      </x:c>
      <x:c r="B3966" t="n">
        <x:v>41</x:v>
      </x:c>
      <x:c r="C3966" t="str">
        <x:v>Male</x:v>
      </x:c>
      <x:c r="D3966" t="str">
        <x:v>Sports</x:v>
      </x:c>
      <x:c r="E3966" t="str">
        <x:v>Dumbbells</x:v>
      </x:c>
      <x:c r="F3966" s="24" t="n">
        <x:v>171.63</x:v>
      </x:c>
      <x:c r="G3966" t="str">
        <x:v>Winter</x:v>
      </x:c>
      <x:c r="H3966" t="str">
        <x:v>Card</x:v>
      </x:c>
      <x:c r="I3966" t="n">
        <x:v>4.4</x:v>
      </x:c>
      <x:c r="J3966" t="n">
        <x:v>16</x:v>
      </x:c>
      <x:c r="K3966" t="n">
        <x:v>3</x:v>
      </x:c>
      <x:c r="L3966" t="str">
        <x:v>STORE-001</x:v>
      </x:c>
      <x:c r="M3966" s="22" t="n">
        <x:v>46246</x:v>
      </x:c>
      <x:c r="N3966" t="str">
        <x:v>SKU-005</x:v>
      </x:c>
      <x:c r="O3966" t="n">
        <x:v>1</x:v>
      </x:c>
      <x:c r="P3966" s="26" t="n">
        <x:f>F3966/O3966</x:f>
        <x:v>171.63</x:v>
      </x:c>
    </x:row>
    <x:row r="3967">
      <x:c r="A3967" t="n">
        <x:v>3966</x:v>
      </x:c>
      <x:c r="B3967" t="n">
        <x:v>60</x:v>
      </x:c>
      <x:c r="C3967" t="str">
        <x:v>Female</x:v>
      </x:c>
      <x:c r="D3967" t="str">
        <x:v>Footwear</x:v>
      </x:c>
      <x:c r="E3967" t="str">
        <x:v>Sneakers</x:v>
      </x:c>
      <x:c r="F3967" s="24" t="n">
        <x:v>234.84</x:v>
      </x:c>
      <x:c r="G3967" t="str">
        <x:v>Summer</x:v>
      </x:c>
      <x:c r="H3967" t="str">
        <x:v>Card</x:v>
      </x:c>
      <x:c r="I3967" t="n">
        <x:v>5</x:v>
      </x:c>
      <x:c r="J3967" t="n">
        <x:v>29</x:v>
      </x:c>
      <x:c r="K3967" t="n">
        <x:v>12</x:v>
      </x:c>
      <x:c r="L3967" t="str">
        <x:v>STORE-001</x:v>
      </x:c>
      <x:c r="M3967" s="22" t="n">
        <x:v>46050</x:v>
      </x:c>
      <x:c r="N3967" t="str">
        <x:v>SKU-025</x:v>
      </x:c>
      <x:c r="O3967" t="n">
        <x:v>2</x:v>
      </x:c>
      <x:c r="P3967" s="26" t="n">
        <x:f>F3967/O3967</x:f>
        <x:v>117.42</x:v>
      </x:c>
    </x:row>
    <x:row r="3968">
      <x:c r="A3968" t="n">
        <x:v>3967</x:v>
      </x:c>
      <x:c r="B3968" t="n">
        <x:v>38</x:v>
      </x:c>
      <x:c r="C3968" t="str">
        <x:v>Female</x:v>
      </x:c>
      <x:c r="D3968" t="str">
        <x:v>Footwear</x:v>
      </x:c>
      <x:c r="E3968" t="str">
        <x:v>Sandals</x:v>
      </x:c>
      <x:c r="F3968" s="24" t="n">
        <x:v>68.16</x:v>
      </x:c>
      <x:c r="G3968" t="str">
        <x:v>Winter</x:v>
      </x:c>
      <x:c r="H3968" t="str">
        <x:v>Card</x:v>
      </x:c>
      <x:c r="I3968" t="n">
        <x:v>4.3</x:v>
      </x:c>
      <x:c r="J3968" t="n">
        <x:v>22</x:v>
      </x:c>
      <x:c r="K3968" t="n">
        <x:v>6</x:v>
      </x:c>
      <x:c r="L3968" t="str">
        <x:v>STORE-001</x:v>
      </x:c>
      <x:c r="M3968" s="22" t="n">
        <x:v>46177</x:v>
      </x:c>
      <x:c r="N3968" t="str">
        <x:v>SKU-019</x:v>
      </x:c>
      <x:c r="O3968" t="n">
        <x:v>3</x:v>
      </x:c>
      <x:c r="P3968" s="26" t="n">
        <x:f>F3968/O3968</x:f>
        <x:v>22.72</x:v>
      </x:c>
    </x:row>
    <x:row r="3969">
      <x:c r="A3969" t="n">
        <x:v>3968</x:v>
      </x:c>
      <x:c r="B3969" t="n">
        <x:v>21</x:v>
      </x:c>
      <x:c r="C3969" t="str">
        <x:v>Male</x:v>
      </x:c>
      <x:c r="D3969" t="str">
        <x:v>Footwear</x:v>
      </x:c>
      <x:c r="E3969" t="str">
        <x:v>Formal Shoes</x:v>
      </x:c>
      <x:c r="F3969" s="24" t="n">
        <x:v>245.4</x:v>
      </x:c>
      <x:c r="G3969" t="str">
        <x:v>Winter</x:v>
      </x:c>
      <x:c r="H3969" t="str">
        <x:v>Card</x:v>
      </x:c>
      <x:c r="I3969" t="n">
        <x:v>3.9</x:v>
      </x:c>
      <x:c r="J3969" t="n">
        <x:v>4</x:v>
      </x:c>
      <x:c r="K3969" t="n">
        <x:v>2</x:v>
      </x:c>
      <x:c r="L3969" t="str">
        <x:v>STORE-001</x:v>
      </x:c>
      <x:c r="M3969" s="22" t="n">
        <x:v>46248</x:v>
      </x:c>
      <x:c r="N3969" t="str">
        <x:v>SKU-007</x:v>
      </x:c>
      <x:c r="O3969" t="n">
        <x:v>1</x:v>
      </x:c>
      <x:c r="P3969" s="26" t="n">
        <x:f>F3969/O3969</x:f>
        <x:v>245.4</x:v>
      </x:c>
    </x:row>
    <x:row r="3970">
      <x:c r="A3970" t="n">
        <x:v>3969</x:v>
      </x:c>
      <x:c r="B3970" t="n">
        <x:v>56</x:v>
      </x:c>
      <x:c r="C3970" t="str">
        <x:v>Female</x:v>
      </x:c>
      <x:c r="D3970" t="str">
        <x:v>Beauty</x:v>
      </x:c>
      <x:c r="E3970" t="str">
        <x:v>Perfume</x:v>
      </x:c>
      <x:c r="F3970" s="24" t="n">
        <x:v>79.16</x:v>
      </x:c>
      <x:c r="G3970" t="str">
        <x:v>Winter</x:v>
      </x:c>
      <x:c r="H3970" t="str">
        <x:v>Cash on Delivery</x:v>
      </x:c>
      <x:c r="I3970" t="n">
        <x:v>3</x:v>
      </x:c>
      <x:c r="J3970" t="n">
        <x:v>9</x:v>
      </x:c>
      <x:c r="K3970" t="n">
        <x:v>2</x:v>
      </x:c>
      <x:c r="L3970" t="str">
        <x:v>STORE-001</x:v>
      </x:c>
      <x:c r="M3970" s="22" t="n">
        <x:v>46238</x:v>
      </x:c>
      <x:c r="N3970" t="str">
        <x:v>SKU-017</x:v>
      </x:c>
      <x:c r="O3970" t="n">
        <x:v>1</x:v>
      </x:c>
      <x:c r="P3970" s="26" t="n">
        <x:f>F3970/O3970</x:f>
        <x:v>79.16</x:v>
      </x:c>
    </x:row>
    <x:row r="3971">
      <x:c r="A3971" t="n">
        <x:v>3970</x:v>
      </x:c>
      <x:c r="B3971" t="n">
        <x:v>51</x:v>
      </x:c>
      <x:c r="C3971" t="str">
        <x:v>Female</x:v>
      </x:c>
      <x:c r="D3971" t="str">
        <x:v>Footwear</x:v>
      </x:c>
      <x:c r="E3971" t="str">
        <x:v>Sandals</x:v>
      </x:c>
      <x:c r="F3971" s="24" t="n">
        <x:v>88.4</x:v>
      </x:c>
      <x:c r="G3971" t="str">
        <x:v>Autumn</x:v>
      </x:c>
      <x:c r="H3971" t="str">
        <x:v>Cash on Delivery</x:v>
      </x:c>
      <x:c r="I3971" t="n">
        <x:v>4</x:v>
      </x:c>
      <x:c r="J3971" t="n">
        <x:v>6</x:v>
      </x:c>
      <x:c r="K3971" t="n">
        <x:v>3</x:v>
      </x:c>
      <x:c r="L3971" t="str">
        <x:v>STORE-001</x:v>
      </x:c>
      <x:c r="M3971" s="22" t="n">
        <x:v>46090</x:v>
      </x:c>
      <x:c r="N3971" t="str">
        <x:v>SKU-019</x:v>
      </x:c>
      <x:c r="O3971" t="n">
        <x:v>1</x:v>
      </x:c>
      <x:c r="P3971" s="26" t="n">
        <x:f>F3971/O3971</x:f>
        <x:v>88.4</x:v>
      </x:c>
    </x:row>
    <x:row r="3972">
      <x:c r="A3972" t="n">
        <x:v>3971</x:v>
      </x:c>
      <x:c r="B3972" t="n">
        <x:v>27</x:v>
      </x:c>
      <x:c r="C3972" t="str">
        <x:v>Female</x:v>
      </x:c>
      <x:c r="D3972" t="str">
        <x:v>Home</x:v>
      </x:c>
      <x:c r="E3972" t="str">
        <x:v>Curtains</x:v>
      </x:c>
      <x:c r="F3972" s="24" t="n">
        <x:v>271.84</x:v>
      </x:c>
      <x:c r="G3972" t="str">
        <x:v>Spring</x:v>
      </x:c>
      <x:c r="H3972" t="str">
        <x:v>Card</x:v>
      </x:c>
      <x:c r="I3972" t="n">
        <x:v>3.5</x:v>
      </x:c>
      <x:c r="J3972" t="n">
        <x:v>12</x:v>
      </x:c>
      <x:c r="K3972" t="n">
        <x:v>6</x:v>
      </x:c>
      <x:c r="L3972" t="str">
        <x:v>STORE-001</x:v>
      </x:c>
      <x:c r="M3972" s="22" t="n">
        <x:v>45965</x:v>
      </x:c>
      <x:c r="N3972" t="str">
        <x:v>SKU-003</x:v>
      </x:c>
      <x:c r="O3972" t="n">
        <x:v>1</x:v>
      </x:c>
      <x:c r="P3972" s="26" t="n">
        <x:f>F3972/O3972</x:f>
        <x:v>271.84</x:v>
      </x:c>
    </x:row>
    <x:row r="3973">
      <x:c r="A3973" t="n">
        <x:v>3972</x:v>
      </x:c>
      <x:c r="B3973" t="n">
        <x:v>68</x:v>
      </x:c>
      <x:c r="C3973" t="str">
        <x:v>Female</x:v>
      </x:c>
      <x:c r="D3973" t="str">
        <x:v>Accessories</x:v>
      </x:c>
      <x:c r="E3973" t="str">
        <x:v>Handbag</x:v>
      </x:c>
      <x:c r="F3973" s="24" t="n">
        <x:v>119.54</x:v>
      </x:c>
      <x:c r="G3973" t="str">
        <x:v>Winter</x:v>
      </x:c>
      <x:c r="H3973" t="str">
        <x:v>Card</x:v>
      </x:c>
      <x:c r="I3973" t="n">
        <x:v>3.8</x:v>
      </x:c>
      <x:c r="J3973" t="n">
        <x:v>4</x:v>
      </x:c>
      <x:c r="K3973" t="n">
        <x:v>2</x:v>
      </x:c>
      <x:c r="L3973" t="str">
        <x:v>STORE-001</x:v>
      </x:c>
      <x:c r="M3973" s="22" t="n">
        <x:v>46191</x:v>
      </x:c>
      <x:c r="N3973" t="str">
        <x:v>SKU-008</x:v>
      </x:c>
      <x:c r="O3973" t="n">
        <x:v>1</x:v>
      </x:c>
      <x:c r="P3973" s="26" t="n">
        <x:f>F3973/O3973</x:f>
        <x:v>119.54</x:v>
      </x:c>
    </x:row>
    <x:row r="3974">
      <x:c r="A3974" t="n">
        <x:v>3973</x:v>
      </x:c>
      <x:c r="B3974" t="n">
        <x:v>20</x:v>
      </x:c>
      <x:c r="C3974" t="str">
        <x:v>Male</x:v>
      </x:c>
      <x:c r="D3974" t="str">
        <x:v>Footwear</x:v>
      </x:c>
      <x:c r="E3974" t="str">
        <x:v>Sneakers</x:v>
      </x:c>
      <x:c r="F3974" s="24" t="n">
        <x:v>99.98</x:v>
      </x:c>
      <x:c r="G3974" t="str">
        <x:v>Autumn</x:v>
      </x:c>
      <x:c r="H3974" t="str">
        <x:v>Cash on Delivery</x:v>
      </x:c>
      <x:c r="I3974" t="n">
        <x:v>4.3</x:v>
      </x:c>
      <x:c r="J3974" t="n">
        <x:v>4</x:v>
      </x:c>
      <x:c r="K3974" t="n">
        <x:v>2</x:v>
      </x:c>
      <x:c r="L3974" t="str">
        <x:v>STORE-001</x:v>
      </x:c>
      <x:c r="M3974" s="22" t="n">
        <x:v>46125</x:v>
      </x:c>
      <x:c r="N3974" t="str">
        <x:v>SKU-025</x:v>
      </x:c>
      <x:c r="O3974" t="n">
        <x:v>2</x:v>
      </x:c>
      <x:c r="P3974" s="26" t="n">
        <x:f>F3974/O3974</x:f>
        <x:v>49.99</x:v>
      </x:c>
    </x:row>
    <x:row r="3975">
      <x:c r="A3975" t="n">
        <x:v>3974</x:v>
      </x:c>
      <x:c r="B3975" t="n">
        <x:v>51</x:v>
      </x:c>
      <x:c r="C3975" t="str">
        <x:v>Female</x:v>
      </x:c>
      <x:c r="D3975" t="str">
        <x:v>Beauty</x:v>
      </x:c>
      <x:c r="E3975" t="str">
        <x:v>Perfume</x:v>
      </x:c>
      <x:c r="F3975" s="24" t="n">
        <x:v>98.45</x:v>
      </x:c>
      <x:c r="G3975" t="str">
        <x:v>Winter</x:v>
      </x:c>
      <x:c r="H3975" t="str">
        <x:v>Cash on Delivery</x:v>
      </x:c>
      <x:c r="I3975" t="n">
        <x:v>4</x:v>
      </x:c>
      <x:c r="J3975" t="n">
        <x:v>20</x:v>
      </x:c>
      <x:c r="K3975" t="n">
        <x:v>5</x:v>
      </x:c>
      <x:c r="L3975" t="str">
        <x:v>STORE-001</x:v>
      </x:c>
      <x:c r="M3975" s="22" t="n">
        <x:v>46177</x:v>
      </x:c>
      <x:c r="N3975" t="str">
        <x:v>SKU-017</x:v>
      </x:c>
      <x:c r="O3975" t="n">
        <x:v>1</x:v>
      </x:c>
      <x:c r="P3975" s="26" t="n">
        <x:f>F3975/O3975</x:f>
        <x:v>98.45</x:v>
      </x:c>
    </x:row>
    <x:row r="3976">
      <x:c r="A3976" t="n">
        <x:v>3975</x:v>
      </x:c>
      <x:c r="B3976" t="n">
        <x:v>52</x:v>
      </x:c>
      <x:c r="C3976" t="str">
        <x:v>Male</x:v>
      </x:c>
      <x:c r="D3976" t="str">
        <x:v>Footwear</x:v>
      </x:c>
      <x:c r="E3976" t="str">
        <x:v>Formal Shoes</x:v>
      </x:c>
      <x:c r="F3976" s="24" t="n">
        <x:v>152.72</x:v>
      </x:c>
      <x:c r="G3976" t="str">
        <x:v>Autumn</x:v>
      </x:c>
      <x:c r="H3976" t="str">
        <x:v>Card</x:v>
      </x:c>
      <x:c r="I3976" t="n">
        <x:v>3.6</x:v>
      </x:c>
      <x:c r="J3976" t="n">
        <x:v>19</x:v>
      </x:c>
      <x:c r="K3976" t="n">
        <x:v>7</x:v>
      </x:c>
      <x:c r="L3976" t="str">
        <x:v>STORE-001</x:v>
      </x:c>
      <x:c r="M3976" s="22" t="n">
        <x:v>46086</x:v>
      </x:c>
      <x:c r="N3976" t="str">
        <x:v>SKU-007</x:v>
      </x:c>
      <x:c r="O3976" t="n">
        <x:v>2</x:v>
      </x:c>
      <x:c r="P3976" s="26" t="n">
        <x:f>F3976/O3976</x:f>
        <x:v>76.36</x:v>
      </x:c>
    </x:row>
    <x:row r="3977">
      <x:c r="A3977" t="n">
        <x:v>3976</x:v>
      </x:c>
      <x:c r="B3977" t="n">
        <x:v>36</x:v>
      </x:c>
      <x:c r="C3977" t="str">
        <x:v>Male</x:v>
      </x:c>
      <x:c r="D3977" t="str">
        <x:v>Footwear</x:v>
      </x:c>
      <x:c r="E3977" t="str">
        <x:v>Sandals</x:v>
      </x:c>
      <x:c r="F3977" s="24" t="n">
        <x:v>149.23</x:v>
      </x:c>
      <x:c r="G3977" t="str">
        <x:v>Winter</x:v>
      </x:c>
      <x:c r="H3977" t="str">
        <x:v>Card</x:v>
      </x:c>
      <x:c r="I3977" t="n">
        <x:v>4.2</x:v>
      </x:c>
      <x:c r="J3977" t="n">
        <x:v>13</x:v>
      </x:c>
      <x:c r="K3977" t="n">
        <x:v>4</x:v>
      </x:c>
      <x:c r="L3977" t="str">
        <x:v>STORE-001</x:v>
      </x:c>
      <x:c r="M3977" s="22" t="n">
        <x:v>46204</x:v>
      </x:c>
      <x:c r="N3977" t="str">
        <x:v>SKU-019</x:v>
      </x:c>
      <x:c r="O3977" t="n">
        <x:v>1</x:v>
      </x:c>
      <x:c r="P3977" s="26" t="n">
        <x:f>F3977/O3977</x:f>
        <x:v>149.23</x:v>
      </x:c>
    </x:row>
    <x:row r="3978">
      <x:c r="A3978" t="n">
        <x:v>3977</x:v>
      </x:c>
      <x:c r="B3978" t="n">
        <x:v>57</x:v>
      </x:c>
      <x:c r="C3978" t="str">
        <x:v>Female</x:v>
      </x:c>
      <x:c r="D3978" t="str">
        <x:v>Footwear</x:v>
      </x:c>
      <x:c r="E3978" t="str">
        <x:v>Formal Shoes</x:v>
      </x:c>
      <x:c r="F3978" s="24" t="n">
        <x:v>222.63</x:v>
      </x:c>
      <x:c r="G3978" t="str">
        <x:v>Autumn</x:v>
      </x:c>
      <x:c r="H3978" t="str">
        <x:v>Card</x:v>
      </x:c>
      <x:c r="I3978" t="n">
        <x:v>3.9</x:v>
      </x:c>
      <x:c r="J3978" t="n">
        <x:v>14</x:v>
      </x:c>
      <x:c r="K3978" t="n">
        <x:v>2</x:v>
      </x:c>
      <x:c r="L3978" t="str">
        <x:v>STORE-001</x:v>
      </x:c>
      <x:c r="M3978" s="22" t="n">
        <x:v>46121</x:v>
      </x:c>
      <x:c r="N3978" t="str">
        <x:v>SKU-007</x:v>
      </x:c>
      <x:c r="O3978" t="n">
        <x:v>2</x:v>
      </x:c>
      <x:c r="P3978" s="26" t="n">
        <x:f>F3978/O3978</x:f>
        <x:v>111.315</x:v>
      </x:c>
    </x:row>
    <x:row r="3979">
      <x:c r="A3979" t="n">
        <x:v>3978</x:v>
      </x:c>
      <x:c r="B3979" t="n">
        <x:v>60</x:v>
      </x:c>
      <x:c r="C3979" t="str">
        <x:v>Female</x:v>
      </x:c>
      <x:c r="D3979" t="str">
        <x:v>Footwear</x:v>
      </x:c>
      <x:c r="E3979" t="str">
        <x:v>Sneakers</x:v>
      </x:c>
      <x:c r="F3979" s="24" t="n">
        <x:v>180.72</x:v>
      </x:c>
      <x:c r="G3979" t="str">
        <x:v>Summer</x:v>
      </x:c>
      <x:c r="H3979" t="str">
        <x:v>Card</x:v>
      </x:c>
      <x:c r="I3979" t="n">
        <x:v>3.7</x:v>
      </x:c>
      <x:c r="J3979" t="n">
        <x:v>4</x:v>
      </x:c>
      <x:c r="K3979" t="n">
        <x:v>2</x:v>
      </x:c>
      <x:c r="L3979" t="str">
        <x:v>STORE-001</x:v>
      </x:c>
      <x:c r="M3979" s="22" t="n">
        <x:v>46000</x:v>
      </x:c>
      <x:c r="N3979" t="str">
        <x:v>SKU-025</x:v>
      </x:c>
      <x:c r="O3979" t="n">
        <x:v>2</x:v>
      </x:c>
      <x:c r="P3979" s="26" t="n">
        <x:f>F3979/O3979</x:f>
        <x:v>90.36</x:v>
      </x:c>
    </x:row>
    <x:row r="3980">
      <x:c r="A3980" t="n">
        <x:v>3979</x:v>
      </x:c>
      <x:c r="B3980" t="n">
        <x:v>61</x:v>
      </x:c>
      <x:c r="C3980" t="str">
        <x:v>Male</x:v>
      </x:c>
      <x:c r="D3980" t="str">
        <x:v>Footwear</x:v>
      </x:c>
      <x:c r="E3980" t="str">
        <x:v>Sandals</x:v>
      </x:c>
      <x:c r="F3980" s="24" t="n">
        <x:v>223.63</x:v>
      </x:c>
      <x:c r="G3980" t="str">
        <x:v>Spring</x:v>
      </x:c>
      <x:c r="H3980" t="str">
        <x:v>Card</x:v>
      </x:c>
      <x:c r="I3980" t="n">
        <x:v>2.4</x:v>
      </x:c>
      <x:c r="J3980" t="n">
        <x:v>10</x:v>
      </x:c>
      <x:c r="K3980" t="n">
        <x:v>5</x:v>
      </x:c>
      <x:c r="L3980" t="str">
        <x:v>STORE-001</x:v>
      </x:c>
      <x:c r="M3980" s="22" t="n">
        <x:v>46282</x:v>
      </x:c>
      <x:c r="N3980" t="str">
        <x:v>SKU-019</x:v>
      </x:c>
      <x:c r="O3980" t="n">
        <x:v>1</x:v>
      </x:c>
      <x:c r="P3980" s="26" t="n">
        <x:f>F3980/O3980</x:f>
        <x:v>223.63</x:v>
      </x:c>
    </x:row>
    <x:row r="3981">
      <x:c r="A3981" t="n">
        <x:v>3980</x:v>
      </x:c>
      <x:c r="B3981" t="n">
        <x:v>43</x:v>
      </x:c>
      <x:c r="C3981" t="str">
        <x:v>Male</x:v>
      </x:c>
      <x:c r="D3981" t="str">
        <x:v>Electronics</x:v>
      </x:c>
      <x:c r="E3981" t="str">
        <x:v>Mobile Phone</x:v>
      </x:c>
      <x:c r="F3981" s="24" t="n">
        <x:v>2843.54</x:v>
      </x:c>
      <x:c r="G3981" t="str">
        <x:v>Autumn</x:v>
      </x:c>
      <x:c r="H3981" t="str">
        <x:v>Card</x:v>
      </x:c>
      <x:c r="I3981" t="n">
        <x:v>4.7</x:v>
      </x:c>
      <x:c r="J3981" t="n">
        <x:v>12</x:v>
      </x:c>
      <x:c r="K3981" t="n">
        <x:v>6</x:v>
      </x:c>
      <x:c r="L3981" t="str">
        <x:v>STORE-001</x:v>
      </x:c>
      <x:c r="M3981" s="22" t="n">
        <x:v>46124</x:v>
      </x:c>
      <x:c r="N3981" t="str">
        <x:v>SKU-016</x:v>
      </x:c>
      <x:c r="O3981" t="n">
        <x:v>2</x:v>
      </x:c>
      <x:c r="P3981" s="26" t="n">
        <x:f>F3981/O3981</x:f>
        <x:v>1421.77</x:v>
      </x:c>
    </x:row>
    <x:row r="3982">
      <x:c r="A3982" t="n">
        <x:v>3981</x:v>
      </x:c>
      <x:c r="B3982" t="n">
        <x:v>21</x:v>
      </x:c>
      <x:c r="C3982" t="str">
        <x:v>Male</x:v>
      </x:c>
      <x:c r="D3982" t="str">
        <x:v>Sports</x:v>
      </x:c>
      <x:c r="E3982" t="str">
        <x:v>Football</x:v>
      </x:c>
      <x:c r="F3982" s="24" t="n">
        <x:v>84.88</x:v>
      </x:c>
      <x:c r="G3982" t="str">
        <x:v>Autumn</x:v>
      </x:c>
      <x:c r="H3982" t="str">
        <x:v>Cash on Delivery</x:v>
      </x:c>
      <x:c r="I3982" t="n">
        <x:v>3.5</x:v>
      </x:c>
      <x:c r="J3982" t="n">
        <x:v>12</x:v>
      </x:c>
      <x:c r="K3982" t="n">
        <x:v>6</x:v>
      </x:c>
      <x:c r="L3982" t="str">
        <x:v>STORE-001</x:v>
      </x:c>
      <x:c r="M3982" s="22" t="n">
        <x:v>46119</x:v>
      </x:c>
      <x:c r="N3982" t="str">
        <x:v>SKU-006</x:v>
      </x:c>
      <x:c r="O3982" t="n">
        <x:v>1</x:v>
      </x:c>
      <x:c r="P3982" s="26" t="n">
        <x:f>F3982/O3982</x:f>
        <x:v>84.88</x:v>
      </x:c>
    </x:row>
    <x:row r="3983">
      <x:c r="A3983" t="n">
        <x:v>3982</x:v>
      </x:c>
      <x:c r="B3983" t="n">
        <x:v>31</x:v>
      </x:c>
      <x:c r="C3983" t="str">
        <x:v>Male</x:v>
      </x:c>
      <x:c r="D3983" t="str">
        <x:v>Electronics</x:v>
      </x:c>
      <x:c r="E3983" t="str">
        <x:v>Mobile Phone</x:v>
      </x:c>
      <x:c r="F3983" s="24" t="n">
        <x:v>2371.49</x:v>
      </x:c>
      <x:c r="G3983" t="str">
        <x:v>Winter</x:v>
      </x:c>
      <x:c r="H3983" t="str">
        <x:v>Card</x:v>
      </x:c>
      <x:c r="I3983" t="n">
        <x:v>4.5</x:v>
      </x:c>
      <x:c r="J3983" t="n">
        <x:v>8</x:v>
      </x:c>
      <x:c r="K3983" t="n">
        <x:v>4</x:v>
      </x:c>
      <x:c r="L3983" t="str">
        <x:v>STORE-001</x:v>
      </x:c>
      <x:c r="M3983" s="22" t="n">
        <x:v>46180</x:v>
      </x:c>
      <x:c r="N3983" t="str">
        <x:v>SKU-016</x:v>
      </x:c>
      <x:c r="O3983" t="n">
        <x:v>1</x:v>
      </x:c>
      <x:c r="P3983" s="26" t="n">
        <x:f>F3983/O3983</x:f>
        <x:v>2371.49</x:v>
      </x:c>
    </x:row>
    <x:row r="3984">
      <x:c r="A3984" t="n">
        <x:v>3983</x:v>
      </x:c>
      <x:c r="B3984" t="n">
        <x:v>62</x:v>
      </x:c>
      <x:c r="C3984" t="str">
        <x:v>Male</x:v>
      </x:c>
      <x:c r="D3984" t="str">
        <x:v>Sports</x:v>
      </x:c>
      <x:c r="E3984" t="str">
        <x:v>Dumbbells</x:v>
      </x:c>
      <x:c r="F3984" s="24" t="n">
        <x:v>150.02</x:v>
      </x:c>
      <x:c r="G3984" t="str">
        <x:v>Autumn</x:v>
      </x:c>
      <x:c r="H3984" t="str">
        <x:v>Card</x:v>
      </x:c>
      <x:c r="I3984" t="n">
        <x:v>3.8</x:v>
      </x:c>
      <x:c r="J3984" t="n">
        <x:v>20</x:v>
      </x:c>
      <x:c r="K3984" t="n">
        <x:v>10</x:v>
      </x:c>
      <x:c r="L3984" t="str">
        <x:v>STORE-001</x:v>
      </x:c>
      <x:c r="M3984" s="22" t="n">
        <x:v>46086</x:v>
      </x:c>
      <x:c r="N3984" t="str">
        <x:v>SKU-005</x:v>
      </x:c>
      <x:c r="O3984" t="n">
        <x:v>1</x:v>
      </x:c>
      <x:c r="P3984" s="26" t="n">
        <x:f>F3984/O3984</x:f>
        <x:v>150.02</x:v>
      </x:c>
    </x:row>
    <x:row r="3985">
      <x:c r="A3985" t="n">
        <x:v>3984</x:v>
      </x:c>
      <x:c r="B3985" t="n">
        <x:v>63</x:v>
      </x:c>
      <x:c r="C3985" t="str">
        <x:v>Male</x:v>
      </x:c>
      <x:c r="D3985" t="str">
        <x:v>Mens Clothing</x:v>
      </x:c>
      <x:c r="E3985" t="str">
        <x:v>Jeans</x:v>
      </x:c>
      <x:c r="F3985" s="24" t="n">
        <x:v>136.77</x:v>
      </x:c>
      <x:c r="G3985" t="str">
        <x:v>Winter</x:v>
      </x:c>
      <x:c r="H3985" t="str">
        <x:v>Card</x:v>
      </x:c>
      <x:c r="I3985" t="n">
        <x:v>4.5</x:v>
      </x:c>
      <x:c r="J3985" t="n">
        <x:v>14</x:v>
      </x:c>
      <x:c r="K3985" t="n">
        <x:v>2</x:v>
      </x:c>
      <x:c r="L3985" t="str">
        <x:v>STORE-001</x:v>
      </x:c>
      <x:c r="M3985" s="22" t="n">
        <x:v>46196</x:v>
      </x:c>
      <x:c r="N3985" t="str">
        <x:v>SKU-011</x:v>
      </x:c>
      <x:c r="O3985" t="n">
        <x:v>1</x:v>
      </x:c>
      <x:c r="P3985" s="26" t="n">
        <x:f>F3985/O3985</x:f>
        <x:v>136.77</x:v>
      </x:c>
    </x:row>
    <x:row r="3986">
      <x:c r="A3986" t="n">
        <x:v>3985</x:v>
      </x:c>
      <x:c r="B3986" t="n">
        <x:v>66</x:v>
      </x:c>
      <x:c r="C3986" t="str">
        <x:v>Male</x:v>
      </x:c>
      <x:c r="D3986" t="str">
        <x:v>Electronics</x:v>
      </x:c>
      <x:c r="E3986" t="str">
        <x:v>Smart Watch</x:v>
      </x:c>
      <x:c r="F3986" s="24" t="n">
        <x:v>2709.03</x:v>
      </x:c>
      <x:c r="G3986" t="str">
        <x:v>Summer</x:v>
      </x:c>
      <x:c r="H3986" t="str">
        <x:v>Card</x:v>
      </x:c>
      <x:c r="I3986" t="n">
        <x:v>2</x:v>
      </x:c>
      <x:c r="J3986" t="n">
        <x:v>20</x:v>
      </x:c>
      <x:c r="K3986" t="n">
        <x:v>10</x:v>
      </x:c>
      <x:c r="L3986" t="str">
        <x:v>STORE-001</x:v>
      </x:c>
      <x:c r="M3986" s="22" t="n">
        <x:v>46031</x:v>
      </x:c>
      <x:c r="N3986" t="str">
        <x:v>SKU-023</x:v>
      </x:c>
      <x:c r="O3986" t="n">
        <x:v>1</x:v>
      </x:c>
      <x:c r="P3986" s="26" t="n">
        <x:f>F3986/O3986</x:f>
        <x:v>2709.03</x:v>
      </x:c>
    </x:row>
    <x:row r="3987">
      <x:c r="A3987" t="n">
        <x:v>3986</x:v>
      </x:c>
      <x:c r="B3987" t="n">
        <x:v>31</x:v>
      </x:c>
      <x:c r="C3987" t="str">
        <x:v>Female</x:v>
      </x:c>
      <x:c r="D3987" t="str">
        <x:v>Womens Clothing</x:v>
      </x:c>
      <x:c r="E3987" t="str">
        <x:v>Skirt</x:v>
      </x:c>
      <x:c r="F3987" s="24" t="n">
        <x:v>147.95</x:v>
      </x:c>
      <x:c r="G3987" t="str">
        <x:v>Spring</x:v>
      </x:c>
      <x:c r="H3987" t="str">
        <x:v>Card</x:v>
      </x:c>
      <x:c r="I3987" t="n">
        <x:v>3.5</x:v>
      </x:c>
      <x:c r="J3987" t="n">
        <x:v>17</x:v>
      </x:c>
      <x:c r="K3987" t="n">
        <x:v>6</x:v>
      </x:c>
      <x:c r="L3987" t="str">
        <x:v>STORE-001</x:v>
      </x:c>
      <x:c r="M3987" s="22" t="n">
        <x:v>46290</x:v>
      </x:c>
      <x:c r="N3987" t="str">
        <x:v>SKU-022</x:v>
      </x:c>
      <x:c r="O3987" t="n">
        <x:v>1</x:v>
      </x:c>
      <x:c r="P3987" s="26" t="n">
        <x:f>F3987/O3987</x:f>
        <x:v>147.95</x:v>
      </x:c>
    </x:row>
    <x:row r="3988">
      <x:c r="A3988" t="n">
        <x:v>3987</x:v>
      </x:c>
      <x:c r="B3988" t="n">
        <x:v>42</x:v>
      </x:c>
      <x:c r="C3988" t="str">
        <x:v>Male</x:v>
      </x:c>
      <x:c r="D3988" t="str">
        <x:v>Sports</x:v>
      </x:c>
      <x:c r="E3988" t="str">
        <x:v>Football</x:v>
      </x:c>
      <x:c r="F3988" s="24" t="n">
        <x:v>114.5</x:v>
      </x:c>
      <x:c r="G3988" t="str">
        <x:v>Spring</x:v>
      </x:c>
      <x:c r="H3988" t="str">
        <x:v>Card</x:v>
      </x:c>
      <x:c r="I3988" t="n">
        <x:v>2.8</x:v>
      </x:c>
      <x:c r="J3988" t="n">
        <x:v>14</x:v>
      </x:c>
      <x:c r="K3988" t="n">
        <x:v>2</x:v>
      </x:c>
      <x:c r="L3988" t="str">
        <x:v>STORE-001</x:v>
      </x:c>
      <x:c r="M3988" s="22" t="n">
        <x:v>45955</x:v>
      </x:c>
      <x:c r="N3988" t="str">
        <x:v>SKU-006</x:v>
      </x:c>
      <x:c r="O3988" t="n">
        <x:v>2</x:v>
      </x:c>
      <x:c r="P3988" s="26" t="n">
        <x:f>F3988/O3988</x:f>
        <x:v>57.25</x:v>
      </x:c>
    </x:row>
    <x:row r="3989">
      <x:c r="A3989" t="n">
        <x:v>3988</x:v>
      </x:c>
      <x:c r="B3989" t="n">
        <x:v>34</x:v>
      </x:c>
      <x:c r="C3989" t="str">
        <x:v>Male</x:v>
      </x:c>
      <x:c r="D3989" t="str">
        <x:v>Sports</x:v>
      </x:c>
      <x:c r="E3989" t="str">
        <x:v>Dumbbells</x:v>
      </x:c>
      <x:c r="F3989" s="24" t="n">
        <x:v>238.61</x:v>
      </x:c>
      <x:c r="G3989" t="str">
        <x:v>Summer</x:v>
      </x:c>
      <x:c r="H3989" t="str">
        <x:v>Card</x:v>
      </x:c>
      <x:c r="I3989" t="n">
        <x:v>3.9</x:v>
      </x:c>
      <x:c r="J3989" t="n">
        <x:v>11</x:v>
      </x:c>
      <x:c r="K3989" t="n">
        <x:v>3</x:v>
      </x:c>
      <x:c r="L3989" t="str">
        <x:v>STORE-001</x:v>
      </x:c>
      <x:c r="M3989" s="22" t="n">
        <x:v>46009</x:v>
      </x:c>
      <x:c r="N3989" t="str">
        <x:v>SKU-005</x:v>
      </x:c>
      <x:c r="O3989" t="n">
        <x:v>1</x:v>
      </x:c>
      <x:c r="P3989" s="26" t="n">
        <x:f>F3989/O3989</x:f>
        <x:v>238.61</x:v>
      </x:c>
    </x:row>
    <x:row r="3990">
      <x:c r="A3990" t="n">
        <x:v>3989</x:v>
      </x:c>
      <x:c r="B3990" t="n">
        <x:v>61</x:v>
      </x:c>
      <x:c r="C3990" t="str">
        <x:v>Male</x:v>
      </x:c>
      <x:c r="D3990" t="str">
        <x:v>Electronics</x:v>
      </x:c>
      <x:c r="E3990" t="str">
        <x:v>Mobile Phone</x:v>
      </x:c>
      <x:c r="F3990" s="24" t="n">
        <x:v>2513.32</x:v>
      </x:c>
      <x:c r="G3990" t="str">
        <x:v>Winter</x:v>
      </x:c>
      <x:c r="H3990" t="str">
        <x:v>Card</x:v>
      </x:c>
      <x:c r="I3990" t="n">
        <x:v>3.6</x:v>
      </x:c>
      <x:c r="J3990" t="n">
        <x:v>6</x:v>
      </x:c>
      <x:c r="K3990" t="n">
        <x:v>3</x:v>
      </x:c>
      <x:c r="L3990" t="str">
        <x:v>STORE-001</x:v>
      </x:c>
      <x:c r="M3990" s="22" t="n">
        <x:v>46250</x:v>
      </x:c>
      <x:c r="N3990" t="str">
        <x:v>SKU-016</x:v>
      </x:c>
      <x:c r="O3990" t="n">
        <x:v>1</x:v>
      </x:c>
      <x:c r="P3990" s="26" t="n">
        <x:f>F3990/O3990</x:f>
        <x:v>2513.32</x:v>
      </x:c>
    </x:row>
    <x:row r="3991">
      <x:c r="A3991" t="n">
        <x:v>3990</x:v>
      </x:c>
      <x:c r="B3991" t="n">
        <x:v>47</x:v>
      </x:c>
      <x:c r="C3991" t="str">
        <x:v>Male</x:v>
      </x:c>
      <x:c r="D3991" t="str">
        <x:v>Sports</x:v>
      </x:c>
      <x:c r="E3991" t="str">
        <x:v>Yoga Mat</x:v>
      </x:c>
      <x:c r="F3991" s="24" t="n">
        <x:v>221.85</x:v>
      </x:c>
      <x:c r="G3991" t="str">
        <x:v>Spring</x:v>
      </x:c>
      <x:c r="H3991" t="str">
        <x:v>Card</x:v>
      </x:c>
      <x:c r="I3991" t="n">
        <x:v>4.4</x:v>
      </x:c>
      <x:c r="J3991" t="n">
        <x:v>16</x:v>
      </x:c>
      <x:c r="K3991" t="n">
        <x:v>3</x:v>
      </x:c>
      <x:c r="L3991" t="str">
        <x:v>STORE-001</x:v>
      </x:c>
      <x:c r="M3991" s="22" t="n">
        <x:v>45956</x:v>
      </x:c>
      <x:c r="N3991" t="str">
        <x:v>SKU-030</x:v>
      </x:c>
      <x:c r="O3991" t="n">
        <x:v>2</x:v>
      </x:c>
      <x:c r="P3991" s="26" t="n">
        <x:f>F3991/O3991</x:f>
        <x:v>110.925</x:v>
      </x:c>
    </x:row>
    <x:row r="3992">
      <x:c r="A3992" t="n">
        <x:v>3991</x:v>
      </x:c>
      <x:c r="B3992" t="n">
        <x:v>39</x:v>
      </x:c>
      <x:c r="C3992" t="str">
        <x:v>Male</x:v>
      </x:c>
      <x:c r="D3992" t="str">
        <x:v>Footwear</x:v>
      </x:c>
      <x:c r="E3992" t="str">
        <x:v>Sneakers</x:v>
      </x:c>
      <x:c r="F3992" s="24" t="n">
        <x:v>217.91</x:v>
      </x:c>
      <x:c r="G3992" t="str">
        <x:v>Spring</x:v>
      </x:c>
      <x:c r="H3992" t="str">
        <x:v>Card</x:v>
      </x:c>
      <x:c r="I3992" t="n">
        <x:v>3</x:v>
      </x:c>
      <x:c r="J3992" t="n">
        <x:v>20</x:v>
      </x:c>
      <x:c r="K3992" t="n">
        <x:v>5</x:v>
      </x:c>
      <x:c r="L3992" t="str">
        <x:v>STORE-001</x:v>
      </x:c>
      <x:c r="M3992" s="22" t="n">
        <x:v>46276</x:v>
      </x:c>
      <x:c r="N3992" t="str">
        <x:v>SKU-025</x:v>
      </x:c>
      <x:c r="O3992" t="n">
        <x:v>1</x:v>
      </x:c>
      <x:c r="P3992" s="26" t="n">
        <x:f>F3992/O3992</x:f>
        <x:v>217.91</x:v>
      </x:c>
    </x:row>
    <x:row r="3993">
      <x:c r="A3993" t="n">
        <x:v>3992</x:v>
      </x:c>
      <x:c r="B3993" t="n">
        <x:v>29</x:v>
      </x:c>
      <x:c r="C3993" t="str">
        <x:v>Male</x:v>
      </x:c>
      <x:c r="D3993" t="str">
        <x:v>Footwear</x:v>
      </x:c>
      <x:c r="E3993" t="str">
        <x:v>Sneakers</x:v>
      </x:c>
      <x:c r="F3993" s="24" t="n">
        <x:v>88.9</x:v>
      </x:c>
      <x:c r="G3993" t="str">
        <x:v>Summer</x:v>
      </x:c>
      <x:c r="H3993" t="str">
        <x:v>Cash on Delivery</x:v>
      </x:c>
      <x:c r="I3993" t="n">
        <x:v>2.8</x:v>
      </x:c>
      <x:c r="J3993" t="n">
        <x:v>15</x:v>
      </x:c>
      <x:c r="K3993" t="n">
        <x:v>5</x:v>
      </x:c>
      <x:c r="L3993" t="str">
        <x:v>STORE-001</x:v>
      </x:c>
      <x:c r="M3993" s="22" t="n">
        <x:v>46016</x:v>
      </x:c>
      <x:c r="N3993" t="str">
        <x:v>SKU-025</x:v>
      </x:c>
      <x:c r="O3993" t="n">
        <x:v>1</x:v>
      </x:c>
      <x:c r="P3993" s="26" t="n">
        <x:f>F3993/O3993</x:f>
        <x:v>88.9</x:v>
      </x:c>
    </x:row>
    <x:row r="3994">
      <x:c r="A3994" t="n">
        <x:v>3993</x:v>
      </x:c>
      <x:c r="B3994" t="n">
        <x:v>49</x:v>
      </x:c>
      <x:c r="C3994" t="str">
        <x:v>Female</x:v>
      </x:c>
      <x:c r="D3994" t="str">
        <x:v>Home</x:v>
      </x:c>
      <x:c r="E3994" t="str">
        <x:v>Curtains</x:v>
      </x:c>
      <x:c r="F3994" s="24" t="n">
        <x:v>248.98</x:v>
      </x:c>
      <x:c r="G3994" t="str">
        <x:v>Spring</x:v>
      </x:c>
      <x:c r="H3994" t="str">
        <x:v>Card</x:v>
      </x:c>
      <x:c r="I3994" t="n">
        <x:v>3.8</x:v>
      </x:c>
      <x:c r="J3994" t="n">
        <x:v>23</x:v>
      </x:c>
      <x:c r="K3994" t="n">
        <x:v>9</x:v>
      </x:c>
      <x:c r="L3994" t="str">
        <x:v>STORE-001</x:v>
      </x:c>
      <x:c r="M3994" s="22" t="n">
        <x:v>45991</x:v>
      </x:c>
      <x:c r="N3994" t="str">
        <x:v>SKU-003</x:v>
      </x:c>
      <x:c r="O3994" t="n">
        <x:v>2</x:v>
      </x:c>
      <x:c r="P3994" s="26" t="n">
        <x:f>F3994/O3994</x:f>
        <x:v>124.49</x:v>
      </x:c>
    </x:row>
    <x:row r="3995">
      <x:c r="A3995" t="n">
        <x:v>3994</x:v>
      </x:c>
      <x:c r="B3995" t="n">
        <x:v>28</x:v>
      </x:c>
      <x:c r="C3995" t="str">
        <x:v>Female</x:v>
      </x:c>
      <x:c r="D3995" t="str">
        <x:v>Home</x:v>
      </x:c>
      <x:c r="E3995" t="str">
        <x:v>Curtains</x:v>
      </x:c>
      <x:c r="F3995" s="24" t="n">
        <x:v>225.31</x:v>
      </x:c>
      <x:c r="G3995" t="str">
        <x:v>Winter</x:v>
      </x:c>
      <x:c r="H3995" t="str">
        <x:v>Card</x:v>
      </x:c>
      <x:c r="I3995" t="n">
        <x:v>3.9</x:v>
      </x:c>
      <x:c r="J3995" t="n">
        <x:v>10</x:v>
      </x:c>
      <x:c r="K3995" t="n">
        <x:v>5</x:v>
      </x:c>
      <x:c r="L3995" t="str">
        <x:v>STORE-001</x:v>
      </x:c>
      <x:c r="M3995" s="22" t="n">
        <x:v>46246</x:v>
      </x:c>
      <x:c r="N3995" t="str">
        <x:v>SKU-003</x:v>
      </x:c>
      <x:c r="O3995" t="n">
        <x:v>2</x:v>
      </x:c>
      <x:c r="P3995" s="26" t="n">
        <x:f>F3995/O3995</x:f>
        <x:v>112.655</x:v>
      </x:c>
    </x:row>
    <x:row r="3996">
      <x:c r="A3996" t="n">
        <x:v>3995</x:v>
      </x:c>
      <x:c r="B3996" t="n">
        <x:v>23</x:v>
      </x:c>
      <x:c r="C3996" t="str">
        <x:v>Female</x:v>
      </x:c>
      <x:c r="D3996" t="str">
        <x:v>Accessories</x:v>
      </x:c>
      <x:c r="E3996" t="str">
        <x:v>Handbag</x:v>
      </x:c>
      <x:c r="F3996" s="24" t="n">
        <x:v>163.88</x:v>
      </x:c>
      <x:c r="G3996" t="str">
        <x:v>Spring</x:v>
      </x:c>
      <x:c r="H3996" t="str">
        <x:v>Card</x:v>
      </x:c>
      <x:c r="I3996" t="n">
        <x:v>4.7</x:v>
      </x:c>
      <x:c r="J3996" t="n">
        <x:v>12</x:v>
      </x:c>
      <x:c r="K3996" t="n">
        <x:v>6</x:v>
      </x:c>
      <x:c r="L3996" t="str">
        <x:v>STORE-001</x:v>
      </x:c>
      <x:c r="M3996" s="22" t="n">
        <x:v>46275</x:v>
      </x:c>
      <x:c r="N3996" t="str">
        <x:v>SKU-008</x:v>
      </x:c>
      <x:c r="O3996" t="n">
        <x:v>1</x:v>
      </x:c>
      <x:c r="P3996" s="26" t="n">
        <x:f>F3996/O3996</x:f>
        <x:v>163.88</x:v>
      </x:c>
    </x:row>
    <x:row r="3997">
      <x:c r="A3997" t="n">
        <x:v>3996</x:v>
      </x:c>
      <x:c r="B3997" t="n">
        <x:v>28</x:v>
      </x:c>
      <x:c r="C3997" t="str">
        <x:v>Female</x:v>
      </x:c>
      <x:c r="D3997" t="str">
        <x:v>Accessories</x:v>
      </x:c>
      <x:c r="E3997" t="str">
        <x:v>Handbag</x:v>
      </x:c>
      <x:c r="F3997" s="24" t="n">
        <x:v>139.87</x:v>
      </x:c>
      <x:c r="G3997" t="str">
        <x:v>Summer</x:v>
      </x:c>
      <x:c r="H3997" t="str">
        <x:v>Card</x:v>
      </x:c>
      <x:c r="I3997" t="n">
        <x:v>4.8</x:v>
      </x:c>
      <x:c r="J3997" t="n">
        <x:v>15</x:v>
      </x:c>
      <x:c r="K3997" t="n">
        <x:v>5</x:v>
      </x:c>
      <x:c r="L3997" t="str">
        <x:v>STORE-001</x:v>
      </x:c>
      <x:c r="M3997" s="22" t="n">
        <x:v>46011</x:v>
      </x:c>
      <x:c r="N3997" t="str">
        <x:v>SKU-008</x:v>
      </x:c>
      <x:c r="O3997" t="n">
        <x:v>2</x:v>
      </x:c>
      <x:c r="P3997" s="26" t="n">
        <x:f>F3997/O3997</x:f>
        <x:v>69.935</x:v>
      </x:c>
    </x:row>
    <x:row r="3998">
      <x:c r="A3998" t="n">
        <x:v>3997</x:v>
      </x:c>
      <x:c r="B3998" t="n">
        <x:v>67</x:v>
      </x:c>
      <x:c r="C3998" t="str">
        <x:v>Female</x:v>
      </x:c>
      <x:c r="D3998" t="str">
        <x:v>Accessories</x:v>
      </x:c>
      <x:c r="E3998" t="str">
        <x:v>Handbag</x:v>
      </x:c>
      <x:c r="F3998" s="24" t="n">
        <x:v>133.21</x:v>
      </x:c>
      <x:c r="G3998" t="str">
        <x:v>Summer</x:v>
      </x:c>
      <x:c r="H3998" t="str">
        <x:v>Card</x:v>
      </x:c>
      <x:c r="I3998" t="n">
        <x:v>4.6</x:v>
      </x:c>
      <x:c r="J3998" t="n">
        <x:v>12</x:v>
      </x:c>
      <x:c r="K3998" t="n">
        <x:v>6</x:v>
      </x:c>
      <x:c r="L3998" t="str">
        <x:v>STORE-001</x:v>
      </x:c>
      <x:c r="M3998" s="22" t="n">
        <x:v>46055</x:v>
      </x:c>
      <x:c r="N3998" t="str">
        <x:v>SKU-008</x:v>
      </x:c>
      <x:c r="O3998" t="n">
        <x:v>1</x:v>
      </x:c>
      <x:c r="P3998" s="26" t="n">
        <x:f>F3998/O3998</x:f>
        <x:v>133.21</x:v>
      </x:c>
    </x:row>
    <x:row r="3999">
      <x:c r="A3999" t="n">
        <x:v>3998</x:v>
      </x:c>
      <x:c r="B3999" t="n">
        <x:v>63</x:v>
      </x:c>
      <x:c r="C3999" t="str">
        <x:v>Female</x:v>
      </x:c>
      <x:c r="D3999" t="str">
        <x:v>Accessories</x:v>
      </x:c>
      <x:c r="E3999" t="str">
        <x:v>Handbag</x:v>
      </x:c>
      <x:c r="F3999" s="24" t="n">
        <x:v>138.94</x:v>
      </x:c>
      <x:c r="G3999" t="str">
        <x:v>Summer</x:v>
      </x:c>
      <x:c r="H3999" t="str">
        <x:v>Card</x:v>
      </x:c>
      <x:c r="I3999" t="n">
        <x:v>3.8</x:v>
      </x:c>
      <x:c r="J3999" t="n">
        <x:v>18</x:v>
      </x:c>
      <x:c r="K3999" t="n">
        <x:v>9</x:v>
      </x:c>
      <x:c r="L3999" t="str">
        <x:v>STORE-001</x:v>
      </x:c>
      <x:c r="M3999" s="22" t="n">
        <x:v>46023</x:v>
      </x:c>
      <x:c r="N3999" t="str">
        <x:v>SKU-008</x:v>
      </x:c>
      <x:c r="O3999" t="n">
        <x:v>1</x:v>
      </x:c>
      <x:c r="P3999" s="26" t="n">
        <x:f>F3999/O3999</x:f>
        <x:v>138.94</x:v>
      </x:c>
    </x:row>
    <x:row r="4000">
      <x:c r="A4000" t="n">
        <x:v>3999</x:v>
      </x:c>
      <x:c r="B4000" t="n">
        <x:v>38</x:v>
      </x:c>
      <x:c r="C4000" t="str">
        <x:v>Female</x:v>
      </x:c>
      <x:c r="D4000" t="str">
        <x:v>Sports</x:v>
      </x:c>
      <x:c r="E4000" t="str">
        <x:v>Dumbbells</x:v>
      </x:c>
      <x:c r="F4000" s="24" t="n">
        <x:v>52.35</x:v>
      </x:c>
      <x:c r="G4000" t="str">
        <x:v>Spring</x:v>
      </x:c>
      <x:c r="H4000" t="str">
        <x:v>Card</x:v>
      </x:c>
      <x:c r="I4000" t="n">
        <x:v>4.1</x:v>
      </x:c>
      <x:c r="J4000" t="n">
        <x:v>21</x:v>
      </x:c>
      <x:c r="K4000" t="n">
        <x:v>8</x:v>
      </x:c>
      <x:c r="L4000" t="str">
        <x:v>STORE-001</x:v>
      </x:c>
      <x:c r="M4000" s="22" t="n">
        <x:v>45933</x:v>
      </x:c>
      <x:c r="N4000" t="str">
        <x:v>SKU-005</x:v>
      </x:c>
      <x:c r="O4000" t="n">
        <x:v>1</x:v>
      </x:c>
      <x:c r="P4000" s="26" t="n">
        <x:f>F4000/O4000</x:f>
        <x:v>52.35</x:v>
      </x:c>
    </x:row>
    <x:row r="4001">
      <x:c r="A4001" t="n">
        <x:v>4000</x:v>
      </x:c>
      <x:c r="B4001" t="n">
        <x:v>41</x:v>
      </x:c>
      <x:c r="C4001" t="str">
        <x:v>Male</x:v>
      </x:c>
      <x:c r="D4001" t="str">
        <x:v>Mens Clothing</x:v>
      </x:c>
      <x:c r="E4001" t="str">
        <x:v>Jeans</x:v>
      </x:c>
      <x:c r="F4001" s="24" t="n">
        <x:v>36.25</x:v>
      </x:c>
      <x:c r="G4001" t="str">
        <x:v>Autumn</x:v>
      </x:c>
      <x:c r="H4001" t="str">
        <x:v>Cash on Delivery</x:v>
      </x:c>
      <x:c r="I4001" t="n">
        <x:v>4.6</x:v>
      </x:c>
      <x:c r="J4001" t="n">
        <x:v>18</x:v>
      </x:c>
      <x:c r="K4001" t="n">
        <x:v>4</x:v>
      </x:c>
      <x:c r="L4001" t="str">
        <x:v>STORE-001</x:v>
      </x:c>
      <x:c r="M4001" s="22" t="n">
        <x:v>46089</x:v>
      </x:c>
      <x:c r="N4001" t="str">
        <x:v>SKU-011</x:v>
      </x:c>
      <x:c r="O4001" t="n">
        <x:v>1</x:v>
      </x:c>
      <x:c r="P4001" s="26" t="n">
        <x:f>F4001/O4001</x:f>
        <x:v>36.25</x:v>
      </x:c>
    </x:row>
    <x:row r="4002">
      <x:c r="A4002" t="n">
        <x:v>4001</x:v>
      </x:c>
      <x:c r="B4002" t="n">
        <x:v>50</x:v>
      </x:c>
      <x:c r="C4002" t="str">
        <x:v>Male</x:v>
      </x:c>
      <x:c r="D4002" t="str">
        <x:v>Mens Clothing</x:v>
      </x:c>
      <x:c r="E4002" t="str">
        <x:v>T-Shirt</x:v>
      </x:c>
      <x:c r="F4002" s="24" t="n">
        <x:v>96.94</x:v>
      </x:c>
      <x:c r="G4002" t="str">
        <x:v>Summer</x:v>
      </x:c>
      <x:c r="H4002" t="str">
        <x:v>Cash on Delivery</x:v>
      </x:c>
      <x:c r="I4002" t="n">
        <x:v>3.6</x:v>
      </x:c>
      <x:c r="J4002" t="n">
        <x:v>6</x:v>
      </x:c>
      <x:c r="K4002" t="n">
        <x:v>3</x:v>
      </x:c>
      <x:c r="L4002" t="str">
        <x:v>STORE-001</x:v>
      </x:c>
      <x:c r="M4002" s="22" t="n">
        <x:v>46057</x:v>
      </x:c>
      <x:c r="N4002" t="str">
        <x:v>SKU-027</x:v>
      </x:c>
      <x:c r="O4002" t="n">
        <x:v>1</x:v>
      </x:c>
      <x:c r="P4002" s="26" t="n">
        <x:f>F4002/O4002</x:f>
        <x:v>96.94</x:v>
      </x:c>
    </x:row>
    <x:row r="4003">
      <x:c r="A4003" t="n">
        <x:v>4002</x:v>
      </x:c>
      <x:c r="B4003" t="n">
        <x:v>65</x:v>
      </x:c>
      <x:c r="C4003" t="str">
        <x:v>Female</x:v>
      </x:c>
      <x:c r="D4003" t="str">
        <x:v>Womens Clothing</x:v>
      </x:c>
      <x:c r="E4003" t="str">
        <x:v>Jeans</x:v>
      </x:c>
      <x:c r="F4003" s="24" t="n">
        <x:v>170.25</x:v>
      </x:c>
      <x:c r="G4003" t="str">
        <x:v>Autumn</x:v>
      </x:c>
      <x:c r="H4003" t="str">
        <x:v>Card</x:v>
      </x:c>
      <x:c r="I4003" t="n">
        <x:v>4.7</x:v>
      </x:c>
      <x:c r="J4003" t="n">
        <x:v>26</x:v>
      </x:c>
      <x:c r="K4003" t="n">
        <x:v>8</x:v>
      </x:c>
      <x:c r="L4003" t="str">
        <x:v>STORE-001</x:v>
      </x:c>
      <x:c r="M4003" s="22" t="n">
        <x:v>46121</x:v>
      </x:c>
      <x:c r="N4003" t="str">
        <x:v>SKU-011</x:v>
      </x:c>
      <x:c r="O4003" t="n">
        <x:v>2</x:v>
      </x:c>
      <x:c r="P4003" s="26" t="n">
        <x:f>F4003/O4003</x:f>
        <x:v>85.125</x:v>
      </x:c>
    </x:row>
    <x:row r="4004">
      <x:c r="A4004" t="n">
        <x:v>4003</x:v>
      </x:c>
      <x:c r="B4004" t="n">
        <x:v>49</x:v>
      </x:c>
      <x:c r="C4004" t="str">
        <x:v>Male</x:v>
      </x:c>
      <x:c r="D4004" t="str">
        <x:v>Sports</x:v>
      </x:c>
      <x:c r="E4004" t="str">
        <x:v>Dumbbells</x:v>
      </x:c>
      <x:c r="F4004" s="24" t="n">
        <x:v>190.85</x:v>
      </x:c>
      <x:c r="G4004" t="str">
        <x:v>Spring</x:v>
      </x:c>
      <x:c r="H4004" t="str">
        <x:v>Card</x:v>
      </x:c>
      <x:c r="I4004" t="n">
        <x:v>4</x:v>
      </x:c>
      <x:c r="J4004" t="n">
        <x:v>14</x:v>
      </x:c>
      <x:c r="K4004" t="n">
        <x:v>7</x:v>
      </x:c>
      <x:c r="L4004" t="str">
        <x:v>STORE-001</x:v>
      </x:c>
      <x:c r="M4004" s="22" t="n">
        <x:v>46293</x:v>
      </x:c>
      <x:c r="N4004" t="str">
        <x:v>SKU-005</x:v>
      </x:c>
      <x:c r="O4004" t="n">
        <x:v>1</x:v>
      </x:c>
      <x:c r="P4004" s="26" t="n">
        <x:f>F4004/O4004</x:f>
        <x:v>190.85</x:v>
      </x:c>
    </x:row>
    <x:row r="4005">
      <x:c r="A4005" t="n">
        <x:v>4004</x:v>
      </x:c>
      <x:c r="B4005" t="n">
        <x:v>41</x:v>
      </x:c>
      <x:c r="C4005" t="str">
        <x:v>Male</x:v>
      </x:c>
      <x:c r="D4005" t="str">
        <x:v>Mens Clothing</x:v>
      </x:c>
      <x:c r="E4005" t="str">
        <x:v>Shirt</x:v>
      </x:c>
      <x:c r="F4005" s="24" t="n">
        <x:v>106.08</x:v>
      </x:c>
      <x:c r="G4005" t="str">
        <x:v>Autumn</x:v>
      </x:c>
      <x:c r="H4005" t="str">
        <x:v>Card</x:v>
      </x:c>
      <x:c r="I4005" t="n">
        <x:v>4.1</x:v>
      </x:c>
      <x:c r="J4005" t="n">
        <x:v>9</x:v>
      </x:c>
      <x:c r="K4005" t="n">
        <x:v>2</x:v>
      </x:c>
      <x:c r="L4005" t="str">
        <x:v>STORE-001</x:v>
      </x:c>
      <x:c r="M4005" s="22" t="n">
        <x:v>46154</x:v>
      </x:c>
      <x:c r="N4005" t="str">
        <x:v>SKU-020</x:v>
      </x:c>
      <x:c r="O4005" t="n">
        <x:v>1</x:v>
      </x:c>
      <x:c r="P4005" s="26" t="n">
        <x:f>F4005/O4005</x:f>
        <x:v>106.08</x:v>
      </x:c>
    </x:row>
    <x:row r="4006">
      <x:c r="A4006" t="n">
        <x:v>4005</x:v>
      </x:c>
      <x:c r="B4006" t="n">
        <x:v>24</x:v>
      </x:c>
      <x:c r="C4006" t="str">
        <x:v>Female</x:v>
      </x:c>
      <x:c r="D4006" t="str">
        <x:v>Beauty</x:v>
      </x:c>
      <x:c r="E4006" t="str">
        <x:v>Makeup Set</x:v>
      </x:c>
      <x:c r="F4006" s="24" t="n">
        <x:v>124.83</x:v>
      </x:c>
      <x:c r="G4006" t="str">
        <x:v>Winter</x:v>
      </x:c>
      <x:c r="H4006" t="str">
        <x:v>Card</x:v>
      </x:c>
      <x:c r="I4006" t="n">
        <x:v>2.6</x:v>
      </x:c>
      <x:c r="J4006" t="n">
        <x:v>12</x:v>
      </x:c>
      <x:c r="K4006" t="n">
        <x:v>1</x:v>
      </x:c>
      <x:c r="L4006" t="str">
        <x:v>STORE-001</x:v>
      </x:c>
      <x:c r="M4006" s="22" t="n">
        <x:v>46181</x:v>
      </x:c>
      <x:c r="N4006" t="str">
        <x:v>SKU-015</x:v>
      </x:c>
      <x:c r="O4006" t="n">
        <x:v>2</x:v>
      </x:c>
      <x:c r="P4006" s="26" t="n">
        <x:f>F4006/O4006</x:f>
        <x:v>62.415</x:v>
      </x:c>
    </x:row>
    <x:row r="4007">
      <x:c r="A4007" t="n">
        <x:v>4006</x:v>
      </x:c>
      <x:c r="B4007" t="n">
        <x:v>27</x:v>
      </x:c>
      <x:c r="C4007" t="str">
        <x:v>Female</x:v>
      </x:c>
      <x:c r="D4007" t="str">
        <x:v>Beauty</x:v>
      </x:c>
      <x:c r="E4007" t="str">
        <x:v>Skincare Kit</x:v>
      </x:c>
      <x:c r="F4007" s="24" t="n">
        <x:v>140.07</x:v>
      </x:c>
      <x:c r="G4007" t="str">
        <x:v>Summer</x:v>
      </x:c>
      <x:c r="H4007" t="str">
        <x:v>Card</x:v>
      </x:c>
      <x:c r="I4007" t="n">
        <x:v>3.2</x:v>
      </x:c>
      <x:c r="J4007" t="n">
        <x:v>11</x:v>
      </x:c>
      <x:c r="K4007" t="n">
        <x:v>3</x:v>
      </x:c>
      <x:c r="L4007" t="str">
        <x:v>STORE-001</x:v>
      </x:c>
      <x:c r="M4007" s="22" t="n">
        <x:v>46063</x:v>
      </x:c>
      <x:c r="N4007" t="str">
        <x:v>SKU-021</x:v>
      </x:c>
      <x:c r="O4007" t="n">
        <x:v>1</x:v>
      </x:c>
      <x:c r="P4007" s="26" t="n">
        <x:f>F4007/O4007</x:f>
        <x:v>140.07</x:v>
      </x:c>
    </x:row>
    <x:row r="4008">
      <x:c r="A4008" t="n">
        <x:v>4007</x:v>
      </x:c>
      <x:c r="B4008" t="n">
        <x:v>50</x:v>
      </x:c>
      <x:c r="C4008" t="str">
        <x:v>Female</x:v>
      </x:c>
      <x:c r="D4008" t="str">
        <x:v>Groceries</x:v>
      </x:c>
      <x:c r="E4008" t="str">
        <x:v>Snacks</x:v>
      </x:c>
      <x:c r="F4008" s="24" t="n">
        <x:v>72.93</x:v>
      </x:c>
      <x:c r="G4008" t="str">
        <x:v>Winter</x:v>
      </x:c>
      <x:c r="H4008" t="str">
        <x:v>Cash on Delivery</x:v>
      </x:c>
      <x:c r="I4008" t="n">
        <x:v>3.8</x:v>
      </x:c>
      <x:c r="J4008" t="n">
        <x:v>10</x:v>
      </x:c>
      <x:c r="K4008" t="n">
        <x:v>5</x:v>
      </x:c>
      <x:c r="L4008" t="str">
        <x:v>STORE-001</x:v>
      </x:c>
      <x:c r="M4008" s="22" t="n">
        <x:v>46228</x:v>
      </x:c>
      <x:c r="N4008" t="str">
        <x:v>SKU-024</x:v>
      </x:c>
      <x:c r="O4008" t="n">
        <x:v>3</x:v>
      </x:c>
      <x:c r="P4008" s="26" t="n">
        <x:f>F4008/O4008</x:f>
        <x:v>24.310000000000002</x:v>
      </x:c>
    </x:row>
    <x:row r="4009">
      <x:c r="A4009" t="n">
        <x:v>4008</x:v>
      </x:c>
      <x:c r="B4009" t="n">
        <x:v>36</x:v>
      </x:c>
      <x:c r="C4009" t="str">
        <x:v>Female</x:v>
      </x:c>
      <x:c r="D4009" t="str">
        <x:v>Beauty</x:v>
      </x:c>
      <x:c r="E4009" t="str">
        <x:v>Makeup Set</x:v>
      </x:c>
      <x:c r="F4009" s="24" t="n">
        <x:v>122.19</x:v>
      </x:c>
      <x:c r="G4009" t="str">
        <x:v>Winter</x:v>
      </x:c>
      <x:c r="H4009" t="str">
        <x:v>Card</x:v>
      </x:c>
      <x:c r="I4009" t="n">
        <x:v>3.8</x:v>
      </x:c>
      <x:c r="J4009" t="n">
        <x:v>12</x:v>
      </x:c>
      <x:c r="K4009" t="n">
        <x:v>6</x:v>
      </x:c>
      <x:c r="L4009" t="str">
        <x:v>STORE-001</x:v>
      </x:c>
      <x:c r="M4009" s="22" t="n">
        <x:v>46232</x:v>
      </x:c>
      <x:c r="N4009" t="str">
        <x:v>SKU-015</x:v>
      </x:c>
      <x:c r="O4009" t="n">
        <x:v>1</x:v>
      </x:c>
      <x:c r="P4009" s="26" t="n">
        <x:f>F4009/O4009</x:f>
        <x:v>122.19</x:v>
      </x:c>
    </x:row>
    <x:row r="4010">
      <x:c r="A4010" t="n">
        <x:v>4009</x:v>
      </x:c>
      <x:c r="B4010" t="n">
        <x:v>52</x:v>
      </x:c>
      <x:c r="C4010" t="str">
        <x:v>Male</x:v>
      </x:c>
      <x:c r="D4010" t="str">
        <x:v>Electronics</x:v>
      </x:c>
      <x:c r="E4010" t="str">
        <x:v>Smart Watch</x:v>
      </x:c>
      <x:c r="F4010" s="24" t="n">
        <x:v>1169.39</x:v>
      </x:c>
      <x:c r="G4010" t="str">
        <x:v>Summer</x:v>
      </x:c>
      <x:c r="H4010" t="str">
        <x:v>Card</x:v>
      </x:c>
      <x:c r="I4010" t="n">
        <x:v>3</x:v>
      </x:c>
      <x:c r="J4010" t="n">
        <x:v>20</x:v>
      </x:c>
      <x:c r="K4010" t="n">
        <x:v>10</x:v>
      </x:c>
      <x:c r="L4010" t="str">
        <x:v>STORE-001</x:v>
      </x:c>
      <x:c r="M4010" s="22" t="n">
        <x:v>45997</x:v>
      </x:c>
      <x:c r="N4010" t="str">
        <x:v>SKU-023</x:v>
      </x:c>
      <x:c r="O4010" t="n">
        <x:v>1</x:v>
      </x:c>
      <x:c r="P4010" s="26" t="n">
        <x:f>F4010/O4010</x:f>
        <x:v>1169.39</x:v>
      </x:c>
    </x:row>
    <x:row r="4011">
      <x:c r="A4011" t="n">
        <x:v>4010</x:v>
      </x:c>
      <x:c r="B4011" t="n">
        <x:v>66</x:v>
      </x:c>
      <x:c r="C4011" t="str">
        <x:v>Female</x:v>
      </x:c>
      <x:c r="D4011" t="str">
        <x:v>Sports</x:v>
      </x:c>
      <x:c r="E4011" t="str">
        <x:v>Football</x:v>
      </x:c>
      <x:c r="F4011" s="24" t="n">
        <x:v>195.24</x:v>
      </x:c>
      <x:c r="G4011" t="str">
        <x:v>Winter</x:v>
      </x:c>
      <x:c r="H4011" t="str">
        <x:v>Card</x:v>
      </x:c>
      <x:c r="I4011" t="n">
        <x:v>5</x:v>
      </x:c>
      <x:c r="J4011" t="n">
        <x:v>18</x:v>
      </x:c>
      <x:c r="K4011" t="n">
        <x:v>4</x:v>
      </x:c>
      <x:c r="L4011" t="str">
        <x:v>STORE-001</x:v>
      </x:c>
      <x:c r="M4011" s="22" t="n">
        <x:v>46186</x:v>
      </x:c>
      <x:c r="N4011" t="str">
        <x:v>SKU-006</x:v>
      </x:c>
      <x:c r="O4011" t="n">
        <x:v>1</x:v>
      </x:c>
      <x:c r="P4011" s="26" t="n">
        <x:f>F4011/O4011</x:f>
        <x:v>195.24</x:v>
      </x:c>
    </x:row>
    <x:row r="4012">
      <x:c r="A4012" t="n">
        <x:v>4011</x:v>
      </x:c>
      <x:c r="B4012" t="n">
        <x:v>70</x:v>
      </x:c>
      <x:c r="C4012" t="str">
        <x:v>Female</x:v>
      </x:c>
      <x:c r="D4012" t="str">
        <x:v>Womens Clothing</x:v>
      </x:c>
      <x:c r="E4012" t="str">
        <x:v>Skirt</x:v>
      </x:c>
      <x:c r="F4012" s="24" t="n">
        <x:v>199.98</x:v>
      </x:c>
      <x:c r="G4012" t="str">
        <x:v>Spring</x:v>
      </x:c>
      <x:c r="H4012" t="str">
        <x:v>Card</x:v>
      </x:c>
      <x:c r="I4012" t="n">
        <x:v>4</x:v>
      </x:c>
      <x:c r="J4012" t="n">
        <x:v>13</x:v>
      </x:c>
      <x:c r="K4012" t="n">
        <x:v>4</x:v>
      </x:c>
      <x:c r="L4012" t="str">
        <x:v>STORE-001</x:v>
      </x:c>
      <x:c r="M4012" s="22" t="n">
        <x:v>45951</x:v>
      </x:c>
      <x:c r="N4012" t="str">
        <x:v>SKU-022</x:v>
      </x:c>
      <x:c r="O4012" t="n">
        <x:v>1</x:v>
      </x:c>
      <x:c r="P4012" s="26" t="n">
        <x:f>F4012/O4012</x:f>
        <x:v>199.98</x:v>
      </x:c>
    </x:row>
    <x:row r="4013">
      <x:c r="A4013" t="n">
        <x:v>4012</x:v>
      </x:c>
      <x:c r="B4013" t="n">
        <x:v>44</x:v>
      </x:c>
      <x:c r="C4013" t="str">
        <x:v>Female</x:v>
      </x:c>
      <x:c r="D4013" t="str">
        <x:v>Womens Clothing</x:v>
      </x:c>
      <x:c r="E4013" t="str">
        <x:v>Skirt</x:v>
      </x:c>
      <x:c r="F4013" s="24" t="n">
        <x:v>81.96</x:v>
      </x:c>
      <x:c r="G4013" t="str">
        <x:v>Autumn</x:v>
      </x:c>
      <x:c r="H4013" t="str">
        <x:v>Cash on Delivery</x:v>
      </x:c>
      <x:c r="I4013" t="n">
        <x:v>2.7</x:v>
      </x:c>
      <x:c r="J4013" t="n">
        <x:v>10</x:v>
      </x:c>
      <x:c r="K4013" t="n">
        <x:v>5</x:v>
      </x:c>
      <x:c r="L4013" t="str">
        <x:v>STORE-001</x:v>
      </x:c>
      <x:c r="M4013" s="22" t="n">
        <x:v>46163</x:v>
      </x:c>
      <x:c r="N4013" t="str">
        <x:v>SKU-022</x:v>
      </x:c>
      <x:c r="O4013" t="n">
        <x:v>1</x:v>
      </x:c>
      <x:c r="P4013" s="26" t="n">
        <x:f>F4013/O4013</x:f>
        <x:v>81.96</x:v>
      </x:c>
    </x:row>
    <x:row r="4014">
      <x:c r="A4014" t="n">
        <x:v>4013</x:v>
      </x:c>
      <x:c r="B4014" t="n">
        <x:v>64</x:v>
      </x:c>
      <x:c r="C4014" t="str">
        <x:v>Female</x:v>
      </x:c>
      <x:c r="D4014" t="str">
        <x:v>Womens Clothing</x:v>
      </x:c>
      <x:c r="E4014" t="str">
        <x:v>Top</x:v>
      </x:c>
      <x:c r="F4014" s="24" t="n">
        <x:v>168.24</x:v>
      </x:c>
      <x:c r="G4014" t="str">
        <x:v>Winter</x:v>
      </x:c>
      <x:c r="H4014" t="str">
        <x:v>Card</x:v>
      </x:c>
      <x:c r="I4014" t="n">
        <x:v>3.1</x:v>
      </x:c>
      <x:c r="J4014" t="n">
        <x:v>4</x:v>
      </x:c>
      <x:c r="K4014" t="n">
        <x:v>2</x:v>
      </x:c>
      <x:c r="L4014" t="str">
        <x:v>STORE-001</x:v>
      </x:c>
      <x:c r="M4014" s="22" t="n">
        <x:v>46248</x:v>
      </x:c>
      <x:c r="N4014" t="str">
        <x:v>SKU-028</x:v>
      </x:c>
      <x:c r="O4014" t="n">
        <x:v>1</x:v>
      </x:c>
      <x:c r="P4014" s="26" t="n">
        <x:f>F4014/O4014</x:f>
        <x:v>168.24</x:v>
      </x:c>
    </x:row>
    <x:row r="4015">
      <x:c r="A4015" t="n">
        <x:v>4014</x:v>
      </x:c>
      <x:c r="B4015" t="n">
        <x:v>37</x:v>
      </x:c>
      <x:c r="C4015" t="str">
        <x:v>Female</x:v>
      </x:c>
      <x:c r="D4015" t="str">
        <x:v>Beauty</x:v>
      </x:c>
      <x:c r="E4015" t="str">
        <x:v>Perfume</x:v>
      </x:c>
      <x:c r="F4015" s="24" t="n">
        <x:v>38</x:v>
      </x:c>
      <x:c r="G4015" t="str">
        <x:v>Autumn</x:v>
      </x:c>
      <x:c r="H4015" t="str">
        <x:v>Card</x:v>
      </x:c>
      <x:c r="I4015" t="n">
        <x:v>4</x:v>
      </x:c>
      <x:c r="J4015" t="n">
        <x:v>16</x:v>
      </x:c>
      <x:c r="K4015" t="n">
        <x:v>8</x:v>
      </x:c>
      <x:c r="L4015" t="str">
        <x:v>STORE-001</x:v>
      </x:c>
      <x:c r="M4015" s="22" t="n">
        <x:v>46102</x:v>
      </x:c>
      <x:c r="N4015" t="str">
        <x:v>SKU-017</x:v>
      </x:c>
      <x:c r="O4015" t="n">
        <x:v>1</x:v>
      </x:c>
      <x:c r="P4015" s="26" t="n">
        <x:f>F4015/O4015</x:f>
        <x:v>38</x:v>
      </x:c>
    </x:row>
    <x:row r="4016">
      <x:c r="A4016" t="n">
        <x:v>4015</x:v>
      </x:c>
      <x:c r="B4016" t="n">
        <x:v>36</x:v>
      </x:c>
      <x:c r="C4016" t="str">
        <x:v>Male</x:v>
      </x:c>
      <x:c r="D4016" t="str">
        <x:v>Sports</x:v>
      </x:c>
      <x:c r="E4016" t="str">
        <x:v>Football</x:v>
      </x:c>
      <x:c r="F4016" s="24" t="n">
        <x:v>37.32</x:v>
      </x:c>
      <x:c r="G4016" t="str">
        <x:v>Winter</x:v>
      </x:c>
      <x:c r="H4016" t="str">
        <x:v>Card</x:v>
      </x:c>
      <x:c r="I4016" t="n">
        <x:v>5</x:v>
      </x:c>
      <x:c r="J4016" t="n">
        <x:v>23</x:v>
      </x:c>
      <x:c r="K4016" t="n">
        <x:v>9</x:v>
      </x:c>
      <x:c r="L4016" t="str">
        <x:v>STORE-001</x:v>
      </x:c>
      <x:c r="M4016" s="22" t="n">
        <x:v>46204</x:v>
      </x:c>
      <x:c r="N4016" t="str">
        <x:v>SKU-006</x:v>
      </x:c>
      <x:c r="O4016" t="n">
        <x:v>2</x:v>
      </x:c>
      <x:c r="P4016" s="26" t="n">
        <x:f>F4016/O4016</x:f>
        <x:v>18.66</x:v>
      </x:c>
    </x:row>
    <x:row r="4017">
      <x:c r="A4017" t="n">
        <x:v>4016</x:v>
      </x:c>
      <x:c r="B4017" t="n">
        <x:v>58</x:v>
      </x:c>
      <x:c r="C4017" t="str">
        <x:v>Female</x:v>
      </x:c>
      <x:c r="D4017" t="str">
        <x:v>Accessories</x:v>
      </x:c>
      <x:c r="E4017" t="str">
        <x:v>Wallet</x:v>
      </x:c>
      <x:c r="F4017" s="24" t="n">
        <x:v>152.99</x:v>
      </x:c>
      <x:c r="G4017" t="str">
        <x:v>Summer</x:v>
      </x:c>
      <x:c r="H4017" t="str">
        <x:v>Card</x:v>
      </x:c>
      <x:c r="I4017" t="n">
        <x:v>3.2</x:v>
      </x:c>
      <x:c r="J4017" t="n">
        <x:v>17</x:v>
      </x:c>
      <x:c r="K4017" t="n">
        <x:v>6</x:v>
      </x:c>
      <x:c r="L4017" t="str">
        <x:v>STORE-001</x:v>
      </x:c>
      <x:c r="M4017" s="22" t="n">
        <x:v>45998</x:v>
      </x:c>
      <x:c r="N4017" t="str">
        <x:v>SKU-029</x:v>
      </x:c>
      <x:c r="O4017" t="n">
        <x:v>2</x:v>
      </x:c>
      <x:c r="P4017" s="26" t="n">
        <x:f>F4017/O4017</x:f>
        <x:v>76.495</x:v>
      </x:c>
    </x:row>
    <x:row r="4018">
      <x:c r="A4018" t="n">
        <x:v>4017</x:v>
      </x:c>
      <x:c r="B4018" t="n">
        <x:v>65</x:v>
      </x:c>
      <x:c r="C4018" t="str">
        <x:v>Female</x:v>
      </x:c>
      <x:c r="D4018" t="str">
        <x:v>Accessories</x:v>
      </x:c>
      <x:c r="E4018" t="str">
        <x:v>Wallet</x:v>
      </x:c>
      <x:c r="F4018" s="24" t="n">
        <x:v>88.31</x:v>
      </x:c>
      <x:c r="G4018" t="str">
        <x:v>Autumn</x:v>
      </x:c>
      <x:c r="H4018" t="str">
        <x:v>Card</x:v>
      </x:c>
      <x:c r="I4018" t="n">
        <x:v>3.8</x:v>
      </x:c>
      <x:c r="J4018" t="n">
        <x:v>18</x:v>
      </x:c>
      <x:c r="K4018" t="n">
        <x:v>4</x:v>
      </x:c>
      <x:c r="L4018" t="str">
        <x:v>STORE-001</x:v>
      </x:c>
      <x:c r="M4018" s="22" t="n">
        <x:v>46084</x:v>
      </x:c>
      <x:c r="N4018" t="str">
        <x:v>SKU-029</x:v>
      </x:c>
      <x:c r="O4018" t="n">
        <x:v>1</x:v>
      </x:c>
      <x:c r="P4018" s="26" t="n">
        <x:f>F4018/O4018</x:f>
        <x:v>88.31</x:v>
      </x:c>
    </x:row>
    <x:row r="4019">
      <x:c r="A4019" t="n">
        <x:v>4018</x:v>
      </x:c>
      <x:c r="B4019" t="n">
        <x:v>35</x:v>
      </x:c>
      <x:c r="C4019" t="str">
        <x:v>Male</x:v>
      </x:c>
      <x:c r="D4019" t="str">
        <x:v>Mens Clothing</x:v>
      </x:c>
      <x:c r="E4019" t="str">
        <x:v>Shirt</x:v>
      </x:c>
      <x:c r="F4019" s="24" t="n">
        <x:v>49.5</x:v>
      </x:c>
      <x:c r="G4019" t="str">
        <x:v>Spring</x:v>
      </x:c>
      <x:c r="H4019" t="str">
        <x:v>Cash on Delivery</x:v>
      </x:c>
      <x:c r="I4019" t="n">
        <x:v>4.6</x:v>
      </x:c>
      <x:c r="J4019" t="n">
        <x:v>18</x:v>
      </x:c>
      <x:c r="K4019" t="n">
        <x:v>4</x:v>
      </x:c>
      <x:c r="L4019" t="str">
        <x:v>STORE-001</x:v>
      </x:c>
      <x:c r="M4019" s="22" t="n">
        <x:v>46270</x:v>
      </x:c>
      <x:c r="N4019" t="str">
        <x:v>SKU-020</x:v>
      </x:c>
      <x:c r="O4019" t="n">
        <x:v>1</x:v>
      </x:c>
      <x:c r="P4019" s="26" t="n">
        <x:f>F4019/O4019</x:f>
        <x:v>49.5</x:v>
      </x:c>
    </x:row>
    <x:row r="4020">
      <x:c r="A4020" t="n">
        <x:v>4019</x:v>
      </x:c>
      <x:c r="B4020" t="n">
        <x:v>41</x:v>
      </x:c>
      <x:c r="C4020" t="str">
        <x:v>Male</x:v>
      </x:c>
      <x:c r="D4020" t="str">
        <x:v>Sports</x:v>
      </x:c>
      <x:c r="E4020" t="str">
        <x:v>Football</x:v>
      </x:c>
      <x:c r="F4020" s="24" t="n">
        <x:v>201</x:v>
      </x:c>
      <x:c r="G4020" t="str">
        <x:v>Summer</x:v>
      </x:c>
      <x:c r="H4020" t="str">
        <x:v>Card</x:v>
      </x:c>
      <x:c r="I4020" t="n">
        <x:v>4.6</x:v>
      </x:c>
      <x:c r="J4020" t="n">
        <x:v>4</x:v>
      </x:c>
      <x:c r="K4020" t="n">
        <x:v>2</x:v>
      </x:c>
      <x:c r="L4020" t="str">
        <x:v>STORE-001</x:v>
      </x:c>
      <x:c r="M4020" s="22" t="n">
        <x:v>45998</x:v>
      </x:c>
      <x:c r="N4020" t="str">
        <x:v>SKU-006</x:v>
      </x:c>
      <x:c r="O4020" t="n">
        <x:v>3</x:v>
      </x:c>
      <x:c r="P4020" s="26" t="n">
        <x:f>F4020/O4020</x:f>
        <x:v>67</x:v>
      </x:c>
    </x:row>
    <x:row r="4021">
      <x:c r="A4021" t="n">
        <x:v>4020</x:v>
      </x:c>
      <x:c r="B4021" t="n">
        <x:v>52</x:v>
      </x:c>
      <x:c r="C4021" t="str">
        <x:v>Female</x:v>
      </x:c>
      <x:c r="D4021" t="str">
        <x:v>Accessories</x:v>
      </x:c>
      <x:c r="E4021" t="str">
        <x:v>Wallet</x:v>
      </x:c>
      <x:c r="F4021" s="24" t="n">
        <x:v>85.67</x:v>
      </x:c>
      <x:c r="G4021" t="str">
        <x:v>Summer</x:v>
      </x:c>
      <x:c r="H4021" t="str">
        <x:v>Cash on Delivery</x:v>
      </x:c>
      <x:c r="I4021" t="n">
        <x:v>2.7</x:v>
      </x:c>
      <x:c r="J4021" t="n">
        <x:v>8</x:v>
      </x:c>
      <x:c r="K4021" t="n">
        <x:v>4</x:v>
      </x:c>
      <x:c r="L4021" t="str">
        <x:v>STORE-001</x:v>
      </x:c>
      <x:c r="M4021" s="22" t="n">
        <x:v>46067</x:v>
      </x:c>
      <x:c r="N4021" t="str">
        <x:v>SKU-029</x:v>
      </x:c>
      <x:c r="O4021" t="n">
        <x:v>3</x:v>
      </x:c>
      <x:c r="P4021" s="26" t="n">
        <x:f>F4021/O4021</x:f>
        <x:v>28.55666666666667</x:v>
      </x:c>
    </x:row>
    <x:row r="4022">
      <x:c r="A4022" t="n">
        <x:v>4021</x:v>
      </x:c>
      <x:c r="B4022" t="n">
        <x:v>41</x:v>
      </x:c>
      <x:c r="C4022" t="str">
        <x:v>Male</x:v>
      </x:c>
      <x:c r="D4022" t="str">
        <x:v>Groceries</x:v>
      </x:c>
      <x:c r="E4022" t="str">
        <x:v>Snacks</x:v>
      </x:c>
      <x:c r="F4022" s="24" t="n">
        <x:v>35.58</x:v>
      </x:c>
      <x:c r="G4022" t="str">
        <x:v>Winter</x:v>
      </x:c>
      <x:c r="H4022" t="str">
        <x:v>Card</x:v>
      </x:c>
      <x:c r="I4022" t="n">
        <x:v>4.4</x:v>
      </x:c>
      <x:c r="J4022" t="n">
        <x:v>24</x:v>
      </x:c>
      <x:c r="K4022" t="n">
        <x:v>7</x:v>
      </x:c>
      <x:c r="L4022" t="str">
        <x:v>STORE-001</x:v>
      </x:c>
      <x:c r="M4022" s="22" t="n">
        <x:v>46224</x:v>
      </x:c>
      <x:c r="N4022" t="str">
        <x:v>SKU-024</x:v>
      </x:c>
      <x:c r="O4022" t="n">
        <x:v>5</x:v>
      </x:c>
      <x:c r="P4022" s="26" t="n">
        <x:f>F4022/O4022</x:f>
        <x:v>7.116</x:v>
      </x:c>
    </x:row>
    <x:row r="4023">
      <x:c r="A4023" t="n">
        <x:v>4022</x:v>
      </x:c>
      <x:c r="B4023" t="n">
        <x:v>28</x:v>
      </x:c>
      <x:c r="C4023" t="str">
        <x:v>Female</x:v>
      </x:c>
      <x:c r="D4023" t="str">
        <x:v>Beauty</x:v>
      </x:c>
      <x:c r="E4023" t="str">
        <x:v>Skincare Kit</x:v>
      </x:c>
      <x:c r="F4023" s="24" t="n">
        <x:v>132.91</x:v>
      </x:c>
      <x:c r="G4023" t="str">
        <x:v>Spring</x:v>
      </x:c>
      <x:c r="H4023" t="str">
        <x:v>Card</x:v>
      </x:c>
      <x:c r="I4023" t="n">
        <x:v>3.4</x:v>
      </x:c>
      <x:c r="J4023" t="n">
        <x:v>10</x:v>
      </x:c>
      <x:c r="K4023" t="n">
        <x:v>5</x:v>
      </x:c>
      <x:c r="L4023" t="str">
        <x:v>STORE-001</x:v>
      </x:c>
      <x:c r="M4023" s="22" t="n">
        <x:v>45981</x:v>
      </x:c>
      <x:c r="N4023" t="str">
        <x:v>SKU-021</x:v>
      </x:c>
      <x:c r="O4023" t="n">
        <x:v>2</x:v>
      </x:c>
      <x:c r="P4023" s="26" t="n">
        <x:f>F4023/O4023</x:f>
        <x:v>66.455</x:v>
      </x:c>
    </x:row>
    <x:row r="4024">
      <x:c r="A4024" t="n">
        <x:v>4023</x:v>
      </x:c>
      <x:c r="B4024" t="n">
        <x:v>54</x:v>
      </x:c>
      <x:c r="C4024" t="str">
        <x:v>Female</x:v>
      </x:c>
      <x:c r="D4024" t="str">
        <x:v>Womens Clothing</x:v>
      </x:c>
      <x:c r="E4024" t="str">
        <x:v>Jeans</x:v>
      </x:c>
      <x:c r="F4024" s="24" t="n">
        <x:v>41.9</x:v>
      </x:c>
      <x:c r="G4024" t="str">
        <x:v>Spring</x:v>
      </x:c>
      <x:c r="H4024" t="str">
        <x:v>Cash on Delivery</x:v>
      </x:c>
      <x:c r="I4024" t="n">
        <x:v>3.3</x:v>
      </x:c>
      <x:c r="J4024" t="n">
        <x:v>14</x:v>
      </x:c>
      <x:c r="K4024" t="n">
        <x:v>2</x:v>
      </x:c>
      <x:c r="L4024" t="str">
        <x:v>STORE-001</x:v>
      </x:c>
      <x:c r="M4024" s="22" t="n">
        <x:v>46293</x:v>
      </x:c>
      <x:c r="N4024" t="str">
        <x:v>SKU-011</x:v>
      </x:c>
      <x:c r="O4024" t="n">
        <x:v>1</x:v>
      </x:c>
      <x:c r="P4024" s="26" t="n">
        <x:f>F4024/O4024</x:f>
        <x:v>41.9</x:v>
      </x:c>
    </x:row>
    <x:row r="4025">
      <x:c r="A4025" t="n">
        <x:v>4024</x:v>
      </x:c>
      <x:c r="B4025" t="n">
        <x:v>62</x:v>
      </x:c>
      <x:c r="C4025" t="str">
        <x:v>Male</x:v>
      </x:c>
      <x:c r="D4025" t="str">
        <x:v>Footwear</x:v>
      </x:c>
      <x:c r="E4025" t="str">
        <x:v>Formal Shoes</x:v>
      </x:c>
      <x:c r="F4025" s="24" t="n">
        <x:v>237.74</x:v>
      </x:c>
      <x:c r="G4025" t="str">
        <x:v>Spring</x:v>
      </x:c>
      <x:c r="H4025" t="str">
        <x:v>Card</x:v>
      </x:c>
      <x:c r="I4025" t="n">
        <x:v>3.1</x:v>
      </x:c>
      <x:c r="J4025" t="n">
        <x:v>16</x:v>
      </x:c>
      <x:c r="K4025" t="n">
        <x:v>8</x:v>
      </x:c>
      <x:c r="L4025" t="str">
        <x:v>STORE-001</x:v>
      </x:c>
      <x:c r="M4025" s="22" t="n">
        <x:v>45935</x:v>
      </x:c>
      <x:c r="N4025" t="str">
        <x:v>SKU-007</x:v>
      </x:c>
      <x:c r="O4025" t="n">
        <x:v>1</x:v>
      </x:c>
      <x:c r="P4025" s="26" t="n">
        <x:f>F4025/O4025</x:f>
        <x:v>237.74</x:v>
      </x:c>
    </x:row>
    <x:row r="4026">
      <x:c r="A4026" t="n">
        <x:v>4025</x:v>
      </x:c>
      <x:c r="B4026" t="n">
        <x:v>66</x:v>
      </x:c>
      <x:c r="C4026" t="str">
        <x:v>Female</x:v>
      </x:c>
      <x:c r="D4026" t="str">
        <x:v>Beauty</x:v>
      </x:c>
      <x:c r="E4026" t="str">
        <x:v>Skincare Kit</x:v>
      </x:c>
      <x:c r="F4026" s="24" t="n">
        <x:v>66.59</x:v>
      </x:c>
      <x:c r="G4026" t="str">
        <x:v>Autumn</x:v>
      </x:c>
      <x:c r="H4026" t="str">
        <x:v>Card</x:v>
      </x:c>
      <x:c r="I4026" t="n">
        <x:v>3.4</x:v>
      </x:c>
      <x:c r="J4026" t="n">
        <x:v>22</x:v>
      </x:c>
      <x:c r="K4026" t="n">
        <x:v>6</x:v>
      </x:c>
      <x:c r="L4026" t="str">
        <x:v>STORE-001</x:v>
      </x:c>
      <x:c r="M4026" s="22" t="n">
        <x:v>46089</x:v>
      </x:c>
      <x:c r="N4026" t="str">
        <x:v>SKU-021</x:v>
      </x:c>
      <x:c r="O4026" t="n">
        <x:v>2</x:v>
      </x:c>
      <x:c r="P4026" s="26" t="n">
        <x:f>F4026/O4026</x:f>
        <x:v>33.295</x:v>
      </x:c>
    </x:row>
    <x:row r="4027">
      <x:c r="A4027" t="n">
        <x:v>4026</x:v>
      </x:c>
      <x:c r="B4027" t="n">
        <x:v>35</x:v>
      </x:c>
      <x:c r="C4027" t="str">
        <x:v>Female</x:v>
      </x:c>
      <x:c r="D4027" t="str">
        <x:v>Sports</x:v>
      </x:c>
      <x:c r="E4027" t="str">
        <x:v>Dumbbells</x:v>
      </x:c>
      <x:c r="F4027" s="24" t="n">
        <x:v>127.31</x:v>
      </x:c>
      <x:c r="G4027" t="str">
        <x:v>Autumn</x:v>
      </x:c>
      <x:c r="H4027" t="str">
        <x:v>Card</x:v>
      </x:c>
      <x:c r="I4027" t="n">
        <x:v>3.1</x:v>
      </x:c>
      <x:c r="J4027" t="n">
        <x:v>17</x:v>
      </x:c>
      <x:c r="K4027" t="n">
        <x:v>6</x:v>
      </x:c>
      <x:c r="L4027" t="str">
        <x:v>STORE-001</x:v>
      </x:c>
      <x:c r="M4027" s="22" t="n">
        <x:v>46166</x:v>
      </x:c>
      <x:c r="N4027" t="str">
        <x:v>SKU-005</x:v>
      </x:c>
      <x:c r="O4027" t="n">
        <x:v>1</x:v>
      </x:c>
      <x:c r="P4027" s="26" t="n">
        <x:f>F4027/O4027</x:f>
        <x:v>127.31</x:v>
      </x:c>
    </x:row>
    <x:row r="4028">
      <x:c r="A4028" t="n">
        <x:v>4027</x:v>
      </x:c>
      <x:c r="B4028" t="n">
        <x:v>59</x:v>
      </x:c>
      <x:c r="C4028" t="str">
        <x:v>Female</x:v>
      </x:c>
      <x:c r="D4028" t="str">
        <x:v>Home</x:v>
      </x:c>
      <x:c r="E4028" t="str">
        <x:v>Curtains</x:v>
      </x:c>
      <x:c r="F4028" s="24" t="n">
        <x:v>123.5</x:v>
      </x:c>
      <x:c r="G4028" t="str">
        <x:v>Summer</x:v>
      </x:c>
      <x:c r="H4028" t="str">
        <x:v>Card</x:v>
      </x:c>
      <x:c r="I4028" t="n">
        <x:v>3.3</x:v>
      </x:c>
      <x:c r="J4028" t="n">
        <x:v>22</x:v>
      </x:c>
      <x:c r="K4028" t="n">
        <x:v>11</x:v>
      </x:c>
      <x:c r="L4028" t="str">
        <x:v>STORE-001</x:v>
      </x:c>
      <x:c r="M4028" s="22" t="n">
        <x:v>46034</x:v>
      </x:c>
      <x:c r="N4028" t="str">
        <x:v>SKU-003</x:v>
      </x:c>
      <x:c r="O4028" t="n">
        <x:v>2</x:v>
      </x:c>
      <x:c r="P4028" s="26" t="n">
        <x:f>F4028/O4028</x:f>
        <x:v>61.75</x:v>
      </x:c>
    </x:row>
    <x:row r="4029">
      <x:c r="A4029" t="n">
        <x:v>4028</x:v>
      </x:c>
      <x:c r="B4029" t="n">
        <x:v>65</x:v>
      </x:c>
      <x:c r="C4029" t="str">
        <x:v>Female</x:v>
      </x:c>
      <x:c r="D4029" t="str">
        <x:v>Footwear</x:v>
      </x:c>
      <x:c r="E4029" t="str">
        <x:v>Sandals</x:v>
      </x:c>
      <x:c r="F4029" s="24" t="n">
        <x:v>187.64</x:v>
      </x:c>
      <x:c r="G4029" t="str">
        <x:v>Summer</x:v>
      </x:c>
      <x:c r="H4029" t="str">
        <x:v>Card</x:v>
      </x:c>
      <x:c r="I4029" t="n">
        <x:v>4.1</x:v>
      </x:c>
      <x:c r="J4029" t="n">
        <x:v>26</x:v>
      </x:c>
      <x:c r="K4029" t="n">
        <x:v>8</x:v>
      </x:c>
      <x:c r="L4029" t="str">
        <x:v>STORE-001</x:v>
      </x:c>
      <x:c r="M4029" s="22" t="n">
        <x:v>46028</x:v>
      </x:c>
      <x:c r="N4029" t="str">
        <x:v>SKU-019</x:v>
      </x:c>
      <x:c r="O4029" t="n">
        <x:v>2</x:v>
      </x:c>
      <x:c r="P4029" s="26" t="n">
        <x:f>F4029/O4029</x:f>
        <x:v>93.82</x:v>
      </x:c>
    </x:row>
    <x:row r="4030">
      <x:c r="A4030" t="n">
        <x:v>4029</x:v>
      </x:c>
      <x:c r="B4030" t="n">
        <x:v>33</x:v>
      </x:c>
      <x:c r="C4030" t="str">
        <x:v>Male</x:v>
      </x:c>
      <x:c r="D4030" t="str">
        <x:v>Footwear</x:v>
      </x:c>
      <x:c r="E4030" t="str">
        <x:v>Sneakers</x:v>
      </x:c>
      <x:c r="F4030" s="24" t="n">
        <x:v>156.02</x:v>
      </x:c>
      <x:c r="G4030" t="str">
        <x:v>Spring</x:v>
      </x:c>
      <x:c r="H4030" t="str">
        <x:v>Card</x:v>
      </x:c>
      <x:c r="I4030" t="n">
        <x:v>4.6</x:v>
      </x:c>
      <x:c r="J4030" t="n">
        <x:v>13</x:v>
      </x:c>
      <x:c r="K4030" t="n">
        <x:v>4</x:v>
      </x:c>
      <x:c r="L4030" t="str">
        <x:v>STORE-001</x:v>
      </x:c>
      <x:c r="M4030" s="22" t="n">
        <x:v>46275</x:v>
      </x:c>
      <x:c r="N4030" t="str">
        <x:v>SKU-025</x:v>
      </x:c>
      <x:c r="O4030" t="n">
        <x:v>2</x:v>
      </x:c>
      <x:c r="P4030" s="26" t="n">
        <x:f>F4030/O4030</x:f>
        <x:v>78.01</x:v>
      </x:c>
    </x:row>
    <x:row r="4031">
      <x:c r="A4031" t="n">
        <x:v>4030</x:v>
      </x:c>
      <x:c r="B4031" t="n">
        <x:v>37</x:v>
      </x:c>
      <x:c r="C4031" t="str">
        <x:v>Female</x:v>
      </x:c>
      <x:c r="D4031" t="str">
        <x:v>Beauty</x:v>
      </x:c>
      <x:c r="E4031" t="str">
        <x:v>Perfume</x:v>
      </x:c>
      <x:c r="F4031" s="24" t="n">
        <x:v>21.66</x:v>
      </x:c>
      <x:c r="G4031" t="str">
        <x:v>Winter</x:v>
      </x:c>
      <x:c r="H4031" t="str">
        <x:v>Card</x:v>
      </x:c>
      <x:c r="I4031" t="n">
        <x:v>2.9</x:v>
      </x:c>
      <x:c r="J4031" t="n">
        <x:v>10</x:v>
      </x:c>
      <x:c r="K4031" t="n">
        <x:v>5</x:v>
      </x:c>
      <x:c r="L4031" t="str">
        <x:v>STORE-001</x:v>
      </x:c>
      <x:c r="M4031" s="22" t="n">
        <x:v>46205</x:v>
      </x:c>
      <x:c r="N4031" t="str">
        <x:v>SKU-017</x:v>
      </x:c>
      <x:c r="O4031" t="n">
        <x:v>4</x:v>
      </x:c>
      <x:c r="P4031" s="26" t="n">
        <x:f>F4031/O4031</x:f>
        <x:v>5.415</x:v>
      </x:c>
    </x:row>
    <x:row r="4032">
      <x:c r="A4032" t="n">
        <x:v>4031</x:v>
      </x:c>
      <x:c r="B4032" t="n">
        <x:v>66</x:v>
      </x:c>
      <x:c r="C4032" t="str">
        <x:v>Female</x:v>
      </x:c>
      <x:c r="D4032" t="str">
        <x:v>Accessories</x:v>
      </x:c>
      <x:c r="E4032" t="str">
        <x:v>Sunglasses</x:v>
      </x:c>
      <x:c r="F4032" s="24" t="n">
        <x:v>155.3</x:v>
      </x:c>
      <x:c r="G4032" t="str">
        <x:v>Autumn</x:v>
      </x:c>
      <x:c r="H4032" t="str">
        <x:v>Card</x:v>
      </x:c>
      <x:c r="I4032" t="n">
        <x:v>2.8</x:v>
      </x:c>
      <x:c r="J4032" t="n">
        <x:v>10</x:v>
      </x:c>
      <x:c r="K4032" t="n">
        <x:v>5</x:v>
      </x:c>
      <x:c r="L4032" t="str">
        <x:v>STORE-001</x:v>
      </x:c>
      <x:c r="M4032" s="22" t="n">
        <x:v>46103</x:v>
      </x:c>
      <x:c r="N4032" t="str">
        <x:v>SKU-026</x:v>
      </x:c>
      <x:c r="O4032" t="n">
        <x:v>1</x:v>
      </x:c>
      <x:c r="P4032" s="26" t="n">
        <x:f>F4032/O4032</x:f>
        <x:v>155.3</x:v>
      </x:c>
    </x:row>
    <x:row r="4033">
      <x:c r="A4033" t="n">
        <x:v>4032</x:v>
      </x:c>
      <x:c r="B4033" t="n">
        <x:v>62</x:v>
      </x:c>
      <x:c r="C4033" t="str">
        <x:v>Female</x:v>
      </x:c>
      <x:c r="D4033" t="str">
        <x:v>Footwear</x:v>
      </x:c>
      <x:c r="E4033" t="str">
        <x:v>Sneakers</x:v>
      </x:c>
      <x:c r="F4033" s="24" t="n">
        <x:v>112.89</x:v>
      </x:c>
      <x:c r="G4033" t="str">
        <x:v>Spring</x:v>
      </x:c>
      <x:c r="H4033" t="str">
        <x:v>Card</x:v>
      </x:c>
      <x:c r="I4033" t="n">
        <x:v>3.8</x:v>
      </x:c>
      <x:c r="J4033" t="n">
        <x:v>20</x:v>
      </x:c>
      <x:c r="K4033" t="n">
        <x:v>10</x:v>
      </x:c>
      <x:c r="L4033" t="str">
        <x:v>STORE-001</x:v>
      </x:c>
      <x:c r="M4033" s="22" t="n">
        <x:v>45986</x:v>
      </x:c>
      <x:c r="N4033" t="str">
        <x:v>SKU-025</x:v>
      </x:c>
      <x:c r="O4033" t="n">
        <x:v>2</x:v>
      </x:c>
      <x:c r="P4033" s="26" t="n">
        <x:f>F4033/O4033</x:f>
        <x:v>56.445</x:v>
      </x:c>
    </x:row>
    <x:row r="4034">
      <x:c r="A4034" t="n">
        <x:v>4033</x:v>
      </x:c>
      <x:c r="B4034" t="n">
        <x:v>22</x:v>
      </x:c>
      <x:c r="C4034" t="str">
        <x:v>Female</x:v>
      </x:c>
      <x:c r="D4034" t="str">
        <x:v>Accessories</x:v>
      </x:c>
      <x:c r="E4034" t="str">
        <x:v>Handbag</x:v>
      </x:c>
      <x:c r="F4034" s="24" t="n">
        <x:v>66.64</x:v>
      </x:c>
      <x:c r="G4034" t="str">
        <x:v>Winter</x:v>
      </x:c>
      <x:c r="H4034" t="str">
        <x:v>Cash on Delivery</x:v>
      </x:c>
      <x:c r="I4034" t="n">
        <x:v>3</x:v>
      </x:c>
      <x:c r="J4034" t="n">
        <x:v>15</x:v>
      </x:c>
      <x:c r="K4034" t="n">
        <x:v>5</x:v>
      </x:c>
      <x:c r="L4034" t="str">
        <x:v>STORE-001</x:v>
      </x:c>
      <x:c r="M4034" s="22" t="n">
        <x:v>46191</x:v>
      </x:c>
      <x:c r="N4034" t="str">
        <x:v>SKU-008</x:v>
      </x:c>
      <x:c r="O4034" t="n">
        <x:v>1</x:v>
      </x:c>
      <x:c r="P4034" s="26" t="n">
        <x:f>F4034/O4034</x:f>
        <x:v>66.64</x:v>
      </x:c>
    </x:row>
    <x:row r="4035">
      <x:c r="A4035" t="n">
        <x:v>4034</x:v>
      </x:c>
      <x:c r="B4035" t="n">
        <x:v>29</x:v>
      </x:c>
      <x:c r="C4035" t="str">
        <x:v>Male</x:v>
      </x:c>
      <x:c r="D4035" t="str">
        <x:v>Footwear</x:v>
      </x:c>
      <x:c r="E4035" t="str">
        <x:v>Sandals</x:v>
      </x:c>
      <x:c r="F4035" s="24" t="n">
        <x:v>139.43</x:v>
      </x:c>
      <x:c r="G4035" t="str">
        <x:v>Spring</x:v>
      </x:c>
      <x:c r="H4035" t="str">
        <x:v>Card</x:v>
      </x:c>
      <x:c r="I4035" t="n">
        <x:v>3.3</x:v>
      </x:c>
      <x:c r="J4035" t="n">
        <x:v>13</x:v>
      </x:c>
      <x:c r="K4035" t="n">
        <x:v>4</x:v>
      </x:c>
      <x:c r="L4035" t="str">
        <x:v>STORE-001</x:v>
      </x:c>
      <x:c r="M4035" s="22" t="n">
        <x:v>46267</x:v>
      </x:c>
      <x:c r="N4035" t="str">
        <x:v>SKU-019</x:v>
      </x:c>
      <x:c r="O4035" t="n">
        <x:v>1</x:v>
      </x:c>
      <x:c r="P4035" s="26" t="n">
        <x:f>F4035/O4035</x:f>
        <x:v>139.43</x:v>
      </x:c>
    </x:row>
    <x:row r="4036">
      <x:c r="A4036" t="n">
        <x:v>4035</x:v>
      </x:c>
      <x:c r="B4036" t="n">
        <x:v>52</x:v>
      </x:c>
      <x:c r="C4036" t="str">
        <x:v>Female</x:v>
      </x:c>
      <x:c r="D4036" t="str">
        <x:v>Beauty</x:v>
      </x:c>
      <x:c r="E4036" t="str">
        <x:v>Skincare Kit</x:v>
      </x:c>
      <x:c r="F4036" s="24" t="n">
        <x:v>106.44</x:v>
      </x:c>
      <x:c r="G4036" t="str">
        <x:v>Summer</x:v>
      </x:c>
      <x:c r="H4036" t="str">
        <x:v>Card</x:v>
      </x:c>
      <x:c r="I4036" t="n">
        <x:v>4.5</x:v>
      </x:c>
      <x:c r="J4036" t="n">
        <x:v>18</x:v>
      </x:c>
      <x:c r="K4036" t="n">
        <x:v>4</x:v>
      </x:c>
      <x:c r="L4036" t="str">
        <x:v>STORE-001</x:v>
      </x:c>
      <x:c r="M4036" s="22" t="n">
        <x:v>46011</x:v>
      </x:c>
      <x:c r="N4036" t="str">
        <x:v>SKU-021</x:v>
      </x:c>
      <x:c r="O4036" t="n">
        <x:v>2</x:v>
      </x:c>
      <x:c r="P4036" s="26" t="n">
        <x:f>F4036/O4036</x:f>
        <x:v>53.22</x:v>
      </x:c>
    </x:row>
    <x:row r="4037">
      <x:c r="A4037" t="n">
        <x:v>4036</x:v>
      </x:c>
      <x:c r="B4037" t="n">
        <x:v>47</x:v>
      </x:c>
      <x:c r="C4037" t="str">
        <x:v>Female</x:v>
      </x:c>
      <x:c r="D4037" t="str">
        <x:v>Womens Clothing</x:v>
      </x:c>
      <x:c r="E4037" t="str">
        <x:v>Top</x:v>
      </x:c>
      <x:c r="F4037" s="24" t="n">
        <x:v>79.71</x:v>
      </x:c>
      <x:c r="G4037" t="str">
        <x:v>Autumn</x:v>
      </x:c>
      <x:c r="H4037" t="str">
        <x:v>Cash on Delivery</x:v>
      </x:c>
      <x:c r="I4037" t="n">
        <x:v>3.3</x:v>
      </x:c>
      <x:c r="J4037" t="n">
        <x:v>6</x:v>
      </x:c>
      <x:c r="K4037" t="n">
        <x:v>3</x:v>
      </x:c>
      <x:c r="L4037" t="str">
        <x:v>STORE-001</x:v>
      </x:c>
      <x:c r="M4037" s="22" t="n">
        <x:v>46108</x:v>
      </x:c>
      <x:c r="N4037" t="str">
        <x:v>SKU-028</x:v>
      </x:c>
      <x:c r="O4037" t="n">
        <x:v>2</x:v>
      </x:c>
      <x:c r="P4037" s="26" t="n">
        <x:f>F4037/O4037</x:f>
        <x:v>39.855</x:v>
      </x:c>
    </x:row>
    <x:row r="4038">
      <x:c r="A4038" t="n">
        <x:v>4037</x:v>
      </x:c>
      <x:c r="B4038" t="n">
        <x:v>67</x:v>
      </x:c>
      <x:c r="C4038" t="str">
        <x:v>Male</x:v>
      </x:c>
      <x:c r="D4038" t="str">
        <x:v>Mens Clothing</x:v>
      </x:c>
      <x:c r="E4038" t="str">
        <x:v>T-Shirt</x:v>
      </x:c>
      <x:c r="F4038" s="24" t="n">
        <x:v>188.64</x:v>
      </x:c>
      <x:c r="G4038" t="str">
        <x:v>Winter</x:v>
      </x:c>
      <x:c r="H4038" t="str">
        <x:v>Card</x:v>
      </x:c>
      <x:c r="I4038" t="n">
        <x:v>4.5</x:v>
      </x:c>
      <x:c r="J4038" t="n">
        <x:v>20</x:v>
      </x:c>
      <x:c r="K4038" t="n">
        <x:v>5</x:v>
      </x:c>
      <x:c r="L4038" t="str">
        <x:v>STORE-001</x:v>
      </x:c>
      <x:c r="M4038" s="22" t="n">
        <x:v>46214</x:v>
      </x:c>
      <x:c r="N4038" t="str">
        <x:v>SKU-027</x:v>
      </x:c>
      <x:c r="O4038" t="n">
        <x:v>1</x:v>
      </x:c>
      <x:c r="P4038" s="26" t="n">
        <x:f>F4038/O4038</x:f>
        <x:v>188.64</x:v>
      </x:c>
    </x:row>
    <x:row r="4039">
      <x:c r="A4039" t="n">
        <x:v>4038</x:v>
      </x:c>
      <x:c r="B4039" t="n">
        <x:v>34</x:v>
      </x:c>
      <x:c r="C4039" t="str">
        <x:v>Male</x:v>
      </x:c>
      <x:c r="D4039" t="str">
        <x:v>Home</x:v>
      </x:c>
      <x:c r="E4039" t="str">
        <x:v>Kitchen Set</x:v>
      </x:c>
      <x:c r="F4039" s="24" t="n">
        <x:v>136.71</x:v>
      </x:c>
      <x:c r="G4039" t="str">
        <x:v>Winter</x:v>
      </x:c>
      <x:c r="H4039" t="str">
        <x:v>Card</x:v>
      </x:c>
      <x:c r="I4039" t="n">
        <x:v>4</x:v>
      </x:c>
      <x:c r="J4039" t="n">
        <x:v>14</x:v>
      </x:c>
      <x:c r="K4039" t="n">
        <x:v>7</x:v>
      </x:c>
      <x:c r="L4039" t="str">
        <x:v>STORE-001</x:v>
      </x:c>
      <x:c r="M4039" s="22" t="n">
        <x:v>46238</x:v>
      </x:c>
      <x:c r="N4039" t="str">
        <x:v>SKU-012</x:v>
      </x:c>
      <x:c r="O4039" t="n">
        <x:v>2</x:v>
      </x:c>
      <x:c r="P4039" s="26" t="n">
        <x:f>F4039/O4039</x:f>
        <x:v>68.355</x:v>
      </x:c>
    </x:row>
    <x:row r="4040">
      <x:c r="A4040" t="n">
        <x:v>4039</x:v>
      </x:c>
      <x:c r="B4040" t="n">
        <x:v>42</x:v>
      </x:c>
      <x:c r="C4040" t="str">
        <x:v>Female</x:v>
      </x:c>
      <x:c r="D4040" t="str">
        <x:v>Footwear</x:v>
      </x:c>
      <x:c r="E4040" t="str">
        <x:v>Formal Shoes</x:v>
      </x:c>
      <x:c r="F4040" s="24" t="n">
        <x:v>211.73</x:v>
      </x:c>
      <x:c r="G4040" t="str">
        <x:v>Winter</x:v>
      </x:c>
      <x:c r="H4040" t="str">
        <x:v>Card</x:v>
      </x:c>
      <x:c r="I4040" t="n">
        <x:v>4.6</x:v>
      </x:c>
      <x:c r="J4040" t="n">
        <x:v>17</x:v>
      </x:c>
      <x:c r="K4040" t="n">
        <x:v>6</x:v>
      </x:c>
      <x:c r="L4040" t="str">
        <x:v>STORE-001</x:v>
      </x:c>
      <x:c r="M4040" s="22" t="n">
        <x:v>46229</x:v>
      </x:c>
      <x:c r="N4040" t="str">
        <x:v>SKU-007</x:v>
      </x:c>
      <x:c r="O4040" t="n">
        <x:v>1</x:v>
      </x:c>
      <x:c r="P4040" s="26" t="n">
        <x:f>F4040/O4040</x:f>
        <x:v>211.73</x:v>
      </x:c>
    </x:row>
    <x:row r="4041">
      <x:c r="A4041" t="n">
        <x:v>4040</x:v>
      </x:c>
      <x:c r="B4041" t="n">
        <x:v>51</x:v>
      </x:c>
      <x:c r="C4041" t="str">
        <x:v>Female</x:v>
      </x:c>
      <x:c r="D4041" t="str">
        <x:v>Beauty</x:v>
      </x:c>
      <x:c r="E4041" t="str">
        <x:v>Skincare Kit</x:v>
      </x:c>
      <x:c r="F4041" s="24" t="n">
        <x:v>86.9</x:v>
      </x:c>
      <x:c r="G4041" t="str">
        <x:v>Summer</x:v>
      </x:c>
      <x:c r="H4041" t="str">
        <x:v>Card</x:v>
      </x:c>
      <x:c r="I4041" t="n">
        <x:v>4</x:v>
      </x:c>
      <x:c r="J4041" t="n">
        <x:v>16</x:v>
      </x:c>
      <x:c r="K4041" t="n">
        <x:v>8</x:v>
      </x:c>
      <x:c r="L4041" t="str">
        <x:v>STORE-001</x:v>
      </x:c>
      <x:c r="M4041" s="22" t="n">
        <x:v>46057</x:v>
      </x:c>
      <x:c r="N4041" t="str">
        <x:v>SKU-021</x:v>
      </x:c>
      <x:c r="O4041" t="n">
        <x:v>2</x:v>
      </x:c>
      <x:c r="P4041" s="26" t="n">
        <x:f>F4041/O4041</x:f>
        <x:v>43.45</x:v>
      </x:c>
    </x:row>
    <x:row r="4042">
      <x:c r="A4042" t="n">
        <x:v>4041</x:v>
      </x:c>
      <x:c r="B4042" t="n">
        <x:v>51</x:v>
      </x:c>
      <x:c r="C4042" t="str">
        <x:v>Female</x:v>
      </x:c>
      <x:c r="D4042" t="str">
        <x:v>Footwear</x:v>
      </x:c>
      <x:c r="E4042" t="str">
        <x:v>Sneakers</x:v>
      </x:c>
      <x:c r="F4042" s="24" t="n">
        <x:v>80.32</x:v>
      </x:c>
      <x:c r="G4042" t="str">
        <x:v>Summer</x:v>
      </x:c>
      <x:c r="H4042" t="str">
        <x:v>Cash on Delivery</x:v>
      </x:c>
      <x:c r="I4042" t="n">
        <x:v>4</x:v>
      </x:c>
      <x:c r="J4042" t="n">
        <x:v>25</x:v>
      </x:c>
      <x:c r="K4042" t="n">
        <x:v>10</x:v>
      </x:c>
      <x:c r="L4042" t="str">
        <x:v>STORE-001</x:v>
      </x:c>
      <x:c r="M4042" s="22" t="n">
        <x:v>46010</x:v>
      </x:c>
      <x:c r="N4042" t="str">
        <x:v>SKU-025</x:v>
      </x:c>
      <x:c r="O4042" t="n">
        <x:v>1</x:v>
      </x:c>
      <x:c r="P4042" s="26" t="n">
        <x:f>F4042/O4042</x:f>
        <x:v>80.32</x:v>
      </x:c>
    </x:row>
    <x:row r="4043">
      <x:c r="A4043" t="n">
        <x:v>4042</x:v>
      </x:c>
      <x:c r="B4043" t="n">
        <x:v>50</x:v>
      </x:c>
      <x:c r="C4043" t="str">
        <x:v>Female</x:v>
      </x:c>
      <x:c r="D4043" t="str">
        <x:v>Womens Clothing</x:v>
      </x:c>
      <x:c r="E4043" t="str">
        <x:v>Dress</x:v>
      </x:c>
      <x:c r="F4043" s="24" t="n">
        <x:v>110.41</x:v>
      </x:c>
      <x:c r="G4043" t="str">
        <x:v>Winter</x:v>
      </x:c>
      <x:c r="H4043" t="str">
        <x:v>Card</x:v>
      </x:c>
      <x:c r="I4043" t="n">
        <x:v>3</x:v>
      </x:c>
      <x:c r="J4043" t="n">
        <x:v>17</x:v>
      </x:c>
      <x:c r="K4043" t="n">
        <x:v>6</x:v>
      </x:c>
      <x:c r="L4043" t="str">
        <x:v>STORE-001</x:v>
      </x:c>
      <x:c r="M4043" s="22" t="n">
        <x:v>46202</x:v>
      </x:c>
      <x:c r="N4043" t="str">
        <x:v>SKU-004</x:v>
      </x:c>
      <x:c r="O4043" t="n">
        <x:v>1</x:v>
      </x:c>
      <x:c r="P4043" s="26" t="n">
        <x:f>F4043/O4043</x:f>
        <x:v>110.41</x:v>
      </x:c>
    </x:row>
    <x:row r="4044">
      <x:c r="A4044" t="n">
        <x:v>4043</x:v>
      </x:c>
      <x:c r="B4044" t="n">
        <x:v>62</x:v>
      </x:c>
      <x:c r="C4044" t="str">
        <x:v>Female</x:v>
      </x:c>
      <x:c r="D4044" t="str">
        <x:v>Accessories</x:v>
      </x:c>
      <x:c r="E4044" t="str">
        <x:v>Wallet</x:v>
      </x:c>
      <x:c r="F4044" s="24" t="n">
        <x:v>173.41</x:v>
      </x:c>
      <x:c r="G4044" t="str">
        <x:v>Winter</x:v>
      </x:c>
      <x:c r="H4044" t="str">
        <x:v>Card</x:v>
      </x:c>
      <x:c r="I4044" t="n">
        <x:v>3.9</x:v>
      </x:c>
      <x:c r="J4044" t="n">
        <x:v>13</x:v>
      </x:c>
      <x:c r="K4044" t="n">
        <x:v>4</x:v>
      </x:c>
      <x:c r="L4044" t="str">
        <x:v>STORE-001</x:v>
      </x:c>
      <x:c r="M4044" s="22" t="n">
        <x:v>46200</x:v>
      </x:c>
      <x:c r="N4044" t="str">
        <x:v>SKU-029</x:v>
      </x:c>
      <x:c r="O4044" t="n">
        <x:v>1</x:v>
      </x:c>
      <x:c r="P4044" s="26" t="n">
        <x:f>F4044/O4044</x:f>
        <x:v>173.41</x:v>
      </x:c>
    </x:row>
    <x:row r="4045">
      <x:c r="A4045" t="n">
        <x:v>4044</x:v>
      </x:c>
      <x:c r="B4045" t="n">
        <x:v>41</x:v>
      </x:c>
      <x:c r="C4045" t="str">
        <x:v>Male</x:v>
      </x:c>
      <x:c r="D4045" t="str">
        <x:v>Footwear</x:v>
      </x:c>
      <x:c r="E4045" t="str">
        <x:v>Formal Shoes</x:v>
      </x:c>
      <x:c r="F4045" s="24" t="n">
        <x:v>227.74</x:v>
      </x:c>
      <x:c r="G4045" t="str">
        <x:v>Winter</x:v>
      </x:c>
      <x:c r="H4045" t="str">
        <x:v>Card</x:v>
      </x:c>
      <x:c r="I4045" t="n">
        <x:v>3.6</x:v>
      </x:c>
      <x:c r="J4045" t="n">
        <x:v>8</x:v>
      </x:c>
      <x:c r="K4045" t="n">
        <x:v>4</x:v>
      </x:c>
      <x:c r="L4045" t="str">
        <x:v>STORE-001</x:v>
      </x:c>
      <x:c r="M4045" s="22" t="n">
        <x:v>46176</x:v>
      </x:c>
      <x:c r="N4045" t="str">
        <x:v>SKU-007</x:v>
      </x:c>
      <x:c r="O4045" t="n">
        <x:v>2</x:v>
      </x:c>
      <x:c r="P4045" s="26" t="n">
        <x:f>F4045/O4045</x:f>
        <x:v>113.87</x:v>
      </x:c>
    </x:row>
    <x:row r="4046">
      <x:c r="A4046" t="n">
        <x:v>4045</x:v>
      </x:c>
      <x:c r="B4046" t="n">
        <x:v>59</x:v>
      </x:c>
      <x:c r="C4046" t="str">
        <x:v>Male</x:v>
      </x:c>
      <x:c r="D4046" t="str">
        <x:v>Sports</x:v>
      </x:c>
      <x:c r="E4046" t="str">
        <x:v>Yoga Mat</x:v>
      </x:c>
      <x:c r="F4046" s="24" t="n">
        <x:v>63.64</x:v>
      </x:c>
      <x:c r="G4046" t="str">
        <x:v>Winter</x:v>
      </x:c>
      <x:c r="H4046" t="str">
        <x:v>Cash on Delivery</x:v>
      </x:c>
      <x:c r="I4046" t="n">
        <x:v>3.9</x:v>
      </x:c>
      <x:c r="J4046" t="n">
        <x:v>22</x:v>
      </x:c>
      <x:c r="K4046" t="n">
        <x:v>6</x:v>
      </x:c>
      <x:c r="L4046" t="str">
        <x:v>STORE-001</x:v>
      </x:c>
      <x:c r="M4046" s="22" t="n">
        <x:v>46199</x:v>
      </x:c>
      <x:c r="N4046" t="str">
        <x:v>SKU-030</x:v>
      </x:c>
      <x:c r="O4046" t="n">
        <x:v>2</x:v>
      </x:c>
      <x:c r="P4046" s="26" t="n">
        <x:f>F4046/O4046</x:f>
        <x:v>31.82</x:v>
      </x:c>
    </x:row>
    <x:row r="4047">
      <x:c r="A4047" t="n">
        <x:v>4046</x:v>
      </x:c>
      <x:c r="B4047" t="n">
        <x:v>39</x:v>
      </x:c>
      <x:c r="C4047" t="str">
        <x:v>Male</x:v>
      </x:c>
      <x:c r="D4047" t="str">
        <x:v>Electronics</x:v>
      </x:c>
      <x:c r="E4047" t="str">
        <x:v>Headphones</x:v>
      </x:c>
      <x:c r="F4047" s="24" t="n">
        <x:v>2936.44</x:v>
      </x:c>
      <x:c r="G4047" t="str">
        <x:v>Spring</x:v>
      </x:c>
      <x:c r="H4047" t="str">
        <x:v>Card</x:v>
      </x:c>
      <x:c r="I4047" t="n">
        <x:v>4.3</x:v>
      </x:c>
      <x:c r="J4047" t="n">
        <x:v>9</x:v>
      </x:c>
      <x:c r="K4047" t="n">
        <x:v>2</x:v>
      </x:c>
      <x:c r="L4047" t="str">
        <x:v>STORE-001</x:v>
      </x:c>
      <x:c r="M4047" s="22" t="n">
        <x:v>45963</x:v>
      </x:c>
      <x:c r="N4047" t="str">
        <x:v>SKU-009</x:v>
      </x:c>
      <x:c r="O4047" t="n">
        <x:v>1</x:v>
      </x:c>
      <x:c r="P4047" s="26" t="n">
        <x:f>F4047/O4047</x:f>
        <x:v>2936.44</x:v>
      </x:c>
    </x:row>
    <x:row r="4048">
      <x:c r="A4048" t="n">
        <x:v>4047</x:v>
      </x:c>
      <x:c r="B4048" t="n">
        <x:v>48</x:v>
      </x:c>
      <x:c r="C4048" t="str">
        <x:v>Female</x:v>
      </x:c>
      <x:c r="D4048" t="str">
        <x:v>Womens Clothing</x:v>
      </x:c>
      <x:c r="E4048" t="str">
        <x:v>Dress</x:v>
      </x:c>
      <x:c r="F4048" s="24" t="n">
        <x:v>85.77</x:v>
      </x:c>
      <x:c r="G4048" t="str">
        <x:v>Autumn</x:v>
      </x:c>
      <x:c r="H4048" t="str">
        <x:v>Cash on Delivery</x:v>
      </x:c>
      <x:c r="I4048" t="n">
        <x:v>4.2</x:v>
      </x:c>
      <x:c r="J4048" t="n">
        <x:v>15</x:v>
      </x:c>
      <x:c r="K4048" t="n">
        <x:v>5</x:v>
      </x:c>
      <x:c r="L4048" t="str">
        <x:v>STORE-001</x:v>
      </x:c>
      <x:c r="M4048" s="22" t="n">
        <x:v>46149</x:v>
      </x:c>
      <x:c r="N4048" t="str">
        <x:v>SKU-004</x:v>
      </x:c>
      <x:c r="O4048" t="n">
        <x:v>2</x:v>
      </x:c>
      <x:c r="P4048" s="26" t="n">
        <x:f>F4048/O4048</x:f>
        <x:v>42.885</x:v>
      </x:c>
    </x:row>
    <x:row r="4049">
      <x:c r="A4049" t="n">
        <x:v>4048</x:v>
      </x:c>
      <x:c r="B4049" t="n">
        <x:v>42</x:v>
      </x:c>
      <x:c r="C4049" t="str">
        <x:v>Female</x:v>
      </x:c>
      <x:c r="D4049" t="str">
        <x:v>Womens Clothing</x:v>
      </x:c>
      <x:c r="E4049" t="str">
        <x:v>Jeans</x:v>
      </x:c>
      <x:c r="F4049" s="24" t="n">
        <x:v>149.1</x:v>
      </x:c>
      <x:c r="G4049" t="str">
        <x:v>Winter</x:v>
      </x:c>
      <x:c r="H4049" t="str">
        <x:v>Card</x:v>
      </x:c>
      <x:c r="I4049" t="n">
        <x:v>4.6</x:v>
      </x:c>
      <x:c r="J4049" t="n">
        <x:v>32</x:v>
      </x:c>
      <x:c r="K4049" t="n">
        <x:v>11</x:v>
      </x:c>
      <x:c r="L4049" t="str">
        <x:v>STORE-001</x:v>
      </x:c>
      <x:c r="M4049" s="22" t="n">
        <x:v>46223</x:v>
      </x:c>
      <x:c r="N4049" t="str">
        <x:v>SKU-011</x:v>
      </x:c>
      <x:c r="O4049" t="n">
        <x:v>1</x:v>
      </x:c>
      <x:c r="P4049" s="26" t="n">
        <x:f>F4049/O4049</x:f>
        <x:v>149.1</x:v>
      </x:c>
    </x:row>
    <x:row r="4050">
      <x:c r="A4050" t="n">
        <x:v>4049</x:v>
      </x:c>
      <x:c r="B4050" t="n">
        <x:v>54</x:v>
      </x:c>
      <x:c r="C4050" t="str">
        <x:v>Male</x:v>
      </x:c>
      <x:c r="D4050" t="str">
        <x:v>Sports</x:v>
      </x:c>
      <x:c r="E4050" t="str">
        <x:v>Football</x:v>
      </x:c>
      <x:c r="F4050" s="24" t="n">
        <x:v>231.13</x:v>
      </x:c>
      <x:c r="G4050" t="str">
        <x:v>Summer</x:v>
      </x:c>
      <x:c r="H4050" t="str">
        <x:v>Card</x:v>
      </x:c>
      <x:c r="I4050" t="n">
        <x:v>4.6</x:v>
      </x:c>
      <x:c r="J4050" t="n">
        <x:v>21</x:v>
      </x:c>
      <x:c r="K4050" t="n">
        <x:v>8</x:v>
      </x:c>
      <x:c r="L4050" t="str">
        <x:v>STORE-001</x:v>
      </x:c>
      <x:c r="M4050" s="22" t="n">
        <x:v>46073</x:v>
      </x:c>
      <x:c r="N4050" t="str">
        <x:v>SKU-006</x:v>
      </x:c>
      <x:c r="O4050" t="n">
        <x:v>1</x:v>
      </x:c>
      <x:c r="P4050" s="26" t="n">
        <x:f>F4050/O4050</x:f>
        <x:v>231.13</x:v>
      </x:c>
    </x:row>
    <x:row r="4051">
      <x:c r="A4051" t="n">
        <x:v>4050</x:v>
      </x:c>
      <x:c r="B4051" t="n">
        <x:v>36</x:v>
      </x:c>
      <x:c r="C4051" t="str">
        <x:v>Male</x:v>
      </x:c>
      <x:c r="D4051" t="str">
        <x:v>Sports</x:v>
      </x:c>
      <x:c r="E4051" t="str">
        <x:v>Yoga Mat</x:v>
      </x:c>
      <x:c r="F4051" s="24" t="n">
        <x:v>193.53</x:v>
      </x:c>
      <x:c r="G4051" t="str">
        <x:v>Autumn</x:v>
      </x:c>
      <x:c r="H4051" t="str">
        <x:v>Card</x:v>
      </x:c>
      <x:c r="I4051" t="n">
        <x:v>2.2</x:v>
      </x:c>
      <x:c r="J4051" t="n">
        <x:v>10</x:v>
      </x:c>
      <x:c r="K4051" t="n">
        <x:v>5</x:v>
      </x:c>
      <x:c r="L4051" t="str">
        <x:v>STORE-001</x:v>
      </x:c>
      <x:c r="M4051" s="22" t="n">
        <x:v>46132</x:v>
      </x:c>
      <x:c r="N4051" t="str">
        <x:v>SKU-030</x:v>
      </x:c>
      <x:c r="O4051" t="n">
        <x:v>1</x:v>
      </x:c>
      <x:c r="P4051" s="26" t="n">
        <x:f>F4051/O4051</x:f>
        <x:v>193.53</x:v>
      </x:c>
    </x:row>
    <x:row r="4052">
      <x:c r="A4052" t="n">
        <x:v>4051</x:v>
      </x:c>
      <x:c r="B4052" t="n">
        <x:v>30</x:v>
      </x:c>
      <x:c r="C4052" t="str">
        <x:v>Male</x:v>
      </x:c>
      <x:c r="D4052" t="str">
        <x:v>Mens Clothing</x:v>
      </x:c>
      <x:c r="E4052" t="str">
        <x:v>Jeans</x:v>
      </x:c>
      <x:c r="F4052" s="24" t="n">
        <x:v>47.15</x:v>
      </x:c>
      <x:c r="G4052" t="str">
        <x:v>Autumn</x:v>
      </x:c>
      <x:c r="H4052" t="str">
        <x:v>Cash on Delivery</x:v>
      </x:c>
      <x:c r="I4052" t="n">
        <x:v>4.9</x:v>
      </x:c>
      <x:c r="J4052" t="n">
        <x:v>24</x:v>
      </x:c>
      <x:c r="K4052" t="n">
        <x:v>7</x:v>
      </x:c>
      <x:c r="L4052" t="str">
        <x:v>STORE-001</x:v>
      </x:c>
      <x:c r="M4052" s="22" t="n">
        <x:v>46140</x:v>
      </x:c>
      <x:c r="N4052" t="str">
        <x:v>SKU-011</x:v>
      </x:c>
      <x:c r="O4052" t="n">
        <x:v>1</x:v>
      </x:c>
      <x:c r="P4052" s="26" t="n">
        <x:f>F4052/O4052</x:f>
        <x:v>47.15</x:v>
      </x:c>
    </x:row>
    <x:row r="4053">
      <x:c r="A4053" t="n">
        <x:v>4052</x:v>
      </x:c>
      <x:c r="B4053" t="n">
        <x:v>38</x:v>
      </x:c>
      <x:c r="C4053" t="str">
        <x:v>Male</x:v>
      </x:c>
      <x:c r="D4053" t="str">
        <x:v>Electronics</x:v>
      </x:c>
      <x:c r="E4053" t="str">
        <x:v>Laptop</x:v>
      </x:c>
      <x:c r="F4053" s="24" t="n">
        <x:v>824.08</x:v>
      </x:c>
      <x:c r="G4053" t="str">
        <x:v>Spring</x:v>
      </x:c>
      <x:c r="H4053" t="str">
        <x:v>Card</x:v>
      </x:c>
      <x:c r="I4053" t="n">
        <x:v>4.9</x:v>
      </x:c>
      <x:c r="J4053" t="n">
        <x:v>12</x:v>
      </x:c>
      <x:c r="K4053" t="n">
        <x:v>6</x:v>
      </x:c>
      <x:c r="L4053" t="str">
        <x:v>STORE-001</x:v>
      </x:c>
      <x:c r="M4053" s="22" t="n">
        <x:v>46280</x:v>
      </x:c>
      <x:c r="N4053" t="str">
        <x:v>SKU-014</x:v>
      </x:c>
      <x:c r="O4053" t="n">
        <x:v>1</x:v>
      </x:c>
      <x:c r="P4053" s="26" t="n">
        <x:f>F4053/O4053</x:f>
        <x:v>824.08</x:v>
      </x:c>
    </x:row>
    <x:row r="4054">
      <x:c r="A4054" t="n">
        <x:v>4053</x:v>
      </x:c>
      <x:c r="B4054" t="n">
        <x:v>47</x:v>
      </x:c>
      <x:c r="C4054" t="str">
        <x:v>Female</x:v>
      </x:c>
      <x:c r="D4054" t="str">
        <x:v>Womens Clothing</x:v>
      </x:c>
      <x:c r="E4054" t="str">
        <x:v>Top</x:v>
      </x:c>
      <x:c r="F4054" s="24" t="n">
        <x:v>86.68</x:v>
      </x:c>
      <x:c r="G4054" t="str">
        <x:v>Autumn</x:v>
      </x:c>
      <x:c r="H4054" t="str">
        <x:v>Card</x:v>
      </x:c>
      <x:c r="I4054" t="n">
        <x:v>4.9</x:v>
      </x:c>
      <x:c r="J4054" t="n">
        <x:v>16</x:v>
      </x:c>
      <x:c r="K4054" t="n">
        <x:v>3</x:v>
      </x:c>
      <x:c r="L4054" t="str">
        <x:v>STORE-001</x:v>
      </x:c>
      <x:c r="M4054" s="22" t="n">
        <x:v>46082</x:v>
      </x:c>
      <x:c r="N4054" t="str">
        <x:v>SKU-028</x:v>
      </x:c>
      <x:c r="O4054" t="n">
        <x:v>1</x:v>
      </x:c>
      <x:c r="P4054" s="26" t="n">
        <x:f>F4054/O4054</x:f>
        <x:v>86.68</x:v>
      </x:c>
    </x:row>
    <x:row r="4055">
      <x:c r="A4055" t="n">
        <x:v>4054</x:v>
      </x:c>
      <x:c r="B4055" t="n">
        <x:v>37</x:v>
      </x:c>
      <x:c r="C4055" t="str">
        <x:v>Male</x:v>
      </x:c>
      <x:c r="D4055" t="str">
        <x:v>Sports</x:v>
      </x:c>
      <x:c r="E4055" t="str">
        <x:v>Dumbbells</x:v>
      </x:c>
      <x:c r="F4055" s="24" t="n">
        <x:v>218.43</x:v>
      </x:c>
      <x:c r="G4055" t="str">
        <x:v>Autumn</x:v>
      </x:c>
      <x:c r="H4055" t="str">
        <x:v>Card</x:v>
      </x:c>
      <x:c r="I4055" t="n">
        <x:v>4.1</x:v>
      </x:c>
      <x:c r="J4055" t="n">
        <x:v>20</x:v>
      </x:c>
      <x:c r="K4055" t="n">
        <x:v>5</x:v>
      </x:c>
      <x:c r="L4055" t="str">
        <x:v>STORE-001</x:v>
      </x:c>
      <x:c r="M4055" s="22" t="n">
        <x:v>46098</x:v>
      </x:c>
      <x:c r="N4055" t="str">
        <x:v>SKU-005</x:v>
      </x:c>
      <x:c r="O4055" t="n">
        <x:v>1</x:v>
      </x:c>
      <x:c r="P4055" s="26" t="n">
        <x:f>F4055/O4055</x:f>
        <x:v>218.43</x:v>
      </x:c>
    </x:row>
    <x:row r="4056">
      <x:c r="A4056" t="n">
        <x:v>4055</x:v>
      </x:c>
      <x:c r="B4056" t="n">
        <x:v>68</x:v>
      </x:c>
      <x:c r="C4056" t="str">
        <x:v>Male</x:v>
      </x:c>
      <x:c r="D4056" t="str">
        <x:v>Groceries</x:v>
      </x:c>
      <x:c r="E4056" t="str">
        <x:v>Rice Pack</x:v>
      </x:c>
      <x:c r="F4056" s="24" t="n">
        <x:v>21.72</x:v>
      </x:c>
      <x:c r="G4056" t="str">
        <x:v>Winter</x:v>
      </x:c>
      <x:c r="H4056" t="str">
        <x:v>Cash on Delivery</x:v>
      </x:c>
      <x:c r="I4056" t="n">
        <x:v>3.1</x:v>
      </x:c>
      <x:c r="J4056" t="n">
        <x:v>18</x:v>
      </x:c>
      <x:c r="K4056" t="n">
        <x:v>4</x:v>
      </x:c>
      <x:c r="L4056" t="str">
        <x:v>STORE-001</x:v>
      </x:c>
      <x:c r="M4056" s="22" t="n">
        <x:v>46209</x:v>
      </x:c>
      <x:c r="N4056" t="str">
        <x:v>SKU-018</x:v>
      </x:c>
      <x:c r="O4056" t="n">
        <x:v>1</x:v>
      </x:c>
      <x:c r="P4056" s="26" t="n">
        <x:f>F4056/O4056</x:f>
        <x:v>21.72</x:v>
      </x:c>
    </x:row>
    <x:row r="4057">
      <x:c r="A4057" t="n">
        <x:v>4056</x:v>
      </x:c>
      <x:c r="B4057" t="n">
        <x:v>21</x:v>
      </x:c>
      <x:c r="C4057" t="str">
        <x:v>Female</x:v>
      </x:c>
      <x:c r="D4057" t="str">
        <x:v>Beauty</x:v>
      </x:c>
      <x:c r="E4057" t="str">
        <x:v>Perfume</x:v>
      </x:c>
      <x:c r="F4057" s="24" t="n">
        <x:v>23.57</x:v>
      </x:c>
      <x:c r="G4057" t="str">
        <x:v>Summer</x:v>
      </x:c>
      <x:c r="H4057" t="str">
        <x:v>Cash on Delivery</x:v>
      </x:c>
      <x:c r="I4057" t="n">
        <x:v>4.3</x:v>
      </x:c>
      <x:c r="J4057" t="n">
        <x:v>22</x:v>
      </x:c>
      <x:c r="K4057" t="n">
        <x:v>6</x:v>
      </x:c>
      <x:c r="L4057" t="str">
        <x:v>STORE-001</x:v>
      </x:c>
      <x:c r="M4057" s="22" t="n">
        <x:v>46081</x:v>
      </x:c>
      <x:c r="N4057" t="str">
        <x:v>SKU-017</x:v>
      </x:c>
      <x:c r="O4057" t="n">
        <x:v>1</x:v>
      </x:c>
      <x:c r="P4057" s="26" t="n">
        <x:f>F4057/O4057</x:f>
        <x:v>23.57</x:v>
      </x:c>
    </x:row>
    <x:row r="4058">
      <x:c r="A4058" t="n">
        <x:v>4057</x:v>
      </x:c>
      <x:c r="B4058" t="n">
        <x:v>70</x:v>
      </x:c>
      <x:c r="C4058" t="str">
        <x:v>Male</x:v>
      </x:c>
      <x:c r="D4058" t="str">
        <x:v>Home</x:v>
      </x:c>
      <x:c r="E4058" t="str">
        <x:v>Curtains</x:v>
      </x:c>
      <x:c r="F4058" s="24" t="n">
        <x:v>177.36</x:v>
      </x:c>
      <x:c r="G4058" t="str">
        <x:v>Autumn</x:v>
      </x:c>
      <x:c r="H4058" t="str">
        <x:v>Card</x:v>
      </x:c>
      <x:c r="I4058" t="n">
        <x:v>3.2</x:v>
      </x:c>
      <x:c r="J4058" t="n">
        <x:v>22</x:v>
      </x:c>
      <x:c r="K4058" t="n">
        <x:v>6</x:v>
      </x:c>
      <x:c r="L4058" t="str">
        <x:v>STORE-001</x:v>
      </x:c>
      <x:c r="M4058" s="22" t="n">
        <x:v>46098</x:v>
      </x:c>
      <x:c r="N4058" t="str">
        <x:v>SKU-003</x:v>
      </x:c>
      <x:c r="O4058" t="n">
        <x:v>1</x:v>
      </x:c>
      <x:c r="P4058" s="26" t="n">
        <x:f>F4058/O4058</x:f>
        <x:v>177.36</x:v>
      </x:c>
    </x:row>
    <x:row r="4059">
      <x:c r="A4059" t="n">
        <x:v>4058</x:v>
      </x:c>
      <x:c r="B4059" t="n">
        <x:v>49</x:v>
      </x:c>
      <x:c r="C4059" t="str">
        <x:v>Female</x:v>
      </x:c>
      <x:c r="D4059" t="str">
        <x:v>Womens Clothing</x:v>
      </x:c>
      <x:c r="E4059" t="str">
        <x:v>Dress</x:v>
      </x:c>
      <x:c r="F4059" s="24" t="n">
        <x:v>125.76</x:v>
      </x:c>
      <x:c r="G4059" t="str">
        <x:v>Spring</x:v>
      </x:c>
      <x:c r="H4059" t="str">
        <x:v>Card</x:v>
      </x:c>
      <x:c r="I4059" t="n">
        <x:v>3.6</x:v>
      </x:c>
      <x:c r="J4059" t="n">
        <x:v>16</x:v>
      </x:c>
      <x:c r="K4059" t="n">
        <x:v>3</x:v>
      </x:c>
      <x:c r="L4059" t="str">
        <x:v>STORE-001</x:v>
      </x:c>
      <x:c r="M4059" s="22" t="n">
        <x:v>46268</x:v>
      </x:c>
      <x:c r="N4059" t="str">
        <x:v>SKU-004</x:v>
      </x:c>
      <x:c r="O4059" t="n">
        <x:v>2</x:v>
      </x:c>
      <x:c r="P4059" s="26" t="n">
        <x:f>F4059/O4059</x:f>
        <x:v>62.88</x:v>
      </x:c>
    </x:row>
    <x:row r="4060">
      <x:c r="A4060" t="n">
        <x:v>4059</x:v>
      </x:c>
      <x:c r="B4060" t="n">
        <x:v>70</x:v>
      </x:c>
      <x:c r="C4060" t="str">
        <x:v>Male</x:v>
      </x:c>
      <x:c r="D4060" t="str">
        <x:v>Home</x:v>
      </x:c>
      <x:c r="E4060" t="str">
        <x:v>Curtains</x:v>
      </x:c>
      <x:c r="F4060" s="24" t="n">
        <x:v>118.9</x:v>
      </x:c>
      <x:c r="G4060" t="str">
        <x:v>Autumn</x:v>
      </x:c>
      <x:c r="H4060" t="str">
        <x:v>Card</x:v>
      </x:c>
      <x:c r="I4060" t="n">
        <x:v>4.5</x:v>
      </x:c>
      <x:c r="J4060" t="n">
        <x:v>8</x:v>
      </x:c>
      <x:c r="K4060" t="n">
        <x:v>4</x:v>
      </x:c>
      <x:c r="L4060" t="str">
        <x:v>STORE-001</x:v>
      </x:c>
      <x:c r="M4060" s="22" t="n">
        <x:v>46128</x:v>
      </x:c>
      <x:c r="N4060" t="str">
        <x:v>SKU-003</x:v>
      </x:c>
      <x:c r="O4060" t="n">
        <x:v>1</x:v>
      </x:c>
      <x:c r="P4060" s="26" t="n">
        <x:f>F4060/O4060</x:f>
        <x:v>118.9</x:v>
      </x:c>
    </x:row>
    <x:row r="4061">
      <x:c r="A4061" t="n">
        <x:v>4060</x:v>
      </x:c>
      <x:c r="B4061" t="n">
        <x:v>60</x:v>
      </x:c>
      <x:c r="C4061" t="str">
        <x:v>Male</x:v>
      </x:c>
      <x:c r="D4061" t="str">
        <x:v>Sports</x:v>
      </x:c>
      <x:c r="E4061" t="str">
        <x:v>Yoga Mat</x:v>
      </x:c>
      <x:c r="F4061" s="24" t="n">
        <x:v>103.3</x:v>
      </x:c>
      <x:c r="G4061" t="str">
        <x:v>Winter</x:v>
      </x:c>
      <x:c r="H4061" t="str">
        <x:v>Card</x:v>
      </x:c>
      <x:c r="I4061" t="n">
        <x:v>3.2</x:v>
      </x:c>
      <x:c r="J4061" t="n">
        <x:v>26</x:v>
      </x:c>
      <x:c r="K4061" t="n">
        <x:v>8</x:v>
      </x:c>
      <x:c r="L4061" t="str">
        <x:v>STORE-001</x:v>
      </x:c>
      <x:c r="M4061" s="22" t="n">
        <x:v>46237</x:v>
      </x:c>
      <x:c r="N4061" t="str">
        <x:v>SKU-030</x:v>
      </x:c>
      <x:c r="O4061" t="n">
        <x:v>1</x:v>
      </x:c>
      <x:c r="P4061" s="26" t="n">
        <x:f>F4061/O4061</x:f>
        <x:v>103.3</x:v>
      </x:c>
    </x:row>
    <x:row r="4062">
      <x:c r="A4062" t="n">
        <x:v>4061</x:v>
      </x:c>
      <x:c r="B4062" t="n">
        <x:v>22</x:v>
      </x:c>
      <x:c r="C4062" t="str">
        <x:v>Female</x:v>
      </x:c>
      <x:c r="D4062" t="str">
        <x:v>Womens Clothing</x:v>
      </x:c>
      <x:c r="E4062" t="str">
        <x:v>Skirt</x:v>
      </x:c>
      <x:c r="F4062" s="24" t="n">
        <x:v>34.98</x:v>
      </x:c>
      <x:c r="G4062" t="str">
        <x:v>Spring</x:v>
      </x:c>
      <x:c r="H4062" t="str">
        <x:v>Card</x:v>
      </x:c>
      <x:c r="I4062" t="n">
        <x:v>3.9</x:v>
      </x:c>
      <x:c r="J4062" t="n">
        <x:v>4</x:v>
      </x:c>
      <x:c r="K4062" t="n">
        <x:v>2</x:v>
      </x:c>
      <x:c r="L4062" t="str">
        <x:v>STORE-001</x:v>
      </x:c>
      <x:c r="M4062" s="22" t="n">
        <x:v>45948</x:v>
      </x:c>
      <x:c r="N4062" t="str">
        <x:v>SKU-022</x:v>
      </x:c>
      <x:c r="O4062" t="n">
        <x:v>2</x:v>
      </x:c>
      <x:c r="P4062" s="26" t="n">
        <x:f>F4062/O4062</x:f>
        <x:v>17.49</x:v>
      </x:c>
    </x:row>
    <x:row r="4063">
      <x:c r="A4063" t="n">
        <x:v>4062</x:v>
      </x:c>
      <x:c r="B4063" t="n">
        <x:v>44</x:v>
      </x:c>
      <x:c r="C4063" t="str">
        <x:v>Male</x:v>
      </x:c>
      <x:c r="D4063" t="str">
        <x:v>Mens Clothing</x:v>
      </x:c>
      <x:c r="E4063" t="str">
        <x:v>Jacket</x:v>
      </x:c>
      <x:c r="F4063" s="24" t="n">
        <x:v>193.69</x:v>
      </x:c>
      <x:c r="G4063" t="str">
        <x:v>Summer</x:v>
      </x:c>
      <x:c r="H4063" t="str">
        <x:v>Card</x:v>
      </x:c>
      <x:c r="I4063" t="n">
        <x:v>2.8</x:v>
      </x:c>
      <x:c r="J4063" t="n">
        <x:v>17</x:v>
      </x:c>
      <x:c r="K4063" t="n">
        <x:v>6</x:v>
      </x:c>
      <x:c r="L4063" t="str">
        <x:v>STORE-001</x:v>
      </x:c>
      <x:c r="M4063" s="22" t="n">
        <x:v>46018</x:v>
      </x:c>
      <x:c r="N4063" t="str">
        <x:v>SKU-010</x:v>
      </x:c>
      <x:c r="O4063" t="n">
        <x:v>2</x:v>
      </x:c>
      <x:c r="P4063" s="26" t="n">
        <x:f>F4063/O4063</x:f>
        <x:v>96.845</x:v>
      </x:c>
    </x:row>
    <x:row r="4064">
      <x:c r="A4064" t="n">
        <x:v>4063</x:v>
      </x:c>
      <x:c r="B4064" t="n">
        <x:v>29</x:v>
      </x:c>
      <x:c r="C4064" t="str">
        <x:v>Male</x:v>
      </x:c>
      <x:c r="D4064" t="str">
        <x:v>Sports</x:v>
      </x:c>
      <x:c r="E4064" t="str">
        <x:v>Dumbbells</x:v>
      </x:c>
      <x:c r="F4064" s="24" t="n">
        <x:v>40.36</x:v>
      </x:c>
      <x:c r="G4064" t="str">
        <x:v>Winter</x:v>
      </x:c>
      <x:c r="H4064" t="str">
        <x:v>Cash on Delivery</x:v>
      </x:c>
      <x:c r="I4064" t="n">
        <x:v>3.5</x:v>
      </x:c>
      <x:c r="J4064" t="n">
        <x:v>7</x:v>
      </x:c>
      <x:c r="K4064" t="n">
        <x:v>1</x:v>
      </x:c>
      <x:c r="L4064" t="str">
        <x:v>STORE-001</x:v>
      </x:c>
      <x:c r="M4064" s="22" t="n">
        <x:v>46261</x:v>
      </x:c>
      <x:c r="N4064" t="str">
        <x:v>SKU-005</x:v>
      </x:c>
      <x:c r="O4064" t="n">
        <x:v>1</x:v>
      </x:c>
      <x:c r="P4064" s="26" t="n">
        <x:f>F4064/O4064</x:f>
        <x:v>40.36</x:v>
      </x:c>
    </x:row>
    <x:row r="4065">
      <x:c r="A4065" t="n">
        <x:v>4064</x:v>
      </x:c>
      <x:c r="B4065" t="n">
        <x:v>66</x:v>
      </x:c>
      <x:c r="C4065" t="str">
        <x:v>Male</x:v>
      </x:c>
      <x:c r="D4065" t="str">
        <x:v>Electronics</x:v>
      </x:c>
      <x:c r="E4065" t="str">
        <x:v>Mobile Phone</x:v>
      </x:c>
      <x:c r="F4065" s="24" t="n">
        <x:v>1248.04</x:v>
      </x:c>
      <x:c r="G4065" t="str">
        <x:v>Summer</x:v>
      </x:c>
      <x:c r="H4065" t="str">
        <x:v>Card</x:v>
      </x:c>
      <x:c r="I4065" t="n">
        <x:v>3.8</x:v>
      </x:c>
      <x:c r="J4065" t="n">
        <x:v>20</x:v>
      </x:c>
      <x:c r="K4065" t="n">
        <x:v>5</x:v>
      </x:c>
      <x:c r="L4065" t="str">
        <x:v>STORE-001</x:v>
      </x:c>
      <x:c r="M4065" s="22" t="n">
        <x:v>46057</x:v>
      </x:c>
      <x:c r="N4065" t="str">
        <x:v>SKU-016</x:v>
      </x:c>
      <x:c r="O4065" t="n">
        <x:v>1</x:v>
      </x:c>
      <x:c r="P4065" s="26" t="n">
        <x:f>F4065/O4065</x:f>
        <x:v>1248.04</x:v>
      </x:c>
    </x:row>
    <x:row r="4066">
      <x:c r="A4066" t="n">
        <x:v>4065</x:v>
      </x:c>
      <x:c r="B4066" t="n">
        <x:v>64</x:v>
      </x:c>
      <x:c r="C4066" t="str">
        <x:v>Male</x:v>
      </x:c>
      <x:c r="D4066" t="str">
        <x:v>Sports</x:v>
      </x:c>
      <x:c r="E4066" t="str">
        <x:v>Dumbbells</x:v>
      </x:c>
      <x:c r="F4066" s="24" t="n">
        <x:v>176.11</x:v>
      </x:c>
      <x:c r="G4066" t="str">
        <x:v>Autumn</x:v>
      </x:c>
      <x:c r="H4066" t="str">
        <x:v>Card</x:v>
      </x:c>
      <x:c r="I4066" t="n">
        <x:v>3.5</x:v>
      </x:c>
      <x:c r="J4066" t="n">
        <x:v>10</x:v>
      </x:c>
      <x:c r="K4066" t="n">
        <x:v>5</x:v>
      </x:c>
      <x:c r="L4066" t="str">
        <x:v>STORE-001</x:v>
      </x:c>
      <x:c r="M4066" s="22" t="n">
        <x:v>46084</x:v>
      </x:c>
      <x:c r="N4066" t="str">
        <x:v>SKU-005</x:v>
      </x:c>
      <x:c r="O4066" t="n">
        <x:v>1</x:v>
      </x:c>
      <x:c r="P4066" s="26" t="n">
        <x:f>F4066/O4066</x:f>
        <x:v>176.11</x:v>
      </x:c>
    </x:row>
    <x:row r="4067">
      <x:c r="A4067" t="n">
        <x:v>4066</x:v>
      </x:c>
      <x:c r="B4067" t="n">
        <x:v>56</x:v>
      </x:c>
      <x:c r="C4067" t="str">
        <x:v>Male</x:v>
      </x:c>
      <x:c r="D4067" t="str">
        <x:v>Sports</x:v>
      </x:c>
      <x:c r="E4067" t="str">
        <x:v>Football</x:v>
      </x:c>
      <x:c r="F4067" s="24" t="n">
        <x:v>165.49</x:v>
      </x:c>
      <x:c r="G4067" t="str">
        <x:v>Autumn</x:v>
      </x:c>
      <x:c r="H4067" t="str">
        <x:v>Card</x:v>
      </x:c>
      <x:c r="I4067" t="n">
        <x:v>3.8</x:v>
      </x:c>
      <x:c r="J4067" t="n">
        <x:v>22</x:v>
      </x:c>
      <x:c r="K4067" t="n">
        <x:v>6</x:v>
      </x:c>
      <x:c r="L4067" t="str">
        <x:v>STORE-001</x:v>
      </x:c>
      <x:c r="M4067" s="22" t="n">
        <x:v>46160</x:v>
      </x:c>
      <x:c r="N4067" t="str">
        <x:v>SKU-006</x:v>
      </x:c>
      <x:c r="O4067" t="n">
        <x:v>3</x:v>
      </x:c>
      <x:c r="P4067" s="26" t="n">
        <x:f>F4067/O4067</x:f>
        <x:v>55.163333333333334</x:v>
      </x:c>
    </x:row>
    <x:row r="4068">
      <x:c r="A4068" t="n">
        <x:v>4067</x:v>
      </x:c>
      <x:c r="B4068" t="n">
        <x:v>65</x:v>
      </x:c>
      <x:c r="C4068" t="str">
        <x:v>Male</x:v>
      </x:c>
      <x:c r="D4068" t="str">
        <x:v>Sports</x:v>
      </x:c>
      <x:c r="E4068" t="str">
        <x:v>Yoga Mat</x:v>
      </x:c>
      <x:c r="F4068" s="24" t="n">
        <x:v>147.71</x:v>
      </x:c>
      <x:c r="G4068" t="str">
        <x:v>Autumn</x:v>
      </x:c>
      <x:c r="H4068" t="str">
        <x:v>Card</x:v>
      </x:c>
      <x:c r="I4068" t="n">
        <x:v>3.4</x:v>
      </x:c>
      <x:c r="J4068" t="n">
        <x:v>13</x:v>
      </x:c>
      <x:c r="K4068" t="n">
        <x:v>4</x:v>
      </x:c>
      <x:c r="L4068" t="str">
        <x:v>STORE-001</x:v>
      </x:c>
      <x:c r="M4068" s="22" t="n">
        <x:v>46133</x:v>
      </x:c>
      <x:c r="N4068" t="str">
        <x:v>SKU-030</x:v>
      </x:c>
      <x:c r="O4068" t="n">
        <x:v>1</x:v>
      </x:c>
      <x:c r="P4068" s="26" t="n">
        <x:f>F4068/O4068</x:f>
        <x:v>147.71</x:v>
      </x:c>
    </x:row>
    <x:row r="4069">
      <x:c r="A4069" t="n">
        <x:v>4068</x:v>
      </x:c>
      <x:c r="B4069" t="n">
        <x:v>26</x:v>
      </x:c>
      <x:c r="C4069" t="str">
        <x:v>Female</x:v>
      </x:c>
      <x:c r="D4069" t="str">
        <x:v>Footwear</x:v>
      </x:c>
      <x:c r="E4069" t="str">
        <x:v>Sandals</x:v>
      </x:c>
      <x:c r="F4069" s="24" t="n">
        <x:v>167.62</x:v>
      </x:c>
      <x:c r="G4069" t="str">
        <x:v>Summer</x:v>
      </x:c>
      <x:c r="H4069" t="str">
        <x:v>Card</x:v>
      </x:c>
      <x:c r="I4069" t="n">
        <x:v>3.4</x:v>
      </x:c>
      <x:c r="J4069" t="n">
        <x:v>30</x:v>
      </x:c>
      <x:c r="K4069" t="n">
        <x:v>10</x:v>
      </x:c>
      <x:c r="L4069" t="str">
        <x:v>STORE-001</x:v>
      </x:c>
      <x:c r="M4069" s="22" t="n">
        <x:v>46014</x:v>
      </x:c>
      <x:c r="N4069" t="str">
        <x:v>SKU-019</x:v>
      </x:c>
      <x:c r="O4069" t="n">
        <x:v>1</x:v>
      </x:c>
      <x:c r="P4069" s="26" t="n">
        <x:f>F4069/O4069</x:f>
        <x:v>167.62</x:v>
      </x:c>
    </x:row>
    <x:row r="4070">
      <x:c r="A4070" t="n">
        <x:v>4069</x:v>
      </x:c>
      <x:c r="B4070" t="n">
        <x:v>53</x:v>
      </x:c>
      <x:c r="C4070" t="str">
        <x:v>Male</x:v>
      </x:c>
      <x:c r="D4070" t="str">
        <x:v>Home</x:v>
      </x:c>
      <x:c r="E4070" t="str">
        <x:v>Kitchen Set</x:v>
      </x:c>
      <x:c r="F4070" s="24" t="n">
        <x:v>103.21</x:v>
      </x:c>
      <x:c r="G4070" t="str">
        <x:v>Winter</x:v>
      </x:c>
      <x:c r="H4070" t="str">
        <x:v>Card</x:v>
      </x:c>
      <x:c r="I4070" t="n">
        <x:v>3.3</x:v>
      </x:c>
      <x:c r="J4070" t="n">
        <x:v>11</x:v>
      </x:c>
      <x:c r="K4070" t="n">
        <x:v>3</x:v>
      </x:c>
      <x:c r="L4070" t="str">
        <x:v>STORE-001</x:v>
      </x:c>
      <x:c r="M4070" s="22" t="n">
        <x:v>46238</x:v>
      </x:c>
      <x:c r="N4070" t="str">
        <x:v>SKU-012</x:v>
      </x:c>
      <x:c r="O4070" t="n">
        <x:v>2</x:v>
      </x:c>
      <x:c r="P4070" s="26" t="n">
        <x:f>F4070/O4070</x:f>
        <x:v>51.605</x:v>
      </x:c>
    </x:row>
    <x:row r="4071">
      <x:c r="A4071" t="n">
        <x:v>4070</x:v>
      </x:c>
      <x:c r="B4071" t="n">
        <x:v>70</x:v>
      </x:c>
      <x:c r="C4071" t="str">
        <x:v>Male</x:v>
      </x:c>
      <x:c r="D4071" t="str">
        <x:v>Footwear</x:v>
      </x:c>
      <x:c r="E4071" t="str">
        <x:v>Sneakers</x:v>
      </x:c>
      <x:c r="F4071" s="24" t="n">
        <x:v>56.28</x:v>
      </x:c>
      <x:c r="G4071" t="str">
        <x:v>Summer</x:v>
      </x:c>
      <x:c r="H4071" t="str">
        <x:v>Card</x:v>
      </x:c>
      <x:c r="I4071" t="n">
        <x:v>2.9</x:v>
      </x:c>
      <x:c r="J4071" t="n">
        <x:v>10</x:v>
      </x:c>
      <x:c r="K4071" t="n">
        <x:v>5</x:v>
      </x:c>
      <x:c r="L4071" t="str">
        <x:v>STORE-001</x:v>
      </x:c>
      <x:c r="M4071" s="22" t="n">
        <x:v>46026</x:v>
      </x:c>
      <x:c r="N4071" t="str">
        <x:v>SKU-025</x:v>
      </x:c>
      <x:c r="O4071" t="n">
        <x:v>1</x:v>
      </x:c>
      <x:c r="P4071" s="26" t="n">
        <x:f>F4071/O4071</x:f>
        <x:v>56.28</x:v>
      </x:c>
    </x:row>
    <x:row r="4072">
      <x:c r="A4072" t="n">
        <x:v>4071</x:v>
      </x:c>
      <x:c r="B4072" t="n">
        <x:v>48</x:v>
      </x:c>
      <x:c r="C4072" t="str">
        <x:v>Male</x:v>
      </x:c>
      <x:c r="D4072" t="str">
        <x:v>Sports</x:v>
      </x:c>
      <x:c r="E4072" t="str">
        <x:v>Yoga Mat</x:v>
      </x:c>
      <x:c r="F4072" s="24" t="n">
        <x:v>136.24</x:v>
      </x:c>
      <x:c r="G4072" t="str">
        <x:v>Summer</x:v>
      </x:c>
      <x:c r="H4072" t="str">
        <x:v>Card</x:v>
      </x:c>
      <x:c r="I4072" t="n">
        <x:v>3.3</x:v>
      </x:c>
      <x:c r="J4072" t="n">
        <x:v>14</x:v>
      </x:c>
      <x:c r="K4072" t="n">
        <x:v>7</x:v>
      </x:c>
      <x:c r="L4072" t="str">
        <x:v>STORE-001</x:v>
      </x:c>
      <x:c r="M4072" s="22" t="n">
        <x:v>46047</x:v>
      </x:c>
      <x:c r="N4072" t="str">
        <x:v>SKU-030</x:v>
      </x:c>
      <x:c r="O4072" t="n">
        <x:v>2</x:v>
      </x:c>
      <x:c r="P4072" s="26" t="n">
        <x:f>F4072/O4072</x:f>
        <x:v>68.12</x:v>
      </x:c>
    </x:row>
    <x:row r="4073">
      <x:c r="A4073" t="n">
        <x:v>4072</x:v>
      </x:c>
      <x:c r="B4073" t="n">
        <x:v>53</x:v>
      </x:c>
      <x:c r="C4073" t="str">
        <x:v>Female</x:v>
      </x:c>
      <x:c r="D4073" t="str">
        <x:v>Beauty</x:v>
      </x:c>
      <x:c r="E4073" t="str">
        <x:v>Skincare Kit</x:v>
      </x:c>
      <x:c r="F4073" s="24" t="n">
        <x:v>125.77</x:v>
      </x:c>
      <x:c r="G4073" t="str">
        <x:v>Spring</x:v>
      </x:c>
      <x:c r="H4073" t="str">
        <x:v>Card</x:v>
      </x:c>
      <x:c r="I4073" t="n">
        <x:v>3.4</x:v>
      </x:c>
      <x:c r="J4073" t="n">
        <x:v>10</x:v>
      </x:c>
      <x:c r="K4073" t="n">
        <x:v>5</x:v>
      </x:c>
      <x:c r="L4073" t="str">
        <x:v>STORE-001</x:v>
      </x:c>
      <x:c r="M4073" s="22" t="n">
        <x:v>45970</x:v>
      </x:c>
      <x:c r="N4073" t="str">
        <x:v>SKU-021</x:v>
      </x:c>
      <x:c r="O4073" t="n">
        <x:v>2</x:v>
      </x:c>
      <x:c r="P4073" s="26" t="n">
        <x:f>F4073/O4073</x:f>
        <x:v>62.885</x:v>
      </x:c>
    </x:row>
    <x:row r="4074">
      <x:c r="A4074" t="n">
        <x:v>4073</x:v>
      </x:c>
      <x:c r="B4074" t="n">
        <x:v>26</x:v>
      </x:c>
      <x:c r="C4074" t="str">
        <x:v>Female</x:v>
      </x:c>
      <x:c r="D4074" t="str">
        <x:v>Accessories</x:v>
      </x:c>
      <x:c r="E4074" t="str">
        <x:v>Sunglasses</x:v>
      </x:c>
      <x:c r="F4074" s="24" t="n">
        <x:v>62.53</x:v>
      </x:c>
      <x:c r="G4074" t="str">
        <x:v>Summer</x:v>
      </x:c>
      <x:c r="H4074" t="str">
        <x:v>Cash on Delivery</x:v>
      </x:c>
      <x:c r="I4074" t="n">
        <x:v>3.8</x:v>
      </x:c>
      <x:c r="J4074" t="n">
        <x:v>16</x:v>
      </x:c>
      <x:c r="K4074" t="n">
        <x:v>8</x:v>
      </x:c>
      <x:c r="L4074" t="str">
        <x:v>STORE-001</x:v>
      </x:c>
      <x:c r="M4074" s="22" t="n">
        <x:v>45992</x:v>
      </x:c>
      <x:c r="N4074" t="str">
        <x:v>SKU-026</x:v>
      </x:c>
      <x:c r="O4074" t="n">
        <x:v>2</x:v>
      </x:c>
      <x:c r="P4074" s="26" t="n">
        <x:f>F4074/O4074</x:f>
        <x:v>31.265</x:v>
      </x:c>
    </x:row>
    <x:row r="4075">
      <x:c r="A4075" t="n">
        <x:v>4074</x:v>
      </x:c>
      <x:c r="B4075" t="n">
        <x:v>28</x:v>
      </x:c>
      <x:c r="C4075" t="str">
        <x:v>Female</x:v>
      </x:c>
      <x:c r="D4075" t="str">
        <x:v>Footwear</x:v>
      </x:c>
      <x:c r="E4075" t="str">
        <x:v>Sneakers</x:v>
      </x:c>
      <x:c r="F4075" s="24" t="n">
        <x:v>205.3</x:v>
      </x:c>
      <x:c r="G4075" t="str">
        <x:v>Autumn</x:v>
      </x:c>
      <x:c r="H4075" t="str">
        <x:v>Card</x:v>
      </x:c>
      <x:c r="I4075" t="n">
        <x:v>4.8</x:v>
      </x:c>
      <x:c r="J4075" t="n">
        <x:v>10</x:v>
      </x:c>
      <x:c r="K4075" t="n">
        <x:v>5</x:v>
      </x:c>
      <x:c r="L4075" t="str">
        <x:v>STORE-001</x:v>
      </x:c>
      <x:c r="M4075" s="22" t="n">
        <x:v>46134</x:v>
      </x:c>
      <x:c r="N4075" t="str">
        <x:v>SKU-025</x:v>
      </x:c>
      <x:c r="O4075" t="n">
        <x:v>1</x:v>
      </x:c>
      <x:c r="P4075" s="26" t="n">
        <x:f>F4075/O4075</x:f>
        <x:v>205.3</x:v>
      </x:c>
    </x:row>
    <x:row r="4076">
      <x:c r="A4076" t="n">
        <x:v>4075</x:v>
      </x:c>
      <x:c r="B4076" t="n">
        <x:v>39</x:v>
      </x:c>
      <x:c r="C4076" t="str">
        <x:v>Female</x:v>
      </x:c>
      <x:c r="D4076" t="str">
        <x:v>Beauty</x:v>
      </x:c>
      <x:c r="E4076" t="str">
        <x:v>Makeup Set</x:v>
      </x:c>
      <x:c r="F4076" s="24" t="n">
        <x:v>99.04</x:v>
      </x:c>
      <x:c r="G4076" t="str">
        <x:v>Autumn</x:v>
      </x:c>
      <x:c r="H4076" t="str">
        <x:v>Card</x:v>
      </x:c>
      <x:c r="I4076" t="n">
        <x:v>4.5</x:v>
      </x:c>
      <x:c r="J4076" t="n">
        <x:v>26</x:v>
      </x:c>
      <x:c r="K4076" t="n">
        <x:v>8</x:v>
      </x:c>
      <x:c r="L4076" t="str">
        <x:v>STORE-001</x:v>
      </x:c>
      <x:c r="M4076" s="22" t="n">
        <x:v>46162</x:v>
      </x:c>
      <x:c r="N4076" t="str">
        <x:v>SKU-015</x:v>
      </x:c>
      <x:c r="O4076" t="n">
        <x:v>1</x:v>
      </x:c>
      <x:c r="P4076" s="26" t="n">
        <x:f>F4076/O4076</x:f>
        <x:v>99.04</x:v>
      </x:c>
    </x:row>
    <x:row r="4077">
      <x:c r="A4077" t="n">
        <x:v>4076</x:v>
      </x:c>
      <x:c r="B4077" t="n">
        <x:v>33</x:v>
      </x:c>
      <x:c r="C4077" t="str">
        <x:v>Male</x:v>
      </x:c>
      <x:c r="D4077" t="str">
        <x:v>Sports</x:v>
      </x:c>
      <x:c r="E4077" t="str">
        <x:v>Yoga Mat</x:v>
      </x:c>
      <x:c r="F4077" s="24" t="n">
        <x:v>123.12</x:v>
      </x:c>
      <x:c r="G4077" t="str">
        <x:v>Winter</x:v>
      </x:c>
      <x:c r="H4077" t="str">
        <x:v>Card</x:v>
      </x:c>
      <x:c r="I4077" t="n">
        <x:v>4</x:v>
      </x:c>
      <x:c r="J4077" t="n">
        <x:v>18</x:v>
      </x:c>
      <x:c r="K4077" t="n">
        <x:v>9</x:v>
      </x:c>
      <x:c r="L4077" t="str">
        <x:v>STORE-001</x:v>
      </x:c>
      <x:c r="M4077" s="22" t="n">
        <x:v>46236</x:v>
      </x:c>
      <x:c r="N4077" t="str">
        <x:v>SKU-030</x:v>
      </x:c>
      <x:c r="O4077" t="n">
        <x:v>2</x:v>
      </x:c>
      <x:c r="P4077" s="26" t="n">
        <x:f>F4077/O4077</x:f>
        <x:v>61.56</x:v>
      </x:c>
    </x:row>
    <x:row r="4078">
      <x:c r="A4078" t="n">
        <x:v>4077</x:v>
      </x:c>
      <x:c r="B4078" t="n">
        <x:v>40</x:v>
      </x:c>
      <x:c r="C4078" t="str">
        <x:v>Male</x:v>
      </x:c>
      <x:c r="D4078" t="str">
        <x:v>Electronics</x:v>
      </x:c>
      <x:c r="E4078" t="str">
        <x:v>Laptop</x:v>
      </x:c>
      <x:c r="F4078" s="24" t="n">
        <x:v>1512.28</x:v>
      </x:c>
      <x:c r="G4078" t="str">
        <x:v>Spring</x:v>
      </x:c>
      <x:c r="H4078" t="str">
        <x:v>Card</x:v>
      </x:c>
      <x:c r="I4078" t="n">
        <x:v>3.8</x:v>
      </x:c>
      <x:c r="J4078" t="n">
        <x:v>15</x:v>
      </x:c>
      <x:c r="K4078" t="n">
        <x:v>5</x:v>
      </x:c>
      <x:c r="L4078" t="str">
        <x:v>STORE-001</x:v>
      </x:c>
      <x:c r="M4078" s="22" t="n">
        <x:v>45980</x:v>
      </x:c>
      <x:c r="N4078" t="str">
        <x:v>SKU-014</x:v>
      </x:c>
      <x:c r="O4078" t="n">
        <x:v>1</x:v>
      </x:c>
      <x:c r="P4078" s="26" t="n">
        <x:f>F4078/O4078</x:f>
        <x:v>1512.28</x:v>
      </x:c>
    </x:row>
    <x:row r="4079">
      <x:c r="A4079" t="n">
        <x:v>4078</x:v>
      </x:c>
      <x:c r="B4079" t="n">
        <x:v>62</x:v>
      </x:c>
      <x:c r="C4079" t="str">
        <x:v>Male</x:v>
      </x:c>
      <x:c r="D4079" t="str">
        <x:v>Mens Clothing</x:v>
      </x:c>
      <x:c r="E4079" t="str">
        <x:v>T-Shirt</x:v>
      </x:c>
      <x:c r="F4079" s="24" t="n">
        <x:v>71.94</x:v>
      </x:c>
      <x:c r="G4079" t="str">
        <x:v>Summer</x:v>
      </x:c>
      <x:c r="H4079" t="str">
        <x:v>Card</x:v>
      </x:c>
      <x:c r="I4079" t="n">
        <x:v>4.9</x:v>
      </x:c>
      <x:c r="J4079" t="n">
        <x:v>17</x:v>
      </x:c>
      <x:c r="K4079" t="n">
        <x:v>6</x:v>
      </x:c>
      <x:c r="L4079" t="str">
        <x:v>STORE-001</x:v>
      </x:c>
      <x:c r="M4079" s="22" t="n">
        <x:v>46056</x:v>
      </x:c>
      <x:c r="N4079" t="str">
        <x:v>SKU-027</x:v>
      </x:c>
      <x:c r="O4079" t="n">
        <x:v>2</x:v>
      </x:c>
      <x:c r="P4079" s="26" t="n">
        <x:f>F4079/O4079</x:f>
        <x:v>35.97</x:v>
      </x:c>
    </x:row>
    <x:row r="4080">
      <x:c r="A4080" t="n">
        <x:v>4079</x:v>
      </x:c>
      <x:c r="B4080" t="n">
        <x:v>28</x:v>
      </x:c>
      <x:c r="C4080" t="str">
        <x:v>Male</x:v>
      </x:c>
      <x:c r="D4080" t="str">
        <x:v>Sports</x:v>
      </x:c>
      <x:c r="E4080" t="str">
        <x:v>Football</x:v>
      </x:c>
      <x:c r="F4080" s="24" t="n">
        <x:v>153.12</x:v>
      </x:c>
      <x:c r="G4080" t="str">
        <x:v>Winter</x:v>
      </x:c>
      <x:c r="H4080" t="str">
        <x:v>Card</x:v>
      </x:c>
      <x:c r="I4080" t="n">
        <x:v>4.4</x:v>
      </x:c>
      <x:c r="J4080" t="n">
        <x:v>9</x:v>
      </x:c>
      <x:c r="K4080" t="n">
        <x:v>2</x:v>
      </x:c>
      <x:c r="L4080" t="str">
        <x:v>STORE-001</x:v>
      </x:c>
      <x:c r="M4080" s="22" t="n">
        <x:v>46208</x:v>
      </x:c>
      <x:c r="N4080" t="str">
        <x:v>SKU-006</x:v>
      </x:c>
      <x:c r="O4080" t="n">
        <x:v>1</x:v>
      </x:c>
      <x:c r="P4080" s="26" t="n">
        <x:f>F4080/O4080</x:f>
        <x:v>153.12</x:v>
      </x:c>
    </x:row>
    <x:row r="4081">
      <x:c r="A4081" t="n">
        <x:v>4080</x:v>
      </x:c>
      <x:c r="B4081" t="n">
        <x:v>43</x:v>
      </x:c>
      <x:c r="C4081" t="str">
        <x:v>Female</x:v>
      </x:c>
      <x:c r="D4081" t="str">
        <x:v>Accessories</x:v>
      </x:c>
      <x:c r="E4081" t="str">
        <x:v>Sunglasses</x:v>
      </x:c>
      <x:c r="F4081" s="24" t="n">
        <x:v>74.33</x:v>
      </x:c>
      <x:c r="G4081" t="str">
        <x:v>Autumn</x:v>
      </x:c>
      <x:c r="H4081" t="str">
        <x:v>Card</x:v>
      </x:c>
      <x:c r="I4081" t="n">
        <x:v>3.6</x:v>
      </x:c>
      <x:c r="J4081" t="n">
        <x:v>11</x:v>
      </x:c>
      <x:c r="K4081" t="n">
        <x:v>3</x:v>
      </x:c>
      <x:c r="L4081" t="str">
        <x:v>STORE-001</x:v>
      </x:c>
      <x:c r="M4081" s="22" t="n">
        <x:v>46096</x:v>
      </x:c>
      <x:c r="N4081" t="str">
        <x:v>SKU-026</x:v>
      </x:c>
      <x:c r="O4081" t="n">
        <x:v>2</x:v>
      </x:c>
      <x:c r="P4081" s="26" t="n">
        <x:f>F4081/O4081</x:f>
        <x:v>37.165</x:v>
      </x:c>
    </x:row>
    <x:row r="4082">
      <x:c r="A4082" t="n">
        <x:v>4081</x:v>
      </x:c>
      <x:c r="B4082" t="n">
        <x:v>22</x:v>
      </x:c>
      <x:c r="C4082" t="str">
        <x:v>Female</x:v>
      </x:c>
      <x:c r="D4082" t="str">
        <x:v>Accessories</x:v>
      </x:c>
      <x:c r="E4082" t="str">
        <x:v>Sunglasses</x:v>
      </x:c>
      <x:c r="F4082" s="24" t="n">
        <x:v>100.98</x:v>
      </x:c>
      <x:c r="G4082" t="str">
        <x:v>Spring</x:v>
      </x:c>
      <x:c r="H4082" t="str">
        <x:v>Card</x:v>
      </x:c>
      <x:c r="I4082" t="n">
        <x:v>4.3</x:v>
      </x:c>
      <x:c r="J4082" t="n">
        <x:v>13</x:v>
      </x:c>
      <x:c r="K4082" t="n">
        <x:v>4</x:v>
      </x:c>
      <x:c r="L4082" t="str">
        <x:v>STORE-001</x:v>
      </x:c>
      <x:c r="M4082" s="22" t="n">
        <x:v>45969</x:v>
      </x:c>
      <x:c r="N4082" t="str">
        <x:v>SKU-026</x:v>
      </x:c>
      <x:c r="O4082" t="n">
        <x:v>2</x:v>
      </x:c>
      <x:c r="P4082" s="26" t="n">
        <x:f>F4082/O4082</x:f>
        <x:v>50.49</x:v>
      </x:c>
    </x:row>
    <x:row r="4083">
      <x:c r="A4083" t="n">
        <x:v>4082</x:v>
      </x:c>
      <x:c r="B4083" t="n">
        <x:v>51</x:v>
      </x:c>
      <x:c r="C4083" t="str">
        <x:v>Male</x:v>
      </x:c>
      <x:c r="D4083" t="str">
        <x:v>Electronics</x:v>
      </x:c>
      <x:c r="E4083" t="str">
        <x:v>Laptop</x:v>
      </x:c>
      <x:c r="F4083" s="24" t="n">
        <x:v>2199.51</x:v>
      </x:c>
      <x:c r="G4083" t="str">
        <x:v>Spring</x:v>
      </x:c>
      <x:c r="H4083" t="str">
        <x:v>Card</x:v>
      </x:c>
      <x:c r="I4083" t="n">
        <x:v>3.6</x:v>
      </x:c>
      <x:c r="J4083" t="n">
        <x:v>15</x:v>
      </x:c>
      <x:c r="K4083" t="n">
        <x:v>5</x:v>
      </x:c>
      <x:c r="L4083" t="str">
        <x:v>STORE-001</x:v>
      </x:c>
      <x:c r="M4083" s="22" t="n">
        <x:v>45979</x:v>
      </x:c>
      <x:c r="N4083" t="str">
        <x:v>SKU-014</x:v>
      </x:c>
      <x:c r="O4083" t="n">
        <x:v>1</x:v>
      </x:c>
      <x:c r="P4083" s="26" t="n">
        <x:f>F4083/O4083</x:f>
        <x:v>2199.51</x:v>
      </x:c>
    </x:row>
    <x:row r="4084">
      <x:c r="A4084" t="n">
        <x:v>4083</x:v>
      </x:c>
      <x:c r="B4084" t="n">
        <x:v>53</x:v>
      </x:c>
      <x:c r="C4084" t="str">
        <x:v>Male</x:v>
      </x:c>
      <x:c r="D4084" t="str">
        <x:v>Sports</x:v>
      </x:c>
      <x:c r="E4084" t="str">
        <x:v>Dumbbells</x:v>
      </x:c>
      <x:c r="F4084" s="24" t="n">
        <x:v>74.23</x:v>
      </x:c>
      <x:c r="G4084" t="str">
        <x:v>Winter</x:v>
      </x:c>
      <x:c r="H4084" t="str">
        <x:v>Card</x:v>
      </x:c>
      <x:c r="I4084" t="n">
        <x:v>2.2</x:v>
      </x:c>
      <x:c r="J4084" t="n">
        <x:v>19</x:v>
      </x:c>
      <x:c r="K4084" t="n">
        <x:v>7</x:v>
      </x:c>
      <x:c r="L4084" t="str">
        <x:v>STORE-001</x:v>
      </x:c>
      <x:c r="M4084" s="22" t="n">
        <x:v>46236</x:v>
      </x:c>
      <x:c r="N4084" t="str">
        <x:v>SKU-005</x:v>
      </x:c>
      <x:c r="O4084" t="n">
        <x:v>1</x:v>
      </x:c>
      <x:c r="P4084" s="26" t="n">
        <x:f>F4084/O4084</x:f>
        <x:v>74.23</x:v>
      </x:c>
    </x:row>
    <x:row r="4085">
      <x:c r="A4085" t="n">
        <x:v>4084</x:v>
      </x:c>
      <x:c r="B4085" t="n">
        <x:v>36</x:v>
      </x:c>
      <x:c r="C4085" t="str">
        <x:v>Male</x:v>
      </x:c>
      <x:c r="D4085" t="str">
        <x:v>Electronics</x:v>
      </x:c>
      <x:c r="E4085" t="str">
        <x:v>Laptop</x:v>
      </x:c>
      <x:c r="F4085" s="24" t="n">
        <x:v>2049.23</x:v>
      </x:c>
      <x:c r="G4085" t="str">
        <x:v>Spring</x:v>
      </x:c>
      <x:c r="H4085" t="str">
        <x:v>Card</x:v>
      </x:c>
      <x:c r="I4085" t="n">
        <x:v>3</x:v>
      </x:c>
      <x:c r="J4085" t="n">
        <x:v>22</x:v>
      </x:c>
      <x:c r="K4085" t="n">
        <x:v>6</x:v>
      </x:c>
      <x:c r="L4085" t="str">
        <x:v>STORE-001</x:v>
      </x:c>
      <x:c r="M4085" s="22" t="n">
        <x:v>45950</x:v>
      </x:c>
      <x:c r="N4085" t="str">
        <x:v>SKU-014</x:v>
      </x:c>
      <x:c r="O4085" t="n">
        <x:v>2</x:v>
      </x:c>
      <x:c r="P4085" s="26" t="n">
        <x:f>F4085/O4085</x:f>
        <x:v>1024.615</x:v>
      </x:c>
    </x:row>
    <x:row r="4086">
      <x:c r="A4086" t="n">
        <x:v>4085</x:v>
      </x:c>
      <x:c r="B4086" t="n">
        <x:v>68</x:v>
      </x:c>
      <x:c r="C4086" t="str">
        <x:v>Male</x:v>
      </x:c>
      <x:c r="D4086" t="str">
        <x:v>Electronics</x:v>
      </x:c>
      <x:c r="E4086" t="str">
        <x:v>Mobile Phone</x:v>
      </x:c>
      <x:c r="F4086" s="24" t="n">
        <x:v>2813.71</x:v>
      </x:c>
      <x:c r="G4086" t="str">
        <x:v>Summer</x:v>
      </x:c>
      <x:c r="H4086" t="str">
        <x:v>Card</x:v>
      </x:c>
      <x:c r="I4086" t="n">
        <x:v>4.1</x:v>
      </x:c>
      <x:c r="J4086" t="n">
        <x:v>13</x:v>
      </x:c>
      <x:c r="K4086" t="n">
        <x:v>4</x:v>
      </x:c>
      <x:c r="L4086" t="str">
        <x:v>STORE-001</x:v>
      </x:c>
      <x:c r="M4086" s="22" t="n">
        <x:v>46067</x:v>
      </x:c>
      <x:c r="N4086" t="str">
        <x:v>SKU-016</x:v>
      </x:c>
      <x:c r="O4086" t="n">
        <x:v>1</x:v>
      </x:c>
      <x:c r="P4086" s="26" t="n">
        <x:f>F4086/O4086</x:f>
        <x:v>2813.71</x:v>
      </x:c>
    </x:row>
    <x:row r="4087">
      <x:c r="A4087" t="n">
        <x:v>4086</x:v>
      </x:c>
      <x:c r="B4087" t="n">
        <x:v>53</x:v>
      </x:c>
      <x:c r="C4087" t="str">
        <x:v>Female</x:v>
      </x:c>
      <x:c r="D4087" t="str">
        <x:v>Womens Clothing</x:v>
      </x:c>
      <x:c r="E4087" t="str">
        <x:v>Skirt</x:v>
      </x:c>
      <x:c r="F4087" s="24" t="n">
        <x:v>81.17</x:v>
      </x:c>
      <x:c r="G4087" t="str">
        <x:v>Winter</x:v>
      </x:c>
      <x:c r="H4087" t="str">
        <x:v>Cash on Delivery</x:v>
      </x:c>
      <x:c r="I4087" t="n">
        <x:v>5</x:v>
      </x:c>
      <x:c r="J4087" t="n">
        <x:v>20</x:v>
      </x:c>
      <x:c r="K4087" t="n">
        <x:v>5</x:v>
      </x:c>
      <x:c r="L4087" t="str">
        <x:v>STORE-001</x:v>
      </x:c>
      <x:c r="M4087" s="22" t="n">
        <x:v>46264</x:v>
      </x:c>
      <x:c r="N4087" t="str">
        <x:v>SKU-022</x:v>
      </x:c>
      <x:c r="O4087" t="n">
        <x:v>1</x:v>
      </x:c>
      <x:c r="P4087" s="26" t="n">
        <x:f>F4087/O4087</x:f>
        <x:v>81.17</x:v>
      </x:c>
    </x:row>
    <x:row r="4088">
      <x:c r="A4088" t="n">
        <x:v>4087</x:v>
      </x:c>
      <x:c r="B4088" t="n">
        <x:v>46</x:v>
      </x:c>
      <x:c r="C4088" t="str">
        <x:v>Male</x:v>
      </x:c>
      <x:c r="D4088" t="str">
        <x:v>Mens Clothing</x:v>
      </x:c>
      <x:c r="E4088" t="str">
        <x:v>Jeans</x:v>
      </x:c>
      <x:c r="F4088" s="24" t="n">
        <x:v>30.78</x:v>
      </x:c>
      <x:c r="G4088" t="str">
        <x:v>Winter</x:v>
      </x:c>
      <x:c r="H4088" t="str">
        <x:v>Card</x:v>
      </x:c>
      <x:c r="I4088" t="n">
        <x:v>5</x:v>
      </x:c>
      <x:c r="J4088" t="n">
        <x:v>12</x:v>
      </x:c>
      <x:c r="K4088" t="n">
        <x:v>6</x:v>
      </x:c>
      <x:c r="L4088" t="str">
        <x:v>STORE-001</x:v>
      </x:c>
      <x:c r="M4088" s="22" t="n">
        <x:v>46219</x:v>
      </x:c>
      <x:c r="N4088" t="str">
        <x:v>SKU-011</x:v>
      </x:c>
      <x:c r="O4088" t="n">
        <x:v>1</x:v>
      </x:c>
      <x:c r="P4088" s="26" t="n">
        <x:f>F4088/O4088</x:f>
        <x:v>30.78</x:v>
      </x:c>
    </x:row>
    <x:row r="4089">
      <x:c r="A4089" t="n">
        <x:v>4088</x:v>
      </x:c>
      <x:c r="B4089" t="n">
        <x:v>66</x:v>
      </x:c>
      <x:c r="C4089" t="str">
        <x:v>Male</x:v>
      </x:c>
      <x:c r="D4089" t="str">
        <x:v>Sports</x:v>
      </x:c>
      <x:c r="E4089" t="str">
        <x:v>Dumbbells</x:v>
      </x:c>
      <x:c r="F4089" s="24" t="n">
        <x:v>181.35</x:v>
      </x:c>
      <x:c r="G4089" t="str">
        <x:v>Spring</x:v>
      </x:c>
      <x:c r="H4089" t="str">
        <x:v>Card</x:v>
      </x:c>
      <x:c r="I4089" t="n">
        <x:v>4</x:v>
      </x:c>
      <x:c r="J4089" t="n">
        <x:v>23</x:v>
      </x:c>
      <x:c r="K4089" t="n">
        <x:v>9</x:v>
      </x:c>
      <x:c r="L4089" t="str">
        <x:v>STORE-001</x:v>
      </x:c>
      <x:c r="M4089" s="22" t="n">
        <x:v>45968</x:v>
      </x:c>
      <x:c r="N4089" t="str">
        <x:v>SKU-005</x:v>
      </x:c>
      <x:c r="O4089" t="n">
        <x:v>1</x:v>
      </x:c>
      <x:c r="P4089" s="26" t="n">
        <x:f>F4089/O4089</x:f>
        <x:v>181.35</x:v>
      </x:c>
    </x:row>
    <x:row r="4090">
      <x:c r="A4090" t="n">
        <x:v>4089</x:v>
      </x:c>
      <x:c r="B4090" t="n">
        <x:v>68</x:v>
      </x:c>
      <x:c r="C4090" t="str">
        <x:v>Male</x:v>
      </x:c>
      <x:c r="D4090" t="str">
        <x:v>Electronics</x:v>
      </x:c>
      <x:c r="E4090" t="str">
        <x:v>Laptop</x:v>
      </x:c>
      <x:c r="F4090" s="24" t="n">
        <x:v>2171.93</x:v>
      </x:c>
      <x:c r="G4090" t="str">
        <x:v>Spring</x:v>
      </x:c>
      <x:c r="H4090" t="str">
        <x:v>Card</x:v>
      </x:c>
      <x:c r="I4090" t="n">
        <x:v>3.8</x:v>
      </x:c>
      <x:c r="J4090" t="n">
        <x:v>14</x:v>
      </x:c>
      <x:c r="K4090" t="n">
        <x:v>2</x:v>
      </x:c>
      <x:c r="L4090" t="str">
        <x:v>STORE-001</x:v>
      </x:c>
      <x:c r="M4090" s="22" t="n">
        <x:v>45931</x:v>
      </x:c>
      <x:c r="N4090" t="str">
        <x:v>SKU-014</x:v>
      </x:c>
      <x:c r="O4090" t="n">
        <x:v>1</x:v>
      </x:c>
      <x:c r="P4090" s="26" t="n">
        <x:f>F4090/O4090</x:f>
        <x:v>2171.93</x:v>
      </x:c>
    </x:row>
    <x:row r="4091">
      <x:c r="A4091" t="n">
        <x:v>4090</x:v>
      </x:c>
      <x:c r="B4091" t="n">
        <x:v>24</x:v>
      </x:c>
      <x:c r="C4091" t="str">
        <x:v>Female</x:v>
      </x:c>
      <x:c r="D4091" t="str">
        <x:v>Sports</x:v>
      </x:c>
      <x:c r="E4091" t="str">
        <x:v>Yoga Mat</x:v>
      </x:c>
      <x:c r="F4091" s="24" t="n">
        <x:v>164.57</x:v>
      </x:c>
      <x:c r="G4091" t="str">
        <x:v>Spring</x:v>
      </x:c>
      <x:c r="H4091" t="str">
        <x:v>Card</x:v>
      </x:c>
      <x:c r="I4091" t="n">
        <x:v>3</x:v>
      </x:c>
      <x:c r="J4091" t="n">
        <x:v>14</x:v>
      </x:c>
      <x:c r="K4091" t="n">
        <x:v>7</x:v>
      </x:c>
      <x:c r="L4091" t="str">
        <x:v>STORE-001</x:v>
      </x:c>
      <x:c r="M4091" s="22" t="n">
        <x:v>46292</x:v>
      </x:c>
      <x:c r="N4091" t="str">
        <x:v>SKU-030</x:v>
      </x:c>
      <x:c r="O4091" t="n">
        <x:v>4</x:v>
      </x:c>
      <x:c r="P4091" s="26" t="n">
        <x:f>F4091/O4091</x:f>
        <x:v>41.1425</x:v>
      </x:c>
    </x:row>
    <x:row r="4092">
      <x:c r="A4092" t="n">
        <x:v>4091</x:v>
      </x:c>
      <x:c r="B4092" t="n">
        <x:v>37</x:v>
      </x:c>
      <x:c r="C4092" t="str">
        <x:v>Male</x:v>
      </x:c>
      <x:c r="D4092" t="str">
        <x:v>Groceries</x:v>
      </x:c>
      <x:c r="E4092" t="str">
        <x:v>Cooking Oil</x:v>
      </x:c>
      <x:c r="F4092" s="24" t="n">
        <x:v>18.23</x:v>
      </x:c>
      <x:c r="G4092" t="str">
        <x:v>Autumn</x:v>
      </x:c>
      <x:c r="H4092" t="str">
        <x:v>Card</x:v>
      </x:c>
      <x:c r="I4092" t="n">
        <x:v>3.5</x:v>
      </x:c>
      <x:c r="J4092" t="n">
        <x:v>10</x:v>
      </x:c>
      <x:c r="K4092" t="n">
        <x:v>5</x:v>
      </x:c>
      <x:c r="L4092" t="str">
        <x:v>STORE-001</x:v>
      </x:c>
      <x:c r="M4092" s="22" t="n">
        <x:v>46107</x:v>
      </x:c>
      <x:c r="N4092" t="str">
        <x:v>SKU-002</x:v>
      </x:c>
      <x:c r="O4092" t="n">
        <x:v>1</x:v>
      </x:c>
      <x:c r="P4092" s="26" t="n">
        <x:f>F4092/O4092</x:f>
        <x:v>18.23</x:v>
      </x:c>
    </x:row>
    <x:row r="4093">
      <x:c r="A4093" t="n">
        <x:v>4092</x:v>
      </x:c>
      <x:c r="B4093" t="n">
        <x:v>64</x:v>
      </x:c>
      <x:c r="C4093" t="str">
        <x:v>Female</x:v>
      </x:c>
      <x:c r="D4093" t="str">
        <x:v>Beauty</x:v>
      </x:c>
      <x:c r="E4093" t="str">
        <x:v>Skincare Kit</x:v>
      </x:c>
      <x:c r="F4093" s="24" t="n">
        <x:v>73.92</x:v>
      </x:c>
      <x:c r="G4093" t="str">
        <x:v>Winter</x:v>
      </x:c>
      <x:c r="H4093" t="str">
        <x:v>Card</x:v>
      </x:c>
      <x:c r="I4093" t="n">
        <x:v>3.1</x:v>
      </x:c>
      <x:c r="J4093" t="n">
        <x:v>7</x:v>
      </x:c>
      <x:c r="K4093" t="n">
        <x:v>1</x:v>
      </x:c>
      <x:c r="L4093" t="str">
        <x:v>STORE-001</x:v>
      </x:c>
      <x:c r="M4093" s="22" t="n">
        <x:v>46177</x:v>
      </x:c>
      <x:c r="N4093" t="str">
        <x:v>SKU-021</x:v>
      </x:c>
      <x:c r="O4093" t="n">
        <x:v>2</x:v>
      </x:c>
      <x:c r="P4093" s="26" t="n">
        <x:f>F4093/O4093</x:f>
        <x:v>36.96</x:v>
      </x:c>
    </x:row>
    <x:row r="4094">
      <x:c r="A4094" t="n">
        <x:v>4093</x:v>
      </x:c>
      <x:c r="B4094" t="n">
        <x:v>43</x:v>
      </x:c>
      <x:c r="C4094" t="str">
        <x:v>Male</x:v>
      </x:c>
      <x:c r="D4094" t="str">
        <x:v>Sports</x:v>
      </x:c>
      <x:c r="E4094" t="str">
        <x:v>Football</x:v>
      </x:c>
      <x:c r="F4094" s="24" t="n">
        <x:v>221.83</x:v>
      </x:c>
      <x:c r="G4094" t="str">
        <x:v>Autumn</x:v>
      </x:c>
      <x:c r="H4094" t="str">
        <x:v>Card</x:v>
      </x:c>
      <x:c r="I4094" t="n">
        <x:v>4.3</x:v>
      </x:c>
      <x:c r="J4094" t="n">
        <x:v>21</x:v>
      </x:c>
      <x:c r="K4094" t="n">
        <x:v>8</x:v>
      </x:c>
      <x:c r="L4094" t="str">
        <x:v>STORE-001</x:v>
      </x:c>
      <x:c r="M4094" s="22" t="n">
        <x:v>46166</x:v>
      </x:c>
      <x:c r="N4094" t="str">
        <x:v>SKU-006</x:v>
      </x:c>
      <x:c r="O4094" t="n">
        <x:v>1</x:v>
      </x:c>
      <x:c r="P4094" s="26" t="n">
        <x:f>F4094/O4094</x:f>
        <x:v>221.83</x:v>
      </x:c>
    </x:row>
    <x:row r="4095">
      <x:c r="A4095" t="n">
        <x:v>4094</x:v>
      </x:c>
      <x:c r="B4095" t="n">
        <x:v>68</x:v>
      </x:c>
      <x:c r="C4095" t="str">
        <x:v>Female</x:v>
      </x:c>
      <x:c r="D4095" t="str">
        <x:v>Beauty</x:v>
      </x:c>
      <x:c r="E4095" t="str">
        <x:v>Makeup Set</x:v>
      </x:c>
      <x:c r="F4095" s="24" t="n">
        <x:v>100.18</x:v>
      </x:c>
      <x:c r="G4095" t="str">
        <x:v>Autumn</x:v>
      </x:c>
      <x:c r="H4095" t="str">
        <x:v>Card</x:v>
      </x:c>
      <x:c r="I4095" t="n">
        <x:v>3.3</x:v>
      </x:c>
      <x:c r="J4095" t="n">
        <x:v>18</x:v>
      </x:c>
      <x:c r="K4095" t="n">
        <x:v>4</x:v>
      </x:c>
      <x:c r="L4095" t="str">
        <x:v>STORE-001</x:v>
      </x:c>
      <x:c r="M4095" s="22" t="n">
        <x:v>46108</x:v>
      </x:c>
      <x:c r="N4095" t="str">
        <x:v>SKU-015</x:v>
      </x:c>
      <x:c r="O4095" t="n">
        <x:v>2</x:v>
      </x:c>
      <x:c r="P4095" s="26" t="n">
        <x:f>F4095/O4095</x:f>
        <x:v>50.09</x:v>
      </x:c>
    </x:row>
    <x:row r="4096">
      <x:c r="A4096" t="n">
        <x:v>4095</x:v>
      </x:c>
      <x:c r="B4096" t="n">
        <x:v>41</x:v>
      </x:c>
      <x:c r="C4096" t="str">
        <x:v>Male</x:v>
      </x:c>
      <x:c r="D4096" t="str">
        <x:v>Sports</x:v>
      </x:c>
      <x:c r="E4096" t="str">
        <x:v>Football</x:v>
      </x:c>
      <x:c r="F4096" s="24" t="n">
        <x:v>70.85</x:v>
      </x:c>
      <x:c r="G4096" t="str">
        <x:v>Summer</x:v>
      </x:c>
      <x:c r="H4096" t="str">
        <x:v>Cash on Delivery</x:v>
      </x:c>
      <x:c r="I4096" t="n">
        <x:v>5</x:v>
      </x:c>
      <x:c r="J4096" t="n">
        <x:v>18</x:v>
      </x:c>
      <x:c r="K4096" t="n">
        <x:v>4</x:v>
      </x:c>
      <x:c r="L4096" t="str">
        <x:v>STORE-001</x:v>
      </x:c>
      <x:c r="M4096" s="22" t="n">
        <x:v>46014</x:v>
      </x:c>
      <x:c r="N4096" t="str">
        <x:v>SKU-006</x:v>
      </x:c>
      <x:c r="O4096" t="n">
        <x:v>1</x:v>
      </x:c>
      <x:c r="P4096" s="26" t="n">
        <x:f>F4096/O4096</x:f>
        <x:v>70.85</x:v>
      </x:c>
    </x:row>
    <x:row r="4097">
      <x:c r="A4097" t="n">
        <x:v>4096</x:v>
      </x:c>
      <x:c r="B4097" t="n">
        <x:v>26</x:v>
      </x:c>
      <x:c r="C4097" t="str">
        <x:v>Female</x:v>
      </x:c>
      <x:c r="D4097" t="str">
        <x:v>Home</x:v>
      </x:c>
      <x:c r="E4097" t="str">
        <x:v>Curtains</x:v>
      </x:c>
      <x:c r="F4097" s="24" t="n">
        <x:v>209.2</x:v>
      </x:c>
      <x:c r="G4097" t="str">
        <x:v>Spring</x:v>
      </x:c>
      <x:c r="H4097" t="str">
        <x:v>Card</x:v>
      </x:c>
      <x:c r="I4097" t="n">
        <x:v>4.3</x:v>
      </x:c>
      <x:c r="J4097" t="n">
        <x:v>6</x:v>
      </x:c>
      <x:c r="K4097" t="n">
        <x:v>3</x:v>
      </x:c>
      <x:c r="L4097" t="str">
        <x:v>STORE-001</x:v>
      </x:c>
      <x:c r="M4097" s="22" t="n">
        <x:v>46288</x:v>
      </x:c>
      <x:c r="N4097" t="str">
        <x:v>SKU-003</x:v>
      </x:c>
      <x:c r="O4097" t="n">
        <x:v>2</x:v>
      </x:c>
      <x:c r="P4097" s="26" t="n">
        <x:f>F4097/O4097</x:f>
        <x:v>104.6</x:v>
      </x:c>
    </x:row>
    <x:row r="4098">
      <x:c r="A4098" t="n">
        <x:v>4097</x:v>
      </x:c>
      <x:c r="B4098" t="n">
        <x:v>30</x:v>
      </x:c>
      <x:c r="C4098" t="str">
        <x:v>Female</x:v>
      </x:c>
      <x:c r="D4098" t="str">
        <x:v>Womens Clothing</x:v>
      </x:c>
      <x:c r="E4098" t="str">
        <x:v>Skirt</x:v>
      </x:c>
      <x:c r="F4098" s="24" t="n">
        <x:v>186.87</x:v>
      </x:c>
      <x:c r="G4098" t="str">
        <x:v>Winter</x:v>
      </x:c>
      <x:c r="H4098" t="str">
        <x:v>Card</x:v>
      </x:c>
      <x:c r="I4098" t="n">
        <x:v>2.6</x:v>
      </x:c>
      <x:c r="J4098" t="n">
        <x:v>4</x:v>
      </x:c>
      <x:c r="K4098" t="n">
        <x:v>2</x:v>
      </x:c>
      <x:c r="L4098" t="str">
        <x:v>STORE-001</x:v>
      </x:c>
      <x:c r="M4098" s="22" t="n">
        <x:v>46228</x:v>
      </x:c>
      <x:c r="N4098" t="str">
        <x:v>SKU-022</x:v>
      </x:c>
      <x:c r="O4098" t="n">
        <x:v>1</x:v>
      </x:c>
      <x:c r="P4098" s="26" t="n">
        <x:f>F4098/O4098</x:f>
        <x:v>186.87</x:v>
      </x:c>
    </x:row>
    <x:row r="4099">
      <x:c r="A4099" t="n">
        <x:v>4098</x:v>
      </x:c>
      <x:c r="B4099" t="n">
        <x:v>68</x:v>
      </x:c>
      <x:c r="C4099" t="str">
        <x:v>Female</x:v>
      </x:c>
      <x:c r="D4099" t="str">
        <x:v>Accessories</x:v>
      </x:c>
      <x:c r="E4099" t="str">
        <x:v>Wallet</x:v>
      </x:c>
      <x:c r="F4099" s="24" t="n">
        <x:v>150.12</x:v>
      </x:c>
      <x:c r="G4099" t="str">
        <x:v>Winter</x:v>
      </x:c>
      <x:c r="H4099" t="str">
        <x:v>Card</x:v>
      </x:c>
      <x:c r="I4099" t="n">
        <x:v>2.9</x:v>
      </x:c>
      <x:c r="J4099" t="n">
        <x:v>6</x:v>
      </x:c>
      <x:c r="K4099" t="n">
        <x:v>3</x:v>
      </x:c>
      <x:c r="L4099" t="str">
        <x:v>STORE-001</x:v>
      </x:c>
      <x:c r="M4099" s="22" t="n">
        <x:v>46225</x:v>
      </x:c>
      <x:c r="N4099" t="str">
        <x:v>SKU-029</x:v>
      </x:c>
      <x:c r="O4099" t="n">
        <x:v>4</x:v>
      </x:c>
      <x:c r="P4099" s="26" t="n">
        <x:f>F4099/O4099</x:f>
        <x:v>37.53</x:v>
      </x:c>
    </x:row>
    <x:row r="4100">
      <x:c r="A4100" t="n">
        <x:v>4099</x:v>
      </x:c>
      <x:c r="B4100" t="n">
        <x:v>26</x:v>
      </x:c>
      <x:c r="C4100" t="str">
        <x:v>Male</x:v>
      </x:c>
      <x:c r="D4100" t="str">
        <x:v>Mens Clothing</x:v>
      </x:c>
      <x:c r="E4100" t="str">
        <x:v>Jeans</x:v>
      </x:c>
      <x:c r="F4100" s="24" t="n">
        <x:v>119.13</x:v>
      </x:c>
      <x:c r="G4100" t="str">
        <x:v>Autumn</x:v>
      </x:c>
      <x:c r="H4100" t="str">
        <x:v>Card</x:v>
      </x:c>
      <x:c r="I4100" t="n">
        <x:v>4.5</x:v>
      </x:c>
      <x:c r="J4100" t="n">
        <x:v>6</x:v>
      </x:c>
      <x:c r="K4100" t="n">
        <x:v>3</x:v>
      </x:c>
      <x:c r="L4100" t="str">
        <x:v>STORE-001</x:v>
      </x:c>
      <x:c r="M4100" s="22" t="n">
        <x:v>46141</x:v>
      </x:c>
      <x:c r="N4100" t="str">
        <x:v>SKU-011</x:v>
      </x:c>
      <x:c r="O4100" t="n">
        <x:v>1</x:v>
      </x:c>
      <x:c r="P4100" s="26" t="n">
        <x:f>F4100/O4100</x:f>
        <x:v>119.13</x:v>
      </x:c>
    </x:row>
    <x:row r="4101">
      <x:c r="A4101" t="n">
        <x:v>4100</x:v>
      </x:c>
      <x:c r="B4101" t="n">
        <x:v>40</x:v>
      </x:c>
      <x:c r="C4101" t="str">
        <x:v>Male</x:v>
      </x:c>
      <x:c r="D4101" t="str">
        <x:v>Electronics</x:v>
      </x:c>
      <x:c r="E4101" t="str">
        <x:v>Laptop</x:v>
      </x:c>
      <x:c r="F4101" s="24" t="n">
        <x:v>2011.55</x:v>
      </x:c>
      <x:c r="G4101" t="str">
        <x:v>Winter</x:v>
      </x:c>
      <x:c r="H4101" t="str">
        <x:v>Card</x:v>
      </x:c>
      <x:c r="I4101" t="n">
        <x:v>3.8</x:v>
      </x:c>
      <x:c r="J4101" t="n">
        <x:v>10</x:v>
      </x:c>
      <x:c r="K4101" t="n">
        <x:v>5</x:v>
      </x:c>
      <x:c r="L4101" t="str">
        <x:v>STORE-001</x:v>
      </x:c>
      <x:c r="M4101" s="22" t="n">
        <x:v>46181</x:v>
      </x:c>
      <x:c r="N4101" t="str">
        <x:v>SKU-014</x:v>
      </x:c>
      <x:c r="O4101" t="n">
        <x:v>1</x:v>
      </x:c>
      <x:c r="P4101" s="26" t="n">
        <x:f>F4101/O4101</x:f>
        <x:v>2011.55</x:v>
      </x:c>
    </x:row>
    <x:row r="4102">
      <x:c r="A4102" t="n">
        <x:v>4101</x:v>
      </x:c>
      <x:c r="B4102" t="n">
        <x:v>65</x:v>
      </x:c>
      <x:c r="C4102" t="str">
        <x:v>Female</x:v>
      </x:c>
      <x:c r="D4102" t="str">
        <x:v>Accessories</x:v>
      </x:c>
      <x:c r="E4102" t="str">
        <x:v>Sunglasses</x:v>
      </x:c>
      <x:c r="F4102" s="24" t="n">
        <x:v>98.52</x:v>
      </x:c>
      <x:c r="G4102" t="str">
        <x:v>Summer</x:v>
      </x:c>
      <x:c r="H4102" t="str">
        <x:v>Cash on Delivery</x:v>
      </x:c>
      <x:c r="I4102" t="n">
        <x:v>5</x:v>
      </x:c>
      <x:c r="J4102" t="n">
        <x:v>12</x:v>
      </x:c>
      <x:c r="K4102" t="n">
        <x:v>6</x:v>
      </x:c>
      <x:c r="L4102" t="str">
        <x:v>STORE-001</x:v>
      </x:c>
      <x:c r="M4102" s="22" t="n">
        <x:v>46058</x:v>
      </x:c>
      <x:c r="N4102" t="str">
        <x:v>SKU-026</x:v>
      </x:c>
      <x:c r="O4102" t="n">
        <x:v>2</x:v>
      </x:c>
      <x:c r="P4102" s="26" t="n">
        <x:f>F4102/O4102</x:f>
        <x:v>49.26</x:v>
      </x:c>
    </x:row>
    <x:row r="4103">
      <x:c r="A4103" t="n">
        <x:v>4102</x:v>
      </x:c>
      <x:c r="B4103" t="n">
        <x:v>53</x:v>
      </x:c>
      <x:c r="C4103" t="str">
        <x:v>Male</x:v>
      </x:c>
      <x:c r="D4103" t="str">
        <x:v>Sports</x:v>
      </x:c>
      <x:c r="E4103" t="str">
        <x:v>Football</x:v>
      </x:c>
      <x:c r="F4103" s="24" t="n">
        <x:v>138.94</x:v>
      </x:c>
      <x:c r="G4103" t="str">
        <x:v>Autumn</x:v>
      </x:c>
      <x:c r="H4103" t="str">
        <x:v>Card</x:v>
      </x:c>
      <x:c r="I4103" t="n">
        <x:v>3.6</x:v>
      </x:c>
      <x:c r="J4103" t="n">
        <x:v>10</x:v>
      </x:c>
      <x:c r="K4103" t="n">
        <x:v>5</x:v>
      </x:c>
      <x:c r="L4103" t="str">
        <x:v>STORE-001</x:v>
      </x:c>
      <x:c r="M4103" s="22" t="n">
        <x:v>46087</x:v>
      </x:c>
      <x:c r="N4103" t="str">
        <x:v>SKU-006</x:v>
      </x:c>
      <x:c r="O4103" t="n">
        <x:v>1</x:v>
      </x:c>
      <x:c r="P4103" s="26" t="n">
        <x:f>F4103/O4103</x:f>
        <x:v>138.94</x:v>
      </x:c>
    </x:row>
    <x:row r="4104">
      <x:c r="A4104" t="n">
        <x:v>4103</x:v>
      </x:c>
      <x:c r="B4104" t="n">
        <x:v>60</x:v>
      </x:c>
      <x:c r="C4104" t="str">
        <x:v>Female</x:v>
      </x:c>
      <x:c r="D4104" t="str">
        <x:v>Accessories</x:v>
      </x:c>
      <x:c r="E4104" t="str">
        <x:v>Handbag</x:v>
      </x:c>
      <x:c r="F4104" s="24" t="n">
        <x:v>84.56</x:v>
      </x:c>
      <x:c r="G4104" t="str">
        <x:v>Spring</x:v>
      </x:c>
      <x:c r="H4104" t="str">
        <x:v>Cash on Delivery</x:v>
      </x:c>
      <x:c r="I4104" t="n">
        <x:v>3.5</x:v>
      </x:c>
      <x:c r="J4104" t="n">
        <x:v>22</x:v>
      </x:c>
      <x:c r="K4104" t="n">
        <x:v>6</x:v>
      </x:c>
      <x:c r="L4104" t="str">
        <x:v>STORE-001</x:v>
      </x:c>
      <x:c r="M4104" s="22" t="n">
        <x:v>45990</x:v>
      </x:c>
      <x:c r="N4104" t="str">
        <x:v>SKU-008</x:v>
      </x:c>
      <x:c r="O4104" t="n">
        <x:v>1</x:v>
      </x:c>
      <x:c r="P4104" s="26" t="n">
        <x:f>F4104/O4104</x:f>
        <x:v>84.56</x:v>
      </x:c>
    </x:row>
    <x:row r="4105">
      <x:c r="A4105" t="n">
        <x:v>4104</x:v>
      </x:c>
      <x:c r="B4105" t="n">
        <x:v>58</x:v>
      </x:c>
      <x:c r="C4105" t="str">
        <x:v>Female</x:v>
      </x:c>
      <x:c r="D4105" t="str">
        <x:v>Womens Clothing</x:v>
      </x:c>
      <x:c r="E4105" t="str">
        <x:v>Dress</x:v>
      </x:c>
      <x:c r="F4105" s="24" t="n">
        <x:v>71.76</x:v>
      </x:c>
      <x:c r="G4105" t="str">
        <x:v>Spring</x:v>
      </x:c>
      <x:c r="H4105" t="str">
        <x:v>Card</x:v>
      </x:c>
      <x:c r="I4105" t="n">
        <x:v>5</x:v>
      </x:c>
      <x:c r="J4105" t="n">
        <x:v>9</x:v>
      </x:c>
      <x:c r="K4105" t="n">
        <x:v>2</x:v>
      </x:c>
      <x:c r="L4105" t="str">
        <x:v>STORE-001</x:v>
      </x:c>
      <x:c r="M4105" s="22" t="n">
        <x:v>46268</x:v>
      </x:c>
      <x:c r="N4105" t="str">
        <x:v>SKU-004</x:v>
      </x:c>
      <x:c r="O4105" t="n">
        <x:v>1</x:v>
      </x:c>
      <x:c r="P4105" s="26" t="n">
        <x:f>F4105/O4105</x:f>
        <x:v>71.76</x:v>
      </x:c>
    </x:row>
    <x:row r="4106">
      <x:c r="A4106" t="n">
        <x:v>4105</x:v>
      </x:c>
      <x:c r="B4106" t="n">
        <x:v>47</x:v>
      </x:c>
      <x:c r="C4106" t="str">
        <x:v>Male</x:v>
      </x:c>
      <x:c r="D4106" t="str">
        <x:v>Electronics</x:v>
      </x:c>
      <x:c r="E4106" t="str">
        <x:v>Laptop</x:v>
      </x:c>
      <x:c r="F4106" s="24" t="n">
        <x:v>2924.57</x:v>
      </x:c>
      <x:c r="G4106" t="str">
        <x:v>Winter</x:v>
      </x:c>
      <x:c r="H4106" t="str">
        <x:v>Card</x:v>
      </x:c>
      <x:c r="I4106" t="n">
        <x:v>3.5</x:v>
      </x:c>
      <x:c r="J4106" t="n">
        <x:v>13</x:v>
      </x:c>
      <x:c r="K4106" t="n">
        <x:v>4</x:v>
      </x:c>
      <x:c r="L4106" t="str">
        <x:v>STORE-001</x:v>
      </x:c>
      <x:c r="M4106" s="22" t="n">
        <x:v>46211</x:v>
      </x:c>
      <x:c r="N4106" t="str">
        <x:v>SKU-014</x:v>
      </x:c>
      <x:c r="O4106" t="n">
        <x:v>1</x:v>
      </x:c>
      <x:c r="P4106" s="26" t="n">
        <x:f>F4106/O4106</x:f>
        <x:v>2924.57</x:v>
      </x:c>
    </x:row>
    <x:row r="4107">
      <x:c r="A4107" t="n">
        <x:v>4106</x:v>
      </x:c>
      <x:c r="B4107" t="n">
        <x:v>57</x:v>
      </x:c>
      <x:c r="C4107" t="str">
        <x:v>Female</x:v>
      </x:c>
      <x:c r="D4107" t="str">
        <x:v>Accessories</x:v>
      </x:c>
      <x:c r="E4107" t="str">
        <x:v>Handbag</x:v>
      </x:c>
      <x:c r="F4107" s="24" t="n">
        <x:v>96.5</x:v>
      </x:c>
      <x:c r="G4107" t="str">
        <x:v>Spring</x:v>
      </x:c>
      <x:c r="H4107" t="str">
        <x:v>Card</x:v>
      </x:c>
      <x:c r="I4107" t="n">
        <x:v>2.9</x:v>
      </x:c>
      <x:c r="J4107" t="n">
        <x:v>13</x:v>
      </x:c>
      <x:c r="K4107" t="n">
        <x:v>4</x:v>
      </x:c>
      <x:c r="L4107" t="str">
        <x:v>STORE-001</x:v>
      </x:c>
      <x:c r="M4107" s="22" t="n">
        <x:v>46295</x:v>
      </x:c>
      <x:c r="N4107" t="str">
        <x:v>SKU-008</x:v>
      </x:c>
      <x:c r="O4107" t="n">
        <x:v>3</x:v>
      </x:c>
      <x:c r="P4107" s="26" t="n">
        <x:f>F4107/O4107</x:f>
        <x:v>32.166666666666664</x:v>
      </x:c>
    </x:row>
    <x:row r="4108">
      <x:c r="A4108" t="n">
        <x:v>4107</x:v>
      </x:c>
      <x:c r="B4108" t="n">
        <x:v>62</x:v>
      </x:c>
      <x:c r="C4108" t="str">
        <x:v>Female</x:v>
      </x:c>
      <x:c r="D4108" t="str">
        <x:v>Footwear</x:v>
      </x:c>
      <x:c r="E4108" t="str">
        <x:v>Sneakers</x:v>
      </x:c>
      <x:c r="F4108" s="24" t="n">
        <x:v>93.71</x:v>
      </x:c>
      <x:c r="G4108" t="str">
        <x:v>Summer</x:v>
      </x:c>
      <x:c r="H4108" t="str">
        <x:v>Card</x:v>
      </x:c>
      <x:c r="I4108" t="n">
        <x:v>3.4</x:v>
      </x:c>
      <x:c r="J4108" t="n">
        <x:v>14</x:v>
      </x:c>
      <x:c r="K4108" t="n">
        <x:v>7</x:v>
      </x:c>
      <x:c r="L4108" t="str">
        <x:v>STORE-001</x:v>
      </x:c>
      <x:c r="M4108" s="22" t="n">
        <x:v>46041</x:v>
      </x:c>
      <x:c r="N4108" t="str">
        <x:v>SKU-025</x:v>
      </x:c>
      <x:c r="O4108" t="n">
        <x:v>1</x:v>
      </x:c>
      <x:c r="P4108" s="26" t="n">
        <x:f>F4108/O4108</x:f>
        <x:v>93.71</x:v>
      </x:c>
    </x:row>
    <x:row r="4109">
      <x:c r="A4109" t="n">
        <x:v>4108</x:v>
      </x:c>
      <x:c r="B4109" t="n">
        <x:v>59</x:v>
      </x:c>
      <x:c r="C4109" t="str">
        <x:v>Female</x:v>
      </x:c>
      <x:c r="D4109" t="str">
        <x:v>Womens Clothing</x:v>
      </x:c>
      <x:c r="E4109" t="str">
        <x:v>Dress</x:v>
      </x:c>
      <x:c r="F4109" s="24" t="n">
        <x:v>107.94</x:v>
      </x:c>
      <x:c r="G4109" t="str">
        <x:v>Winter</x:v>
      </x:c>
      <x:c r="H4109" t="str">
        <x:v>Card</x:v>
      </x:c>
      <x:c r="I4109" t="n">
        <x:v>3.5</x:v>
      </x:c>
      <x:c r="J4109" t="n">
        <x:v>10</x:v>
      </x:c>
      <x:c r="K4109" t="n">
        <x:v>5</x:v>
      </x:c>
      <x:c r="L4109" t="str">
        <x:v>STORE-001</x:v>
      </x:c>
      <x:c r="M4109" s="22" t="n">
        <x:v>46227</x:v>
      </x:c>
      <x:c r="N4109" t="str">
        <x:v>SKU-004</x:v>
      </x:c>
      <x:c r="O4109" t="n">
        <x:v>3</x:v>
      </x:c>
      <x:c r="P4109" s="26" t="n">
        <x:f>F4109/O4109</x:f>
        <x:v>35.98</x:v>
      </x:c>
    </x:row>
    <x:row r="4110">
      <x:c r="A4110" t="n">
        <x:v>4109</x:v>
      </x:c>
      <x:c r="B4110" t="n">
        <x:v>29</x:v>
      </x:c>
      <x:c r="C4110" t="str">
        <x:v>Male</x:v>
      </x:c>
      <x:c r="D4110" t="str">
        <x:v>Footwear</x:v>
      </x:c>
      <x:c r="E4110" t="str">
        <x:v>Sneakers</x:v>
      </x:c>
      <x:c r="F4110" s="24" t="n">
        <x:v>75.99</x:v>
      </x:c>
      <x:c r="G4110" t="str">
        <x:v>Spring</x:v>
      </x:c>
      <x:c r="H4110" t="str">
        <x:v>Cash on Delivery</x:v>
      </x:c>
      <x:c r="I4110" t="n">
        <x:v>4.6</x:v>
      </x:c>
      <x:c r="J4110" t="n">
        <x:v>18</x:v>
      </x:c>
      <x:c r="K4110" t="n">
        <x:v>4</x:v>
      </x:c>
      <x:c r="L4110" t="str">
        <x:v>STORE-001</x:v>
      </x:c>
      <x:c r="M4110" s="22" t="n">
        <x:v>45967</x:v>
      </x:c>
      <x:c r="N4110" t="str">
        <x:v>SKU-025</x:v>
      </x:c>
      <x:c r="O4110" t="n">
        <x:v>1</x:v>
      </x:c>
      <x:c r="P4110" s="26" t="n">
        <x:f>F4110/O4110</x:f>
        <x:v>75.99</x:v>
      </x:c>
    </x:row>
    <x:row r="4111">
      <x:c r="A4111" t="n">
        <x:v>4110</x:v>
      </x:c>
      <x:c r="B4111" t="n">
        <x:v>39</x:v>
      </x:c>
      <x:c r="C4111" t="str">
        <x:v>Female</x:v>
      </x:c>
      <x:c r="D4111" t="str">
        <x:v>Womens Clothing</x:v>
      </x:c>
      <x:c r="E4111" t="str">
        <x:v>Dress</x:v>
      </x:c>
      <x:c r="F4111" s="24" t="n">
        <x:v>154.17</x:v>
      </x:c>
      <x:c r="G4111" t="str">
        <x:v>Autumn</x:v>
      </x:c>
      <x:c r="H4111" t="str">
        <x:v>Card</x:v>
      </x:c>
      <x:c r="I4111" t="n">
        <x:v>4</x:v>
      </x:c>
      <x:c r="J4111" t="n">
        <x:v>23</x:v>
      </x:c>
      <x:c r="K4111" t="n">
        <x:v>9</x:v>
      </x:c>
      <x:c r="L4111" t="str">
        <x:v>STORE-001</x:v>
      </x:c>
      <x:c r="M4111" s="22" t="n">
        <x:v>46109</x:v>
      </x:c>
      <x:c r="N4111" t="str">
        <x:v>SKU-004</x:v>
      </x:c>
      <x:c r="O4111" t="n">
        <x:v>2</x:v>
      </x:c>
      <x:c r="P4111" s="26" t="n">
        <x:f>F4111/O4111</x:f>
        <x:v>77.085</x:v>
      </x:c>
    </x:row>
    <x:row r="4112">
      <x:c r="A4112" t="n">
        <x:v>4111</x:v>
      </x:c>
      <x:c r="B4112" t="n">
        <x:v>23</x:v>
      </x:c>
      <x:c r="C4112" t="str">
        <x:v>Female</x:v>
      </x:c>
      <x:c r="D4112" t="str">
        <x:v>Accessories</x:v>
      </x:c>
      <x:c r="E4112" t="str">
        <x:v>Handbag</x:v>
      </x:c>
      <x:c r="F4112" s="24" t="n">
        <x:v>100.67</x:v>
      </x:c>
      <x:c r="G4112" t="str">
        <x:v>Summer</x:v>
      </x:c>
      <x:c r="H4112" t="str">
        <x:v>Card</x:v>
      </x:c>
      <x:c r="I4112" t="n">
        <x:v>3.7</x:v>
      </x:c>
      <x:c r="J4112" t="n">
        <x:v>18</x:v>
      </x:c>
      <x:c r="K4112" t="n">
        <x:v>4</x:v>
      </x:c>
      <x:c r="L4112" t="str">
        <x:v>STORE-001</x:v>
      </x:c>
      <x:c r="M4112" s="22" t="n">
        <x:v>46032</x:v>
      </x:c>
      <x:c r="N4112" t="str">
        <x:v>SKU-008</x:v>
      </x:c>
      <x:c r="O4112" t="n">
        <x:v>4</x:v>
      </x:c>
      <x:c r="P4112" s="26" t="n">
        <x:f>F4112/O4112</x:f>
        <x:v>25.1675</x:v>
      </x:c>
    </x:row>
    <x:row r="4113">
      <x:c r="A4113" t="n">
        <x:v>4112</x:v>
      </x:c>
      <x:c r="B4113" t="n">
        <x:v>63</x:v>
      </x:c>
      <x:c r="C4113" t="str">
        <x:v>Female</x:v>
      </x:c>
      <x:c r="D4113" t="str">
        <x:v>Footwear</x:v>
      </x:c>
      <x:c r="E4113" t="str">
        <x:v>Sandals</x:v>
      </x:c>
      <x:c r="F4113" s="24" t="n">
        <x:v>116.77</x:v>
      </x:c>
      <x:c r="G4113" t="str">
        <x:v>Summer</x:v>
      </x:c>
      <x:c r="H4113" t="str">
        <x:v>Card</x:v>
      </x:c>
      <x:c r="I4113" t="n">
        <x:v>4.3</x:v>
      </x:c>
      <x:c r="J4113" t="n">
        <x:v>26</x:v>
      </x:c>
      <x:c r="K4113" t="n">
        <x:v>8</x:v>
      </x:c>
      <x:c r="L4113" t="str">
        <x:v>STORE-001</x:v>
      </x:c>
      <x:c r="M4113" s="22" t="n">
        <x:v>46070</x:v>
      </x:c>
      <x:c r="N4113" t="str">
        <x:v>SKU-019</x:v>
      </x:c>
      <x:c r="O4113" t="n">
        <x:v>1</x:v>
      </x:c>
      <x:c r="P4113" s="26" t="n">
        <x:f>F4113/O4113</x:f>
        <x:v>116.77</x:v>
      </x:c>
    </x:row>
    <x:row r="4114">
      <x:c r="A4114" t="n">
        <x:v>4113</x:v>
      </x:c>
      <x:c r="B4114" t="n">
        <x:v>38</x:v>
      </x:c>
      <x:c r="C4114" t="str">
        <x:v>Male</x:v>
      </x:c>
      <x:c r="D4114" t="str">
        <x:v>Footwear</x:v>
      </x:c>
      <x:c r="E4114" t="str">
        <x:v>Sandals</x:v>
      </x:c>
      <x:c r="F4114" s="24" t="n">
        <x:v>157.98</x:v>
      </x:c>
      <x:c r="G4114" t="str">
        <x:v>Summer</x:v>
      </x:c>
      <x:c r="H4114" t="str">
        <x:v>Card</x:v>
      </x:c>
      <x:c r="I4114" t="n">
        <x:v>4.9</x:v>
      </x:c>
      <x:c r="J4114" t="n">
        <x:v>22</x:v>
      </x:c>
      <x:c r="K4114" t="n">
        <x:v>6</x:v>
      </x:c>
      <x:c r="L4114" t="str">
        <x:v>STORE-001</x:v>
      </x:c>
      <x:c r="M4114" s="22" t="n">
        <x:v>46064</x:v>
      </x:c>
      <x:c r="N4114" t="str">
        <x:v>SKU-019</x:v>
      </x:c>
      <x:c r="O4114" t="n">
        <x:v>1</x:v>
      </x:c>
      <x:c r="P4114" s="26" t="n">
        <x:f>F4114/O4114</x:f>
        <x:v>157.98</x:v>
      </x:c>
    </x:row>
    <x:row r="4115">
      <x:c r="A4115" t="n">
        <x:v>4114</x:v>
      </x:c>
      <x:c r="B4115" t="n">
        <x:v>63</x:v>
      </x:c>
      <x:c r="C4115" t="str">
        <x:v>Female</x:v>
      </x:c>
      <x:c r="D4115" t="str">
        <x:v>Sports</x:v>
      </x:c>
      <x:c r="E4115" t="str">
        <x:v>Football</x:v>
      </x:c>
      <x:c r="F4115" s="24" t="n">
        <x:v>108.5</x:v>
      </x:c>
      <x:c r="G4115" t="str">
        <x:v>Autumn</x:v>
      </x:c>
      <x:c r="H4115" t="str">
        <x:v>Card</x:v>
      </x:c>
      <x:c r="I4115" t="n">
        <x:v>3.5</x:v>
      </x:c>
      <x:c r="J4115" t="n">
        <x:v>17</x:v>
      </x:c>
      <x:c r="K4115" t="n">
        <x:v>6</x:v>
      </x:c>
      <x:c r="L4115" t="str">
        <x:v>STORE-001</x:v>
      </x:c>
      <x:c r="M4115" s="22" t="n">
        <x:v>46142</x:v>
      </x:c>
      <x:c r="N4115" t="str">
        <x:v>SKU-006</x:v>
      </x:c>
      <x:c r="O4115" t="n">
        <x:v>3</x:v>
      </x:c>
      <x:c r="P4115" s="26" t="n">
        <x:f>F4115/O4115</x:f>
        <x:v>36.166666666666664</x:v>
      </x:c>
    </x:row>
    <x:row r="4116">
      <x:c r="A4116" t="n">
        <x:v>4115</x:v>
      </x:c>
      <x:c r="B4116" t="n">
        <x:v>44</x:v>
      </x:c>
      <x:c r="C4116" t="str">
        <x:v>Male</x:v>
      </x:c>
      <x:c r="D4116" t="str">
        <x:v>Footwear</x:v>
      </x:c>
      <x:c r="E4116" t="str">
        <x:v>Sneakers</x:v>
      </x:c>
      <x:c r="F4116" s="24" t="n">
        <x:v>45.36</x:v>
      </x:c>
      <x:c r="G4116" t="str">
        <x:v>Summer</x:v>
      </x:c>
      <x:c r="H4116" t="str">
        <x:v>Card</x:v>
      </x:c>
      <x:c r="I4116" t="n">
        <x:v>3</x:v>
      </x:c>
      <x:c r="J4116" t="n">
        <x:v>28</x:v>
      </x:c>
      <x:c r="K4116" t="n">
        <x:v>9</x:v>
      </x:c>
      <x:c r="L4116" t="str">
        <x:v>STORE-001</x:v>
      </x:c>
      <x:c r="M4116" s="22" t="n">
        <x:v>46070</x:v>
      </x:c>
      <x:c r="N4116" t="str">
        <x:v>SKU-025</x:v>
      </x:c>
      <x:c r="O4116" t="n">
        <x:v>1</x:v>
      </x:c>
      <x:c r="P4116" s="26" t="n">
        <x:f>F4116/O4116</x:f>
        <x:v>45.36</x:v>
      </x:c>
    </x:row>
    <x:row r="4117">
      <x:c r="A4117" t="n">
        <x:v>4116</x:v>
      </x:c>
      <x:c r="B4117" t="n">
        <x:v>68</x:v>
      </x:c>
      <x:c r="C4117" t="str">
        <x:v>Male</x:v>
      </x:c>
      <x:c r="D4117" t="str">
        <x:v>Mens Clothing</x:v>
      </x:c>
      <x:c r="E4117" t="str">
        <x:v>Jeans</x:v>
      </x:c>
      <x:c r="F4117" s="24" t="n">
        <x:v>185.02</x:v>
      </x:c>
      <x:c r="G4117" t="str">
        <x:v>Autumn</x:v>
      </x:c>
      <x:c r="H4117" t="str">
        <x:v>Card</x:v>
      </x:c>
      <x:c r="I4117" t="n">
        <x:v>3.8</x:v>
      </x:c>
      <x:c r="J4117" t="n">
        <x:v>14</x:v>
      </x:c>
      <x:c r="K4117" t="n">
        <x:v>2</x:v>
      </x:c>
      <x:c r="L4117" t="str">
        <x:v>STORE-001</x:v>
      </x:c>
      <x:c r="M4117" s="22" t="n">
        <x:v>46102</x:v>
      </x:c>
      <x:c r="N4117" t="str">
        <x:v>SKU-011</x:v>
      </x:c>
      <x:c r="O4117" t="n">
        <x:v>1</x:v>
      </x:c>
      <x:c r="P4117" s="26" t="n">
        <x:f>F4117/O4117</x:f>
        <x:v>185.02</x:v>
      </x:c>
    </x:row>
    <x:row r="4118">
      <x:c r="A4118" t="n">
        <x:v>4117</x:v>
      </x:c>
      <x:c r="B4118" t="n">
        <x:v>63</x:v>
      </x:c>
      <x:c r="C4118" t="str">
        <x:v>Female</x:v>
      </x:c>
      <x:c r="D4118" t="str">
        <x:v>Womens Clothing</x:v>
      </x:c>
      <x:c r="E4118" t="str">
        <x:v>Jeans</x:v>
      </x:c>
      <x:c r="F4118" s="24" t="n">
        <x:v>44.04</x:v>
      </x:c>
      <x:c r="G4118" t="str">
        <x:v>Winter</x:v>
      </x:c>
      <x:c r="H4118" t="str">
        <x:v>Card</x:v>
      </x:c>
      <x:c r="I4118" t="n">
        <x:v>5</x:v>
      </x:c>
      <x:c r="J4118" t="n">
        <x:v>16</x:v>
      </x:c>
      <x:c r="K4118" t="n">
        <x:v>3</x:v>
      </x:c>
      <x:c r="L4118" t="str">
        <x:v>STORE-001</x:v>
      </x:c>
      <x:c r="M4118" s="22" t="n">
        <x:v>46248</x:v>
      </x:c>
      <x:c r="N4118" t="str">
        <x:v>SKU-011</x:v>
      </x:c>
      <x:c r="O4118" t="n">
        <x:v>2</x:v>
      </x:c>
      <x:c r="P4118" s="26" t="n">
        <x:f>F4118/O4118</x:f>
        <x:v>22.02</x:v>
      </x:c>
    </x:row>
    <x:row r="4119">
      <x:c r="A4119" t="n">
        <x:v>4118</x:v>
      </x:c>
      <x:c r="B4119" t="n">
        <x:v>27</x:v>
      </x:c>
      <x:c r="C4119" t="str">
        <x:v>Male</x:v>
      </x:c>
      <x:c r="D4119" t="str">
        <x:v>Sports</x:v>
      </x:c>
      <x:c r="E4119" t="str">
        <x:v>Dumbbells</x:v>
      </x:c>
      <x:c r="F4119" s="24" t="n">
        <x:v>100.08</x:v>
      </x:c>
      <x:c r="G4119" t="str">
        <x:v>Spring</x:v>
      </x:c>
      <x:c r="H4119" t="str">
        <x:v>Card</x:v>
      </x:c>
      <x:c r="I4119" t="n">
        <x:v>3.6</x:v>
      </x:c>
      <x:c r="J4119" t="n">
        <x:v>5</x:v>
      </x:c>
      <x:c r="K4119" t="n">
        <x:v>0</x:v>
      </x:c>
      <x:c r="L4119" t="str">
        <x:v>STORE-001</x:v>
      </x:c>
      <x:c r="M4119" s="22" t="n">
        <x:v>46274</x:v>
      </x:c>
      <x:c r="N4119" t="str">
        <x:v>SKU-005</x:v>
      </x:c>
      <x:c r="O4119" t="n">
        <x:v>2</x:v>
      </x:c>
      <x:c r="P4119" s="26" t="n">
        <x:f>F4119/O4119</x:f>
        <x:v>50.04</x:v>
      </x:c>
    </x:row>
    <x:row r="4120">
      <x:c r="A4120" t="n">
        <x:v>4119</x:v>
      </x:c>
      <x:c r="B4120" t="n">
        <x:v>49</x:v>
      </x:c>
      <x:c r="C4120" t="str">
        <x:v>Female</x:v>
      </x:c>
      <x:c r="D4120" t="str">
        <x:v>Sports</x:v>
      </x:c>
      <x:c r="E4120" t="str">
        <x:v>Yoga Mat</x:v>
      </x:c>
      <x:c r="F4120" s="24" t="n">
        <x:v>107.29</x:v>
      </x:c>
      <x:c r="G4120" t="str">
        <x:v>Winter</x:v>
      </x:c>
      <x:c r="H4120" t="str">
        <x:v>Card</x:v>
      </x:c>
      <x:c r="I4120" t="n">
        <x:v>3.8</x:v>
      </x:c>
      <x:c r="J4120" t="n">
        <x:v>16</x:v>
      </x:c>
      <x:c r="K4120" t="n">
        <x:v>8</x:v>
      </x:c>
      <x:c r="L4120" t="str">
        <x:v>STORE-001</x:v>
      </x:c>
      <x:c r="M4120" s="22" t="n">
        <x:v>46187</x:v>
      </x:c>
      <x:c r="N4120" t="str">
        <x:v>SKU-030</x:v>
      </x:c>
      <x:c r="O4120" t="n">
        <x:v>1</x:v>
      </x:c>
      <x:c r="P4120" s="26" t="n">
        <x:f>F4120/O4120</x:f>
        <x:v>107.29</x:v>
      </x:c>
    </x:row>
    <x:row r="4121">
      <x:c r="A4121" t="n">
        <x:v>4120</x:v>
      </x:c>
      <x:c r="B4121" t="n">
        <x:v>43</x:v>
      </x:c>
      <x:c r="C4121" t="str">
        <x:v>Female</x:v>
      </x:c>
      <x:c r="D4121" t="str">
        <x:v>Home</x:v>
      </x:c>
      <x:c r="E4121" t="str">
        <x:v>Kitchen Set</x:v>
      </x:c>
      <x:c r="F4121" s="24" t="n">
        <x:v>163.18</x:v>
      </x:c>
      <x:c r="G4121" t="str">
        <x:v>Summer</x:v>
      </x:c>
      <x:c r="H4121" t="str">
        <x:v>Card</x:v>
      </x:c>
      <x:c r="I4121" t="n">
        <x:v>5</x:v>
      </x:c>
      <x:c r="J4121" t="n">
        <x:v>6</x:v>
      </x:c>
      <x:c r="K4121" t="n">
        <x:v>3</x:v>
      </x:c>
      <x:c r="L4121" t="str">
        <x:v>STORE-001</x:v>
      </x:c>
      <x:c r="M4121" s="22" t="n">
        <x:v>46051</x:v>
      </x:c>
      <x:c r="N4121" t="str">
        <x:v>SKU-012</x:v>
      </x:c>
      <x:c r="O4121" t="n">
        <x:v>1</x:v>
      </x:c>
      <x:c r="P4121" s="26" t="n">
        <x:f>F4121/O4121</x:f>
        <x:v>163.18</x:v>
      </x:c>
    </x:row>
    <x:row r="4122">
      <x:c r="A4122" t="n">
        <x:v>4121</x:v>
      </x:c>
      <x:c r="B4122" t="n">
        <x:v>67</x:v>
      </x:c>
      <x:c r="C4122" t="str">
        <x:v>Female</x:v>
      </x:c>
      <x:c r="D4122" t="str">
        <x:v>Beauty</x:v>
      </x:c>
      <x:c r="E4122" t="str">
        <x:v>Perfume</x:v>
      </x:c>
      <x:c r="F4122" s="24" t="n">
        <x:v>58.38</x:v>
      </x:c>
      <x:c r="G4122" t="str">
        <x:v>Summer</x:v>
      </x:c>
      <x:c r="H4122" t="str">
        <x:v>Card</x:v>
      </x:c>
      <x:c r="I4122" t="n">
        <x:v>4</x:v>
      </x:c>
      <x:c r="J4122" t="n">
        <x:v>12</x:v>
      </x:c>
      <x:c r="K4122" t="n">
        <x:v>6</x:v>
      </x:c>
      <x:c r="L4122" t="str">
        <x:v>STORE-001</x:v>
      </x:c>
      <x:c r="M4122" s="22" t="n">
        <x:v>46048</x:v>
      </x:c>
      <x:c r="N4122" t="str">
        <x:v>SKU-017</x:v>
      </x:c>
      <x:c r="O4122" t="n">
        <x:v>1</x:v>
      </x:c>
      <x:c r="P4122" s="26" t="n">
        <x:f>F4122/O4122</x:f>
        <x:v>58.38</x:v>
      </x:c>
    </x:row>
    <x:row r="4123">
      <x:c r="A4123" t="n">
        <x:v>4122</x:v>
      </x:c>
      <x:c r="B4123" t="n">
        <x:v>69</x:v>
      </x:c>
      <x:c r="C4123" t="str">
        <x:v>Male</x:v>
      </x:c>
      <x:c r="D4123" t="str">
        <x:v>Sports</x:v>
      </x:c>
      <x:c r="E4123" t="str">
        <x:v>Football</x:v>
      </x:c>
      <x:c r="F4123" s="24" t="n">
        <x:v>169.84</x:v>
      </x:c>
      <x:c r="G4123" t="str">
        <x:v>Spring</x:v>
      </x:c>
      <x:c r="H4123" t="str">
        <x:v>Card</x:v>
      </x:c>
      <x:c r="I4123" t="n">
        <x:v>3.5</x:v>
      </x:c>
      <x:c r="J4123" t="n">
        <x:v>18</x:v>
      </x:c>
      <x:c r="K4123" t="n">
        <x:v>4</x:v>
      </x:c>
      <x:c r="L4123" t="str">
        <x:v>STORE-001</x:v>
      </x:c>
      <x:c r="M4123" s="22" t="n">
        <x:v>46293</x:v>
      </x:c>
      <x:c r="N4123" t="str">
        <x:v>SKU-006</x:v>
      </x:c>
      <x:c r="O4123" t="n">
        <x:v>3</x:v>
      </x:c>
      <x:c r="P4123" s="26" t="n">
        <x:f>F4123/O4123</x:f>
        <x:v>56.61333333333334</x:v>
      </x:c>
    </x:row>
    <x:row r="4124">
      <x:c r="A4124" t="n">
        <x:v>4123</x:v>
      </x:c>
      <x:c r="B4124" t="n">
        <x:v>20</x:v>
      </x:c>
      <x:c r="C4124" t="str">
        <x:v>Female</x:v>
      </x:c>
      <x:c r="D4124" t="str">
        <x:v>Accessories</x:v>
      </x:c>
      <x:c r="E4124" t="str">
        <x:v>Sunglasses</x:v>
      </x:c>
      <x:c r="F4124" s="24" t="n">
        <x:v>145.22</x:v>
      </x:c>
      <x:c r="G4124" t="str">
        <x:v>Autumn</x:v>
      </x:c>
      <x:c r="H4124" t="str">
        <x:v>Card</x:v>
      </x:c>
      <x:c r="I4124" t="n">
        <x:v>3.8</x:v>
      </x:c>
      <x:c r="J4124" t="n">
        <x:v>20</x:v>
      </x:c>
      <x:c r="K4124" t="n">
        <x:v>5</x:v>
      </x:c>
      <x:c r="L4124" t="str">
        <x:v>STORE-001</x:v>
      </x:c>
      <x:c r="M4124" s="22" t="n">
        <x:v>46166</x:v>
      </x:c>
      <x:c r="N4124" t="str">
        <x:v>SKU-026</x:v>
      </x:c>
      <x:c r="O4124" t="n">
        <x:v>1</x:v>
      </x:c>
      <x:c r="P4124" s="26" t="n">
        <x:f>F4124/O4124</x:f>
        <x:v>145.22</x:v>
      </x:c>
    </x:row>
    <x:row r="4125">
      <x:c r="A4125" t="n">
        <x:v>4124</x:v>
      </x:c>
      <x:c r="B4125" t="n">
        <x:v>31</x:v>
      </x:c>
      <x:c r="C4125" t="str">
        <x:v>Male</x:v>
      </x:c>
      <x:c r="D4125" t="str">
        <x:v>Sports</x:v>
      </x:c>
      <x:c r="E4125" t="str">
        <x:v>Football</x:v>
      </x:c>
      <x:c r="F4125" s="24" t="n">
        <x:v>117.9</x:v>
      </x:c>
      <x:c r="G4125" t="str">
        <x:v>Winter</x:v>
      </x:c>
      <x:c r="H4125" t="str">
        <x:v>Card</x:v>
      </x:c>
      <x:c r="I4125" t="n">
        <x:v>4.6</x:v>
      </x:c>
      <x:c r="J4125" t="n">
        <x:v>24</x:v>
      </x:c>
      <x:c r="K4125" t="n">
        <x:v>7</x:v>
      </x:c>
      <x:c r="L4125" t="str">
        <x:v>STORE-001</x:v>
      </x:c>
      <x:c r="M4125" s="22" t="n">
        <x:v>46249</x:v>
      </x:c>
      <x:c r="N4125" t="str">
        <x:v>SKU-006</x:v>
      </x:c>
      <x:c r="O4125" t="n">
        <x:v>3</x:v>
      </x:c>
      <x:c r="P4125" s="26" t="n">
        <x:f>F4125/O4125</x:f>
        <x:v>39.300000000000004</x:v>
      </x:c>
    </x:row>
    <x:row r="4126">
      <x:c r="A4126" t="n">
        <x:v>4125</x:v>
      </x:c>
      <x:c r="B4126" t="n">
        <x:v>23</x:v>
      </x:c>
      <x:c r="C4126" t="str">
        <x:v>Female</x:v>
      </x:c>
      <x:c r="D4126" t="str">
        <x:v>Footwear</x:v>
      </x:c>
      <x:c r="E4126" t="str">
        <x:v>Sandals</x:v>
      </x:c>
      <x:c r="F4126" s="24" t="n">
        <x:v>92.07</x:v>
      </x:c>
      <x:c r="G4126" t="str">
        <x:v>Spring</x:v>
      </x:c>
      <x:c r="H4126" t="str">
        <x:v>Card</x:v>
      </x:c>
      <x:c r="I4126" t="n">
        <x:v>3.2</x:v>
      </x:c>
      <x:c r="J4126" t="n">
        <x:v>18</x:v>
      </x:c>
      <x:c r="K4126" t="n">
        <x:v>4</x:v>
      </x:c>
      <x:c r="L4126" t="str">
        <x:v>STORE-001</x:v>
      </x:c>
      <x:c r="M4126" s="22" t="n">
        <x:v>45943</x:v>
      </x:c>
      <x:c r="N4126" t="str">
        <x:v>SKU-019</x:v>
      </x:c>
      <x:c r="O4126" t="n">
        <x:v>1</x:v>
      </x:c>
      <x:c r="P4126" s="26" t="n">
        <x:f>F4126/O4126</x:f>
        <x:v>92.07</x:v>
      </x:c>
    </x:row>
    <x:row r="4127">
      <x:c r="A4127" t="n">
        <x:v>4126</x:v>
      </x:c>
      <x:c r="B4127" t="n">
        <x:v>33</x:v>
      </x:c>
      <x:c r="C4127" t="str">
        <x:v>Female</x:v>
      </x:c>
      <x:c r="D4127" t="str">
        <x:v>Womens Clothing</x:v>
      </x:c>
      <x:c r="E4127" t="str">
        <x:v>Skirt</x:v>
      </x:c>
      <x:c r="F4127" s="24" t="n">
        <x:v>133.31</x:v>
      </x:c>
      <x:c r="G4127" t="str">
        <x:v>Summer</x:v>
      </x:c>
      <x:c r="H4127" t="str">
        <x:v>Card</x:v>
      </x:c>
      <x:c r="I4127" t="n">
        <x:v>2.9</x:v>
      </x:c>
      <x:c r="J4127" t="n">
        <x:v>4</x:v>
      </x:c>
      <x:c r="K4127" t="n">
        <x:v>2</x:v>
      </x:c>
      <x:c r="L4127" t="str">
        <x:v>STORE-001</x:v>
      </x:c>
      <x:c r="M4127" s="22" t="n">
        <x:v>46059</x:v>
      </x:c>
      <x:c r="N4127" t="str">
        <x:v>SKU-022</x:v>
      </x:c>
      <x:c r="O4127" t="n">
        <x:v>1</x:v>
      </x:c>
      <x:c r="P4127" s="26" t="n">
        <x:f>F4127/O4127</x:f>
        <x:v>133.31</x:v>
      </x:c>
    </x:row>
    <x:row r="4128">
      <x:c r="A4128" t="n">
        <x:v>4127</x:v>
      </x:c>
      <x:c r="B4128" t="n">
        <x:v>22</x:v>
      </x:c>
      <x:c r="C4128" t="str">
        <x:v>Female</x:v>
      </x:c>
      <x:c r="D4128" t="str">
        <x:v>Accessories</x:v>
      </x:c>
      <x:c r="E4128" t="str">
        <x:v>Wallet</x:v>
      </x:c>
      <x:c r="F4128" s="24" t="n">
        <x:v>77.07</x:v>
      </x:c>
      <x:c r="G4128" t="str">
        <x:v>Spring</x:v>
      </x:c>
      <x:c r="H4128" t="str">
        <x:v>Card</x:v>
      </x:c>
      <x:c r="I4128" t="n">
        <x:v>4.7</x:v>
      </x:c>
      <x:c r="J4128" t="n">
        <x:v>18</x:v>
      </x:c>
      <x:c r="K4128" t="n">
        <x:v>4</x:v>
      </x:c>
      <x:c r="L4128" t="str">
        <x:v>STORE-001</x:v>
      </x:c>
      <x:c r="M4128" s="22" t="n">
        <x:v>46274</x:v>
      </x:c>
      <x:c r="N4128" t="str">
        <x:v>SKU-029</x:v>
      </x:c>
      <x:c r="O4128" t="n">
        <x:v>1</x:v>
      </x:c>
      <x:c r="P4128" s="26" t="n">
        <x:f>F4128/O4128</x:f>
        <x:v>77.07</x:v>
      </x:c>
    </x:row>
    <x:row r="4129">
      <x:c r="A4129" t="n">
        <x:v>4128</x:v>
      </x:c>
      <x:c r="B4129" t="n">
        <x:v>45</x:v>
      </x:c>
      <x:c r="C4129" t="str">
        <x:v>Female</x:v>
      </x:c>
      <x:c r="D4129" t="str">
        <x:v>Groceries</x:v>
      </x:c>
      <x:c r="E4129" t="str">
        <x:v>Cooking Oil</x:v>
      </x:c>
      <x:c r="F4129" s="24" t="n">
        <x:v>60.2</x:v>
      </x:c>
      <x:c r="G4129" t="str">
        <x:v>Winter</x:v>
      </x:c>
      <x:c r="H4129" t="str">
        <x:v>Card</x:v>
      </x:c>
      <x:c r="I4129" t="n">
        <x:v>3.3</x:v>
      </x:c>
      <x:c r="J4129" t="n">
        <x:v>10</x:v>
      </x:c>
      <x:c r="K4129" t="n">
        <x:v>5</x:v>
      </x:c>
      <x:c r="L4129" t="str">
        <x:v>STORE-001</x:v>
      </x:c>
      <x:c r="M4129" s="22" t="n">
        <x:v>46182</x:v>
      </x:c>
      <x:c r="N4129" t="str">
        <x:v>SKU-002</x:v>
      </x:c>
      <x:c r="O4129" t="n">
        <x:v>2</x:v>
      </x:c>
      <x:c r="P4129" s="26" t="n">
        <x:f>F4129/O4129</x:f>
        <x:v>30.1</x:v>
      </x:c>
    </x:row>
    <x:row r="4130">
      <x:c r="A4130" t="n">
        <x:v>4129</x:v>
      </x:c>
      <x:c r="B4130" t="n">
        <x:v>39</x:v>
      </x:c>
      <x:c r="C4130" t="str">
        <x:v>Female</x:v>
      </x:c>
      <x:c r="D4130" t="str">
        <x:v>Footwear</x:v>
      </x:c>
      <x:c r="E4130" t="str">
        <x:v>Formal Shoes</x:v>
      </x:c>
      <x:c r="F4130" s="24" t="n">
        <x:v>113.87</x:v>
      </x:c>
      <x:c r="G4130" t="str">
        <x:v>Spring</x:v>
      </x:c>
      <x:c r="H4130" t="str">
        <x:v>Card</x:v>
      </x:c>
      <x:c r="I4130" t="n">
        <x:v>4.3</x:v>
      </x:c>
      <x:c r="J4130" t="n">
        <x:v>8</x:v>
      </x:c>
      <x:c r="K4130" t="n">
        <x:v>4</x:v>
      </x:c>
      <x:c r="L4130" t="str">
        <x:v>STORE-001</x:v>
      </x:c>
      <x:c r="M4130" s="22" t="n">
        <x:v>45955</x:v>
      </x:c>
      <x:c r="N4130" t="str">
        <x:v>SKU-007</x:v>
      </x:c>
      <x:c r="O4130" t="n">
        <x:v>1</x:v>
      </x:c>
      <x:c r="P4130" s="26" t="n">
        <x:f>F4130/O4130</x:f>
        <x:v>113.87</x:v>
      </x:c>
    </x:row>
    <x:row r="4131">
      <x:c r="A4131" t="n">
        <x:v>4130</x:v>
      </x:c>
      <x:c r="B4131" t="n">
        <x:v>43</x:v>
      </x:c>
      <x:c r="C4131" t="str">
        <x:v>Male</x:v>
      </x:c>
      <x:c r="D4131" t="str">
        <x:v>Mens Clothing</x:v>
      </x:c>
      <x:c r="E4131" t="str">
        <x:v>T-Shirt</x:v>
      </x:c>
      <x:c r="F4131" s="24" t="n">
        <x:v>143.99</x:v>
      </x:c>
      <x:c r="G4131" t="str">
        <x:v>Winter</x:v>
      </x:c>
      <x:c r="H4131" t="str">
        <x:v>Card</x:v>
      </x:c>
      <x:c r="I4131" t="n">
        <x:v>4</x:v>
      </x:c>
      <x:c r="J4131" t="n">
        <x:v>23</x:v>
      </x:c>
      <x:c r="K4131" t="n">
        <x:v>9</x:v>
      </x:c>
      <x:c r="L4131" t="str">
        <x:v>STORE-001</x:v>
      </x:c>
      <x:c r="M4131" s="22" t="n">
        <x:v>46209</x:v>
      </x:c>
      <x:c r="N4131" t="str">
        <x:v>SKU-027</x:v>
      </x:c>
      <x:c r="O4131" t="n">
        <x:v>1</x:v>
      </x:c>
      <x:c r="P4131" s="26" t="n">
        <x:f>F4131/O4131</x:f>
        <x:v>143.99</x:v>
      </x:c>
    </x:row>
    <x:row r="4132">
      <x:c r="A4132" t="n">
        <x:v>4131</x:v>
      </x:c>
      <x:c r="B4132" t="n">
        <x:v>50</x:v>
      </x:c>
      <x:c r="C4132" t="str">
        <x:v>Male</x:v>
      </x:c>
      <x:c r="D4132" t="str">
        <x:v>Mens Clothing</x:v>
      </x:c>
      <x:c r="E4132" t="str">
        <x:v>Shirt</x:v>
      </x:c>
      <x:c r="F4132" s="24" t="n">
        <x:v>131.03</x:v>
      </x:c>
      <x:c r="G4132" t="str">
        <x:v>Autumn</x:v>
      </x:c>
      <x:c r="H4132" t="str">
        <x:v>Card</x:v>
      </x:c>
      <x:c r="I4132" t="n">
        <x:v>3.3</x:v>
      </x:c>
      <x:c r="J4132" t="n">
        <x:v>24</x:v>
      </x:c>
      <x:c r="K4132" t="n">
        <x:v>7</x:v>
      </x:c>
      <x:c r="L4132" t="str">
        <x:v>STORE-001</x:v>
      </x:c>
      <x:c r="M4132" s="22" t="n">
        <x:v>46135</x:v>
      </x:c>
      <x:c r="N4132" t="str">
        <x:v>SKU-020</x:v>
      </x:c>
      <x:c r="O4132" t="n">
        <x:v>2</x:v>
      </x:c>
      <x:c r="P4132" s="26" t="n">
        <x:f>F4132/O4132</x:f>
        <x:v>65.515</x:v>
      </x:c>
    </x:row>
    <x:row r="4133">
      <x:c r="A4133" t="n">
        <x:v>4132</x:v>
      </x:c>
      <x:c r="B4133" t="n">
        <x:v>54</x:v>
      </x:c>
      <x:c r="C4133" t="str">
        <x:v>Female</x:v>
      </x:c>
      <x:c r="D4133" t="str">
        <x:v>Womens Clothing</x:v>
      </x:c>
      <x:c r="E4133" t="str">
        <x:v>Dress</x:v>
      </x:c>
      <x:c r="F4133" s="24" t="n">
        <x:v>197.73</x:v>
      </x:c>
      <x:c r="G4133" t="str">
        <x:v>Summer</x:v>
      </x:c>
      <x:c r="H4133" t="str">
        <x:v>Card</x:v>
      </x:c>
      <x:c r="I4133" t="n">
        <x:v>5</x:v>
      </x:c>
      <x:c r="J4133" t="n">
        <x:v>10</x:v>
      </x:c>
      <x:c r="K4133" t="n">
        <x:v>5</x:v>
      </x:c>
      <x:c r="L4133" t="str">
        <x:v>STORE-001</x:v>
      </x:c>
      <x:c r="M4133" s="22" t="n">
        <x:v>46068</x:v>
      </x:c>
      <x:c r="N4133" t="str">
        <x:v>SKU-004</x:v>
      </x:c>
      <x:c r="O4133" t="n">
        <x:v>1</x:v>
      </x:c>
      <x:c r="P4133" s="26" t="n">
        <x:f>F4133/O4133</x:f>
        <x:v>197.73</x:v>
      </x:c>
    </x:row>
    <x:row r="4134">
      <x:c r="A4134" t="n">
        <x:v>4133</x:v>
      </x:c>
      <x:c r="B4134" t="n">
        <x:v>46</x:v>
      </x:c>
      <x:c r="C4134" t="str">
        <x:v>Female</x:v>
      </x:c>
      <x:c r="D4134" t="str">
        <x:v>Footwear</x:v>
      </x:c>
      <x:c r="E4134" t="str">
        <x:v>Sandals</x:v>
      </x:c>
      <x:c r="F4134" s="24" t="n">
        <x:v>40.76</x:v>
      </x:c>
      <x:c r="G4134" t="str">
        <x:v>Autumn</x:v>
      </x:c>
      <x:c r="H4134" t="str">
        <x:v>Cash on Delivery</x:v>
      </x:c>
      <x:c r="I4134" t="n">
        <x:v>4.7</x:v>
      </x:c>
      <x:c r="J4134" t="n">
        <x:v>2</x:v>
      </x:c>
      <x:c r="K4134" t="n">
        <x:v>1</x:v>
      </x:c>
      <x:c r="L4134" t="str">
        <x:v>STORE-001</x:v>
      </x:c>
      <x:c r="M4134" s="22" t="n">
        <x:v>46097</x:v>
      </x:c>
      <x:c r="N4134" t="str">
        <x:v>SKU-019</x:v>
      </x:c>
      <x:c r="O4134" t="n">
        <x:v>1</x:v>
      </x:c>
      <x:c r="P4134" s="26" t="n">
        <x:f>F4134/O4134</x:f>
        <x:v>40.76</x:v>
      </x:c>
    </x:row>
    <x:row r="4135">
      <x:c r="A4135" t="n">
        <x:v>4134</x:v>
      </x:c>
      <x:c r="B4135" t="n">
        <x:v>65</x:v>
      </x:c>
      <x:c r="C4135" t="str">
        <x:v>Female</x:v>
      </x:c>
      <x:c r="D4135" t="str">
        <x:v>Beauty</x:v>
      </x:c>
      <x:c r="E4135" t="str">
        <x:v>Makeup Set</x:v>
      </x:c>
      <x:c r="F4135" s="24" t="n">
        <x:v>74.68</x:v>
      </x:c>
      <x:c r="G4135" t="str">
        <x:v>Spring</x:v>
      </x:c>
      <x:c r="H4135" t="str">
        <x:v>Card</x:v>
      </x:c>
      <x:c r="I4135" t="n">
        <x:v>4.1</x:v>
      </x:c>
      <x:c r="J4135" t="n">
        <x:v>18</x:v>
      </x:c>
      <x:c r="K4135" t="n">
        <x:v>9</x:v>
      </x:c>
      <x:c r="L4135" t="str">
        <x:v>STORE-001</x:v>
      </x:c>
      <x:c r="M4135" s="22" t="n">
        <x:v>45938</x:v>
      </x:c>
      <x:c r="N4135" t="str">
        <x:v>SKU-015</x:v>
      </x:c>
      <x:c r="O4135" t="n">
        <x:v>2</x:v>
      </x:c>
      <x:c r="P4135" s="26" t="n">
        <x:f>F4135/O4135</x:f>
        <x:v>37.34</x:v>
      </x:c>
    </x:row>
    <x:row r="4136">
      <x:c r="A4136" t="n">
        <x:v>4135</x:v>
      </x:c>
      <x:c r="B4136" t="n">
        <x:v>27</x:v>
      </x:c>
      <x:c r="C4136" t="str">
        <x:v>Female</x:v>
      </x:c>
      <x:c r="D4136" t="str">
        <x:v>Beauty</x:v>
      </x:c>
      <x:c r="E4136" t="str">
        <x:v>Makeup Set</x:v>
      </x:c>
      <x:c r="F4136" s="24" t="n">
        <x:v>117.55</x:v>
      </x:c>
      <x:c r="G4136" t="str">
        <x:v>Autumn</x:v>
      </x:c>
      <x:c r="H4136" t="str">
        <x:v>Card</x:v>
      </x:c>
      <x:c r="I4136" t="n">
        <x:v>3.2</x:v>
      </x:c>
      <x:c r="J4136" t="n">
        <x:v>11</x:v>
      </x:c>
      <x:c r="K4136" t="n">
        <x:v>3</x:v>
      </x:c>
      <x:c r="L4136" t="str">
        <x:v>STORE-001</x:v>
      </x:c>
      <x:c r="M4136" s="22" t="n">
        <x:v>46154</x:v>
      </x:c>
      <x:c r="N4136" t="str">
        <x:v>SKU-015</x:v>
      </x:c>
      <x:c r="O4136" t="n">
        <x:v>1</x:v>
      </x:c>
      <x:c r="P4136" s="26" t="n">
        <x:f>F4136/O4136</x:f>
        <x:v>117.55</x:v>
      </x:c>
    </x:row>
    <x:row r="4137">
      <x:c r="A4137" t="n">
        <x:v>4136</x:v>
      </x:c>
      <x:c r="B4137" t="n">
        <x:v>44</x:v>
      </x:c>
      <x:c r="C4137" t="str">
        <x:v>Female</x:v>
      </x:c>
      <x:c r="D4137" t="str">
        <x:v>Home</x:v>
      </x:c>
      <x:c r="E4137" t="str">
        <x:v>Curtains</x:v>
      </x:c>
      <x:c r="F4137" s="24" t="n">
        <x:v>211.32</x:v>
      </x:c>
      <x:c r="G4137" t="str">
        <x:v>Autumn</x:v>
      </x:c>
      <x:c r="H4137" t="str">
        <x:v>Card</x:v>
      </x:c>
      <x:c r="I4137" t="n">
        <x:v>4.5</x:v>
      </x:c>
      <x:c r="J4137" t="n">
        <x:v>16</x:v>
      </x:c>
      <x:c r="K4137" t="n">
        <x:v>8</x:v>
      </x:c>
      <x:c r="L4137" t="str">
        <x:v>STORE-001</x:v>
      </x:c>
      <x:c r="M4137" s="22" t="n">
        <x:v>46108</x:v>
      </x:c>
      <x:c r="N4137" t="str">
        <x:v>SKU-003</x:v>
      </x:c>
      <x:c r="O4137" t="n">
        <x:v>1</x:v>
      </x:c>
      <x:c r="P4137" s="26" t="n">
        <x:f>F4137/O4137</x:f>
        <x:v>211.32</x:v>
      </x:c>
    </x:row>
    <x:row r="4138">
      <x:c r="A4138" t="n">
        <x:v>4137</x:v>
      </x:c>
      <x:c r="B4138" t="n">
        <x:v>29</x:v>
      </x:c>
      <x:c r="C4138" t="str">
        <x:v>Male</x:v>
      </x:c>
      <x:c r="D4138" t="str">
        <x:v>Mens Clothing</x:v>
      </x:c>
      <x:c r="E4138" t="str">
        <x:v>T-Shirt</x:v>
      </x:c>
      <x:c r="F4138" s="24" t="n">
        <x:v>32.81</x:v>
      </x:c>
      <x:c r="G4138" t="str">
        <x:v>Spring</x:v>
      </x:c>
      <x:c r="H4138" t="str">
        <x:v>Cash on Delivery</x:v>
      </x:c>
      <x:c r="I4138" t="n">
        <x:v>3.8</x:v>
      </x:c>
      <x:c r="J4138" t="n">
        <x:v>9</x:v>
      </x:c>
      <x:c r="K4138" t="n">
        <x:v>2</x:v>
      </x:c>
      <x:c r="L4138" t="str">
        <x:v>STORE-001</x:v>
      </x:c>
      <x:c r="M4138" s="22" t="n">
        <x:v>46281</x:v>
      </x:c>
      <x:c r="N4138" t="str">
        <x:v>SKU-027</x:v>
      </x:c>
      <x:c r="O4138" t="n">
        <x:v>3</x:v>
      </x:c>
      <x:c r="P4138" s="26" t="n">
        <x:f>F4138/O4138</x:f>
        <x:v>10.936666666666667</x:v>
      </x:c>
    </x:row>
    <x:row r="4139">
      <x:c r="A4139" t="n">
        <x:v>4138</x:v>
      </x:c>
      <x:c r="B4139" t="n">
        <x:v>41</x:v>
      </x:c>
      <x:c r="C4139" t="str">
        <x:v>Male</x:v>
      </x:c>
      <x:c r="D4139" t="str">
        <x:v>Footwear</x:v>
      </x:c>
      <x:c r="E4139" t="str">
        <x:v>Formal Shoes</x:v>
      </x:c>
      <x:c r="F4139" s="24" t="n">
        <x:v>104.2</x:v>
      </x:c>
      <x:c r="G4139" t="str">
        <x:v>Winter</x:v>
      </x:c>
      <x:c r="H4139" t="str">
        <x:v>Card</x:v>
      </x:c>
      <x:c r="I4139" t="n">
        <x:v>4.1</x:v>
      </x:c>
      <x:c r="J4139" t="n">
        <x:v>11</x:v>
      </x:c>
      <x:c r="K4139" t="n">
        <x:v>3</x:v>
      </x:c>
      <x:c r="L4139" t="str">
        <x:v>STORE-001</x:v>
      </x:c>
      <x:c r="M4139" s="22" t="n">
        <x:v>46208</x:v>
      </x:c>
      <x:c r="N4139" t="str">
        <x:v>SKU-007</x:v>
      </x:c>
      <x:c r="O4139" t="n">
        <x:v>1</x:v>
      </x:c>
      <x:c r="P4139" s="26" t="n">
        <x:f>F4139/O4139</x:f>
        <x:v>104.2</x:v>
      </x:c>
    </x:row>
    <x:row r="4140">
      <x:c r="A4140" t="n">
        <x:v>4139</x:v>
      </x:c>
      <x:c r="B4140" t="n">
        <x:v>25</x:v>
      </x:c>
      <x:c r="C4140" t="str">
        <x:v>Male</x:v>
      </x:c>
      <x:c r="D4140" t="str">
        <x:v>Electronics</x:v>
      </x:c>
      <x:c r="E4140" t="str">
        <x:v>Smart Watch</x:v>
      </x:c>
      <x:c r="F4140" s="24" t="n">
        <x:v>991.14</x:v>
      </x:c>
      <x:c r="G4140" t="str">
        <x:v>Winter</x:v>
      </x:c>
      <x:c r="H4140" t="str">
        <x:v>Card</x:v>
      </x:c>
      <x:c r="I4140" t="n">
        <x:v>2.1</x:v>
      </x:c>
      <x:c r="J4140" t="n">
        <x:v>4</x:v>
      </x:c>
      <x:c r="K4140" t="n">
        <x:v>2</x:v>
      </x:c>
      <x:c r="L4140" t="str">
        <x:v>STORE-001</x:v>
      </x:c>
      <x:c r="M4140" s="22" t="n">
        <x:v>46241</x:v>
      </x:c>
      <x:c r="N4140" t="str">
        <x:v>SKU-023</x:v>
      </x:c>
      <x:c r="O4140" t="n">
        <x:v>1</x:v>
      </x:c>
      <x:c r="P4140" s="26" t="n">
        <x:f>F4140/O4140</x:f>
        <x:v>991.14</x:v>
      </x:c>
    </x:row>
    <x:row r="4141">
      <x:c r="A4141" t="n">
        <x:v>4140</x:v>
      </x:c>
      <x:c r="B4141" t="n">
        <x:v>34</x:v>
      </x:c>
      <x:c r="C4141" t="str">
        <x:v>Female</x:v>
      </x:c>
      <x:c r="D4141" t="str">
        <x:v>Home</x:v>
      </x:c>
      <x:c r="E4141" t="str">
        <x:v>Kitchen Set</x:v>
      </x:c>
      <x:c r="F4141" s="24" t="n">
        <x:v>138.43</x:v>
      </x:c>
      <x:c r="G4141" t="str">
        <x:v>Winter</x:v>
      </x:c>
      <x:c r="H4141" t="str">
        <x:v>Card</x:v>
      </x:c>
      <x:c r="I4141" t="n">
        <x:v>4.1</x:v>
      </x:c>
      <x:c r="J4141" t="n">
        <x:v>12</x:v>
      </x:c>
      <x:c r="K4141" t="n">
        <x:v>1</x:v>
      </x:c>
      <x:c r="L4141" t="str">
        <x:v>STORE-001</x:v>
      </x:c>
      <x:c r="M4141" s="22" t="n">
        <x:v>46215</x:v>
      </x:c>
      <x:c r="N4141" t="str">
        <x:v>SKU-012</x:v>
      </x:c>
      <x:c r="O4141" t="n">
        <x:v>2</x:v>
      </x:c>
      <x:c r="P4141" s="26" t="n">
        <x:f>F4141/O4141</x:f>
        <x:v>69.215</x:v>
      </x:c>
    </x:row>
    <x:row r="4142">
      <x:c r="A4142" t="n">
        <x:v>4141</x:v>
      </x:c>
      <x:c r="B4142" t="n">
        <x:v>61</x:v>
      </x:c>
      <x:c r="C4142" t="str">
        <x:v>Male</x:v>
      </x:c>
      <x:c r="D4142" t="str">
        <x:v>Sports</x:v>
      </x:c>
      <x:c r="E4142" t="str">
        <x:v>Dumbbells</x:v>
      </x:c>
      <x:c r="F4142" s="24" t="n">
        <x:v>176.45</x:v>
      </x:c>
      <x:c r="G4142" t="str">
        <x:v>Autumn</x:v>
      </x:c>
      <x:c r="H4142" t="str">
        <x:v>Card</x:v>
      </x:c>
      <x:c r="I4142" t="n">
        <x:v>3.9</x:v>
      </x:c>
      <x:c r="J4142" t="n">
        <x:v>6</x:v>
      </x:c>
      <x:c r="K4142" t="n">
        <x:v>3</x:v>
      </x:c>
      <x:c r="L4142" t="str">
        <x:v>STORE-001</x:v>
      </x:c>
      <x:c r="M4142" s="22" t="n">
        <x:v>46094</x:v>
      </x:c>
      <x:c r="N4142" t="str">
        <x:v>SKU-005</x:v>
      </x:c>
      <x:c r="O4142" t="n">
        <x:v>2</x:v>
      </x:c>
      <x:c r="P4142" s="26" t="n">
        <x:f>F4142/O4142</x:f>
        <x:v>88.225</x:v>
      </x:c>
    </x:row>
    <x:row r="4143">
      <x:c r="A4143" t="n">
        <x:v>4142</x:v>
      </x:c>
      <x:c r="B4143" t="n">
        <x:v>56</x:v>
      </x:c>
      <x:c r="C4143" t="str">
        <x:v>Male</x:v>
      </x:c>
      <x:c r="D4143" t="str">
        <x:v>Mens Clothing</x:v>
      </x:c>
      <x:c r="E4143" t="str">
        <x:v>T-Shirt</x:v>
      </x:c>
      <x:c r="F4143" s="24" t="n">
        <x:v>156.69</x:v>
      </x:c>
      <x:c r="G4143" t="str">
        <x:v>Summer</x:v>
      </x:c>
      <x:c r="H4143" t="str">
        <x:v>Card</x:v>
      </x:c>
      <x:c r="I4143" t="n">
        <x:v>3.7</x:v>
      </x:c>
      <x:c r="J4143" t="n">
        <x:v>11</x:v>
      </x:c>
      <x:c r="K4143" t="n">
        <x:v>3</x:v>
      </x:c>
      <x:c r="L4143" t="str">
        <x:v>STORE-001</x:v>
      </x:c>
      <x:c r="M4143" s="22" t="n">
        <x:v>46056</x:v>
      </x:c>
      <x:c r="N4143" t="str">
        <x:v>SKU-027</x:v>
      </x:c>
      <x:c r="O4143" t="n">
        <x:v>1</x:v>
      </x:c>
      <x:c r="P4143" s="26" t="n">
        <x:f>F4143/O4143</x:f>
        <x:v>156.69</x:v>
      </x:c>
    </x:row>
    <x:row r="4144">
      <x:c r="A4144" t="n">
        <x:v>4143</x:v>
      </x:c>
      <x:c r="B4144" t="n">
        <x:v>34</x:v>
      </x:c>
      <x:c r="C4144" t="str">
        <x:v>Male</x:v>
      </x:c>
      <x:c r="D4144" t="str">
        <x:v>Electronics</x:v>
      </x:c>
      <x:c r="E4144" t="str">
        <x:v>Headphones</x:v>
      </x:c>
      <x:c r="F4144" s="24" t="n">
        <x:v>1532.93</x:v>
      </x:c>
      <x:c r="G4144" t="str">
        <x:v>Winter</x:v>
      </x:c>
      <x:c r="H4144" t="str">
        <x:v>Card</x:v>
      </x:c>
      <x:c r="I4144" t="n">
        <x:v>3.8</x:v>
      </x:c>
      <x:c r="J4144" t="n">
        <x:v>24</x:v>
      </x:c>
      <x:c r="K4144" t="n">
        <x:v>7</x:v>
      </x:c>
      <x:c r="L4144" t="str">
        <x:v>STORE-001</x:v>
      </x:c>
      <x:c r="M4144" s="22" t="n">
        <x:v>46216</x:v>
      </x:c>
      <x:c r="N4144" t="str">
        <x:v>SKU-009</x:v>
      </x:c>
      <x:c r="O4144" t="n">
        <x:v>1</x:v>
      </x:c>
      <x:c r="P4144" s="26" t="n">
        <x:f>F4144/O4144</x:f>
        <x:v>1532.93</x:v>
      </x:c>
    </x:row>
    <x:row r="4145">
      <x:c r="A4145" t="n">
        <x:v>4144</x:v>
      </x:c>
      <x:c r="B4145" t="n">
        <x:v>24</x:v>
      </x:c>
      <x:c r="C4145" t="str">
        <x:v>Female</x:v>
      </x:c>
      <x:c r="D4145" t="str">
        <x:v>Beauty</x:v>
      </x:c>
      <x:c r="E4145" t="str">
        <x:v>Perfume</x:v>
      </x:c>
      <x:c r="F4145" s="24" t="n">
        <x:v>37.85</x:v>
      </x:c>
      <x:c r="G4145" t="str">
        <x:v>Spring</x:v>
      </x:c>
      <x:c r="H4145" t="str">
        <x:v>Cash on Delivery</x:v>
      </x:c>
      <x:c r="I4145" t="n">
        <x:v>3.7</x:v>
      </x:c>
      <x:c r="J4145" t="n">
        <x:v>18</x:v>
      </x:c>
      <x:c r="K4145" t="n">
        <x:v>4</x:v>
      </x:c>
      <x:c r="L4145" t="str">
        <x:v>STORE-001</x:v>
      </x:c>
      <x:c r="M4145" s="22" t="n">
        <x:v>45940</x:v>
      </x:c>
      <x:c r="N4145" t="str">
        <x:v>SKU-017</x:v>
      </x:c>
      <x:c r="O4145" t="n">
        <x:v>1</x:v>
      </x:c>
      <x:c r="P4145" s="26" t="n">
        <x:f>F4145/O4145</x:f>
        <x:v>37.85</x:v>
      </x:c>
    </x:row>
    <x:row r="4146">
      <x:c r="A4146" t="n">
        <x:v>4145</x:v>
      </x:c>
      <x:c r="B4146" t="n">
        <x:v>49</x:v>
      </x:c>
      <x:c r="C4146" t="str">
        <x:v>Male</x:v>
      </x:c>
      <x:c r="D4146" t="str">
        <x:v>Mens Clothing</x:v>
      </x:c>
      <x:c r="E4146" t="str">
        <x:v>Jeans</x:v>
      </x:c>
      <x:c r="F4146" s="24" t="n">
        <x:v>132.37</x:v>
      </x:c>
      <x:c r="G4146" t="str">
        <x:v>Summer</x:v>
      </x:c>
      <x:c r="H4146" t="str">
        <x:v>Card</x:v>
      </x:c>
      <x:c r="I4146" t="n">
        <x:v>2.9</x:v>
      </x:c>
      <x:c r="J4146" t="n">
        <x:v>13</x:v>
      </x:c>
      <x:c r="K4146" t="n">
        <x:v>4</x:v>
      </x:c>
      <x:c r="L4146" t="str">
        <x:v>STORE-001</x:v>
      </x:c>
      <x:c r="M4146" s="22" t="n">
        <x:v>46080</x:v>
      </x:c>
      <x:c r="N4146" t="str">
        <x:v>SKU-011</x:v>
      </x:c>
      <x:c r="O4146" t="n">
        <x:v>1</x:v>
      </x:c>
      <x:c r="P4146" s="26" t="n">
        <x:f>F4146/O4146</x:f>
        <x:v>132.37</x:v>
      </x:c>
    </x:row>
    <x:row r="4147">
      <x:c r="A4147" t="n">
        <x:v>4146</x:v>
      </x:c>
      <x:c r="B4147" t="n">
        <x:v>40</x:v>
      </x:c>
      <x:c r="C4147" t="str">
        <x:v>Male</x:v>
      </x:c>
      <x:c r="D4147" t="str">
        <x:v>Sports</x:v>
      </x:c>
      <x:c r="E4147" t="str">
        <x:v>Football</x:v>
      </x:c>
      <x:c r="F4147" s="24" t="n">
        <x:v>42.76</x:v>
      </x:c>
      <x:c r="G4147" t="str">
        <x:v>Autumn</x:v>
      </x:c>
      <x:c r="H4147" t="str">
        <x:v>Cash on Delivery</x:v>
      </x:c>
      <x:c r="I4147" t="n">
        <x:v>2.7</x:v>
      </x:c>
      <x:c r="J4147" t="n">
        <x:v>8</x:v>
      </x:c>
      <x:c r="K4147" t="n">
        <x:v>4</x:v>
      </x:c>
      <x:c r="L4147" t="str">
        <x:v>STORE-001</x:v>
      </x:c>
      <x:c r="M4147" s="22" t="n">
        <x:v>46142</x:v>
      </x:c>
      <x:c r="N4147" t="str">
        <x:v>SKU-006</x:v>
      </x:c>
      <x:c r="O4147" t="n">
        <x:v>2</x:v>
      </x:c>
      <x:c r="P4147" s="26" t="n">
        <x:f>F4147/O4147</x:f>
        <x:v>21.38</x:v>
      </x:c>
    </x:row>
    <x:row r="4148">
      <x:c r="A4148" t="n">
        <x:v>4147</x:v>
      </x:c>
      <x:c r="B4148" t="n">
        <x:v>39</x:v>
      </x:c>
      <x:c r="C4148" t="str">
        <x:v>Female</x:v>
      </x:c>
      <x:c r="D4148" t="str">
        <x:v>Beauty</x:v>
      </x:c>
      <x:c r="E4148" t="str">
        <x:v>Makeup Set</x:v>
      </x:c>
      <x:c r="F4148" s="24" t="n">
        <x:v>28.3</x:v>
      </x:c>
      <x:c r="G4148" t="str">
        <x:v>Spring</x:v>
      </x:c>
      <x:c r="H4148" t="str">
        <x:v>Card</x:v>
      </x:c>
      <x:c r="I4148" t="n">
        <x:v>3.9</x:v>
      </x:c>
      <x:c r="J4148" t="n">
        <x:v>28</x:v>
      </x:c>
      <x:c r="K4148" t="n">
        <x:v>9</x:v>
      </x:c>
      <x:c r="L4148" t="str">
        <x:v>STORE-001</x:v>
      </x:c>
      <x:c r="M4148" s="22" t="n">
        <x:v>46273</x:v>
      </x:c>
      <x:c r="N4148" t="str">
        <x:v>SKU-015</x:v>
      </x:c>
      <x:c r="O4148" t="n">
        <x:v>1</x:v>
      </x:c>
      <x:c r="P4148" s="26" t="n">
        <x:f>F4148/O4148</x:f>
        <x:v>28.3</x:v>
      </x:c>
    </x:row>
    <x:row r="4149">
      <x:c r="A4149" t="n">
        <x:v>4148</x:v>
      </x:c>
      <x:c r="B4149" t="n">
        <x:v>27</x:v>
      </x:c>
      <x:c r="C4149" t="str">
        <x:v>Male</x:v>
      </x:c>
      <x:c r="D4149" t="str">
        <x:v>Electronics</x:v>
      </x:c>
      <x:c r="E4149" t="str">
        <x:v>Laptop</x:v>
      </x:c>
      <x:c r="F4149" s="24" t="n">
        <x:v>2662.63</x:v>
      </x:c>
      <x:c r="G4149" t="str">
        <x:v>Spring</x:v>
      </x:c>
      <x:c r="H4149" t="str">
        <x:v>Card</x:v>
      </x:c>
      <x:c r="I4149" t="n">
        <x:v>3.4</x:v>
      </x:c>
      <x:c r="J4149" t="n">
        <x:v>15</x:v>
      </x:c>
      <x:c r="K4149" t="n">
        <x:v>5</x:v>
      </x:c>
      <x:c r="L4149" t="str">
        <x:v>STORE-001</x:v>
      </x:c>
      <x:c r="M4149" s="22" t="n">
        <x:v>46287</x:v>
      </x:c>
      <x:c r="N4149" t="str">
        <x:v>SKU-014</x:v>
      </x:c>
      <x:c r="O4149" t="n">
        <x:v>1</x:v>
      </x:c>
      <x:c r="P4149" s="26" t="n">
        <x:f>F4149/O4149</x:f>
        <x:v>2662.63</x:v>
      </x:c>
    </x:row>
    <x:row r="4150">
      <x:c r="A4150" t="n">
        <x:v>4149</x:v>
      </x:c>
      <x:c r="B4150" t="n">
        <x:v>63</x:v>
      </x:c>
      <x:c r="C4150" t="str">
        <x:v>Male</x:v>
      </x:c>
      <x:c r="D4150" t="str">
        <x:v>Electronics</x:v>
      </x:c>
      <x:c r="E4150" t="str">
        <x:v>Headphones</x:v>
      </x:c>
      <x:c r="F4150" s="24" t="n">
        <x:v>783.46</x:v>
      </x:c>
      <x:c r="G4150" t="str">
        <x:v>Spring</x:v>
      </x:c>
      <x:c r="H4150" t="str">
        <x:v>Card</x:v>
      </x:c>
      <x:c r="I4150" t="n">
        <x:v>2.9</x:v>
      </x:c>
      <x:c r="J4150" t="n">
        <x:v>16</x:v>
      </x:c>
      <x:c r="K4150" t="n">
        <x:v>8</x:v>
      </x:c>
      <x:c r="L4150" t="str">
        <x:v>STORE-001</x:v>
      </x:c>
      <x:c r="M4150" s="22" t="n">
        <x:v>45939</x:v>
      </x:c>
      <x:c r="N4150" t="str">
        <x:v>SKU-009</x:v>
      </x:c>
      <x:c r="O4150" t="n">
        <x:v>1</x:v>
      </x:c>
      <x:c r="P4150" s="26" t="n">
        <x:f>F4150/O4150</x:f>
        <x:v>783.46</x:v>
      </x:c>
    </x:row>
    <x:row r="4151">
      <x:c r="A4151" t="n">
        <x:v>4150</x:v>
      </x:c>
      <x:c r="B4151" t="n">
        <x:v>40</x:v>
      </x:c>
      <x:c r="C4151" t="str">
        <x:v>Female</x:v>
      </x:c>
      <x:c r="D4151" t="str">
        <x:v>Accessories</x:v>
      </x:c>
      <x:c r="E4151" t="str">
        <x:v>Sunglasses</x:v>
      </x:c>
      <x:c r="F4151" s="24" t="n">
        <x:v>28.71</x:v>
      </x:c>
      <x:c r="G4151" t="str">
        <x:v>Winter</x:v>
      </x:c>
      <x:c r="H4151" t="str">
        <x:v>Cash on Delivery</x:v>
      </x:c>
      <x:c r="I4151" t="n">
        <x:v>2.5</x:v>
      </x:c>
      <x:c r="J4151" t="n">
        <x:v>16</x:v>
      </x:c>
      <x:c r="K4151" t="n">
        <x:v>8</x:v>
      </x:c>
      <x:c r="L4151" t="str">
        <x:v>STORE-001</x:v>
      </x:c>
      <x:c r="M4151" s="22" t="n">
        <x:v>46260</x:v>
      </x:c>
      <x:c r="N4151" t="str">
        <x:v>SKU-026</x:v>
      </x:c>
      <x:c r="O4151" t="n">
        <x:v>3</x:v>
      </x:c>
      <x:c r="P4151" s="26" t="n">
        <x:f>F4151/O4151</x:f>
        <x:v>9.57</x:v>
      </x:c>
    </x:row>
    <x:row r="4152">
      <x:c r="A4152" t="n">
        <x:v>4151</x:v>
      </x:c>
      <x:c r="B4152" t="n">
        <x:v>29</x:v>
      </x:c>
      <x:c r="C4152" t="str">
        <x:v>Male</x:v>
      </x:c>
      <x:c r="D4152" t="str">
        <x:v>Sports</x:v>
      </x:c>
      <x:c r="E4152" t="str">
        <x:v>Dumbbells</x:v>
      </x:c>
      <x:c r="F4152" s="24" t="n">
        <x:v>103</x:v>
      </x:c>
      <x:c r="G4152" t="str">
        <x:v>Summer</x:v>
      </x:c>
      <x:c r="H4152" t="str">
        <x:v>Card</x:v>
      </x:c>
      <x:c r="I4152" t="n">
        <x:v>2.9</x:v>
      </x:c>
      <x:c r="J4152" t="n">
        <x:v>23</x:v>
      </x:c>
      <x:c r="K4152" t="n">
        <x:v>9</x:v>
      </x:c>
      <x:c r="L4152" t="str">
        <x:v>STORE-001</x:v>
      </x:c>
      <x:c r="M4152" s="22" t="n">
        <x:v>46050</x:v>
      </x:c>
      <x:c r="N4152" t="str">
        <x:v>SKU-005</x:v>
      </x:c>
      <x:c r="O4152" t="n">
        <x:v>1</x:v>
      </x:c>
      <x:c r="P4152" s="26" t="n">
        <x:f>F4152/O4152</x:f>
        <x:v>103</x:v>
      </x:c>
    </x:row>
    <x:row r="4153">
      <x:c r="A4153" t="n">
        <x:v>4152</x:v>
      </x:c>
      <x:c r="B4153" t="n">
        <x:v>48</x:v>
      </x:c>
      <x:c r="C4153" t="str">
        <x:v>Male</x:v>
      </x:c>
      <x:c r="D4153" t="str">
        <x:v>Mens Clothing</x:v>
      </x:c>
      <x:c r="E4153" t="str">
        <x:v>Jacket</x:v>
      </x:c>
      <x:c r="F4153" s="24" t="n">
        <x:v>121.26</x:v>
      </x:c>
      <x:c r="G4153" t="str">
        <x:v>Summer</x:v>
      </x:c>
      <x:c r="H4153" t="str">
        <x:v>Card</x:v>
      </x:c>
      <x:c r="I4153" t="n">
        <x:v>1.9</x:v>
      </x:c>
      <x:c r="J4153" t="n">
        <x:v>12</x:v>
      </x:c>
      <x:c r="K4153" t="n">
        <x:v>6</x:v>
      </x:c>
      <x:c r="L4153" t="str">
        <x:v>STORE-001</x:v>
      </x:c>
      <x:c r="M4153" s="22" t="n">
        <x:v>46014</x:v>
      </x:c>
      <x:c r="N4153" t="str">
        <x:v>SKU-010</x:v>
      </x:c>
      <x:c r="O4153" t="n">
        <x:v>1</x:v>
      </x:c>
      <x:c r="P4153" s="26" t="n">
        <x:f>F4153/O4153</x:f>
        <x:v>121.26</x:v>
      </x:c>
    </x:row>
    <x:row r="4154">
      <x:c r="A4154" t="n">
        <x:v>4153</x:v>
      </x:c>
      <x:c r="B4154" t="n">
        <x:v>30</x:v>
      </x:c>
      <x:c r="C4154" t="str">
        <x:v>Male</x:v>
      </x:c>
      <x:c r="D4154" t="str">
        <x:v>Groceries</x:v>
      </x:c>
      <x:c r="E4154" t="str">
        <x:v>Beverages</x:v>
      </x:c>
      <x:c r="F4154" s="24" t="n">
        <x:v>5.89</x:v>
      </x:c>
      <x:c r="G4154" t="str">
        <x:v>Summer</x:v>
      </x:c>
      <x:c r="H4154" t="str">
        <x:v>Cash on Delivery</x:v>
      </x:c>
      <x:c r="I4154" t="n">
        <x:v>3.2</x:v>
      </x:c>
      <x:c r="J4154" t="n">
        <x:v>17</x:v>
      </x:c>
      <x:c r="K4154" t="n">
        <x:v>6</x:v>
      </x:c>
      <x:c r="L4154" t="str">
        <x:v>STORE-001</x:v>
      </x:c>
      <x:c r="M4154" s="22" t="n">
        <x:v>46059</x:v>
      </x:c>
      <x:c r="N4154" t="str">
        <x:v>SKU-001</x:v>
      </x:c>
      <x:c r="O4154" t="n">
        <x:v>2</x:v>
      </x:c>
      <x:c r="P4154" s="26" t="n">
        <x:f>F4154/O4154</x:f>
        <x:v>2.945</x:v>
      </x:c>
    </x:row>
    <x:row r="4155">
      <x:c r="A4155" t="n">
        <x:v>4154</x:v>
      </x:c>
      <x:c r="B4155" t="n">
        <x:v>35</x:v>
      </x:c>
      <x:c r="C4155" t="str">
        <x:v>Male</x:v>
      </x:c>
      <x:c r="D4155" t="str">
        <x:v>Footwear</x:v>
      </x:c>
      <x:c r="E4155" t="str">
        <x:v>Sandals</x:v>
      </x:c>
      <x:c r="F4155" s="24" t="n">
        <x:v>240.97</x:v>
      </x:c>
      <x:c r="G4155" t="str">
        <x:v>Summer</x:v>
      </x:c>
      <x:c r="H4155" t="str">
        <x:v>Card</x:v>
      </x:c>
      <x:c r="I4155" t="n">
        <x:v>2.8</x:v>
      </x:c>
      <x:c r="J4155" t="n">
        <x:v>22</x:v>
      </x:c>
      <x:c r="K4155" t="n">
        <x:v>6</x:v>
      </x:c>
      <x:c r="L4155" t="str">
        <x:v>STORE-001</x:v>
      </x:c>
      <x:c r="M4155" s="22" t="n">
        <x:v>46008</x:v>
      </x:c>
      <x:c r="N4155" t="str">
        <x:v>SKU-019</x:v>
      </x:c>
      <x:c r="O4155" t="n">
        <x:v>1</x:v>
      </x:c>
      <x:c r="P4155" s="26" t="n">
        <x:f>F4155/O4155</x:f>
        <x:v>240.97</x:v>
      </x:c>
    </x:row>
    <x:row r="4156">
      <x:c r="A4156" t="n">
        <x:v>4155</x:v>
      </x:c>
      <x:c r="B4156" t="n">
        <x:v>62</x:v>
      </x:c>
      <x:c r="C4156" t="str">
        <x:v>Female</x:v>
      </x:c>
      <x:c r="D4156" t="str">
        <x:v>Beauty</x:v>
      </x:c>
      <x:c r="E4156" t="str">
        <x:v>Makeup Set</x:v>
      </x:c>
      <x:c r="F4156" s="24" t="n">
        <x:v>140.77</x:v>
      </x:c>
      <x:c r="G4156" t="str">
        <x:v>Summer</x:v>
      </x:c>
      <x:c r="H4156" t="str">
        <x:v>Card</x:v>
      </x:c>
      <x:c r="I4156" t="n">
        <x:v>2.7</x:v>
      </x:c>
      <x:c r="J4156" t="n">
        <x:v>6</x:v>
      </x:c>
      <x:c r="K4156" t="n">
        <x:v>3</x:v>
      </x:c>
      <x:c r="L4156" t="str">
        <x:v>STORE-001</x:v>
      </x:c>
      <x:c r="M4156" s="22" t="n">
        <x:v>46034</x:v>
      </x:c>
      <x:c r="N4156" t="str">
        <x:v>SKU-015</x:v>
      </x:c>
      <x:c r="O4156" t="n">
        <x:v>2</x:v>
      </x:c>
      <x:c r="P4156" s="26" t="n">
        <x:f>F4156/O4156</x:f>
        <x:v>70.385</x:v>
      </x:c>
    </x:row>
    <x:row r="4157">
      <x:c r="A4157" t="n">
        <x:v>4156</x:v>
      </x:c>
      <x:c r="B4157" t="n">
        <x:v>21</x:v>
      </x:c>
      <x:c r="C4157" t="str">
        <x:v>Male</x:v>
      </x:c>
      <x:c r="D4157" t="str">
        <x:v>Electronics</x:v>
      </x:c>
      <x:c r="E4157" t="str">
        <x:v>Headphones</x:v>
      </x:c>
      <x:c r="F4157" s="24" t="n">
        <x:v>1584.57</x:v>
      </x:c>
      <x:c r="G4157" t="str">
        <x:v>Winter</x:v>
      </x:c>
      <x:c r="H4157" t="str">
        <x:v>Card</x:v>
      </x:c>
      <x:c r="I4157" t="n">
        <x:v>3.6</x:v>
      </x:c>
      <x:c r="J4157" t="n">
        <x:v>15</x:v>
      </x:c>
      <x:c r="K4157" t="n">
        <x:v>5</x:v>
      </x:c>
      <x:c r="L4157" t="str">
        <x:v>STORE-001</x:v>
      </x:c>
      <x:c r="M4157" s="22" t="n">
        <x:v>46253</x:v>
      </x:c>
      <x:c r="N4157" t="str">
        <x:v>SKU-009</x:v>
      </x:c>
      <x:c r="O4157" t="n">
        <x:v>1</x:v>
      </x:c>
      <x:c r="P4157" s="26" t="n">
        <x:f>F4157/O4157</x:f>
        <x:v>1584.57</x:v>
      </x:c>
    </x:row>
    <x:row r="4158">
      <x:c r="A4158" t="n">
        <x:v>4157</x:v>
      </x:c>
      <x:c r="B4158" t="n">
        <x:v>56</x:v>
      </x:c>
      <x:c r="C4158" t="str">
        <x:v>Female</x:v>
      </x:c>
      <x:c r="D4158" t="str">
        <x:v>Womens Clothing</x:v>
      </x:c>
      <x:c r="E4158" t="str">
        <x:v>Top</x:v>
      </x:c>
      <x:c r="F4158" s="24" t="n">
        <x:v>123.71</x:v>
      </x:c>
      <x:c r="G4158" t="str">
        <x:v>Autumn</x:v>
      </x:c>
      <x:c r="H4158" t="str">
        <x:v>Card</x:v>
      </x:c>
      <x:c r="I4158" t="n">
        <x:v>3.2</x:v>
      </x:c>
      <x:c r="J4158" t="n">
        <x:v>11</x:v>
      </x:c>
      <x:c r="K4158" t="n">
        <x:v>3</x:v>
      </x:c>
      <x:c r="L4158" t="str">
        <x:v>STORE-001</x:v>
      </x:c>
      <x:c r="M4158" s="22" t="n">
        <x:v>46133</x:v>
      </x:c>
      <x:c r="N4158" t="str">
        <x:v>SKU-028</x:v>
      </x:c>
      <x:c r="O4158" t="n">
        <x:v>1</x:v>
      </x:c>
      <x:c r="P4158" s="26" t="n">
        <x:f>F4158/O4158</x:f>
        <x:v>123.71</x:v>
      </x:c>
    </x:row>
    <x:row r="4159">
      <x:c r="A4159" t="n">
        <x:v>4158</x:v>
      </x:c>
      <x:c r="B4159" t="n">
        <x:v>20</x:v>
      </x:c>
      <x:c r="C4159" t="str">
        <x:v>Female</x:v>
      </x:c>
      <x:c r="D4159" t="str">
        <x:v>Accessories</x:v>
      </x:c>
      <x:c r="E4159" t="str">
        <x:v>Wallet</x:v>
      </x:c>
      <x:c r="F4159" s="24" t="n">
        <x:v>127.91</x:v>
      </x:c>
      <x:c r="G4159" t="str">
        <x:v>Spring</x:v>
      </x:c>
      <x:c r="H4159" t="str">
        <x:v>Card</x:v>
      </x:c>
      <x:c r="I4159" t="n">
        <x:v>2.9</x:v>
      </x:c>
      <x:c r="J4159" t="n">
        <x:v>17</x:v>
      </x:c>
      <x:c r="K4159" t="n">
        <x:v>6</x:v>
      </x:c>
      <x:c r="L4159" t="str">
        <x:v>STORE-001</x:v>
      </x:c>
      <x:c r="M4159" s="22" t="n">
        <x:v>45971</x:v>
      </x:c>
      <x:c r="N4159" t="str">
        <x:v>SKU-029</x:v>
      </x:c>
      <x:c r="O4159" t="n">
        <x:v>2</x:v>
      </x:c>
      <x:c r="P4159" s="26" t="n">
        <x:f>F4159/O4159</x:f>
        <x:v>63.955</x:v>
      </x:c>
    </x:row>
    <x:row r="4160">
      <x:c r="A4160" t="n">
        <x:v>4159</x:v>
      </x:c>
      <x:c r="B4160" t="n">
        <x:v>22</x:v>
      </x:c>
      <x:c r="C4160" t="str">
        <x:v>Female</x:v>
      </x:c>
      <x:c r="D4160" t="str">
        <x:v>Groceries</x:v>
      </x:c>
      <x:c r="E4160" t="str">
        <x:v>Snacks</x:v>
      </x:c>
      <x:c r="F4160" s="24" t="n">
        <x:v>23.75</x:v>
      </x:c>
      <x:c r="G4160" t="str">
        <x:v>Spring</x:v>
      </x:c>
      <x:c r="H4160" t="str">
        <x:v>Card</x:v>
      </x:c>
      <x:c r="I4160" t="n">
        <x:v>3.7</x:v>
      </x:c>
      <x:c r="J4160" t="n">
        <x:v>18</x:v>
      </x:c>
      <x:c r="K4160" t="n">
        <x:v>4</x:v>
      </x:c>
      <x:c r="L4160" t="str">
        <x:v>STORE-001</x:v>
      </x:c>
      <x:c r="M4160" s="22" t="n">
        <x:v>45951</x:v>
      </x:c>
      <x:c r="N4160" t="str">
        <x:v>SKU-024</x:v>
      </x:c>
      <x:c r="O4160" t="n">
        <x:v>3</x:v>
      </x:c>
      <x:c r="P4160" s="26" t="n">
        <x:f>F4160/O4160</x:f>
        <x:v>7.916666666666667</x:v>
      </x:c>
    </x:row>
    <x:row r="4161">
      <x:c r="A4161" t="n">
        <x:v>4160</x:v>
      </x:c>
      <x:c r="B4161" t="n">
        <x:v>47</x:v>
      </x:c>
      <x:c r="C4161" t="str">
        <x:v>Male</x:v>
      </x:c>
      <x:c r="D4161" t="str">
        <x:v>Footwear</x:v>
      </x:c>
      <x:c r="E4161" t="str">
        <x:v>Sandals</x:v>
      </x:c>
      <x:c r="F4161" s="24" t="n">
        <x:v>71.63</x:v>
      </x:c>
      <x:c r="G4161" t="str">
        <x:v>Autumn</x:v>
      </x:c>
      <x:c r="H4161" t="str">
        <x:v>Cash on Delivery</x:v>
      </x:c>
      <x:c r="I4161" t="n">
        <x:v>3.2</x:v>
      </x:c>
      <x:c r="J4161" t="n">
        <x:v>15</x:v>
      </x:c>
      <x:c r="K4161" t="n">
        <x:v>5</x:v>
      </x:c>
      <x:c r="L4161" t="str">
        <x:v>STORE-001</x:v>
      </x:c>
      <x:c r="M4161" s="22" t="n">
        <x:v>46166</x:v>
      </x:c>
      <x:c r="N4161" t="str">
        <x:v>SKU-019</x:v>
      </x:c>
      <x:c r="O4161" t="n">
        <x:v>1</x:v>
      </x:c>
      <x:c r="P4161" s="26" t="n">
        <x:f>F4161/O4161</x:f>
        <x:v>71.63</x:v>
      </x:c>
    </x:row>
    <x:row r="4162">
      <x:c r="A4162" t="n">
        <x:v>4161</x:v>
      </x:c>
      <x:c r="B4162" t="n">
        <x:v>44</x:v>
      </x:c>
      <x:c r="C4162" t="str">
        <x:v>Female</x:v>
      </x:c>
      <x:c r="D4162" t="str">
        <x:v>Accessories</x:v>
      </x:c>
      <x:c r="E4162" t="str">
        <x:v>Wallet</x:v>
      </x:c>
      <x:c r="F4162" s="24" t="n">
        <x:v>132.42</x:v>
      </x:c>
      <x:c r="G4162" t="str">
        <x:v>Autumn</x:v>
      </x:c>
      <x:c r="H4162" t="str">
        <x:v>Card</x:v>
      </x:c>
      <x:c r="I4162" t="n">
        <x:v>3.7</x:v>
      </x:c>
      <x:c r="J4162" t="n">
        <x:v>15</x:v>
      </x:c>
      <x:c r="K4162" t="n">
        <x:v>5</x:v>
      </x:c>
      <x:c r="L4162" t="str">
        <x:v>STORE-001</x:v>
      </x:c>
      <x:c r="M4162" s="22" t="n">
        <x:v>46172</x:v>
      </x:c>
      <x:c r="N4162" t="str">
        <x:v>SKU-029</x:v>
      </x:c>
      <x:c r="O4162" t="n">
        <x:v>3</x:v>
      </x:c>
      <x:c r="P4162" s="26" t="n">
        <x:f>F4162/O4162</x:f>
        <x:v>44.13999999999999</x:v>
      </x:c>
    </x:row>
    <x:row r="4163">
      <x:c r="A4163" t="n">
        <x:v>4162</x:v>
      </x:c>
      <x:c r="B4163" t="n">
        <x:v>50</x:v>
      </x:c>
      <x:c r="C4163" t="str">
        <x:v>Female</x:v>
      </x:c>
      <x:c r="D4163" t="str">
        <x:v>Beauty</x:v>
      </x:c>
      <x:c r="E4163" t="str">
        <x:v>Skincare Kit</x:v>
      </x:c>
      <x:c r="F4163" s="24" t="n">
        <x:v>128.51</x:v>
      </x:c>
      <x:c r="G4163" t="str">
        <x:v>Spring</x:v>
      </x:c>
      <x:c r="H4163" t="str">
        <x:v>Card</x:v>
      </x:c>
      <x:c r="I4163" t="n">
        <x:v>3.8</x:v>
      </x:c>
      <x:c r="J4163" t="n">
        <x:v>16</x:v>
      </x:c>
      <x:c r="K4163" t="n">
        <x:v>8</x:v>
      </x:c>
      <x:c r="L4163" t="str">
        <x:v>STORE-001</x:v>
      </x:c>
      <x:c r="M4163" s="22" t="n">
        <x:v>45978</x:v>
      </x:c>
      <x:c r="N4163" t="str">
        <x:v>SKU-021</x:v>
      </x:c>
      <x:c r="O4163" t="n">
        <x:v>1</x:v>
      </x:c>
      <x:c r="P4163" s="26" t="n">
        <x:f>F4163/O4163</x:f>
        <x:v>128.51</x:v>
      </x:c>
    </x:row>
    <x:row r="4164">
      <x:c r="A4164" t="n">
        <x:v>4163</x:v>
      </x:c>
      <x:c r="B4164" t="n">
        <x:v>39</x:v>
      </x:c>
      <x:c r="C4164" t="str">
        <x:v>Male</x:v>
      </x:c>
      <x:c r="D4164" t="str">
        <x:v>Mens Clothing</x:v>
      </x:c>
      <x:c r="E4164" t="str">
        <x:v>Jacket</x:v>
      </x:c>
      <x:c r="F4164" s="24" t="n">
        <x:v>143.5</x:v>
      </x:c>
      <x:c r="G4164" t="str">
        <x:v>Winter</x:v>
      </x:c>
      <x:c r="H4164" t="str">
        <x:v>Card</x:v>
      </x:c>
      <x:c r="I4164" t="n">
        <x:v>4.9</x:v>
      </x:c>
      <x:c r="J4164" t="n">
        <x:v>19</x:v>
      </x:c>
      <x:c r="K4164" t="n">
        <x:v>7</x:v>
      </x:c>
      <x:c r="L4164" t="str">
        <x:v>STORE-001</x:v>
      </x:c>
      <x:c r="M4164" s="22" t="n">
        <x:v>46189</x:v>
      </x:c>
      <x:c r="N4164" t="str">
        <x:v>SKU-010</x:v>
      </x:c>
      <x:c r="O4164" t="n">
        <x:v>1</x:v>
      </x:c>
      <x:c r="P4164" s="26" t="n">
        <x:f>F4164/O4164</x:f>
        <x:v>143.5</x:v>
      </x:c>
    </x:row>
    <x:row r="4165">
      <x:c r="A4165" t="n">
        <x:v>4164</x:v>
      </x:c>
      <x:c r="B4165" t="n">
        <x:v>64</x:v>
      </x:c>
      <x:c r="C4165" t="str">
        <x:v>Female</x:v>
      </x:c>
      <x:c r="D4165" t="str">
        <x:v>Footwear</x:v>
      </x:c>
      <x:c r="E4165" t="str">
        <x:v>Sneakers</x:v>
      </x:c>
      <x:c r="F4165" s="24" t="n">
        <x:v>162.31</x:v>
      </x:c>
      <x:c r="G4165" t="str">
        <x:v>Summer</x:v>
      </x:c>
      <x:c r="H4165" t="str">
        <x:v>Card</x:v>
      </x:c>
      <x:c r="I4165" t="n">
        <x:v>3.7</x:v>
      </x:c>
      <x:c r="J4165" t="n">
        <x:v>14</x:v>
      </x:c>
      <x:c r="K4165" t="n">
        <x:v>7</x:v>
      </x:c>
      <x:c r="L4165" t="str">
        <x:v>STORE-001</x:v>
      </x:c>
      <x:c r="M4165" s="22" t="n">
        <x:v>46049</x:v>
      </x:c>
      <x:c r="N4165" t="str">
        <x:v>SKU-025</x:v>
      </x:c>
      <x:c r="O4165" t="n">
        <x:v>2</x:v>
      </x:c>
      <x:c r="P4165" s="26" t="n">
        <x:f>F4165/O4165</x:f>
        <x:v>81.155</x:v>
      </x:c>
    </x:row>
    <x:row r="4166">
      <x:c r="A4166" t="n">
        <x:v>4165</x:v>
      </x:c>
      <x:c r="B4166" t="n">
        <x:v>67</x:v>
      </x:c>
      <x:c r="C4166" t="str">
        <x:v>Female</x:v>
      </x:c>
      <x:c r="D4166" t="str">
        <x:v>Footwear</x:v>
      </x:c>
      <x:c r="E4166" t="str">
        <x:v>Sandals</x:v>
      </x:c>
      <x:c r="F4166" s="24" t="n">
        <x:v>210.1</x:v>
      </x:c>
      <x:c r="G4166" t="str">
        <x:v>Autumn</x:v>
      </x:c>
      <x:c r="H4166" t="str">
        <x:v>Card</x:v>
      </x:c>
      <x:c r="I4166" t="n">
        <x:v>3.9</x:v>
      </x:c>
      <x:c r="J4166" t="n">
        <x:v>4</x:v>
      </x:c>
      <x:c r="K4166" t="n">
        <x:v>2</x:v>
      </x:c>
      <x:c r="L4166" t="str">
        <x:v>STORE-001</x:v>
      </x:c>
      <x:c r="M4166" s="22" t="n">
        <x:v>46084</x:v>
      </x:c>
      <x:c r="N4166" t="str">
        <x:v>SKU-019</x:v>
      </x:c>
      <x:c r="O4166" t="n">
        <x:v>2</x:v>
      </x:c>
      <x:c r="P4166" s="26" t="n">
        <x:f>F4166/O4166</x:f>
        <x:v>105.05</x:v>
      </x:c>
    </x:row>
    <x:row r="4167">
      <x:c r="A4167" t="n">
        <x:v>4166</x:v>
      </x:c>
      <x:c r="B4167" t="n">
        <x:v>48</x:v>
      </x:c>
      <x:c r="C4167" t="str">
        <x:v>Male</x:v>
      </x:c>
      <x:c r="D4167" t="str">
        <x:v>Electronics</x:v>
      </x:c>
      <x:c r="E4167" t="str">
        <x:v>Mobile Phone</x:v>
      </x:c>
      <x:c r="F4167" s="24" t="n">
        <x:v>1794.93</x:v>
      </x:c>
      <x:c r="G4167" t="str">
        <x:v>Spring</x:v>
      </x:c>
      <x:c r="H4167" t="str">
        <x:v>Card</x:v>
      </x:c>
      <x:c r="I4167" t="n">
        <x:v>4.6</x:v>
      </x:c>
      <x:c r="J4167" t="n">
        <x:v>16</x:v>
      </x:c>
      <x:c r="K4167" t="n">
        <x:v>8</x:v>
      </x:c>
      <x:c r="L4167" t="str">
        <x:v>STORE-001</x:v>
      </x:c>
      <x:c r="M4167" s="22" t="n">
        <x:v>46271</x:v>
      </x:c>
      <x:c r="N4167" t="str">
        <x:v>SKU-016</x:v>
      </x:c>
      <x:c r="O4167" t="n">
        <x:v>1</x:v>
      </x:c>
      <x:c r="P4167" s="26" t="n">
        <x:f>F4167/O4167</x:f>
        <x:v>1794.93</x:v>
      </x:c>
    </x:row>
    <x:row r="4168">
      <x:c r="A4168" t="n">
        <x:v>4167</x:v>
      </x:c>
      <x:c r="B4168" t="n">
        <x:v>26</x:v>
      </x:c>
      <x:c r="C4168" t="str">
        <x:v>Male</x:v>
      </x:c>
      <x:c r="D4168" t="str">
        <x:v>Mens Clothing</x:v>
      </x:c>
      <x:c r="E4168" t="str">
        <x:v>T-Shirt</x:v>
      </x:c>
      <x:c r="F4168" s="24" t="n">
        <x:v>52.64</x:v>
      </x:c>
      <x:c r="G4168" t="str">
        <x:v>Autumn</x:v>
      </x:c>
      <x:c r="H4168" t="str">
        <x:v>Cash on Delivery</x:v>
      </x:c>
      <x:c r="I4168" t="n">
        <x:v>4.5</x:v>
      </x:c>
      <x:c r="J4168" t="n">
        <x:v>9</x:v>
      </x:c>
      <x:c r="K4168" t="n">
        <x:v>2</x:v>
      </x:c>
      <x:c r="L4168" t="str">
        <x:v>STORE-001</x:v>
      </x:c>
      <x:c r="M4168" s="22" t="n">
        <x:v>46140</x:v>
      </x:c>
      <x:c r="N4168" t="str">
        <x:v>SKU-027</x:v>
      </x:c>
      <x:c r="O4168" t="n">
        <x:v>1</x:v>
      </x:c>
      <x:c r="P4168" s="26" t="n">
        <x:f>F4168/O4168</x:f>
        <x:v>52.64</x:v>
      </x:c>
    </x:row>
    <x:row r="4169">
      <x:c r="A4169" t="n">
        <x:v>4168</x:v>
      </x:c>
      <x:c r="B4169" t="n">
        <x:v>46</x:v>
      </x:c>
      <x:c r="C4169" t="str">
        <x:v>Male</x:v>
      </x:c>
      <x:c r="D4169" t="str">
        <x:v>Sports</x:v>
      </x:c>
      <x:c r="E4169" t="str">
        <x:v>Dumbbells</x:v>
      </x:c>
      <x:c r="F4169" s="24" t="n">
        <x:v>119.62</x:v>
      </x:c>
      <x:c r="G4169" t="str">
        <x:v>Autumn</x:v>
      </x:c>
      <x:c r="H4169" t="str">
        <x:v>Card</x:v>
      </x:c>
      <x:c r="I4169" t="n">
        <x:v>4.5</x:v>
      </x:c>
      <x:c r="J4169" t="n">
        <x:v>15</x:v>
      </x:c>
      <x:c r="K4169" t="n">
        <x:v>5</x:v>
      </x:c>
      <x:c r="L4169" t="str">
        <x:v>STORE-001</x:v>
      </x:c>
      <x:c r="M4169" s="22" t="n">
        <x:v>46144</x:v>
      </x:c>
      <x:c r="N4169" t="str">
        <x:v>SKU-005</x:v>
      </x:c>
      <x:c r="O4169" t="n">
        <x:v>1</x:v>
      </x:c>
      <x:c r="P4169" s="26" t="n">
        <x:f>F4169/O4169</x:f>
        <x:v>119.62</x:v>
      </x:c>
    </x:row>
    <x:row r="4170">
      <x:c r="A4170" t="n">
        <x:v>4169</x:v>
      </x:c>
      <x:c r="B4170" t="n">
        <x:v>26</x:v>
      </x:c>
      <x:c r="C4170" t="str">
        <x:v>Female</x:v>
      </x:c>
      <x:c r="D4170" t="str">
        <x:v>Footwear</x:v>
      </x:c>
      <x:c r="E4170" t="str">
        <x:v>Sandals</x:v>
      </x:c>
      <x:c r="F4170" s="24" t="n">
        <x:v>230.19</x:v>
      </x:c>
      <x:c r="G4170" t="str">
        <x:v>Winter</x:v>
      </x:c>
      <x:c r="H4170" t="str">
        <x:v>Card</x:v>
      </x:c>
      <x:c r="I4170" t="n">
        <x:v>3.9</x:v>
      </x:c>
      <x:c r="J4170" t="n">
        <x:v>22</x:v>
      </x:c>
      <x:c r="K4170" t="n">
        <x:v>6</x:v>
      </x:c>
      <x:c r="L4170" t="str">
        <x:v>STORE-001</x:v>
      </x:c>
      <x:c r="M4170" s="22" t="n">
        <x:v>46259</x:v>
      </x:c>
      <x:c r="N4170" t="str">
        <x:v>SKU-019</x:v>
      </x:c>
      <x:c r="O4170" t="n">
        <x:v>2</x:v>
      </x:c>
      <x:c r="P4170" s="26" t="n">
        <x:f>F4170/O4170</x:f>
        <x:v>115.095</x:v>
      </x:c>
    </x:row>
    <x:row r="4171">
      <x:c r="A4171" t="n">
        <x:v>4170</x:v>
      </x:c>
      <x:c r="B4171" t="n">
        <x:v>50</x:v>
      </x:c>
      <x:c r="C4171" t="str">
        <x:v>Female</x:v>
      </x:c>
      <x:c r="D4171" t="str">
        <x:v>Home</x:v>
      </x:c>
      <x:c r="E4171" t="str">
        <x:v>Curtains</x:v>
      </x:c>
      <x:c r="F4171" s="24" t="n">
        <x:v>58.78</x:v>
      </x:c>
      <x:c r="G4171" t="str">
        <x:v>Winter</x:v>
      </x:c>
      <x:c r="H4171" t="str">
        <x:v>Cash on Delivery</x:v>
      </x:c>
      <x:c r="I4171" t="n">
        <x:v>4.8</x:v>
      </x:c>
      <x:c r="J4171" t="n">
        <x:v>16</x:v>
      </x:c>
      <x:c r="K4171" t="n">
        <x:v>3</x:v>
      </x:c>
      <x:c r="L4171" t="str">
        <x:v>STORE-001</x:v>
      </x:c>
      <x:c r="M4171" s="22" t="n">
        <x:v>46241</x:v>
      </x:c>
      <x:c r="N4171" t="str">
        <x:v>SKU-003</x:v>
      </x:c>
      <x:c r="O4171" t="n">
        <x:v>1</x:v>
      </x:c>
      <x:c r="P4171" s="26" t="n">
        <x:f>F4171/O4171</x:f>
        <x:v>58.78</x:v>
      </x:c>
    </x:row>
    <x:row r="4172">
      <x:c r="A4172" t="n">
        <x:v>4171</x:v>
      </x:c>
      <x:c r="B4172" t="n">
        <x:v>36</x:v>
      </x:c>
      <x:c r="C4172" t="str">
        <x:v>Male</x:v>
      </x:c>
      <x:c r="D4172" t="str">
        <x:v>Electronics</x:v>
      </x:c>
      <x:c r="E4172" t="str">
        <x:v>Headphones</x:v>
      </x:c>
      <x:c r="F4172" s="24" t="n">
        <x:v>2331.58</x:v>
      </x:c>
      <x:c r="G4172" t="str">
        <x:v>Winter</x:v>
      </x:c>
      <x:c r="H4172" t="str">
        <x:v>Card</x:v>
      </x:c>
      <x:c r="I4172" t="n">
        <x:v>3</x:v>
      </x:c>
      <x:c r="J4172" t="n">
        <x:v>8</x:v>
      </x:c>
      <x:c r="K4172" t="n">
        <x:v>4</x:v>
      </x:c>
      <x:c r="L4172" t="str">
        <x:v>STORE-001</x:v>
      </x:c>
      <x:c r="M4172" s="22" t="n">
        <x:v>46221</x:v>
      </x:c>
      <x:c r="N4172" t="str">
        <x:v>SKU-009</x:v>
      </x:c>
      <x:c r="O4172" t="n">
        <x:v>1</x:v>
      </x:c>
      <x:c r="P4172" s="26" t="n">
        <x:f>F4172/O4172</x:f>
        <x:v>2331.58</x:v>
      </x:c>
    </x:row>
    <x:row r="4173">
      <x:c r="A4173" t="n">
        <x:v>4172</x:v>
      </x:c>
      <x:c r="B4173" t="n">
        <x:v>36</x:v>
      </x:c>
      <x:c r="C4173" t="str">
        <x:v>Male</x:v>
      </x:c>
      <x:c r="D4173" t="str">
        <x:v>Sports</x:v>
      </x:c>
      <x:c r="E4173" t="str">
        <x:v>Dumbbells</x:v>
      </x:c>
      <x:c r="F4173" s="24" t="n">
        <x:v>149.44</x:v>
      </x:c>
      <x:c r="G4173" t="str">
        <x:v>Autumn</x:v>
      </x:c>
      <x:c r="H4173" t="str">
        <x:v>Card</x:v>
      </x:c>
      <x:c r="I4173" t="n">
        <x:v>3.6</x:v>
      </x:c>
      <x:c r="J4173" t="n">
        <x:v>20</x:v>
      </x:c>
      <x:c r="K4173" t="n">
        <x:v>5</x:v>
      </x:c>
      <x:c r="L4173" t="str">
        <x:v>STORE-001</x:v>
      </x:c>
      <x:c r="M4173" s="22" t="n">
        <x:v>46121</x:v>
      </x:c>
      <x:c r="N4173" t="str">
        <x:v>SKU-005</x:v>
      </x:c>
      <x:c r="O4173" t="n">
        <x:v>1</x:v>
      </x:c>
      <x:c r="P4173" s="26" t="n">
        <x:f>F4173/O4173</x:f>
        <x:v>149.44</x:v>
      </x:c>
    </x:row>
    <x:row r="4174">
      <x:c r="A4174" t="n">
        <x:v>4173</x:v>
      </x:c>
      <x:c r="B4174" t="n">
        <x:v>64</x:v>
      </x:c>
      <x:c r="C4174" t="str">
        <x:v>Male</x:v>
      </x:c>
      <x:c r="D4174" t="str">
        <x:v>Electronics</x:v>
      </x:c>
      <x:c r="E4174" t="str">
        <x:v>Headphones</x:v>
      </x:c>
      <x:c r="F4174" s="24" t="n">
        <x:v>2758.3</x:v>
      </x:c>
      <x:c r="G4174" t="str">
        <x:v>Spring</x:v>
      </x:c>
      <x:c r="H4174" t="str">
        <x:v>Card</x:v>
      </x:c>
      <x:c r="I4174" t="n">
        <x:v>3.4</x:v>
      </x:c>
      <x:c r="J4174" t="n">
        <x:v>17</x:v>
      </x:c>
      <x:c r="K4174" t="n">
        <x:v>6</x:v>
      </x:c>
      <x:c r="L4174" t="str">
        <x:v>STORE-001</x:v>
      </x:c>
      <x:c r="M4174" s="22" t="n">
        <x:v>45961</x:v>
      </x:c>
      <x:c r="N4174" t="str">
        <x:v>SKU-009</x:v>
      </x:c>
      <x:c r="O4174" t="n">
        <x:v>1</x:v>
      </x:c>
      <x:c r="P4174" s="26" t="n">
        <x:f>F4174/O4174</x:f>
        <x:v>2758.3</x:v>
      </x:c>
    </x:row>
    <x:row r="4175">
      <x:c r="A4175" t="n">
        <x:v>4174</x:v>
      </x:c>
      <x:c r="B4175" t="n">
        <x:v>69</x:v>
      </x:c>
      <x:c r="C4175" t="str">
        <x:v>Female</x:v>
      </x:c>
      <x:c r="D4175" t="str">
        <x:v>Beauty</x:v>
      </x:c>
      <x:c r="E4175" t="str">
        <x:v>Makeup Set</x:v>
      </x:c>
      <x:c r="F4175" s="24" t="n">
        <x:v>87.77</x:v>
      </x:c>
      <x:c r="G4175" t="str">
        <x:v>Autumn</x:v>
      </x:c>
      <x:c r="H4175" t="str">
        <x:v>Cash on Delivery</x:v>
      </x:c>
      <x:c r="I4175" t="n">
        <x:v>3.9</x:v>
      </x:c>
      <x:c r="J4175" t="n">
        <x:v>9</x:v>
      </x:c>
      <x:c r="K4175" t="n">
        <x:v>2</x:v>
      </x:c>
      <x:c r="L4175" t="str">
        <x:v>STORE-001</x:v>
      </x:c>
      <x:c r="M4175" s="22" t="n">
        <x:v>46086</x:v>
      </x:c>
      <x:c r="N4175" t="str">
        <x:v>SKU-015</x:v>
      </x:c>
      <x:c r="O4175" t="n">
        <x:v>2</x:v>
      </x:c>
      <x:c r="P4175" s="26" t="n">
        <x:f>F4175/O4175</x:f>
        <x:v>43.885</x:v>
      </x:c>
    </x:row>
    <x:row r="4176">
      <x:c r="A4176" t="n">
        <x:v>4175</x:v>
      </x:c>
      <x:c r="B4176" t="n">
        <x:v>41</x:v>
      </x:c>
      <x:c r="C4176" t="str">
        <x:v>Male</x:v>
      </x:c>
      <x:c r="D4176" t="str">
        <x:v>Mens Clothing</x:v>
      </x:c>
      <x:c r="E4176" t="str">
        <x:v>Shirt</x:v>
      </x:c>
      <x:c r="F4176" s="24" t="n">
        <x:v>199.07</x:v>
      </x:c>
      <x:c r="G4176" t="str">
        <x:v>Winter</x:v>
      </x:c>
      <x:c r="H4176" t="str">
        <x:v>Card</x:v>
      </x:c>
      <x:c r="I4176" t="n">
        <x:v>3.1</x:v>
      </x:c>
      <x:c r="J4176" t="n">
        <x:v>6</x:v>
      </x:c>
      <x:c r="K4176" t="n">
        <x:v>3</x:v>
      </x:c>
      <x:c r="L4176" t="str">
        <x:v>STORE-001</x:v>
      </x:c>
      <x:c r="M4176" s="22" t="n">
        <x:v>46219</x:v>
      </x:c>
      <x:c r="N4176" t="str">
        <x:v>SKU-020</x:v>
      </x:c>
      <x:c r="O4176" t="n">
        <x:v>1</x:v>
      </x:c>
      <x:c r="P4176" s="26" t="n">
        <x:f>F4176/O4176</x:f>
        <x:v>199.07</x:v>
      </x:c>
    </x:row>
    <x:row r="4177">
      <x:c r="A4177" t="n">
        <x:v>4176</x:v>
      </x:c>
      <x:c r="B4177" t="n">
        <x:v>39</x:v>
      </x:c>
      <x:c r="C4177" t="str">
        <x:v>Male</x:v>
      </x:c>
      <x:c r="D4177" t="str">
        <x:v>Mens Clothing</x:v>
      </x:c>
      <x:c r="E4177" t="str">
        <x:v>Shirt</x:v>
      </x:c>
      <x:c r="F4177" s="24" t="n">
        <x:v>145.5</x:v>
      </x:c>
      <x:c r="G4177" t="str">
        <x:v>Autumn</x:v>
      </x:c>
      <x:c r="H4177" t="str">
        <x:v>Card</x:v>
      </x:c>
      <x:c r="I4177" t="n">
        <x:v>3.8</x:v>
      </x:c>
      <x:c r="J4177" t="n">
        <x:v>4</x:v>
      </x:c>
      <x:c r="K4177" t="n">
        <x:v>2</x:v>
      </x:c>
      <x:c r="L4177" t="str">
        <x:v>STORE-001</x:v>
      </x:c>
      <x:c r="M4177" s="22" t="n">
        <x:v>46094</x:v>
      </x:c>
      <x:c r="N4177" t="str">
        <x:v>SKU-020</x:v>
      </x:c>
      <x:c r="O4177" t="n">
        <x:v>2</x:v>
      </x:c>
      <x:c r="P4177" s="26" t="n">
        <x:f>F4177/O4177</x:f>
        <x:v>72.75</x:v>
      </x:c>
    </x:row>
    <x:row r="4178">
      <x:c r="A4178" t="n">
        <x:v>4177</x:v>
      </x:c>
      <x:c r="B4178" t="n">
        <x:v>62</x:v>
      </x:c>
      <x:c r="C4178" t="str">
        <x:v>Female</x:v>
      </x:c>
      <x:c r="D4178" t="str">
        <x:v>Beauty</x:v>
      </x:c>
      <x:c r="E4178" t="str">
        <x:v>Makeup Set</x:v>
      </x:c>
      <x:c r="F4178" s="24" t="n">
        <x:v>145.39</x:v>
      </x:c>
      <x:c r="G4178" t="str">
        <x:v>Summer</x:v>
      </x:c>
      <x:c r="H4178" t="str">
        <x:v>Card</x:v>
      </x:c>
      <x:c r="I4178" t="n">
        <x:v>3.8</x:v>
      </x:c>
      <x:c r="J4178" t="n">
        <x:v>13</x:v>
      </x:c>
      <x:c r="K4178" t="n">
        <x:v>4</x:v>
      </x:c>
      <x:c r="L4178" t="str">
        <x:v>STORE-001</x:v>
      </x:c>
      <x:c r="M4178" s="22" t="n">
        <x:v>46008</x:v>
      </x:c>
      <x:c r="N4178" t="str">
        <x:v>SKU-015</x:v>
      </x:c>
      <x:c r="O4178" t="n">
        <x:v>3</x:v>
      </x:c>
      <x:c r="P4178" s="26" t="n">
        <x:f>F4178/O4178</x:f>
        <x:v>48.46333333333333</x:v>
      </x:c>
    </x:row>
    <x:row r="4179">
      <x:c r="A4179" t="n">
        <x:v>4178</x:v>
      </x:c>
      <x:c r="B4179" t="n">
        <x:v>47</x:v>
      </x:c>
      <x:c r="C4179" t="str">
        <x:v>Male</x:v>
      </x:c>
      <x:c r="D4179" t="str">
        <x:v>Electronics</x:v>
      </x:c>
      <x:c r="E4179" t="str">
        <x:v>Mobile Phone</x:v>
      </x:c>
      <x:c r="F4179" s="24" t="n">
        <x:v>1665.59</x:v>
      </x:c>
      <x:c r="G4179" t="str">
        <x:v>Summer</x:v>
      </x:c>
      <x:c r="H4179" t="str">
        <x:v>Card</x:v>
      </x:c>
      <x:c r="I4179" t="n">
        <x:v>3.9</x:v>
      </x:c>
      <x:c r="J4179" t="n">
        <x:v>17</x:v>
      </x:c>
      <x:c r="K4179" t="n">
        <x:v>6</x:v>
      </x:c>
      <x:c r="L4179" t="str">
        <x:v>STORE-001</x:v>
      </x:c>
      <x:c r="M4179" s="22" t="n">
        <x:v>46044</x:v>
      </x:c>
      <x:c r="N4179" t="str">
        <x:v>SKU-016</x:v>
      </x:c>
      <x:c r="O4179" t="n">
        <x:v>1</x:v>
      </x:c>
      <x:c r="P4179" s="26" t="n">
        <x:f>F4179/O4179</x:f>
        <x:v>1665.59</x:v>
      </x:c>
    </x:row>
    <x:row r="4180">
      <x:c r="A4180" t="n">
        <x:v>4179</x:v>
      </x:c>
      <x:c r="B4180" t="n">
        <x:v>46</x:v>
      </x:c>
      <x:c r="C4180" t="str">
        <x:v>Female</x:v>
      </x:c>
      <x:c r="D4180" t="str">
        <x:v>Footwear</x:v>
      </x:c>
      <x:c r="E4180" t="str">
        <x:v>Sandals</x:v>
      </x:c>
      <x:c r="F4180" s="24" t="n">
        <x:v>89.47</x:v>
      </x:c>
      <x:c r="G4180" t="str">
        <x:v>Spring</x:v>
      </x:c>
      <x:c r="H4180" t="str">
        <x:v>Cash on Delivery</x:v>
      </x:c>
      <x:c r="I4180" t="n">
        <x:v>4.3</x:v>
      </x:c>
      <x:c r="J4180" t="n">
        <x:v>17</x:v>
      </x:c>
      <x:c r="K4180" t="n">
        <x:v>6</x:v>
      </x:c>
      <x:c r="L4180" t="str">
        <x:v>STORE-001</x:v>
      </x:c>
      <x:c r="M4180" s="22" t="n">
        <x:v>45984</x:v>
      </x:c>
      <x:c r="N4180" t="str">
        <x:v>SKU-019</x:v>
      </x:c>
      <x:c r="O4180" t="n">
        <x:v>1</x:v>
      </x:c>
      <x:c r="P4180" s="26" t="n">
        <x:f>F4180/O4180</x:f>
        <x:v>89.47</x:v>
      </x:c>
    </x:row>
    <x:row r="4181">
      <x:c r="A4181" t="n">
        <x:v>4180</x:v>
      </x:c>
      <x:c r="B4181" t="n">
        <x:v>56</x:v>
      </x:c>
      <x:c r="C4181" t="str">
        <x:v>Male</x:v>
      </x:c>
      <x:c r="D4181" t="str">
        <x:v>Mens Clothing</x:v>
      </x:c>
      <x:c r="E4181" t="str">
        <x:v>Shirt</x:v>
      </x:c>
      <x:c r="F4181" s="24" t="n">
        <x:v>153.46</x:v>
      </x:c>
      <x:c r="G4181" t="str">
        <x:v>Spring</x:v>
      </x:c>
      <x:c r="H4181" t="str">
        <x:v>Card</x:v>
      </x:c>
      <x:c r="I4181" t="n">
        <x:v>3.2</x:v>
      </x:c>
      <x:c r="J4181" t="n">
        <x:v>11</x:v>
      </x:c>
      <x:c r="K4181" t="n">
        <x:v>3</x:v>
      </x:c>
      <x:c r="L4181" t="str">
        <x:v>STORE-001</x:v>
      </x:c>
      <x:c r="M4181" s="22" t="n">
        <x:v>46279</x:v>
      </x:c>
      <x:c r="N4181" t="str">
        <x:v>SKU-020</x:v>
      </x:c>
      <x:c r="O4181" t="n">
        <x:v>3</x:v>
      </x:c>
      <x:c r="P4181" s="26" t="n">
        <x:f>F4181/O4181</x:f>
        <x:v>51.153333333333336</x:v>
      </x:c>
    </x:row>
    <x:row r="4182">
      <x:c r="A4182" t="n">
        <x:v>4181</x:v>
      </x:c>
      <x:c r="B4182" t="n">
        <x:v>32</x:v>
      </x:c>
      <x:c r="C4182" t="str">
        <x:v>Female</x:v>
      </x:c>
      <x:c r="D4182" t="str">
        <x:v>Accessories</x:v>
      </x:c>
      <x:c r="E4182" t="str">
        <x:v>Sunglasses</x:v>
      </x:c>
      <x:c r="F4182" s="24" t="n">
        <x:v>156.18</x:v>
      </x:c>
      <x:c r="G4182" t="str">
        <x:v>Winter</x:v>
      </x:c>
      <x:c r="H4182" t="str">
        <x:v>Card</x:v>
      </x:c>
      <x:c r="I4182" t="n">
        <x:v>2.6</x:v>
      </x:c>
      <x:c r="J4182" t="n">
        <x:v>12</x:v>
      </x:c>
      <x:c r="K4182" t="n">
        <x:v>6</x:v>
      </x:c>
      <x:c r="L4182" t="str">
        <x:v>STORE-001</x:v>
      </x:c>
      <x:c r="M4182" s="22" t="n">
        <x:v>46233</x:v>
      </x:c>
      <x:c r="N4182" t="str">
        <x:v>SKU-026</x:v>
      </x:c>
      <x:c r="O4182" t="n">
        <x:v>1</x:v>
      </x:c>
      <x:c r="P4182" s="26" t="n">
        <x:f>F4182/O4182</x:f>
        <x:v>156.18</x:v>
      </x:c>
    </x:row>
    <x:row r="4183">
      <x:c r="A4183" t="n">
        <x:v>4182</x:v>
      </x:c>
      <x:c r="B4183" t="n">
        <x:v>50</x:v>
      </x:c>
      <x:c r="C4183" t="str">
        <x:v>Male</x:v>
      </x:c>
      <x:c r="D4183" t="str">
        <x:v>Sports</x:v>
      </x:c>
      <x:c r="E4183" t="str">
        <x:v>Dumbbells</x:v>
      </x:c>
      <x:c r="F4183" s="24" t="n">
        <x:v>83.36</x:v>
      </x:c>
      <x:c r="G4183" t="str">
        <x:v>Summer</x:v>
      </x:c>
      <x:c r="H4183" t="str">
        <x:v>Card</x:v>
      </x:c>
      <x:c r="I4183" t="n">
        <x:v>3.4</x:v>
      </x:c>
      <x:c r="J4183" t="n">
        <x:v>10</x:v>
      </x:c>
      <x:c r="K4183" t="n">
        <x:v>5</x:v>
      </x:c>
      <x:c r="L4183" t="str">
        <x:v>STORE-001</x:v>
      </x:c>
      <x:c r="M4183" s="22" t="n">
        <x:v>46008</x:v>
      </x:c>
      <x:c r="N4183" t="str">
        <x:v>SKU-005</x:v>
      </x:c>
      <x:c r="O4183" t="n">
        <x:v>1</x:v>
      </x:c>
      <x:c r="P4183" s="26" t="n">
        <x:f>F4183/O4183</x:f>
        <x:v>83.36</x:v>
      </x:c>
    </x:row>
    <x:row r="4184">
      <x:c r="A4184" t="n">
        <x:v>4183</x:v>
      </x:c>
      <x:c r="B4184" t="n">
        <x:v>58</x:v>
      </x:c>
      <x:c r="C4184" t="str">
        <x:v>Male</x:v>
      </x:c>
      <x:c r="D4184" t="str">
        <x:v>Mens Clothing</x:v>
      </x:c>
      <x:c r="E4184" t="str">
        <x:v>T-Shirt</x:v>
      </x:c>
      <x:c r="F4184" s="24" t="n">
        <x:v>171.56</x:v>
      </x:c>
      <x:c r="G4184" t="str">
        <x:v>Summer</x:v>
      </x:c>
      <x:c r="H4184" t="str">
        <x:v>Card</x:v>
      </x:c>
      <x:c r="I4184" t="n">
        <x:v>3.9</x:v>
      </x:c>
      <x:c r="J4184" t="n">
        <x:v>8</x:v>
      </x:c>
      <x:c r="K4184" t="n">
        <x:v>4</x:v>
      </x:c>
      <x:c r="L4184" t="str">
        <x:v>STORE-001</x:v>
      </x:c>
      <x:c r="M4184" s="22" t="n">
        <x:v>46027</x:v>
      </x:c>
      <x:c r="N4184" t="str">
        <x:v>SKU-027</x:v>
      </x:c>
      <x:c r="O4184" t="n">
        <x:v>1</x:v>
      </x:c>
      <x:c r="P4184" s="26" t="n">
        <x:f>F4184/O4184</x:f>
        <x:v>171.56</x:v>
      </x:c>
    </x:row>
    <x:row r="4185">
      <x:c r="A4185" t="n">
        <x:v>4184</x:v>
      </x:c>
      <x:c r="B4185" t="n">
        <x:v>26</x:v>
      </x:c>
      <x:c r="C4185" t="str">
        <x:v>Female</x:v>
      </x:c>
      <x:c r="D4185" t="str">
        <x:v>Womens Clothing</x:v>
      </x:c>
      <x:c r="E4185" t="str">
        <x:v>Top</x:v>
      </x:c>
      <x:c r="F4185" s="24" t="n">
        <x:v>31.99</x:v>
      </x:c>
      <x:c r="G4185" t="str">
        <x:v>Winter</x:v>
      </x:c>
      <x:c r="H4185" t="str">
        <x:v>Cash on Delivery</x:v>
      </x:c>
      <x:c r="I4185" t="n">
        <x:v>3.4</x:v>
      </x:c>
      <x:c r="J4185" t="n">
        <x:v>23</x:v>
      </x:c>
      <x:c r="K4185" t="n">
        <x:v>9</x:v>
      </x:c>
      <x:c r="L4185" t="str">
        <x:v>STORE-001</x:v>
      </x:c>
      <x:c r="M4185" s="22" t="n">
        <x:v>46236</x:v>
      </x:c>
      <x:c r="N4185" t="str">
        <x:v>SKU-028</x:v>
      </x:c>
      <x:c r="O4185" t="n">
        <x:v>1</x:v>
      </x:c>
      <x:c r="P4185" s="26" t="n">
        <x:f>F4185/O4185</x:f>
        <x:v>31.99</x:v>
      </x:c>
    </x:row>
    <x:row r="4186">
      <x:c r="A4186" t="n">
        <x:v>4185</x:v>
      </x:c>
      <x:c r="B4186" t="n">
        <x:v>58</x:v>
      </x:c>
      <x:c r="C4186" t="str">
        <x:v>Female</x:v>
      </x:c>
      <x:c r="D4186" t="str">
        <x:v>Womens Clothing</x:v>
      </x:c>
      <x:c r="E4186" t="str">
        <x:v>Top</x:v>
      </x:c>
      <x:c r="F4186" s="24" t="n">
        <x:v>199.24</x:v>
      </x:c>
      <x:c r="G4186" t="str">
        <x:v>Winter</x:v>
      </x:c>
      <x:c r="H4186" t="str">
        <x:v>Card</x:v>
      </x:c>
      <x:c r="I4186" t="n">
        <x:v>3.3</x:v>
      </x:c>
      <x:c r="J4186" t="n">
        <x:v>15</x:v>
      </x:c>
      <x:c r="K4186" t="n">
        <x:v>5</x:v>
      </x:c>
      <x:c r="L4186" t="str">
        <x:v>STORE-001</x:v>
      </x:c>
      <x:c r="M4186" s="22" t="n">
        <x:v>46262</x:v>
      </x:c>
      <x:c r="N4186" t="str">
        <x:v>SKU-028</x:v>
      </x:c>
      <x:c r="O4186" t="n">
        <x:v>1</x:v>
      </x:c>
      <x:c r="P4186" s="26" t="n">
        <x:f>F4186/O4186</x:f>
        <x:v>199.24</x:v>
      </x:c>
    </x:row>
    <x:row r="4187">
      <x:c r="A4187" t="n">
        <x:v>4186</x:v>
      </x:c>
      <x:c r="B4187" t="n">
        <x:v>24</x:v>
      </x:c>
      <x:c r="C4187" t="str">
        <x:v>Female</x:v>
      </x:c>
      <x:c r="D4187" t="str">
        <x:v>Womens Clothing</x:v>
      </x:c>
      <x:c r="E4187" t="str">
        <x:v>Top</x:v>
      </x:c>
      <x:c r="F4187" s="24" t="n">
        <x:v>80.74</x:v>
      </x:c>
      <x:c r="G4187" t="str">
        <x:v>Spring</x:v>
      </x:c>
      <x:c r="H4187" t="str">
        <x:v>Card</x:v>
      </x:c>
      <x:c r="I4187" t="n">
        <x:v>3.4</x:v>
      </x:c>
      <x:c r="J4187" t="n">
        <x:v>24</x:v>
      </x:c>
      <x:c r="K4187" t="n">
        <x:v>7</x:v>
      </x:c>
      <x:c r="L4187" t="str">
        <x:v>STORE-001</x:v>
      </x:c>
      <x:c r="M4187" s="22" t="n">
        <x:v>46280</x:v>
      </x:c>
      <x:c r="N4187" t="str">
        <x:v>SKU-028</x:v>
      </x:c>
      <x:c r="O4187" t="n">
        <x:v>1</x:v>
      </x:c>
      <x:c r="P4187" s="26" t="n">
        <x:f>F4187/O4187</x:f>
        <x:v>80.74</x:v>
      </x:c>
    </x:row>
    <x:row r="4188">
      <x:c r="A4188" t="n">
        <x:v>4187</x:v>
      </x:c>
      <x:c r="B4188" t="n">
        <x:v>65</x:v>
      </x:c>
      <x:c r="C4188" t="str">
        <x:v>Female</x:v>
      </x:c>
      <x:c r="D4188" t="str">
        <x:v>Footwear</x:v>
      </x:c>
      <x:c r="E4188" t="str">
        <x:v>Sandals</x:v>
      </x:c>
      <x:c r="F4188" s="24" t="n">
        <x:v>231.77</x:v>
      </x:c>
      <x:c r="G4188" t="str">
        <x:v>Autumn</x:v>
      </x:c>
      <x:c r="H4188" t="str">
        <x:v>Card</x:v>
      </x:c>
      <x:c r="I4188" t="n">
        <x:v>3.5</x:v>
      </x:c>
      <x:c r="J4188" t="n">
        <x:v>22</x:v>
      </x:c>
      <x:c r="K4188" t="n">
        <x:v>6</x:v>
      </x:c>
      <x:c r="L4188" t="str">
        <x:v>STORE-001</x:v>
      </x:c>
      <x:c r="M4188" s="22" t="n">
        <x:v>46084</x:v>
      </x:c>
      <x:c r="N4188" t="str">
        <x:v>SKU-019</x:v>
      </x:c>
      <x:c r="O4188" t="n">
        <x:v>1</x:v>
      </x:c>
      <x:c r="P4188" s="26" t="n">
        <x:f>F4188/O4188</x:f>
        <x:v>231.77</x:v>
      </x:c>
    </x:row>
    <x:row r="4189">
      <x:c r="A4189" t="n">
        <x:v>4188</x:v>
      </x:c>
      <x:c r="B4189" t="n">
        <x:v>46</x:v>
      </x:c>
      <x:c r="C4189" t="str">
        <x:v>Male</x:v>
      </x:c>
      <x:c r="D4189" t="str">
        <x:v>Mens Clothing</x:v>
      </x:c>
      <x:c r="E4189" t="str">
        <x:v>T-Shirt</x:v>
      </x:c>
      <x:c r="F4189" s="24" t="n">
        <x:v>79.07</x:v>
      </x:c>
      <x:c r="G4189" t="str">
        <x:v>Autumn</x:v>
      </x:c>
      <x:c r="H4189" t="str">
        <x:v>Card</x:v>
      </x:c>
      <x:c r="I4189" t="n">
        <x:v>4.3</x:v>
      </x:c>
      <x:c r="J4189" t="n">
        <x:v>14</x:v>
      </x:c>
      <x:c r="K4189" t="n">
        <x:v>2</x:v>
      </x:c>
      <x:c r="L4189" t="str">
        <x:v>STORE-001</x:v>
      </x:c>
      <x:c r="M4189" s="22" t="n">
        <x:v>46168</x:v>
      </x:c>
      <x:c r="N4189" t="str">
        <x:v>SKU-027</x:v>
      </x:c>
      <x:c r="O4189" t="n">
        <x:v>1</x:v>
      </x:c>
      <x:c r="P4189" s="26" t="n">
        <x:f>F4189/O4189</x:f>
        <x:v>79.07</x:v>
      </x:c>
    </x:row>
    <x:row r="4190">
      <x:c r="A4190" t="n">
        <x:v>4189</x:v>
      </x:c>
      <x:c r="B4190" t="n">
        <x:v>57</x:v>
      </x:c>
      <x:c r="C4190" t="str">
        <x:v>Female</x:v>
      </x:c>
      <x:c r="D4190" t="str">
        <x:v>Groceries</x:v>
      </x:c>
      <x:c r="E4190" t="str">
        <x:v>Rice Pack</x:v>
      </x:c>
      <x:c r="F4190" s="24" t="n">
        <x:v>13.76</x:v>
      </x:c>
      <x:c r="G4190" t="str">
        <x:v>Winter</x:v>
      </x:c>
      <x:c r="H4190" t="str">
        <x:v>Card</x:v>
      </x:c>
      <x:c r="I4190" t="n">
        <x:v>4.4</x:v>
      </x:c>
      <x:c r="J4190" t="n">
        <x:v>7</x:v>
      </x:c>
      <x:c r="K4190" t="n">
        <x:v>1</x:v>
      </x:c>
      <x:c r="L4190" t="str">
        <x:v>STORE-001</x:v>
      </x:c>
      <x:c r="M4190" s="22" t="n">
        <x:v>46201</x:v>
      </x:c>
      <x:c r="N4190" t="str">
        <x:v>SKU-018</x:v>
      </x:c>
      <x:c r="O4190" t="n">
        <x:v>1</x:v>
      </x:c>
      <x:c r="P4190" s="26" t="n">
        <x:f>F4190/O4190</x:f>
        <x:v>13.76</x:v>
      </x:c>
    </x:row>
    <x:row r="4191">
      <x:c r="A4191" t="n">
        <x:v>4190</x:v>
      </x:c>
      <x:c r="B4191" t="n">
        <x:v>27</x:v>
      </x:c>
      <x:c r="C4191" t="str">
        <x:v>Female</x:v>
      </x:c>
      <x:c r="D4191" t="str">
        <x:v>Beauty</x:v>
      </x:c>
      <x:c r="E4191" t="str">
        <x:v>Perfume</x:v>
      </x:c>
      <x:c r="F4191" s="24" t="n">
        <x:v>113.95</x:v>
      </x:c>
      <x:c r="G4191" t="str">
        <x:v>Spring</x:v>
      </x:c>
      <x:c r="H4191" t="str">
        <x:v>Card</x:v>
      </x:c>
      <x:c r="I4191" t="n">
        <x:v>3.7</x:v>
      </x:c>
      <x:c r="J4191" t="n">
        <x:v>11</x:v>
      </x:c>
      <x:c r="K4191" t="n">
        <x:v>3</x:v>
      </x:c>
      <x:c r="L4191" t="str">
        <x:v>STORE-001</x:v>
      </x:c>
      <x:c r="M4191" s="22" t="n">
        <x:v>45973</x:v>
      </x:c>
      <x:c r="N4191" t="str">
        <x:v>SKU-017</x:v>
      </x:c>
      <x:c r="O4191" t="n">
        <x:v>2</x:v>
      </x:c>
      <x:c r="P4191" s="26" t="n">
        <x:f>F4191/O4191</x:f>
        <x:v>56.975</x:v>
      </x:c>
    </x:row>
    <x:row r="4192">
      <x:c r="A4192" t="n">
        <x:v>4191</x:v>
      </x:c>
      <x:c r="B4192" t="n">
        <x:v>41</x:v>
      </x:c>
      <x:c r="C4192" t="str">
        <x:v>Female</x:v>
      </x:c>
      <x:c r="D4192" t="str">
        <x:v>Footwear</x:v>
      </x:c>
      <x:c r="E4192" t="str">
        <x:v>Formal Shoes</x:v>
      </x:c>
      <x:c r="F4192" s="24" t="n">
        <x:v>216.85</x:v>
      </x:c>
      <x:c r="G4192" t="str">
        <x:v>Spring</x:v>
      </x:c>
      <x:c r="H4192" t="str">
        <x:v>Card</x:v>
      </x:c>
      <x:c r="I4192" t="n">
        <x:v>3.3</x:v>
      </x:c>
      <x:c r="J4192" t="n">
        <x:v>21</x:v>
      </x:c>
      <x:c r="K4192" t="n">
        <x:v>8</x:v>
      </x:c>
      <x:c r="L4192" t="str">
        <x:v>STORE-001</x:v>
      </x:c>
      <x:c r="M4192" s="22" t="n">
        <x:v>45955</x:v>
      </x:c>
      <x:c r="N4192" t="str">
        <x:v>SKU-007</x:v>
      </x:c>
      <x:c r="O4192" t="n">
        <x:v>1</x:v>
      </x:c>
      <x:c r="P4192" s="26" t="n">
        <x:f>F4192/O4192</x:f>
        <x:v>216.85</x:v>
      </x:c>
    </x:row>
    <x:row r="4193">
      <x:c r="A4193" t="n">
        <x:v>4192</x:v>
      </x:c>
      <x:c r="B4193" t="n">
        <x:v>40</x:v>
      </x:c>
      <x:c r="C4193" t="str">
        <x:v>Female</x:v>
      </x:c>
      <x:c r="D4193" t="str">
        <x:v>Beauty</x:v>
      </x:c>
      <x:c r="E4193" t="str">
        <x:v>Perfume</x:v>
      </x:c>
      <x:c r="F4193" s="24" t="n">
        <x:v>58.55</x:v>
      </x:c>
      <x:c r="G4193" t="str">
        <x:v>Spring</x:v>
      </x:c>
      <x:c r="H4193" t="str">
        <x:v>Cash on Delivery</x:v>
      </x:c>
      <x:c r="I4193" t="n">
        <x:v>4.8</x:v>
      </x:c>
      <x:c r="J4193" t="n">
        <x:v>6</x:v>
      </x:c>
      <x:c r="K4193" t="n">
        <x:v>3</x:v>
      </x:c>
      <x:c r="L4193" t="str">
        <x:v>STORE-001</x:v>
      </x:c>
      <x:c r="M4193" s="22" t="n">
        <x:v>45983</x:v>
      </x:c>
      <x:c r="N4193" t="str">
        <x:v>SKU-017</x:v>
      </x:c>
      <x:c r="O4193" t="n">
        <x:v>1</x:v>
      </x:c>
      <x:c r="P4193" s="26" t="n">
        <x:f>F4193/O4193</x:f>
        <x:v>58.55</x:v>
      </x:c>
    </x:row>
    <x:row r="4194">
      <x:c r="A4194" t="n">
        <x:v>4193</x:v>
      </x:c>
      <x:c r="B4194" t="n">
        <x:v>43</x:v>
      </x:c>
      <x:c r="C4194" t="str">
        <x:v>Male</x:v>
      </x:c>
      <x:c r="D4194" t="str">
        <x:v>Sports</x:v>
      </x:c>
      <x:c r="E4194" t="str">
        <x:v>Yoga Mat</x:v>
      </x:c>
      <x:c r="F4194" s="24" t="n">
        <x:v>188.28</x:v>
      </x:c>
      <x:c r="G4194" t="str">
        <x:v>Winter</x:v>
      </x:c>
      <x:c r="H4194" t="str">
        <x:v>Card</x:v>
      </x:c>
      <x:c r="I4194" t="n">
        <x:v>4.4</x:v>
      </x:c>
      <x:c r="J4194" t="n">
        <x:v>19</x:v>
      </x:c>
      <x:c r="K4194" t="n">
        <x:v>7</x:v>
      </x:c>
      <x:c r="L4194" t="str">
        <x:v>STORE-001</x:v>
      </x:c>
      <x:c r="M4194" s="22" t="n">
        <x:v>46175</x:v>
      </x:c>
      <x:c r="N4194" t="str">
        <x:v>SKU-030</x:v>
      </x:c>
      <x:c r="O4194" t="n">
        <x:v>2</x:v>
      </x:c>
      <x:c r="P4194" s="26" t="n">
        <x:f>F4194/O4194</x:f>
        <x:v>94.14</x:v>
      </x:c>
    </x:row>
    <x:row r="4195">
      <x:c r="A4195" t="n">
        <x:v>4194</x:v>
      </x:c>
      <x:c r="B4195" t="n">
        <x:v>37</x:v>
      </x:c>
      <x:c r="C4195" t="str">
        <x:v>Female</x:v>
      </x:c>
      <x:c r="D4195" t="str">
        <x:v>Womens Clothing</x:v>
      </x:c>
      <x:c r="E4195" t="str">
        <x:v>Skirt</x:v>
      </x:c>
      <x:c r="F4195" s="24" t="n">
        <x:v>116.17</x:v>
      </x:c>
      <x:c r="G4195" t="str">
        <x:v>Autumn</x:v>
      </x:c>
      <x:c r="H4195" t="str">
        <x:v>Card</x:v>
      </x:c>
      <x:c r="I4195" t="n">
        <x:v>4.4</x:v>
      </x:c>
      <x:c r="J4195" t="n">
        <x:v>22</x:v>
      </x:c>
      <x:c r="K4195" t="n">
        <x:v>6</x:v>
      </x:c>
      <x:c r="L4195" t="str">
        <x:v>STORE-001</x:v>
      </x:c>
      <x:c r="M4195" s="22" t="n">
        <x:v>46098</x:v>
      </x:c>
      <x:c r="N4195" t="str">
        <x:v>SKU-022</x:v>
      </x:c>
      <x:c r="O4195" t="n">
        <x:v>3</x:v>
      </x:c>
      <x:c r="P4195" s="26" t="n">
        <x:f>F4195/O4195</x:f>
        <x:v>38.723333333333336</x:v>
      </x:c>
    </x:row>
    <x:row r="4196">
      <x:c r="A4196" t="n">
        <x:v>4195</x:v>
      </x:c>
      <x:c r="B4196" t="n">
        <x:v>34</x:v>
      </x:c>
      <x:c r="C4196" t="str">
        <x:v>Female</x:v>
      </x:c>
      <x:c r="D4196" t="str">
        <x:v>Home</x:v>
      </x:c>
      <x:c r="E4196" t="str">
        <x:v>Curtains</x:v>
      </x:c>
      <x:c r="F4196" s="24" t="n">
        <x:v>142.76</x:v>
      </x:c>
      <x:c r="G4196" t="str">
        <x:v>Summer</x:v>
      </x:c>
      <x:c r="H4196" t="str">
        <x:v>Card</x:v>
      </x:c>
      <x:c r="I4196" t="n">
        <x:v>4.6</x:v>
      </x:c>
      <x:c r="J4196" t="n">
        <x:v>19</x:v>
      </x:c>
      <x:c r="K4196" t="n">
        <x:v>7</x:v>
      </x:c>
      <x:c r="L4196" t="str">
        <x:v>STORE-001</x:v>
      </x:c>
      <x:c r="M4196" s="22" t="n">
        <x:v>46049</x:v>
      </x:c>
      <x:c r="N4196" t="str">
        <x:v>SKU-003</x:v>
      </x:c>
      <x:c r="O4196" t="n">
        <x:v>4</x:v>
      </x:c>
      <x:c r="P4196" s="26" t="n">
        <x:f>F4196/O4196</x:f>
        <x:v>35.69</x:v>
      </x:c>
    </x:row>
    <x:row r="4197">
      <x:c r="A4197" t="n">
        <x:v>4196</x:v>
      </x:c>
      <x:c r="B4197" t="n">
        <x:v>43</x:v>
      </x:c>
      <x:c r="C4197" t="str">
        <x:v>Male</x:v>
      </x:c>
      <x:c r="D4197" t="str">
        <x:v>Footwear</x:v>
      </x:c>
      <x:c r="E4197" t="str">
        <x:v>Sneakers</x:v>
      </x:c>
      <x:c r="F4197" s="24" t="n">
        <x:v>158.75</x:v>
      </x:c>
      <x:c r="G4197" t="str">
        <x:v>Winter</x:v>
      </x:c>
      <x:c r="H4197" t="str">
        <x:v>Card</x:v>
      </x:c>
      <x:c r="I4197" t="n">
        <x:v>4.5</x:v>
      </x:c>
      <x:c r="J4197" t="n">
        <x:v>16</x:v>
      </x:c>
      <x:c r="K4197" t="n">
        <x:v>8</x:v>
      </x:c>
      <x:c r="L4197" t="str">
        <x:v>STORE-001</x:v>
      </x:c>
      <x:c r="M4197" s="22" t="n">
        <x:v>46175</x:v>
      </x:c>
      <x:c r="N4197" t="str">
        <x:v>SKU-025</x:v>
      </x:c>
      <x:c r="O4197" t="n">
        <x:v>1</x:v>
      </x:c>
      <x:c r="P4197" s="26" t="n">
        <x:f>F4197/O4197</x:f>
        <x:v>158.75</x:v>
      </x:c>
    </x:row>
    <x:row r="4198">
      <x:c r="A4198" t="n">
        <x:v>4197</x:v>
      </x:c>
      <x:c r="B4198" t="n">
        <x:v>49</x:v>
      </x:c>
      <x:c r="C4198" t="str">
        <x:v>Female</x:v>
      </x:c>
      <x:c r="D4198" t="str">
        <x:v>Groceries</x:v>
      </x:c>
      <x:c r="E4198" t="str">
        <x:v>Cooking Oil</x:v>
      </x:c>
      <x:c r="F4198" s="24" t="n">
        <x:v>43.81</x:v>
      </x:c>
      <x:c r="G4198" t="str">
        <x:v>Spring</x:v>
      </x:c>
      <x:c r="H4198" t="str">
        <x:v>Cash on Delivery</x:v>
      </x:c>
      <x:c r="I4198" t="n">
        <x:v>4</x:v>
      </x:c>
      <x:c r="J4198" t="n">
        <x:v>12</x:v>
      </x:c>
      <x:c r="K4198" t="n">
        <x:v>6</x:v>
      </x:c>
      <x:c r="L4198" t="str">
        <x:v>STORE-001</x:v>
      </x:c>
      <x:c r="M4198" s="22" t="n">
        <x:v>46273</x:v>
      </x:c>
      <x:c r="N4198" t="str">
        <x:v>SKU-002</x:v>
      </x:c>
      <x:c r="O4198" t="n">
        <x:v>2</x:v>
      </x:c>
      <x:c r="P4198" s="26" t="n">
        <x:f>F4198/O4198</x:f>
        <x:v>21.905</x:v>
      </x:c>
    </x:row>
    <x:row r="4199">
      <x:c r="A4199" t="n">
        <x:v>4198</x:v>
      </x:c>
      <x:c r="B4199" t="n">
        <x:v>57</x:v>
      </x:c>
      <x:c r="C4199" t="str">
        <x:v>Male</x:v>
      </x:c>
      <x:c r="D4199" t="str">
        <x:v>Sports</x:v>
      </x:c>
      <x:c r="E4199" t="str">
        <x:v>Football</x:v>
      </x:c>
      <x:c r="F4199" s="24" t="n">
        <x:v>66.09</x:v>
      </x:c>
      <x:c r="G4199" t="str">
        <x:v>Spring</x:v>
      </x:c>
      <x:c r="H4199" t="str">
        <x:v>Cash on Delivery</x:v>
      </x:c>
      <x:c r="I4199" t="n">
        <x:v>3.6</x:v>
      </x:c>
      <x:c r="J4199" t="n">
        <x:v>11</x:v>
      </x:c>
      <x:c r="K4199" t="n">
        <x:v>3</x:v>
      </x:c>
      <x:c r="L4199" t="str">
        <x:v>STORE-001</x:v>
      </x:c>
      <x:c r="M4199" s="22" t="n">
        <x:v>45956</x:v>
      </x:c>
      <x:c r="N4199" t="str">
        <x:v>SKU-006</x:v>
      </x:c>
      <x:c r="O4199" t="n">
        <x:v>1</x:v>
      </x:c>
      <x:c r="P4199" s="26" t="n">
        <x:f>F4199/O4199</x:f>
        <x:v>66.09</x:v>
      </x:c>
    </x:row>
    <x:row r="4200">
      <x:c r="A4200" t="n">
        <x:v>4199</x:v>
      </x:c>
      <x:c r="B4200" t="n">
        <x:v>60</x:v>
      </x:c>
      <x:c r="C4200" t="str">
        <x:v>Male</x:v>
      </x:c>
      <x:c r="D4200" t="str">
        <x:v>Electronics</x:v>
      </x:c>
      <x:c r="E4200" t="str">
        <x:v>Laptop</x:v>
      </x:c>
      <x:c r="F4200" s="24" t="n">
        <x:v>2585.88</x:v>
      </x:c>
      <x:c r="G4200" t="str">
        <x:v>Winter</x:v>
      </x:c>
      <x:c r="H4200" t="str">
        <x:v>Card</x:v>
      </x:c>
      <x:c r="I4200" t="n">
        <x:v>3.1</x:v>
      </x:c>
      <x:c r="J4200" t="n">
        <x:v>15</x:v>
      </x:c>
      <x:c r="K4200" t="n">
        <x:v>5</x:v>
      </x:c>
      <x:c r="L4200" t="str">
        <x:v>STORE-001</x:v>
      </x:c>
      <x:c r="M4200" s="22" t="n">
        <x:v>46226</x:v>
      </x:c>
      <x:c r="N4200" t="str">
        <x:v>SKU-014</x:v>
      </x:c>
      <x:c r="O4200" t="n">
        <x:v>1</x:v>
      </x:c>
      <x:c r="P4200" s="26" t="n">
        <x:f>F4200/O4200</x:f>
        <x:v>2585.88</x:v>
      </x:c>
    </x:row>
    <x:row r="4201">
      <x:c r="A4201" t="n">
        <x:v>4200</x:v>
      </x:c>
      <x:c r="B4201" t="n">
        <x:v>45</x:v>
      </x:c>
      <x:c r="C4201" t="str">
        <x:v>Male</x:v>
      </x:c>
      <x:c r="D4201" t="str">
        <x:v>Electronics</x:v>
      </x:c>
      <x:c r="E4201" t="str">
        <x:v>Laptop</x:v>
      </x:c>
      <x:c r="F4201" s="24" t="n">
        <x:v>2462.83</x:v>
      </x:c>
      <x:c r="G4201" t="str">
        <x:v>Spring</x:v>
      </x:c>
      <x:c r="H4201" t="str">
        <x:v>Card</x:v>
      </x:c>
      <x:c r="I4201" t="n">
        <x:v>4.5</x:v>
      </x:c>
      <x:c r="J4201" t="n">
        <x:v>12</x:v>
      </x:c>
      <x:c r="K4201" t="n">
        <x:v>6</x:v>
      </x:c>
      <x:c r="L4201" t="str">
        <x:v>STORE-001</x:v>
      </x:c>
      <x:c r="M4201" s="22" t="n">
        <x:v>45968</x:v>
      </x:c>
      <x:c r="N4201" t="str">
        <x:v>SKU-014</x:v>
      </x:c>
      <x:c r="O4201" t="n">
        <x:v>1</x:v>
      </x:c>
      <x:c r="P4201" s="26" t="n">
        <x:f>F4201/O4201</x:f>
        <x:v>2462.83</x:v>
      </x:c>
    </x:row>
    <x:row r="4202">
      <x:c r="A4202" t="n">
        <x:v>4201</x:v>
      </x:c>
      <x:c r="B4202" t="n">
        <x:v>38</x:v>
      </x:c>
      <x:c r="C4202" t="str">
        <x:v>Male</x:v>
      </x:c>
      <x:c r="D4202" t="str">
        <x:v>Sports</x:v>
      </x:c>
      <x:c r="E4202" t="str">
        <x:v>Yoga Mat</x:v>
      </x:c>
      <x:c r="F4202" s="24" t="n">
        <x:v>92.59</x:v>
      </x:c>
      <x:c r="G4202" t="str">
        <x:v>Spring</x:v>
      </x:c>
      <x:c r="H4202" t="str">
        <x:v>Card</x:v>
      </x:c>
      <x:c r="I4202" t="n">
        <x:v>4.6</x:v>
      </x:c>
      <x:c r="J4202" t="n">
        <x:v>19</x:v>
      </x:c>
      <x:c r="K4202" t="n">
        <x:v>7</x:v>
      </x:c>
      <x:c r="L4202" t="str">
        <x:v>STORE-001</x:v>
      </x:c>
      <x:c r="M4202" s="22" t="n">
        <x:v>45937</x:v>
      </x:c>
      <x:c r="N4202" t="str">
        <x:v>SKU-030</x:v>
      </x:c>
      <x:c r="O4202" t="n">
        <x:v>2</x:v>
      </x:c>
      <x:c r="P4202" s="26" t="n">
        <x:f>F4202/O4202</x:f>
        <x:v>46.295</x:v>
      </x:c>
    </x:row>
    <x:row r="4203">
      <x:c r="A4203" t="n">
        <x:v>4202</x:v>
      </x:c>
      <x:c r="B4203" t="n">
        <x:v>52</x:v>
      </x:c>
      <x:c r="C4203" t="str">
        <x:v>Female</x:v>
      </x:c>
      <x:c r="D4203" t="str">
        <x:v>Womens Clothing</x:v>
      </x:c>
      <x:c r="E4203" t="str">
        <x:v>Jeans</x:v>
      </x:c>
      <x:c r="F4203" s="24" t="n">
        <x:v>132.67</x:v>
      </x:c>
      <x:c r="G4203" t="str">
        <x:v>Autumn</x:v>
      </x:c>
      <x:c r="H4203" t="str">
        <x:v>Card</x:v>
      </x:c>
      <x:c r="I4203" t="n">
        <x:v>5</x:v>
      </x:c>
      <x:c r="J4203" t="n">
        <x:v>13</x:v>
      </x:c>
      <x:c r="K4203" t="n">
        <x:v>4</x:v>
      </x:c>
      <x:c r="L4203" t="str">
        <x:v>STORE-001</x:v>
      </x:c>
      <x:c r="M4203" s="22" t="n">
        <x:v>46107</x:v>
      </x:c>
      <x:c r="N4203" t="str">
        <x:v>SKU-011</x:v>
      </x:c>
      <x:c r="O4203" t="n">
        <x:v>1</x:v>
      </x:c>
      <x:c r="P4203" s="26" t="n">
        <x:f>F4203/O4203</x:f>
        <x:v>132.67</x:v>
      </x:c>
    </x:row>
    <x:row r="4204">
      <x:c r="A4204" t="n">
        <x:v>4203</x:v>
      </x:c>
      <x:c r="B4204" t="n">
        <x:v>49</x:v>
      </x:c>
      <x:c r="C4204" t="str">
        <x:v>Female</x:v>
      </x:c>
      <x:c r="D4204" t="str">
        <x:v>Groceries</x:v>
      </x:c>
      <x:c r="E4204" t="str">
        <x:v>Cooking Oil</x:v>
      </x:c>
      <x:c r="F4204" s="24" t="n">
        <x:v>44.3</x:v>
      </x:c>
      <x:c r="G4204" t="str">
        <x:v>Winter</x:v>
      </x:c>
      <x:c r="H4204" t="str">
        <x:v>Card</x:v>
      </x:c>
      <x:c r="I4204" t="n">
        <x:v>4.3</x:v>
      </x:c>
      <x:c r="J4204" t="n">
        <x:v>17</x:v>
      </x:c>
      <x:c r="K4204" t="n">
        <x:v>6</x:v>
      </x:c>
      <x:c r="L4204" t="str">
        <x:v>STORE-001</x:v>
      </x:c>
      <x:c r="M4204" s="22" t="n">
        <x:v>46220</x:v>
      </x:c>
      <x:c r="N4204" t="str">
        <x:v>SKU-002</x:v>
      </x:c>
      <x:c r="O4204" t="n">
        <x:v>1</x:v>
      </x:c>
      <x:c r="P4204" s="26" t="n">
        <x:f>F4204/O4204</x:f>
        <x:v>44.3</x:v>
      </x:c>
    </x:row>
    <x:row r="4205">
      <x:c r="A4205" t="n">
        <x:v>4204</x:v>
      </x:c>
      <x:c r="B4205" t="n">
        <x:v>26</x:v>
      </x:c>
      <x:c r="C4205" t="str">
        <x:v>Female</x:v>
      </x:c>
      <x:c r="D4205" t="str">
        <x:v>Beauty</x:v>
      </x:c>
      <x:c r="E4205" t="str">
        <x:v>Perfume</x:v>
      </x:c>
      <x:c r="F4205" s="24" t="n">
        <x:v>76.87</x:v>
      </x:c>
      <x:c r="G4205" t="str">
        <x:v>Spring</x:v>
      </x:c>
      <x:c r="H4205" t="str">
        <x:v>Card</x:v>
      </x:c>
      <x:c r="I4205" t="n">
        <x:v>3</x:v>
      </x:c>
      <x:c r="J4205" t="n">
        <x:v>10</x:v>
      </x:c>
      <x:c r="K4205" t="n">
        <x:v>5</x:v>
      </x:c>
      <x:c r="L4205" t="str">
        <x:v>STORE-001</x:v>
      </x:c>
      <x:c r="M4205" s="22" t="n">
        <x:v>46295</x:v>
      </x:c>
      <x:c r="N4205" t="str">
        <x:v>SKU-017</x:v>
      </x:c>
      <x:c r="O4205" t="n">
        <x:v>3</x:v>
      </x:c>
      <x:c r="P4205" s="26" t="n">
        <x:f>F4205/O4205</x:f>
        <x:v>25.623333333333335</x:v>
      </x:c>
    </x:row>
    <x:row r="4206">
      <x:c r="A4206" t="n">
        <x:v>4205</x:v>
      </x:c>
      <x:c r="B4206" t="n">
        <x:v>58</x:v>
      </x:c>
      <x:c r="C4206" t="str">
        <x:v>Male</x:v>
      </x:c>
      <x:c r="D4206" t="str">
        <x:v>Mens Clothing</x:v>
      </x:c>
      <x:c r="E4206" t="str">
        <x:v>Jacket</x:v>
      </x:c>
      <x:c r="F4206" s="24" t="n">
        <x:v>53.51</x:v>
      </x:c>
      <x:c r="G4206" t="str">
        <x:v>Spring</x:v>
      </x:c>
      <x:c r="H4206" t="str">
        <x:v>Card</x:v>
      </x:c>
      <x:c r="I4206" t="n">
        <x:v>4.4</x:v>
      </x:c>
      <x:c r="J4206" t="n">
        <x:v>12</x:v>
      </x:c>
      <x:c r="K4206" t="n">
        <x:v>6</x:v>
      </x:c>
      <x:c r="L4206" t="str">
        <x:v>STORE-001</x:v>
      </x:c>
      <x:c r="M4206" s="22" t="n">
        <x:v>46293</x:v>
      </x:c>
      <x:c r="N4206" t="str">
        <x:v>SKU-010</x:v>
      </x:c>
      <x:c r="O4206" t="n">
        <x:v>3</x:v>
      </x:c>
      <x:c r="P4206" s="26" t="n">
        <x:f>F4206/O4206</x:f>
        <x:v>17.836666666666666</x:v>
      </x:c>
    </x:row>
    <x:row r="4207">
      <x:c r="A4207" t="n">
        <x:v>4206</x:v>
      </x:c>
      <x:c r="B4207" t="n">
        <x:v>52</x:v>
      </x:c>
      <x:c r="C4207" t="str">
        <x:v>Male</x:v>
      </x:c>
      <x:c r="D4207" t="str">
        <x:v>Sports</x:v>
      </x:c>
      <x:c r="E4207" t="str">
        <x:v>Dumbbells</x:v>
      </x:c>
      <x:c r="F4207" s="24" t="n">
        <x:v>103.02</x:v>
      </x:c>
      <x:c r="G4207" t="str">
        <x:v>Autumn</x:v>
      </x:c>
      <x:c r="H4207" t="str">
        <x:v>Card</x:v>
      </x:c>
      <x:c r="I4207" t="n">
        <x:v>3.6</x:v>
      </x:c>
      <x:c r="J4207" t="n">
        <x:v>14</x:v>
      </x:c>
      <x:c r="K4207" t="n">
        <x:v>7</x:v>
      </x:c>
      <x:c r="L4207" t="str">
        <x:v>STORE-001</x:v>
      </x:c>
      <x:c r="M4207" s="22" t="n">
        <x:v>46113</x:v>
      </x:c>
      <x:c r="N4207" t="str">
        <x:v>SKU-005</x:v>
      </x:c>
      <x:c r="O4207" t="n">
        <x:v>2</x:v>
      </x:c>
      <x:c r="P4207" s="26" t="n">
        <x:f>F4207/O4207</x:f>
        <x:v>51.51</x:v>
      </x:c>
    </x:row>
    <x:row r="4208">
      <x:c r="A4208" t="n">
        <x:v>4207</x:v>
      </x:c>
      <x:c r="B4208" t="n">
        <x:v>64</x:v>
      </x:c>
      <x:c r="C4208" t="str">
        <x:v>Male</x:v>
      </x:c>
      <x:c r="D4208" t="str">
        <x:v>Footwear</x:v>
      </x:c>
      <x:c r="E4208" t="str">
        <x:v>Sneakers</x:v>
      </x:c>
      <x:c r="F4208" s="24" t="n">
        <x:v>184.26</x:v>
      </x:c>
      <x:c r="G4208" t="str">
        <x:v>Winter</x:v>
      </x:c>
      <x:c r="H4208" t="str">
        <x:v>Card</x:v>
      </x:c>
      <x:c r="I4208" t="n">
        <x:v>4.6</x:v>
      </x:c>
      <x:c r="J4208" t="n">
        <x:v>12</x:v>
      </x:c>
      <x:c r="K4208" t="n">
        <x:v>1</x:v>
      </x:c>
      <x:c r="L4208" t="str">
        <x:v>STORE-001</x:v>
      </x:c>
      <x:c r="M4208" s="22" t="n">
        <x:v>46185</x:v>
      </x:c>
      <x:c r="N4208" t="str">
        <x:v>SKU-025</x:v>
      </x:c>
      <x:c r="O4208" t="n">
        <x:v>2</x:v>
      </x:c>
      <x:c r="P4208" s="26" t="n">
        <x:f>F4208/O4208</x:f>
        <x:v>92.13</x:v>
      </x:c>
    </x:row>
    <x:row r="4209">
      <x:c r="A4209" t="n">
        <x:v>4208</x:v>
      </x:c>
      <x:c r="B4209" t="n">
        <x:v>55</x:v>
      </x:c>
      <x:c r="C4209" t="str">
        <x:v>Female</x:v>
      </x:c>
      <x:c r="D4209" t="str">
        <x:v>Footwear</x:v>
      </x:c>
      <x:c r="E4209" t="str">
        <x:v>Sneakers</x:v>
      </x:c>
      <x:c r="F4209" s="24" t="n">
        <x:v>171.05</x:v>
      </x:c>
      <x:c r="G4209" t="str">
        <x:v>Autumn</x:v>
      </x:c>
      <x:c r="H4209" t="str">
        <x:v>Card</x:v>
      </x:c>
      <x:c r="I4209" t="n">
        <x:v>3.8</x:v>
      </x:c>
      <x:c r="J4209" t="n">
        <x:v>12</x:v>
      </x:c>
      <x:c r="K4209" t="n">
        <x:v>6</x:v>
      </x:c>
      <x:c r="L4209" t="str">
        <x:v>STORE-001</x:v>
      </x:c>
      <x:c r="M4209" s="22" t="n">
        <x:v>46095</x:v>
      </x:c>
      <x:c r="N4209" t="str">
        <x:v>SKU-025</x:v>
      </x:c>
      <x:c r="O4209" t="n">
        <x:v>1</x:v>
      </x:c>
      <x:c r="P4209" s="26" t="n">
        <x:f>F4209/O4209</x:f>
        <x:v>171.05</x:v>
      </x:c>
    </x:row>
    <x:row r="4210">
      <x:c r="A4210" t="n">
        <x:v>4209</x:v>
      </x:c>
      <x:c r="B4210" t="n">
        <x:v>67</x:v>
      </x:c>
      <x:c r="C4210" t="str">
        <x:v>Female</x:v>
      </x:c>
      <x:c r="D4210" t="str">
        <x:v>Accessories</x:v>
      </x:c>
      <x:c r="E4210" t="str">
        <x:v>Wallet</x:v>
      </x:c>
      <x:c r="F4210" s="24" t="n">
        <x:v>37.77</x:v>
      </x:c>
      <x:c r="G4210" t="str">
        <x:v>Winter</x:v>
      </x:c>
      <x:c r="H4210" t="str">
        <x:v>Cash on Delivery</x:v>
      </x:c>
      <x:c r="I4210" t="n">
        <x:v>4.5</x:v>
      </x:c>
      <x:c r="J4210" t="n">
        <x:v>20</x:v>
      </x:c>
      <x:c r="K4210" t="n">
        <x:v>5</x:v>
      </x:c>
      <x:c r="L4210" t="str">
        <x:v>STORE-001</x:v>
      </x:c>
      <x:c r="M4210" s="22" t="n">
        <x:v>46176</x:v>
      </x:c>
      <x:c r="N4210" t="str">
        <x:v>SKU-029</x:v>
      </x:c>
      <x:c r="O4210" t="n">
        <x:v>1</x:v>
      </x:c>
      <x:c r="P4210" s="26" t="n">
        <x:f>F4210/O4210</x:f>
        <x:v>37.77</x:v>
      </x:c>
    </x:row>
    <x:row r="4211">
      <x:c r="A4211" t="n">
        <x:v>4210</x:v>
      </x:c>
      <x:c r="B4211" t="n">
        <x:v>41</x:v>
      </x:c>
      <x:c r="C4211" t="str">
        <x:v>Male</x:v>
      </x:c>
      <x:c r="D4211" t="str">
        <x:v>Home</x:v>
      </x:c>
      <x:c r="E4211" t="str">
        <x:v>Lamp</x:v>
      </x:c>
      <x:c r="F4211" s="24" t="n">
        <x:v>170.89</x:v>
      </x:c>
      <x:c r="G4211" t="str">
        <x:v>Autumn</x:v>
      </x:c>
      <x:c r="H4211" t="str">
        <x:v>Card</x:v>
      </x:c>
      <x:c r="I4211" t="n">
        <x:v>4.7</x:v>
      </x:c>
      <x:c r="J4211" t="n">
        <x:v>24</x:v>
      </x:c>
      <x:c r="K4211" t="n">
        <x:v>7</x:v>
      </x:c>
      <x:c r="L4211" t="str">
        <x:v>STORE-001</x:v>
      </x:c>
      <x:c r="M4211" s="22" t="n">
        <x:v>46104</x:v>
      </x:c>
      <x:c r="N4211" t="str">
        <x:v>SKU-013</x:v>
      </x:c>
      <x:c r="O4211" t="n">
        <x:v>1</x:v>
      </x:c>
      <x:c r="P4211" s="26" t="n">
        <x:f>F4211/O4211</x:f>
        <x:v>170.89</x:v>
      </x:c>
    </x:row>
    <x:row r="4212">
      <x:c r="A4212" t="n">
        <x:v>4211</x:v>
      </x:c>
      <x:c r="B4212" t="n">
        <x:v>23</x:v>
      </x:c>
      <x:c r="C4212" t="str">
        <x:v>Male</x:v>
      </x:c>
      <x:c r="D4212" t="str">
        <x:v>Footwear</x:v>
      </x:c>
      <x:c r="E4212" t="str">
        <x:v>Formal Shoes</x:v>
      </x:c>
      <x:c r="F4212" s="24" t="n">
        <x:v>249.42</x:v>
      </x:c>
      <x:c r="G4212" t="str">
        <x:v>Spring</x:v>
      </x:c>
      <x:c r="H4212" t="str">
        <x:v>Card</x:v>
      </x:c>
      <x:c r="I4212" t="n">
        <x:v>2.7</x:v>
      </x:c>
      <x:c r="J4212" t="n">
        <x:v>23</x:v>
      </x:c>
      <x:c r="K4212" t="n">
        <x:v>9</x:v>
      </x:c>
      <x:c r="L4212" t="str">
        <x:v>STORE-001</x:v>
      </x:c>
      <x:c r="M4212" s="22" t="n">
        <x:v>46271</x:v>
      </x:c>
      <x:c r="N4212" t="str">
        <x:v>SKU-007</x:v>
      </x:c>
      <x:c r="O4212" t="n">
        <x:v>1</x:v>
      </x:c>
      <x:c r="P4212" s="26" t="n">
        <x:f>F4212/O4212</x:f>
        <x:v>249.42</x:v>
      </x:c>
    </x:row>
    <x:row r="4213">
      <x:c r="A4213" t="n">
        <x:v>4212</x:v>
      </x:c>
      <x:c r="B4213" t="n">
        <x:v>66</x:v>
      </x:c>
      <x:c r="C4213" t="str">
        <x:v>Female</x:v>
      </x:c>
      <x:c r="D4213" t="str">
        <x:v>Footwear</x:v>
      </x:c>
      <x:c r="E4213" t="str">
        <x:v>Sandals</x:v>
      </x:c>
      <x:c r="F4213" s="24" t="n">
        <x:v>167.08</x:v>
      </x:c>
      <x:c r="G4213" t="str">
        <x:v>Spring</x:v>
      </x:c>
      <x:c r="H4213" t="str">
        <x:v>Card</x:v>
      </x:c>
      <x:c r="I4213" t="n">
        <x:v>4.2</x:v>
      </x:c>
      <x:c r="J4213" t="n">
        <x:v>24</x:v>
      </x:c>
      <x:c r="K4213" t="n">
        <x:v>7</x:v>
      </x:c>
      <x:c r="L4213" t="str">
        <x:v>STORE-001</x:v>
      </x:c>
      <x:c r="M4213" s="22" t="n">
        <x:v>45932</x:v>
      </x:c>
      <x:c r="N4213" t="str">
        <x:v>SKU-019</x:v>
      </x:c>
      <x:c r="O4213" t="n">
        <x:v>1</x:v>
      </x:c>
      <x:c r="P4213" s="26" t="n">
        <x:f>F4213/O4213</x:f>
        <x:v>167.08</x:v>
      </x:c>
    </x:row>
    <x:row r="4214">
      <x:c r="A4214" t="n">
        <x:v>4213</x:v>
      </x:c>
      <x:c r="B4214" t="n">
        <x:v>26</x:v>
      </x:c>
      <x:c r="C4214" t="str">
        <x:v>Female</x:v>
      </x:c>
      <x:c r="D4214" t="str">
        <x:v>Groceries</x:v>
      </x:c>
      <x:c r="E4214" t="str">
        <x:v>Cooking Oil</x:v>
      </x:c>
      <x:c r="F4214" s="24" t="n">
        <x:v>59.78</x:v>
      </x:c>
      <x:c r="G4214" t="str">
        <x:v>Autumn</x:v>
      </x:c>
      <x:c r="H4214" t="str">
        <x:v>Card</x:v>
      </x:c>
      <x:c r="I4214" t="n">
        <x:v>4.3</x:v>
      </x:c>
      <x:c r="J4214" t="n">
        <x:v>15</x:v>
      </x:c>
      <x:c r="K4214" t="n">
        <x:v>5</x:v>
      </x:c>
      <x:c r="L4214" t="str">
        <x:v>STORE-001</x:v>
      </x:c>
      <x:c r="M4214" s="22" t="n">
        <x:v>46126</x:v>
      </x:c>
      <x:c r="N4214" t="str">
        <x:v>SKU-002</x:v>
      </x:c>
      <x:c r="O4214" t="n">
        <x:v>3</x:v>
      </x:c>
      <x:c r="P4214" s="26" t="n">
        <x:f>F4214/O4214</x:f>
        <x:v>19.926666666666666</x:v>
      </x:c>
    </x:row>
    <x:row r="4215">
      <x:c r="A4215" t="n">
        <x:v>4214</x:v>
      </x:c>
      <x:c r="B4215" t="n">
        <x:v>44</x:v>
      </x:c>
      <x:c r="C4215" t="str">
        <x:v>Female</x:v>
      </x:c>
      <x:c r="D4215" t="str">
        <x:v>Womens Clothing</x:v>
      </x:c>
      <x:c r="E4215" t="str">
        <x:v>Top</x:v>
      </x:c>
      <x:c r="F4215" s="24" t="n">
        <x:v>32</x:v>
      </x:c>
      <x:c r="G4215" t="str">
        <x:v>Autumn</x:v>
      </x:c>
      <x:c r="H4215" t="str">
        <x:v>Card</x:v>
      </x:c>
      <x:c r="I4215" t="n">
        <x:v>5</x:v>
      </x:c>
      <x:c r="J4215" t="n">
        <x:v>14</x:v>
      </x:c>
      <x:c r="K4215" t="n">
        <x:v>7</x:v>
      </x:c>
      <x:c r="L4215" t="str">
        <x:v>STORE-001</x:v>
      </x:c>
      <x:c r="M4215" s="22" t="n">
        <x:v>46160</x:v>
      </x:c>
      <x:c r="N4215" t="str">
        <x:v>SKU-028</x:v>
      </x:c>
      <x:c r="O4215" t="n">
        <x:v>1</x:v>
      </x:c>
      <x:c r="P4215" s="26" t="n">
        <x:f>F4215/O4215</x:f>
        <x:v>32</x:v>
      </x:c>
    </x:row>
    <x:row r="4216">
      <x:c r="A4216" t="n">
        <x:v>4215</x:v>
      </x:c>
      <x:c r="B4216" t="n">
        <x:v>36</x:v>
      </x:c>
      <x:c r="C4216" t="str">
        <x:v>Male</x:v>
      </x:c>
      <x:c r="D4216" t="str">
        <x:v>Sports</x:v>
      </x:c>
      <x:c r="E4216" t="str">
        <x:v>Yoga Mat</x:v>
      </x:c>
      <x:c r="F4216" s="24" t="n">
        <x:v>46.99</x:v>
      </x:c>
      <x:c r="G4216" t="str">
        <x:v>Spring</x:v>
      </x:c>
      <x:c r="H4216" t="str">
        <x:v>Cash on Delivery</x:v>
      </x:c>
      <x:c r="I4216" t="n">
        <x:v>3.7</x:v>
      </x:c>
      <x:c r="J4216" t="n">
        <x:v>8</x:v>
      </x:c>
      <x:c r="K4216" t="n">
        <x:v>4</x:v>
      </x:c>
      <x:c r="L4216" t="str">
        <x:v>STORE-001</x:v>
      </x:c>
      <x:c r="M4216" s="22" t="n">
        <x:v>45968</x:v>
      </x:c>
      <x:c r="N4216" t="str">
        <x:v>SKU-030</x:v>
      </x:c>
      <x:c r="O4216" t="n">
        <x:v>2</x:v>
      </x:c>
      <x:c r="P4216" s="26" t="n">
        <x:f>F4216/O4216</x:f>
        <x:v>23.495</x:v>
      </x:c>
    </x:row>
    <x:row r="4217">
      <x:c r="A4217" t="n">
        <x:v>4216</x:v>
      </x:c>
      <x:c r="B4217" t="n">
        <x:v>31</x:v>
      </x:c>
      <x:c r="C4217" t="str">
        <x:v>Male</x:v>
      </x:c>
      <x:c r="D4217" t="str">
        <x:v>Footwear</x:v>
      </x:c>
      <x:c r="E4217" t="str">
        <x:v>Sneakers</x:v>
      </x:c>
      <x:c r="F4217" s="24" t="n">
        <x:v>82.9</x:v>
      </x:c>
      <x:c r="G4217" t="str">
        <x:v>Winter</x:v>
      </x:c>
      <x:c r="H4217" t="str">
        <x:v>Card</x:v>
      </x:c>
      <x:c r="I4217" t="n">
        <x:v>4.2</x:v>
      </x:c>
      <x:c r="J4217" t="n">
        <x:v>16</x:v>
      </x:c>
      <x:c r="K4217" t="n">
        <x:v>3</x:v>
      </x:c>
      <x:c r="L4217" t="str">
        <x:v>STORE-001</x:v>
      </x:c>
      <x:c r="M4217" s="22" t="n">
        <x:v>46242</x:v>
      </x:c>
      <x:c r="N4217" t="str">
        <x:v>SKU-025</x:v>
      </x:c>
      <x:c r="O4217" t="n">
        <x:v>1</x:v>
      </x:c>
      <x:c r="P4217" s="26" t="n">
        <x:f>F4217/O4217</x:f>
        <x:v>82.9</x:v>
      </x:c>
    </x:row>
    <x:row r="4218">
      <x:c r="A4218" t="n">
        <x:v>4217</x:v>
      </x:c>
      <x:c r="B4218" t="n">
        <x:v>69</x:v>
      </x:c>
      <x:c r="C4218" t="str">
        <x:v>Male</x:v>
      </x:c>
      <x:c r="D4218" t="str">
        <x:v>Footwear</x:v>
      </x:c>
      <x:c r="E4218" t="str">
        <x:v>Sneakers</x:v>
      </x:c>
      <x:c r="F4218" s="24" t="n">
        <x:v>245.86</x:v>
      </x:c>
      <x:c r="G4218" t="str">
        <x:v>Winter</x:v>
      </x:c>
      <x:c r="H4218" t="str">
        <x:v>Card</x:v>
      </x:c>
      <x:c r="I4218" t="n">
        <x:v>4</x:v>
      </x:c>
      <x:c r="J4218" t="n">
        <x:v>15</x:v>
      </x:c>
      <x:c r="K4218" t="n">
        <x:v>5</x:v>
      </x:c>
      <x:c r="L4218" t="str">
        <x:v>STORE-001</x:v>
      </x:c>
      <x:c r="M4218" s="22" t="n">
        <x:v>46212</x:v>
      </x:c>
      <x:c r="N4218" t="str">
        <x:v>SKU-025</x:v>
      </x:c>
      <x:c r="O4218" t="n">
        <x:v>1</x:v>
      </x:c>
      <x:c r="P4218" s="26" t="n">
        <x:f>F4218/O4218</x:f>
        <x:v>245.86</x:v>
      </x:c>
    </x:row>
    <x:row r="4219">
      <x:c r="A4219" t="n">
        <x:v>4218</x:v>
      </x:c>
      <x:c r="B4219" t="n">
        <x:v>48</x:v>
      </x:c>
      <x:c r="C4219" t="str">
        <x:v>Female</x:v>
      </x:c>
      <x:c r="D4219" t="str">
        <x:v>Accessories</x:v>
      </x:c>
      <x:c r="E4219" t="str">
        <x:v>Handbag</x:v>
      </x:c>
      <x:c r="F4219" s="24" t="n">
        <x:v>94.05</x:v>
      </x:c>
      <x:c r="G4219" t="str">
        <x:v>Spring</x:v>
      </x:c>
      <x:c r="H4219" t="str">
        <x:v>Cash on Delivery</x:v>
      </x:c>
      <x:c r="I4219" t="n">
        <x:v>4.3</x:v>
      </x:c>
      <x:c r="J4219" t="n">
        <x:v>10</x:v>
      </x:c>
      <x:c r="K4219" t="n">
        <x:v>5</x:v>
      </x:c>
      <x:c r="L4219" t="str">
        <x:v>STORE-001</x:v>
      </x:c>
      <x:c r="M4219" s="22" t="n">
        <x:v>45985</x:v>
      </x:c>
      <x:c r="N4219" t="str">
        <x:v>SKU-008</x:v>
      </x:c>
      <x:c r="O4219" t="n">
        <x:v>2</x:v>
      </x:c>
      <x:c r="P4219" s="26" t="n">
        <x:f>F4219/O4219</x:f>
        <x:v>47.025</x:v>
      </x:c>
    </x:row>
    <x:row r="4220">
      <x:c r="A4220" t="n">
        <x:v>4219</x:v>
      </x:c>
      <x:c r="B4220" t="n">
        <x:v>31</x:v>
      </x:c>
      <x:c r="C4220" t="str">
        <x:v>Female</x:v>
      </x:c>
      <x:c r="D4220" t="str">
        <x:v>Groceries</x:v>
      </x:c>
      <x:c r="E4220" t="str">
        <x:v>Rice Pack</x:v>
      </x:c>
      <x:c r="F4220" s="24" t="n">
        <x:v>9.39</x:v>
      </x:c>
      <x:c r="G4220" t="str">
        <x:v>Autumn</x:v>
      </x:c>
      <x:c r="H4220" t="str">
        <x:v>Card</x:v>
      </x:c>
      <x:c r="I4220" t="n">
        <x:v>4.2</x:v>
      </x:c>
      <x:c r="J4220" t="n">
        <x:v>14</x:v>
      </x:c>
      <x:c r="K4220" t="n">
        <x:v>2</x:v>
      </x:c>
      <x:c r="L4220" t="str">
        <x:v>STORE-001</x:v>
      </x:c>
      <x:c r="M4220" s="22" t="n">
        <x:v>46163</x:v>
      </x:c>
      <x:c r="N4220" t="str">
        <x:v>SKU-018</x:v>
      </x:c>
      <x:c r="O4220" t="n">
        <x:v>3</x:v>
      </x:c>
      <x:c r="P4220" s="26" t="n">
        <x:f>F4220/O4220</x:f>
        <x:v>3.1300000000000003</x:v>
      </x:c>
    </x:row>
    <x:row r="4221">
      <x:c r="A4221" t="n">
        <x:v>4220</x:v>
      </x:c>
      <x:c r="B4221" t="n">
        <x:v>33</x:v>
      </x:c>
      <x:c r="C4221" t="str">
        <x:v>Female</x:v>
      </x:c>
      <x:c r="D4221" t="str">
        <x:v>Footwear</x:v>
      </x:c>
      <x:c r="E4221" t="str">
        <x:v>Formal Shoes</x:v>
      </x:c>
      <x:c r="F4221" s="24" t="n">
        <x:v>115.37</x:v>
      </x:c>
      <x:c r="G4221" t="str">
        <x:v>Winter</x:v>
      </x:c>
      <x:c r="H4221" t="str">
        <x:v>Card</x:v>
      </x:c>
      <x:c r="I4221" t="n">
        <x:v>2.8</x:v>
      </x:c>
      <x:c r="J4221" t="n">
        <x:v>6</x:v>
      </x:c>
      <x:c r="K4221" t="n">
        <x:v>3</x:v>
      </x:c>
      <x:c r="L4221" t="str">
        <x:v>STORE-001</x:v>
      </x:c>
      <x:c r="M4221" s="22" t="n">
        <x:v>46225</x:v>
      </x:c>
      <x:c r="N4221" t="str">
        <x:v>SKU-007</x:v>
      </x:c>
      <x:c r="O4221" t="n">
        <x:v>2</x:v>
      </x:c>
      <x:c r="P4221" s="26" t="n">
        <x:f>F4221/O4221</x:f>
        <x:v>57.685</x:v>
      </x:c>
    </x:row>
    <x:row r="4222">
      <x:c r="A4222" t="n">
        <x:v>4221</x:v>
      </x:c>
      <x:c r="B4222" t="n">
        <x:v>42</x:v>
      </x:c>
      <x:c r="C4222" t="str">
        <x:v>Male</x:v>
      </x:c>
      <x:c r="D4222" t="str">
        <x:v>Home</x:v>
      </x:c>
      <x:c r="E4222" t="str">
        <x:v>Lamp</x:v>
      </x:c>
      <x:c r="F4222" s="24" t="n">
        <x:v>288.26</x:v>
      </x:c>
      <x:c r="G4222" t="str">
        <x:v>Spring</x:v>
      </x:c>
      <x:c r="H4222" t="str">
        <x:v>Card</x:v>
      </x:c>
      <x:c r="I4222" t="n">
        <x:v>4.1</x:v>
      </x:c>
      <x:c r="J4222" t="n">
        <x:v>10</x:v>
      </x:c>
      <x:c r="K4222" t="n">
        <x:v>5</x:v>
      </x:c>
      <x:c r="L4222" t="str">
        <x:v>STORE-001</x:v>
      </x:c>
      <x:c r="M4222" s="22" t="n">
        <x:v>46286</x:v>
      </x:c>
      <x:c r="N4222" t="str">
        <x:v>SKU-013</x:v>
      </x:c>
      <x:c r="O4222" t="n">
        <x:v>1</x:v>
      </x:c>
      <x:c r="P4222" s="26" t="n">
        <x:f>F4222/O4222</x:f>
        <x:v>288.26</x:v>
      </x:c>
    </x:row>
    <x:row r="4223">
      <x:c r="A4223" t="n">
        <x:v>4222</x:v>
      </x:c>
      <x:c r="B4223" t="n">
        <x:v>61</x:v>
      </x:c>
      <x:c r="C4223" t="str">
        <x:v>Male</x:v>
      </x:c>
      <x:c r="D4223" t="str">
        <x:v>Electronics</x:v>
      </x:c>
      <x:c r="E4223" t="str">
        <x:v>Mobile Phone</x:v>
      </x:c>
      <x:c r="F4223" s="24" t="n">
        <x:v>2235.09</x:v>
      </x:c>
      <x:c r="G4223" t="str">
        <x:v>Winter</x:v>
      </x:c>
      <x:c r="H4223" t="str">
        <x:v>Card</x:v>
      </x:c>
      <x:c r="I4223" t="n">
        <x:v>4.4</x:v>
      </x:c>
      <x:c r="J4223" t="n">
        <x:v>14</x:v>
      </x:c>
      <x:c r="K4223" t="n">
        <x:v>7</x:v>
      </x:c>
      <x:c r="L4223" t="str">
        <x:v>STORE-001</x:v>
      </x:c>
      <x:c r="M4223" s="22" t="n">
        <x:v>46188</x:v>
      </x:c>
      <x:c r="N4223" t="str">
        <x:v>SKU-016</x:v>
      </x:c>
      <x:c r="O4223" t="n">
        <x:v>1</x:v>
      </x:c>
      <x:c r="P4223" s="26" t="n">
        <x:f>F4223/O4223</x:f>
        <x:v>2235.09</x:v>
      </x:c>
    </x:row>
    <x:row r="4224">
      <x:c r="A4224" t="n">
        <x:v>4223</x:v>
      </x:c>
      <x:c r="B4224" t="n">
        <x:v>62</x:v>
      </x:c>
      <x:c r="C4224" t="str">
        <x:v>Male</x:v>
      </x:c>
      <x:c r="D4224" t="str">
        <x:v>Sports</x:v>
      </x:c>
      <x:c r="E4224" t="str">
        <x:v>Football</x:v>
      </x:c>
      <x:c r="F4224" s="24" t="n">
        <x:v>173.92</x:v>
      </x:c>
      <x:c r="G4224" t="str">
        <x:v>Summer</x:v>
      </x:c>
      <x:c r="H4224" t="str">
        <x:v>Card</x:v>
      </x:c>
      <x:c r="I4224" t="n">
        <x:v>4.2</x:v>
      </x:c>
      <x:c r="J4224" t="n">
        <x:v>8</x:v>
      </x:c>
      <x:c r="K4224" t="n">
        <x:v>4</x:v>
      </x:c>
      <x:c r="L4224" t="str">
        <x:v>STORE-001</x:v>
      </x:c>
      <x:c r="M4224" s="22" t="n">
        <x:v>46008</x:v>
      </x:c>
      <x:c r="N4224" t="str">
        <x:v>SKU-006</x:v>
      </x:c>
      <x:c r="O4224" t="n">
        <x:v>2</x:v>
      </x:c>
      <x:c r="P4224" s="26" t="n">
        <x:f>F4224/O4224</x:f>
        <x:v>86.96</x:v>
      </x:c>
    </x:row>
    <x:row r="4225">
      <x:c r="A4225" t="n">
        <x:v>4224</x:v>
      </x:c>
      <x:c r="B4225" t="n">
        <x:v>29</x:v>
      </x:c>
      <x:c r="C4225" t="str">
        <x:v>Female</x:v>
      </x:c>
      <x:c r="D4225" t="str">
        <x:v>Beauty</x:v>
      </x:c>
      <x:c r="E4225" t="str">
        <x:v>Perfume</x:v>
      </x:c>
      <x:c r="F4225" s="24" t="n">
        <x:v>20.49</x:v>
      </x:c>
      <x:c r="G4225" t="str">
        <x:v>Spring</x:v>
      </x:c>
      <x:c r="H4225" t="str">
        <x:v>Cash on Delivery</x:v>
      </x:c>
      <x:c r="I4225" t="n">
        <x:v>3.7</x:v>
      </x:c>
      <x:c r="J4225" t="n">
        <x:v>14</x:v>
      </x:c>
      <x:c r="K4225" t="n">
        <x:v>7</x:v>
      </x:c>
      <x:c r="L4225" t="str">
        <x:v>STORE-001</x:v>
      </x:c>
      <x:c r="M4225" s="22" t="n">
        <x:v>45947</x:v>
      </x:c>
      <x:c r="N4225" t="str">
        <x:v>SKU-017</x:v>
      </x:c>
      <x:c r="O4225" t="n">
        <x:v>1</x:v>
      </x:c>
      <x:c r="P4225" s="26" t="n">
        <x:f>F4225/O4225</x:f>
        <x:v>20.49</x:v>
      </x:c>
    </x:row>
    <x:row r="4226">
      <x:c r="A4226" t="n">
        <x:v>4225</x:v>
      </x:c>
      <x:c r="B4226" t="n">
        <x:v>23</x:v>
      </x:c>
      <x:c r="C4226" t="str">
        <x:v>Female</x:v>
      </x:c>
      <x:c r="D4226" t="str">
        <x:v>Beauty</x:v>
      </x:c>
      <x:c r="E4226" t="str">
        <x:v>Skincare Kit</x:v>
      </x:c>
      <x:c r="F4226" s="24" t="n">
        <x:v>46.62</x:v>
      </x:c>
      <x:c r="G4226" t="str">
        <x:v>Winter</x:v>
      </x:c>
      <x:c r="H4226" t="str">
        <x:v>Cash on Delivery</x:v>
      </x:c>
      <x:c r="I4226" t="n">
        <x:v>5</x:v>
      </x:c>
      <x:c r="J4226" t="n">
        <x:v>22</x:v>
      </x:c>
      <x:c r="K4226" t="n">
        <x:v>6</x:v>
      </x:c>
      <x:c r="L4226" t="str">
        <x:v>STORE-001</x:v>
      </x:c>
      <x:c r="M4226" s="22" t="n">
        <x:v>46231</x:v>
      </x:c>
      <x:c r="N4226" t="str">
        <x:v>SKU-021</x:v>
      </x:c>
      <x:c r="O4226" t="n">
        <x:v>1</x:v>
      </x:c>
      <x:c r="P4226" s="26" t="n">
        <x:f>F4226/O4226</x:f>
        <x:v>46.62</x:v>
      </x:c>
    </x:row>
    <x:row r="4227">
      <x:c r="A4227" t="n">
        <x:v>4226</x:v>
      </x:c>
      <x:c r="B4227" t="n">
        <x:v>49</x:v>
      </x:c>
      <x:c r="C4227" t="str">
        <x:v>Male</x:v>
      </x:c>
      <x:c r="D4227" t="str">
        <x:v>Electronics</x:v>
      </x:c>
      <x:c r="E4227" t="str">
        <x:v>Mobile Phone</x:v>
      </x:c>
      <x:c r="F4227" s="24" t="n">
        <x:v>2552</x:v>
      </x:c>
      <x:c r="G4227" t="str">
        <x:v>Autumn</x:v>
      </x:c>
      <x:c r="H4227" t="str">
        <x:v>Card</x:v>
      </x:c>
      <x:c r="I4227" t="n">
        <x:v>4.5</x:v>
      </x:c>
      <x:c r="J4227" t="n">
        <x:v>18</x:v>
      </x:c>
      <x:c r="K4227" t="n">
        <x:v>4</x:v>
      </x:c>
      <x:c r="L4227" t="str">
        <x:v>STORE-001</x:v>
      </x:c>
      <x:c r="M4227" s="22" t="n">
        <x:v>46147</x:v>
      </x:c>
      <x:c r="N4227" t="str">
        <x:v>SKU-016</x:v>
      </x:c>
      <x:c r="O4227" t="n">
        <x:v>1</x:v>
      </x:c>
      <x:c r="P4227" s="26" t="n">
        <x:f>F4227/O4227</x:f>
        <x:v>2552</x:v>
      </x:c>
    </x:row>
    <x:row r="4228">
      <x:c r="A4228" t="n">
        <x:v>4227</x:v>
      </x:c>
      <x:c r="B4228" t="n">
        <x:v>67</x:v>
      </x:c>
      <x:c r="C4228" t="str">
        <x:v>Male</x:v>
      </x:c>
      <x:c r="D4228" t="str">
        <x:v>Sports</x:v>
      </x:c>
      <x:c r="E4228" t="str">
        <x:v>Yoga Mat</x:v>
      </x:c>
      <x:c r="F4228" s="24" t="n">
        <x:v>123.27</x:v>
      </x:c>
      <x:c r="G4228" t="str">
        <x:v>Summer</x:v>
      </x:c>
      <x:c r="H4228" t="str">
        <x:v>Card</x:v>
      </x:c>
      <x:c r="I4228" t="n">
        <x:v>4.1</x:v>
      </x:c>
      <x:c r="J4228" t="n">
        <x:v>12</x:v>
      </x:c>
      <x:c r="K4228" t="n">
        <x:v>6</x:v>
      </x:c>
      <x:c r="L4228" t="str">
        <x:v>STORE-001</x:v>
      </x:c>
      <x:c r="M4228" s="22" t="n">
        <x:v>46030</x:v>
      </x:c>
      <x:c r="N4228" t="str">
        <x:v>SKU-030</x:v>
      </x:c>
      <x:c r="O4228" t="n">
        <x:v>3</x:v>
      </x:c>
      <x:c r="P4228" s="26" t="n">
        <x:f>F4228/O4228</x:f>
        <x:v>41.089999999999996</x:v>
      </x:c>
    </x:row>
    <x:row r="4229">
      <x:c r="A4229" t="n">
        <x:v>4228</x:v>
      </x:c>
      <x:c r="B4229" t="n">
        <x:v>65</x:v>
      </x:c>
      <x:c r="C4229" t="str">
        <x:v>Male</x:v>
      </x:c>
      <x:c r="D4229" t="str">
        <x:v>Footwear</x:v>
      </x:c>
      <x:c r="E4229" t="str">
        <x:v>Formal Shoes</x:v>
      </x:c>
      <x:c r="F4229" s="24" t="n">
        <x:v>92.07</x:v>
      </x:c>
      <x:c r="G4229" t="str">
        <x:v>Summer</x:v>
      </x:c>
      <x:c r="H4229" t="str">
        <x:v>Cash on Delivery</x:v>
      </x:c>
      <x:c r="I4229" t="n">
        <x:v>4.2</x:v>
      </x:c>
      <x:c r="J4229" t="n">
        <x:v>18</x:v>
      </x:c>
      <x:c r="K4229" t="n">
        <x:v>4</x:v>
      </x:c>
      <x:c r="L4229" t="str">
        <x:v>STORE-001</x:v>
      </x:c>
      <x:c r="M4229" s="22" t="n">
        <x:v>46065</x:v>
      </x:c>
      <x:c r="N4229" t="str">
        <x:v>SKU-007</x:v>
      </x:c>
      <x:c r="O4229" t="n">
        <x:v>1</x:v>
      </x:c>
      <x:c r="P4229" s="26" t="n">
        <x:f>F4229/O4229</x:f>
        <x:v>92.07</x:v>
      </x:c>
    </x:row>
    <x:row r="4230">
      <x:c r="A4230" t="n">
        <x:v>4229</x:v>
      </x:c>
      <x:c r="B4230" t="n">
        <x:v>30</x:v>
      </x:c>
      <x:c r="C4230" t="str">
        <x:v>Female</x:v>
      </x:c>
      <x:c r="D4230" t="str">
        <x:v>Accessories</x:v>
      </x:c>
      <x:c r="E4230" t="str">
        <x:v>Wallet</x:v>
      </x:c>
      <x:c r="F4230" s="24" t="n">
        <x:v>37.86</x:v>
      </x:c>
      <x:c r="G4230" t="str">
        <x:v>Spring</x:v>
      </x:c>
      <x:c r="H4230" t="str">
        <x:v>Cash on Delivery</x:v>
      </x:c>
      <x:c r="I4230" t="n">
        <x:v>4.9</x:v>
      </x:c>
      <x:c r="J4230" t="n">
        <x:v>16</x:v>
      </x:c>
      <x:c r="K4230" t="n">
        <x:v>3</x:v>
      </x:c>
      <x:c r="L4230" t="str">
        <x:v>STORE-001</x:v>
      </x:c>
      <x:c r="M4230" s="22" t="n">
        <x:v>46271</x:v>
      </x:c>
      <x:c r="N4230" t="str">
        <x:v>SKU-029</x:v>
      </x:c>
      <x:c r="O4230" t="n">
        <x:v>1</x:v>
      </x:c>
      <x:c r="P4230" s="26" t="n">
        <x:f>F4230/O4230</x:f>
        <x:v>37.86</x:v>
      </x:c>
    </x:row>
    <x:row r="4231">
      <x:c r="A4231" t="n">
        <x:v>4230</x:v>
      </x:c>
      <x:c r="B4231" t="n">
        <x:v>52</x:v>
      </x:c>
      <x:c r="C4231" t="str">
        <x:v>Male</x:v>
      </x:c>
      <x:c r="D4231" t="str">
        <x:v>Electronics</x:v>
      </x:c>
      <x:c r="E4231" t="str">
        <x:v>Smart Watch</x:v>
      </x:c>
      <x:c r="F4231" s="24" t="n">
        <x:v>1075.98</x:v>
      </x:c>
      <x:c r="G4231" t="str">
        <x:v>Autumn</x:v>
      </x:c>
      <x:c r="H4231" t="str">
        <x:v>Card</x:v>
      </x:c>
      <x:c r="I4231" t="n">
        <x:v>4</x:v>
      </x:c>
      <x:c r="J4231" t="n">
        <x:v>4</x:v>
      </x:c>
      <x:c r="K4231" t="n">
        <x:v>2</x:v>
      </x:c>
      <x:c r="L4231" t="str">
        <x:v>STORE-001</x:v>
      </x:c>
      <x:c r="M4231" s="22" t="n">
        <x:v>46164</x:v>
      </x:c>
      <x:c r="N4231" t="str">
        <x:v>SKU-023</x:v>
      </x:c>
      <x:c r="O4231" t="n">
        <x:v>1</x:v>
      </x:c>
      <x:c r="P4231" s="26" t="n">
        <x:f>F4231/O4231</x:f>
        <x:v>1075.98</x:v>
      </x:c>
    </x:row>
    <x:row r="4232">
      <x:c r="A4232" t="n">
        <x:v>4231</x:v>
      </x:c>
      <x:c r="B4232" t="n">
        <x:v>70</x:v>
      </x:c>
      <x:c r="C4232" t="str">
        <x:v>Male</x:v>
      </x:c>
      <x:c r="D4232" t="str">
        <x:v>Footwear</x:v>
      </x:c>
      <x:c r="E4232" t="str">
        <x:v>Formal Shoes</x:v>
      </x:c>
      <x:c r="F4232" s="24" t="n">
        <x:v>71.55</x:v>
      </x:c>
      <x:c r="G4232" t="str">
        <x:v>Summer</x:v>
      </x:c>
      <x:c r="H4232" t="str">
        <x:v>Cash on Delivery</x:v>
      </x:c>
      <x:c r="I4232" t="n">
        <x:v>4.5</x:v>
      </x:c>
      <x:c r="J4232" t="n">
        <x:v>10</x:v>
      </x:c>
      <x:c r="K4232" t="n">
        <x:v>5</x:v>
      </x:c>
      <x:c r="L4232" t="str">
        <x:v>STORE-001</x:v>
      </x:c>
      <x:c r="M4232" s="22" t="n">
        <x:v>46045</x:v>
      </x:c>
      <x:c r="N4232" t="str">
        <x:v>SKU-007</x:v>
      </x:c>
      <x:c r="O4232" t="n">
        <x:v>1</x:v>
      </x:c>
      <x:c r="P4232" s="26" t="n">
        <x:f>F4232/O4232</x:f>
        <x:v>71.55</x:v>
      </x:c>
    </x:row>
    <x:row r="4233">
      <x:c r="A4233" t="n">
        <x:v>4232</x:v>
      </x:c>
      <x:c r="B4233" t="n">
        <x:v>27</x:v>
      </x:c>
      <x:c r="C4233" t="str">
        <x:v>Male</x:v>
      </x:c>
      <x:c r="D4233" t="str">
        <x:v>Electronics</x:v>
      </x:c>
      <x:c r="E4233" t="str">
        <x:v>Headphones</x:v>
      </x:c>
      <x:c r="F4233" s="24" t="n">
        <x:v>2020.46</x:v>
      </x:c>
      <x:c r="G4233" t="str">
        <x:v>Autumn</x:v>
      </x:c>
      <x:c r="H4233" t="str">
        <x:v>Card</x:v>
      </x:c>
      <x:c r="I4233" t="n">
        <x:v>5</x:v>
      </x:c>
      <x:c r="J4233" t="n">
        <x:v>23</x:v>
      </x:c>
      <x:c r="K4233" t="n">
        <x:v>9</x:v>
      </x:c>
      <x:c r="L4233" t="str">
        <x:v>STORE-001</x:v>
      </x:c>
      <x:c r="M4233" s="22" t="n">
        <x:v>46094</x:v>
      </x:c>
      <x:c r="N4233" t="str">
        <x:v>SKU-009</x:v>
      </x:c>
      <x:c r="O4233" t="n">
        <x:v>1</x:v>
      </x:c>
      <x:c r="P4233" s="26" t="n">
        <x:f>F4233/O4233</x:f>
        <x:v>2020.46</x:v>
      </x:c>
    </x:row>
    <x:row r="4234">
      <x:c r="A4234" t="n">
        <x:v>4233</x:v>
      </x:c>
      <x:c r="B4234" t="n">
        <x:v>41</x:v>
      </x:c>
      <x:c r="C4234" t="str">
        <x:v>Female</x:v>
      </x:c>
      <x:c r="D4234" t="str">
        <x:v>Accessories</x:v>
      </x:c>
      <x:c r="E4234" t="str">
        <x:v>Handbag</x:v>
      </x:c>
      <x:c r="F4234" s="24" t="n">
        <x:v>55.11</x:v>
      </x:c>
      <x:c r="G4234" t="str">
        <x:v>Spring</x:v>
      </x:c>
      <x:c r="H4234" t="str">
        <x:v>Card</x:v>
      </x:c>
      <x:c r="I4234" t="n">
        <x:v>3.2</x:v>
      </x:c>
      <x:c r="J4234" t="n">
        <x:v>15</x:v>
      </x:c>
      <x:c r="K4234" t="n">
        <x:v>5</x:v>
      </x:c>
      <x:c r="L4234" t="str">
        <x:v>STORE-001</x:v>
      </x:c>
      <x:c r="M4234" s="22" t="n">
        <x:v>45954</x:v>
      </x:c>
      <x:c r="N4234" t="str">
        <x:v>SKU-008</x:v>
      </x:c>
      <x:c r="O4234" t="n">
        <x:v>2</x:v>
      </x:c>
      <x:c r="P4234" s="26" t="n">
        <x:f>F4234/O4234</x:f>
        <x:v>27.555</x:v>
      </x:c>
    </x:row>
    <x:row r="4235">
      <x:c r="A4235" t="n">
        <x:v>4234</x:v>
      </x:c>
      <x:c r="B4235" t="n">
        <x:v>22</x:v>
      </x:c>
      <x:c r="C4235" t="str">
        <x:v>Female</x:v>
      </x:c>
      <x:c r="D4235" t="str">
        <x:v>Beauty</x:v>
      </x:c>
      <x:c r="E4235" t="str">
        <x:v>Makeup Set</x:v>
      </x:c>
      <x:c r="F4235" s="24" t="n">
        <x:v>120.3</x:v>
      </x:c>
      <x:c r="G4235" t="str">
        <x:v>Spring</x:v>
      </x:c>
      <x:c r="H4235" t="str">
        <x:v>Card</x:v>
      </x:c>
      <x:c r="I4235" t="n">
        <x:v>3.3</x:v>
      </x:c>
      <x:c r="J4235" t="n">
        <x:v>11</x:v>
      </x:c>
      <x:c r="K4235" t="n">
        <x:v>3</x:v>
      </x:c>
      <x:c r="L4235" t="str">
        <x:v>STORE-001</x:v>
      </x:c>
      <x:c r="M4235" s="22" t="n">
        <x:v>46266</x:v>
      </x:c>
      <x:c r="N4235" t="str">
        <x:v>SKU-015</x:v>
      </x:c>
      <x:c r="O4235" t="n">
        <x:v>1</x:v>
      </x:c>
      <x:c r="P4235" s="26" t="n">
        <x:f>F4235/O4235</x:f>
        <x:v>120.3</x:v>
      </x:c>
    </x:row>
    <x:row r="4236">
      <x:c r="A4236" t="n">
        <x:v>4235</x:v>
      </x:c>
      <x:c r="B4236" t="n">
        <x:v>50</x:v>
      </x:c>
      <x:c r="C4236" t="str">
        <x:v>Female</x:v>
      </x:c>
      <x:c r="D4236" t="str">
        <x:v>Accessories</x:v>
      </x:c>
      <x:c r="E4236" t="str">
        <x:v>Wallet</x:v>
      </x:c>
      <x:c r="F4236" s="24" t="n">
        <x:v>69.93</x:v>
      </x:c>
      <x:c r="G4236" t="str">
        <x:v>Autumn</x:v>
      </x:c>
      <x:c r="H4236" t="str">
        <x:v>Cash on Delivery</x:v>
      </x:c>
      <x:c r="I4236" t="n">
        <x:v>3.9</x:v>
      </x:c>
      <x:c r="J4236" t="n">
        <x:v>13</x:v>
      </x:c>
      <x:c r="K4236" t="n">
        <x:v>4</x:v>
      </x:c>
      <x:c r="L4236" t="str">
        <x:v>STORE-001</x:v>
      </x:c>
      <x:c r="M4236" s="22" t="n">
        <x:v>46149</x:v>
      </x:c>
      <x:c r="N4236" t="str">
        <x:v>SKU-029</x:v>
      </x:c>
      <x:c r="O4236" t="n">
        <x:v>3</x:v>
      </x:c>
      <x:c r="P4236" s="26" t="n">
        <x:f>F4236/O4236</x:f>
        <x:v>23.310000000000002</x:v>
      </x:c>
    </x:row>
    <x:row r="4237">
      <x:c r="A4237" t="n">
        <x:v>4236</x:v>
      </x:c>
      <x:c r="B4237" t="n">
        <x:v>27</x:v>
      </x:c>
      <x:c r="C4237" t="str">
        <x:v>Female</x:v>
      </x:c>
      <x:c r="D4237" t="str">
        <x:v>Womens Clothing</x:v>
      </x:c>
      <x:c r="E4237" t="str">
        <x:v>Top</x:v>
      </x:c>
      <x:c r="F4237" s="24" t="n">
        <x:v>185.32</x:v>
      </x:c>
      <x:c r="G4237" t="str">
        <x:v>Summer</x:v>
      </x:c>
      <x:c r="H4237" t="str">
        <x:v>Card</x:v>
      </x:c>
      <x:c r="I4237" t="n">
        <x:v>4.5</x:v>
      </x:c>
      <x:c r="J4237" t="n">
        <x:v>19</x:v>
      </x:c>
      <x:c r="K4237" t="n">
        <x:v>7</x:v>
      </x:c>
      <x:c r="L4237" t="str">
        <x:v>STORE-001</x:v>
      </x:c>
      <x:c r="M4237" s="22" t="n">
        <x:v>45993</x:v>
      </x:c>
      <x:c r="N4237" t="str">
        <x:v>SKU-028</x:v>
      </x:c>
      <x:c r="O4237" t="n">
        <x:v>2</x:v>
      </x:c>
      <x:c r="P4237" s="26" t="n">
        <x:f>F4237/O4237</x:f>
        <x:v>92.66</x:v>
      </x:c>
    </x:row>
    <x:row r="4238">
      <x:c r="A4238" t="n">
        <x:v>4237</x:v>
      </x:c>
      <x:c r="B4238" t="n">
        <x:v>28</x:v>
      </x:c>
      <x:c r="C4238" t="str">
        <x:v>Female</x:v>
      </x:c>
      <x:c r="D4238" t="str">
        <x:v>Accessories</x:v>
      </x:c>
      <x:c r="E4238" t="str">
        <x:v>Handbag</x:v>
      </x:c>
      <x:c r="F4238" s="24" t="n">
        <x:v>123.5</x:v>
      </x:c>
      <x:c r="G4238" t="str">
        <x:v>Spring</x:v>
      </x:c>
      <x:c r="H4238" t="str">
        <x:v>Card</x:v>
      </x:c>
      <x:c r="I4238" t="n">
        <x:v>3</x:v>
      </x:c>
      <x:c r="J4238" t="n">
        <x:v>14</x:v>
      </x:c>
      <x:c r="K4238" t="n">
        <x:v>2</x:v>
      </x:c>
      <x:c r="L4238" t="str">
        <x:v>STORE-001</x:v>
      </x:c>
      <x:c r="M4238" s="22" t="n">
        <x:v>45979</x:v>
      </x:c>
      <x:c r="N4238" t="str">
        <x:v>SKU-008</x:v>
      </x:c>
      <x:c r="O4238" t="n">
        <x:v>2</x:v>
      </x:c>
      <x:c r="P4238" s="26" t="n">
        <x:f>F4238/O4238</x:f>
        <x:v>61.75</x:v>
      </x:c>
    </x:row>
    <x:row r="4239">
      <x:c r="A4239" t="n">
        <x:v>4238</x:v>
      </x:c>
      <x:c r="B4239" t="n">
        <x:v>52</x:v>
      </x:c>
      <x:c r="C4239" t="str">
        <x:v>Male</x:v>
      </x:c>
      <x:c r="D4239" t="str">
        <x:v>Footwear</x:v>
      </x:c>
      <x:c r="E4239" t="str">
        <x:v>Formal Shoes</x:v>
      </x:c>
      <x:c r="F4239" s="24" t="n">
        <x:v>56.61</x:v>
      </x:c>
      <x:c r="G4239" t="str">
        <x:v>Summer</x:v>
      </x:c>
      <x:c r="H4239" t="str">
        <x:v>Cash on Delivery</x:v>
      </x:c>
      <x:c r="I4239" t="n">
        <x:v>2.9</x:v>
      </x:c>
      <x:c r="J4239" t="n">
        <x:v>15</x:v>
      </x:c>
      <x:c r="K4239" t="n">
        <x:v>5</x:v>
      </x:c>
      <x:c r="L4239" t="str">
        <x:v>STORE-001</x:v>
      </x:c>
      <x:c r="M4239" s="22" t="n">
        <x:v>46051</x:v>
      </x:c>
      <x:c r="N4239" t="str">
        <x:v>SKU-007</x:v>
      </x:c>
      <x:c r="O4239" t="n">
        <x:v>2</x:v>
      </x:c>
      <x:c r="P4239" s="26" t="n">
        <x:f>F4239/O4239</x:f>
        <x:v>28.305</x:v>
      </x:c>
    </x:row>
    <x:row r="4240">
      <x:c r="A4240" t="n">
        <x:v>4239</x:v>
      </x:c>
      <x:c r="B4240" t="n">
        <x:v>32</x:v>
      </x:c>
      <x:c r="C4240" t="str">
        <x:v>Female</x:v>
      </x:c>
      <x:c r="D4240" t="str">
        <x:v>Womens Clothing</x:v>
      </x:c>
      <x:c r="E4240" t="str">
        <x:v>Top</x:v>
      </x:c>
      <x:c r="F4240" s="24" t="n">
        <x:v>60.63</x:v>
      </x:c>
      <x:c r="G4240" t="str">
        <x:v>Winter</x:v>
      </x:c>
      <x:c r="H4240" t="str">
        <x:v>Cash on Delivery</x:v>
      </x:c>
      <x:c r="I4240" t="n">
        <x:v>3.6</x:v>
      </x:c>
      <x:c r="J4240" t="n">
        <x:v>12</x:v>
      </x:c>
      <x:c r="K4240" t="n">
        <x:v>6</x:v>
      </x:c>
      <x:c r="L4240" t="str">
        <x:v>STORE-001</x:v>
      </x:c>
      <x:c r="M4240" s="22" t="n">
        <x:v>46231</x:v>
      </x:c>
      <x:c r="N4240" t="str">
        <x:v>SKU-028</x:v>
      </x:c>
      <x:c r="O4240" t="n">
        <x:v>1</x:v>
      </x:c>
      <x:c r="P4240" s="26" t="n">
        <x:f>F4240/O4240</x:f>
        <x:v>60.63</x:v>
      </x:c>
    </x:row>
    <x:row r="4241">
      <x:c r="A4241" t="n">
        <x:v>4240</x:v>
      </x:c>
      <x:c r="B4241" t="n">
        <x:v>68</x:v>
      </x:c>
      <x:c r="C4241" t="str">
        <x:v>Female</x:v>
      </x:c>
      <x:c r="D4241" t="str">
        <x:v>Accessories</x:v>
      </x:c>
      <x:c r="E4241" t="str">
        <x:v>Wallet</x:v>
      </x:c>
      <x:c r="F4241" s="24" t="n">
        <x:v>80.92</x:v>
      </x:c>
      <x:c r="G4241" t="str">
        <x:v>Spring</x:v>
      </x:c>
      <x:c r="H4241" t="str">
        <x:v>Card</x:v>
      </x:c>
      <x:c r="I4241" t="n">
        <x:v>4</x:v>
      </x:c>
      <x:c r="J4241" t="n">
        <x:v>16</x:v>
      </x:c>
      <x:c r="K4241" t="n">
        <x:v>3</x:v>
      </x:c>
      <x:c r="L4241" t="str">
        <x:v>STORE-001</x:v>
      </x:c>
      <x:c r="M4241" s="22" t="n">
        <x:v>46287</x:v>
      </x:c>
      <x:c r="N4241" t="str">
        <x:v>SKU-029</x:v>
      </x:c>
      <x:c r="O4241" t="n">
        <x:v>2</x:v>
      </x:c>
      <x:c r="P4241" s="26" t="n">
        <x:f>F4241/O4241</x:f>
        <x:v>40.46</x:v>
      </x:c>
    </x:row>
    <x:row r="4242">
      <x:c r="A4242" t="n">
        <x:v>4241</x:v>
      </x:c>
      <x:c r="B4242" t="n">
        <x:v>52</x:v>
      </x:c>
      <x:c r="C4242" t="str">
        <x:v>Female</x:v>
      </x:c>
      <x:c r="D4242" t="str">
        <x:v>Accessories</x:v>
      </x:c>
      <x:c r="E4242" t="str">
        <x:v>Handbag</x:v>
      </x:c>
      <x:c r="F4242" s="24" t="n">
        <x:v>152.85</x:v>
      </x:c>
      <x:c r="G4242" t="str">
        <x:v>Autumn</x:v>
      </x:c>
      <x:c r="H4242" t="str">
        <x:v>Card</x:v>
      </x:c>
      <x:c r="I4242" t="n">
        <x:v>4.5</x:v>
      </x:c>
      <x:c r="J4242" t="n">
        <x:v>15</x:v>
      </x:c>
      <x:c r="K4242" t="n">
        <x:v>5</x:v>
      </x:c>
      <x:c r="L4242" t="str">
        <x:v>STORE-001</x:v>
      </x:c>
      <x:c r="M4242" s="22" t="n">
        <x:v>46154</x:v>
      </x:c>
      <x:c r="N4242" t="str">
        <x:v>SKU-008</x:v>
      </x:c>
      <x:c r="O4242" t="n">
        <x:v>1</x:v>
      </x:c>
      <x:c r="P4242" s="26" t="n">
        <x:f>F4242/O4242</x:f>
        <x:v>152.85</x:v>
      </x:c>
    </x:row>
    <x:row r="4243">
      <x:c r="A4243" t="n">
        <x:v>4242</x:v>
      </x:c>
      <x:c r="B4243" t="n">
        <x:v>29</x:v>
      </x:c>
      <x:c r="C4243" t="str">
        <x:v>Male</x:v>
      </x:c>
      <x:c r="D4243" t="str">
        <x:v>Electronics</x:v>
      </x:c>
      <x:c r="E4243" t="str">
        <x:v>Mobile Phone</x:v>
      </x:c>
      <x:c r="F4243" s="24" t="n">
        <x:v>2125.29</x:v>
      </x:c>
      <x:c r="G4243" t="str">
        <x:v>Winter</x:v>
      </x:c>
      <x:c r="H4243" t="str">
        <x:v>Card</x:v>
      </x:c>
      <x:c r="I4243" t="n">
        <x:v>3.2</x:v>
      </x:c>
      <x:c r="J4243" t="n">
        <x:v>15</x:v>
      </x:c>
      <x:c r="K4243" t="n">
        <x:v>5</x:v>
      </x:c>
      <x:c r="L4243" t="str">
        <x:v>STORE-001</x:v>
      </x:c>
      <x:c r="M4243" s="22" t="n">
        <x:v>46240</x:v>
      </x:c>
      <x:c r="N4243" t="str">
        <x:v>SKU-016</x:v>
      </x:c>
      <x:c r="O4243" t="n">
        <x:v>1</x:v>
      </x:c>
      <x:c r="P4243" s="26" t="n">
        <x:f>F4243/O4243</x:f>
        <x:v>2125.29</x:v>
      </x:c>
    </x:row>
    <x:row r="4244">
      <x:c r="A4244" t="n">
        <x:v>4243</x:v>
      </x:c>
      <x:c r="B4244" t="n">
        <x:v>58</x:v>
      </x:c>
      <x:c r="C4244" t="str">
        <x:v>Male</x:v>
      </x:c>
      <x:c r="D4244" t="str">
        <x:v>Mens Clothing</x:v>
      </x:c>
      <x:c r="E4244" t="str">
        <x:v>Jacket</x:v>
      </x:c>
      <x:c r="F4244" s="24" t="n">
        <x:v>123.77</x:v>
      </x:c>
      <x:c r="G4244" t="str">
        <x:v>Autumn</x:v>
      </x:c>
      <x:c r="H4244" t="str">
        <x:v>Card</x:v>
      </x:c>
      <x:c r="I4244" t="n">
        <x:v>3</x:v>
      </x:c>
      <x:c r="J4244" t="n">
        <x:v>17</x:v>
      </x:c>
      <x:c r="K4244" t="n">
        <x:v>6</x:v>
      </x:c>
      <x:c r="L4244" t="str">
        <x:v>STORE-001</x:v>
      </x:c>
      <x:c r="M4244" s="22" t="n">
        <x:v>46118</x:v>
      </x:c>
      <x:c r="N4244" t="str">
        <x:v>SKU-010</x:v>
      </x:c>
      <x:c r="O4244" t="n">
        <x:v>1</x:v>
      </x:c>
      <x:c r="P4244" s="26" t="n">
        <x:f>F4244/O4244</x:f>
        <x:v>123.77</x:v>
      </x:c>
    </x:row>
    <x:row r="4245">
      <x:c r="A4245" t="n">
        <x:v>4244</x:v>
      </x:c>
      <x:c r="B4245" t="n">
        <x:v>54</x:v>
      </x:c>
      <x:c r="C4245" t="str">
        <x:v>Female</x:v>
      </x:c>
      <x:c r="D4245" t="str">
        <x:v>Footwear</x:v>
      </x:c>
      <x:c r="E4245" t="str">
        <x:v>Sandals</x:v>
      </x:c>
      <x:c r="F4245" s="24" t="n">
        <x:v>90.38</x:v>
      </x:c>
      <x:c r="G4245" t="str">
        <x:v>Spring</x:v>
      </x:c>
      <x:c r="H4245" t="str">
        <x:v>Card</x:v>
      </x:c>
      <x:c r="I4245" t="n">
        <x:v>2.2</x:v>
      </x:c>
      <x:c r="J4245" t="n">
        <x:v>11</x:v>
      </x:c>
      <x:c r="K4245" t="n">
        <x:v>3</x:v>
      </x:c>
      <x:c r="L4245" t="str">
        <x:v>STORE-001</x:v>
      </x:c>
      <x:c r="M4245" s="22" t="n">
        <x:v>46274</x:v>
      </x:c>
      <x:c r="N4245" t="str">
        <x:v>SKU-019</x:v>
      </x:c>
      <x:c r="O4245" t="n">
        <x:v>1</x:v>
      </x:c>
      <x:c r="P4245" s="26" t="n">
        <x:f>F4245/O4245</x:f>
        <x:v>90.38</x:v>
      </x:c>
    </x:row>
    <x:row r="4246">
      <x:c r="A4246" t="n">
        <x:v>4245</x:v>
      </x:c>
      <x:c r="B4246" t="n">
        <x:v>32</x:v>
      </x:c>
      <x:c r="C4246" t="str">
        <x:v>Male</x:v>
      </x:c>
      <x:c r="D4246" t="str">
        <x:v>Sports</x:v>
      </x:c>
      <x:c r="E4246" t="str">
        <x:v>Football</x:v>
      </x:c>
      <x:c r="F4246" s="24" t="n">
        <x:v>76.58</x:v>
      </x:c>
      <x:c r="G4246" t="str">
        <x:v>Summer</x:v>
      </x:c>
      <x:c r="H4246" t="str">
        <x:v>Card</x:v>
      </x:c>
      <x:c r="I4246" t="n">
        <x:v>3</x:v>
      </x:c>
      <x:c r="J4246" t="n">
        <x:v>18</x:v>
      </x:c>
      <x:c r="K4246" t="n">
        <x:v>4</x:v>
      </x:c>
      <x:c r="L4246" t="str">
        <x:v>STORE-001</x:v>
      </x:c>
      <x:c r="M4246" s="22" t="n">
        <x:v>46061</x:v>
      </x:c>
      <x:c r="N4246" t="str">
        <x:v>SKU-006</x:v>
      </x:c>
      <x:c r="O4246" t="n">
        <x:v>2</x:v>
      </x:c>
      <x:c r="P4246" s="26" t="n">
        <x:f>F4246/O4246</x:f>
        <x:v>38.29</x:v>
      </x:c>
    </x:row>
    <x:row r="4247">
      <x:c r="A4247" t="n">
        <x:v>4246</x:v>
      </x:c>
      <x:c r="B4247" t="n">
        <x:v>68</x:v>
      </x:c>
      <x:c r="C4247" t="str">
        <x:v>Female</x:v>
      </x:c>
      <x:c r="D4247" t="str">
        <x:v>Footwear</x:v>
      </x:c>
      <x:c r="E4247" t="str">
        <x:v>Sneakers</x:v>
      </x:c>
      <x:c r="F4247" s="24" t="n">
        <x:v>167.65</x:v>
      </x:c>
      <x:c r="G4247" t="str">
        <x:v>Summer</x:v>
      </x:c>
      <x:c r="H4247" t="str">
        <x:v>Card</x:v>
      </x:c>
      <x:c r="I4247" t="n">
        <x:v>4.4</x:v>
      </x:c>
      <x:c r="J4247" t="n">
        <x:v>15</x:v>
      </x:c>
      <x:c r="K4247" t="n">
        <x:v>5</x:v>
      </x:c>
      <x:c r="L4247" t="str">
        <x:v>STORE-001</x:v>
      </x:c>
      <x:c r="M4247" s="22" t="n">
        <x:v>46002</x:v>
      </x:c>
      <x:c r="N4247" t="str">
        <x:v>SKU-025</x:v>
      </x:c>
      <x:c r="O4247" t="n">
        <x:v>1</x:v>
      </x:c>
      <x:c r="P4247" s="26" t="n">
        <x:f>F4247/O4247</x:f>
        <x:v>167.65</x:v>
      </x:c>
    </x:row>
    <x:row r="4248">
      <x:c r="A4248" t="n">
        <x:v>4247</x:v>
      </x:c>
      <x:c r="B4248" t="n">
        <x:v>29</x:v>
      </x:c>
      <x:c r="C4248" t="str">
        <x:v>Male</x:v>
      </x:c>
      <x:c r="D4248" t="str">
        <x:v>Sports</x:v>
      </x:c>
      <x:c r="E4248" t="str">
        <x:v>Yoga Mat</x:v>
      </x:c>
      <x:c r="F4248" s="24" t="n">
        <x:v>140.17</x:v>
      </x:c>
      <x:c r="G4248" t="str">
        <x:v>Spring</x:v>
      </x:c>
      <x:c r="H4248" t="str">
        <x:v>Card</x:v>
      </x:c>
      <x:c r="I4248" t="n">
        <x:v>3.1</x:v>
      </x:c>
      <x:c r="J4248" t="n">
        <x:v>14</x:v>
      </x:c>
      <x:c r="K4248" t="n">
        <x:v>2</x:v>
      </x:c>
      <x:c r="L4248" t="str">
        <x:v>STORE-001</x:v>
      </x:c>
      <x:c r="M4248" s="22" t="n">
        <x:v>46275</x:v>
      </x:c>
      <x:c r="N4248" t="str">
        <x:v>SKU-030</x:v>
      </x:c>
      <x:c r="O4248" t="n">
        <x:v>3</x:v>
      </x:c>
      <x:c r="P4248" s="26" t="n">
        <x:f>F4248/O4248</x:f>
        <x:v>46.72333333333333</x:v>
      </x:c>
    </x:row>
    <x:row r="4249">
      <x:c r="A4249" t="n">
        <x:v>4248</x:v>
      </x:c>
      <x:c r="B4249" t="n">
        <x:v>63</x:v>
      </x:c>
      <x:c r="C4249" t="str">
        <x:v>Female</x:v>
      </x:c>
      <x:c r="D4249" t="str">
        <x:v>Accessories</x:v>
      </x:c>
      <x:c r="E4249" t="str">
        <x:v>Wallet</x:v>
      </x:c>
      <x:c r="F4249" s="24" t="n">
        <x:v>159.29</x:v>
      </x:c>
      <x:c r="G4249" t="str">
        <x:v>Winter</x:v>
      </x:c>
      <x:c r="H4249" t="str">
        <x:v>Card</x:v>
      </x:c>
      <x:c r="I4249" t="n">
        <x:v>5</x:v>
      </x:c>
      <x:c r="J4249" t="n">
        <x:v>13</x:v>
      </x:c>
      <x:c r="K4249" t="n">
        <x:v>4</x:v>
      </x:c>
      <x:c r="L4249" t="str">
        <x:v>STORE-001</x:v>
      </x:c>
      <x:c r="M4249" s="22" t="n">
        <x:v>46255</x:v>
      </x:c>
      <x:c r="N4249" t="str">
        <x:v>SKU-029</x:v>
      </x:c>
      <x:c r="O4249" t="n">
        <x:v>1</x:v>
      </x:c>
      <x:c r="P4249" s="26" t="n">
        <x:f>F4249/O4249</x:f>
        <x:v>159.29</x:v>
      </x:c>
    </x:row>
    <x:row r="4250">
      <x:c r="A4250" t="n">
        <x:v>4249</x:v>
      </x:c>
      <x:c r="B4250" t="n">
        <x:v>51</x:v>
      </x:c>
      <x:c r="C4250" t="str">
        <x:v>Female</x:v>
      </x:c>
      <x:c r="D4250" t="str">
        <x:v>Womens Clothing</x:v>
      </x:c>
      <x:c r="E4250" t="str">
        <x:v>Top</x:v>
      </x:c>
      <x:c r="F4250" s="24" t="n">
        <x:v>182.14</x:v>
      </x:c>
      <x:c r="G4250" t="str">
        <x:v>Autumn</x:v>
      </x:c>
      <x:c r="H4250" t="str">
        <x:v>Card</x:v>
      </x:c>
      <x:c r="I4250" t="n">
        <x:v>3.3</x:v>
      </x:c>
      <x:c r="J4250" t="n">
        <x:v>18</x:v>
      </x:c>
      <x:c r="K4250" t="n">
        <x:v>4</x:v>
      </x:c>
      <x:c r="L4250" t="str">
        <x:v>STORE-001</x:v>
      </x:c>
      <x:c r="M4250" s="22" t="n">
        <x:v>46115</x:v>
      </x:c>
      <x:c r="N4250" t="str">
        <x:v>SKU-028</x:v>
      </x:c>
      <x:c r="O4250" t="n">
        <x:v>1</x:v>
      </x:c>
      <x:c r="P4250" s="26" t="n">
        <x:f>F4250/O4250</x:f>
        <x:v>182.14</x:v>
      </x:c>
    </x:row>
    <x:row r="4251">
      <x:c r="A4251" t="n">
        <x:v>4250</x:v>
      </x:c>
      <x:c r="B4251" t="n">
        <x:v>43</x:v>
      </x:c>
      <x:c r="C4251" t="str">
        <x:v>Female</x:v>
      </x:c>
      <x:c r="D4251" t="str">
        <x:v>Footwear</x:v>
      </x:c>
      <x:c r="E4251" t="str">
        <x:v>Formal Shoes</x:v>
      </x:c>
      <x:c r="F4251" s="24" t="n">
        <x:v>207.33</x:v>
      </x:c>
      <x:c r="G4251" t="str">
        <x:v>Autumn</x:v>
      </x:c>
      <x:c r="H4251" t="str">
        <x:v>Card</x:v>
      </x:c>
      <x:c r="I4251" t="n">
        <x:v>3.9</x:v>
      </x:c>
      <x:c r="J4251" t="n">
        <x:v>10</x:v>
      </x:c>
      <x:c r="K4251" t="n">
        <x:v>5</x:v>
      </x:c>
      <x:c r="L4251" t="str">
        <x:v>STORE-001</x:v>
      </x:c>
      <x:c r="M4251" s="22" t="n">
        <x:v>46155</x:v>
      </x:c>
      <x:c r="N4251" t="str">
        <x:v>SKU-007</x:v>
      </x:c>
      <x:c r="O4251" t="n">
        <x:v>1</x:v>
      </x:c>
      <x:c r="P4251" s="26" t="n">
        <x:f>F4251/O4251</x:f>
        <x:v>207.33</x:v>
      </x:c>
    </x:row>
    <x:row r="4252">
      <x:c r="A4252" t="n">
        <x:v>4251</x:v>
      </x:c>
      <x:c r="B4252" t="n">
        <x:v>20</x:v>
      </x:c>
      <x:c r="C4252" t="str">
        <x:v>Female</x:v>
      </x:c>
      <x:c r="D4252" t="str">
        <x:v>Beauty</x:v>
      </x:c>
      <x:c r="E4252" t="str">
        <x:v>Makeup Set</x:v>
      </x:c>
      <x:c r="F4252" s="24" t="n">
        <x:v>142.55</x:v>
      </x:c>
      <x:c r="G4252" t="str">
        <x:v>Autumn</x:v>
      </x:c>
      <x:c r="H4252" t="str">
        <x:v>Card</x:v>
      </x:c>
      <x:c r="I4252" t="n">
        <x:v>3.7</x:v>
      </x:c>
      <x:c r="J4252" t="n">
        <x:v>14</x:v>
      </x:c>
      <x:c r="K4252" t="n">
        <x:v>2</x:v>
      </x:c>
      <x:c r="L4252" t="str">
        <x:v>STORE-001</x:v>
      </x:c>
      <x:c r="M4252" s="22" t="n">
        <x:v>46126</x:v>
      </x:c>
      <x:c r="N4252" t="str">
        <x:v>SKU-015</x:v>
      </x:c>
      <x:c r="O4252" t="n">
        <x:v>3</x:v>
      </x:c>
      <x:c r="P4252" s="26" t="n">
        <x:f>F4252/O4252</x:f>
        <x:v>47.51666666666667</x:v>
      </x:c>
    </x:row>
    <x:row r="4253">
      <x:c r="A4253" t="n">
        <x:v>4252</x:v>
      </x:c>
      <x:c r="B4253" t="n">
        <x:v>24</x:v>
      </x:c>
      <x:c r="C4253" t="str">
        <x:v>Male</x:v>
      </x:c>
      <x:c r="D4253" t="str">
        <x:v>Sports</x:v>
      </x:c>
      <x:c r="E4253" t="str">
        <x:v>Dumbbells</x:v>
      </x:c>
      <x:c r="F4253" s="24" t="n">
        <x:v>28.41</x:v>
      </x:c>
      <x:c r="G4253" t="str">
        <x:v>Spring</x:v>
      </x:c>
      <x:c r="H4253" t="str">
        <x:v>Card</x:v>
      </x:c>
      <x:c r="I4253" t="n">
        <x:v>3.7</x:v>
      </x:c>
      <x:c r="J4253" t="n">
        <x:v>18</x:v>
      </x:c>
      <x:c r="K4253" t="n">
        <x:v>4</x:v>
      </x:c>
      <x:c r="L4253" t="str">
        <x:v>STORE-001</x:v>
      </x:c>
      <x:c r="M4253" s="22" t="n">
        <x:v>45970</x:v>
      </x:c>
      <x:c r="N4253" t="str">
        <x:v>SKU-005</x:v>
      </x:c>
      <x:c r="O4253" t="n">
        <x:v>2</x:v>
      </x:c>
      <x:c r="P4253" s="26" t="n">
        <x:f>F4253/O4253</x:f>
        <x:v>14.205</x:v>
      </x:c>
    </x:row>
    <x:row r="4254">
      <x:c r="A4254" t="n">
        <x:v>4253</x:v>
      </x:c>
      <x:c r="B4254" t="n">
        <x:v>22</x:v>
      </x:c>
      <x:c r="C4254" t="str">
        <x:v>Female</x:v>
      </x:c>
      <x:c r="D4254" t="str">
        <x:v>Home</x:v>
      </x:c>
      <x:c r="E4254" t="str">
        <x:v>Kitchen Set</x:v>
      </x:c>
      <x:c r="F4254" s="24" t="n">
        <x:v>53.87</x:v>
      </x:c>
      <x:c r="G4254" t="str">
        <x:v>Summer</x:v>
      </x:c>
      <x:c r="H4254" t="str">
        <x:v>Card</x:v>
      </x:c>
      <x:c r="I4254" t="n">
        <x:v>3.7</x:v>
      </x:c>
      <x:c r="J4254" t="n">
        <x:v>9</x:v>
      </x:c>
      <x:c r="K4254" t="n">
        <x:v>2</x:v>
      </x:c>
      <x:c r="L4254" t="str">
        <x:v>STORE-001</x:v>
      </x:c>
      <x:c r="M4254" s="22" t="n">
        <x:v>46016</x:v>
      </x:c>
      <x:c r="N4254" t="str">
        <x:v>SKU-012</x:v>
      </x:c>
      <x:c r="O4254" t="n">
        <x:v>4</x:v>
      </x:c>
      <x:c r="P4254" s="26" t="n">
        <x:f>F4254/O4254</x:f>
        <x:v>13.4675</x:v>
      </x:c>
    </x:row>
    <x:row r="4255">
      <x:c r="A4255" t="n">
        <x:v>4254</x:v>
      </x:c>
      <x:c r="B4255" t="n">
        <x:v>40</x:v>
      </x:c>
      <x:c r="C4255" t="str">
        <x:v>Male</x:v>
      </x:c>
      <x:c r="D4255" t="str">
        <x:v>Electronics</x:v>
      </x:c>
      <x:c r="E4255" t="str">
        <x:v>Laptop</x:v>
      </x:c>
      <x:c r="F4255" s="24" t="n">
        <x:v>2648.55</x:v>
      </x:c>
      <x:c r="G4255" t="str">
        <x:v>Autumn</x:v>
      </x:c>
      <x:c r="H4255" t="str">
        <x:v>Card</x:v>
      </x:c>
      <x:c r="I4255" t="n">
        <x:v>5</x:v>
      </x:c>
      <x:c r="J4255" t="n">
        <x:v>16</x:v>
      </x:c>
      <x:c r="K4255" t="n">
        <x:v>8</x:v>
      </x:c>
      <x:c r="L4255" t="str">
        <x:v>STORE-001</x:v>
      </x:c>
      <x:c r="M4255" s="22" t="n">
        <x:v>46099</x:v>
      </x:c>
      <x:c r="N4255" t="str">
        <x:v>SKU-014</x:v>
      </x:c>
      <x:c r="O4255" t="n">
        <x:v>1</x:v>
      </x:c>
      <x:c r="P4255" s="26" t="n">
        <x:f>F4255/O4255</x:f>
        <x:v>2648.55</x:v>
      </x:c>
    </x:row>
    <x:row r="4256">
      <x:c r="A4256" t="n">
        <x:v>4255</x:v>
      </x:c>
      <x:c r="B4256" t="n">
        <x:v>56</x:v>
      </x:c>
      <x:c r="C4256" t="str">
        <x:v>Male</x:v>
      </x:c>
      <x:c r="D4256" t="str">
        <x:v>Electronics</x:v>
      </x:c>
      <x:c r="E4256" t="str">
        <x:v>Headphones</x:v>
      </x:c>
      <x:c r="F4256" s="24" t="n">
        <x:v>2273.53</x:v>
      </x:c>
      <x:c r="G4256" t="str">
        <x:v>Summer</x:v>
      </x:c>
      <x:c r="H4256" t="str">
        <x:v>Card</x:v>
      </x:c>
      <x:c r="I4256" t="n">
        <x:v>3.9</x:v>
      </x:c>
      <x:c r="J4256" t="n">
        <x:v>25</x:v>
      </x:c>
      <x:c r="K4256" t="n">
        <x:v>10</x:v>
      </x:c>
      <x:c r="L4256" t="str">
        <x:v>STORE-001</x:v>
      </x:c>
      <x:c r="M4256" s="22" t="n">
        <x:v>46004</x:v>
      </x:c>
      <x:c r="N4256" t="str">
        <x:v>SKU-009</x:v>
      </x:c>
      <x:c r="O4256" t="n">
        <x:v>1</x:v>
      </x:c>
      <x:c r="P4256" s="26" t="n">
        <x:f>F4256/O4256</x:f>
        <x:v>2273.53</x:v>
      </x:c>
    </x:row>
    <x:row r="4257">
      <x:c r="A4257" t="n">
        <x:v>4256</x:v>
      </x:c>
      <x:c r="B4257" t="n">
        <x:v>68</x:v>
      </x:c>
      <x:c r="C4257" t="str">
        <x:v>Female</x:v>
      </x:c>
      <x:c r="D4257" t="str">
        <x:v>Sports</x:v>
      </x:c>
      <x:c r="E4257" t="str">
        <x:v>Football</x:v>
      </x:c>
      <x:c r="F4257" s="24" t="n">
        <x:v>118.12</x:v>
      </x:c>
      <x:c r="G4257" t="str">
        <x:v>Winter</x:v>
      </x:c>
      <x:c r="H4257" t="str">
        <x:v>Card</x:v>
      </x:c>
      <x:c r="I4257" t="n">
        <x:v>3.3</x:v>
      </x:c>
      <x:c r="J4257" t="n">
        <x:v>22</x:v>
      </x:c>
      <x:c r="K4257" t="n">
        <x:v>6</x:v>
      </x:c>
      <x:c r="L4257" t="str">
        <x:v>STORE-001</x:v>
      </x:c>
      <x:c r="M4257" s="22" t="n">
        <x:v>46181</x:v>
      </x:c>
      <x:c r="N4257" t="str">
        <x:v>SKU-006</x:v>
      </x:c>
      <x:c r="O4257" t="n">
        <x:v>3</x:v>
      </x:c>
      <x:c r="P4257" s="26" t="n">
        <x:f>F4257/O4257</x:f>
        <x:v>39.373333333333335</x:v>
      </x:c>
    </x:row>
    <x:row r="4258">
      <x:c r="A4258" t="n">
        <x:v>4257</x:v>
      </x:c>
      <x:c r="B4258" t="n">
        <x:v>39</x:v>
      </x:c>
      <x:c r="C4258" t="str">
        <x:v>Female</x:v>
      </x:c>
      <x:c r="D4258" t="str">
        <x:v>Footwear</x:v>
      </x:c>
      <x:c r="E4258" t="str">
        <x:v>Sandals</x:v>
      </x:c>
      <x:c r="F4258" s="24" t="n">
        <x:v>226.03</x:v>
      </x:c>
      <x:c r="G4258" t="str">
        <x:v>Winter</x:v>
      </x:c>
      <x:c r="H4258" t="str">
        <x:v>Card</x:v>
      </x:c>
      <x:c r="I4258" t="n">
        <x:v>3.8</x:v>
      </x:c>
      <x:c r="J4258" t="n">
        <x:v>20</x:v>
      </x:c>
      <x:c r="K4258" t="n">
        <x:v>5</x:v>
      </x:c>
      <x:c r="L4258" t="str">
        <x:v>STORE-001</x:v>
      </x:c>
      <x:c r="M4258" s="22" t="n">
        <x:v>46254</x:v>
      </x:c>
      <x:c r="N4258" t="str">
        <x:v>SKU-019</x:v>
      </x:c>
      <x:c r="O4258" t="n">
        <x:v>1</x:v>
      </x:c>
      <x:c r="P4258" s="26" t="n">
        <x:f>F4258/O4258</x:f>
        <x:v>226.03</x:v>
      </x:c>
    </x:row>
    <x:row r="4259">
      <x:c r="A4259" t="n">
        <x:v>4258</x:v>
      </x:c>
      <x:c r="B4259" t="n">
        <x:v>45</x:v>
      </x:c>
      <x:c r="C4259" t="str">
        <x:v>Female</x:v>
      </x:c>
      <x:c r="D4259" t="str">
        <x:v>Womens Clothing</x:v>
      </x:c>
      <x:c r="E4259" t="str">
        <x:v>Top</x:v>
      </x:c>
      <x:c r="F4259" s="24" t="n">
        <x:v>78.87</x:v>
      </x:c>
      <x:c r="G4259" t="str">
        <x:v>Spring</x:v>
      </x:c>
      <x:c r="H4259" t="str">
        <x:v>Cash on Delivery</x:v>
      </x:c>
      <x:c r="I4259" t="n">
        <x:v>3.7</x:v>
      </x:c>
      <x:c r="J4259" t="n">
        <x:v>18</x:v>
      </x:c>
      <x:c r="K4259" t="n">
        <x:v>4</x:v>
      </x:c>
      <x:c r="L4259" t="str">
        <x:v>STORE-001</x:v>
      </x:c>
      <x:c r="M4259" s="22" t="n">
        <x:v>45987</x:v>
      </x:c>
      <x:c r="N4259" t="str">
        <x:v>SKU-028</x:v>
      </x:c>
      <x:c r="O4259" t="n">
        <x:v>1</x:v>
      </x:c>
      <x:c r="P4259" s="26" t="n">
        <x:f>F4259/O4259</x:f>
        <x:v>78.87</x:v>
      </x:c>
    </x:row>
    <x:row r="4260">
      <x:c r="A4260" t="n">
        <x:v>4259</x:v>
      </x:c>
      <x:c r="B4260" t="n">
        <x:v>63</x:v>
      </x:c>
      <x:c r="C4260" t="str">
        <x:v>Male</x:v>
      </x:c>
      <x:c r="D4260" t="str">
        <x:v>Sports</x:v>
      </x:c>
      <x:c r="E4260" t="str">
        <x:v>Football</x:v>
      </x:c>
      <x:c r="F4260" s="24" t="n">
        <x:v>119.9</x:v>
      </x:c>
      <x:c r="G4260" t="str">
        <x:v>Autumn</x:v>
      </x:c>
      <x:c r="H4260" t="str">
        <x:v>Card</x:v>
      </x:c>
      <x:c r="I4260" t="n">
        <x:v>4.6</x:v>
      </x:c>
      <x:c r="J4260" t="n">
        <x:v>30</x:v>
      </x:c>
      <x:c r="K4260" t="n">
        <x:v>10</x:v>
      </x:c>
      <x:c r="L4260" t="str">
        <x:v>STORE-001</x:v>
      </x:c>
      <x:c r="M4260" s="22" t="n">
        <x:v>46128</x:v>
      </x:c>
      <x:c r="N4260" t="str">
        <x:v>SKU-006</x:v>
      </x:c>
      <x:c r="O4260" t="n">
        <x:v>1</x:v>
      </x:c>
      <x:c r="P4260" s="26" t="n">
        <x:f>F4260/O4260</x:f>
        <x:v>119.9</x:v>
      </x:c>
    </x:row>
    <x:row r="4261">
      <x:c r="A4261" t="n">
        <x:v>4260</x:v>
      </x:c>
      <x:c r="B4261" t="n">
        <x:v>46</x:v>
      </x:c>
      <x:c r="C4261" t="str">
        <x:v>Female</x:v>
      </x:c>
      <x:c r="D4261" t="str">
        <x:v>Accessories</x:v>
      </x:c>
      <x:c r="E4261" t="str">
        <x:v>Handbag</x:v>
      </x:c>
      <x:c r="F4261" s="24" t="n">
        <x:v>64.95</x:v>
      </x:c>
      <x:c r="G4261" t="str">
        <x:v>Autumn</x:v>
      </x:c>
      <x:c r="H4261" t="str">
        <x:v>Cash on Delivery</x:v>
      </x:c>
      <x:c r="I4261" t="n">
        <x:v>3.6</x:v>
      </x:c>
      <x:c r="J4261" t="n">
        <x:v>12</x:v>
      </x:c>
      <x:c r="K4261" t="n">
        <x:v>1</x:v>
      </x:c>
      <x:c r="L4261" t="str">
        <x:v>STORE-001</x:v>
      </x:c>
      <x:c r="M4261" s="22" t="n">
        <x:v>46140</x:v>
      </x:c>
      <x:c r="N4261" t="str">
        <x:v>SKU-008</x:v>
      </x:c>
      <x:c r="O4261" t="n">
        <x:v>1</x:v>
      </x:c>
      <x:c r="P4261" s="26" t="n">
        <x:f>F4261/O4261</x:f>
        <x:v>64.95</x:v>
      </x:c>
    </x:row>
    <x:row r="4262">
      <x:c r="A4262" t="n">
        <x:v>4261</x:v>
      </x:c>
      <x:c r="B4262" t="n">
        <x:v>34</x:v>
      </x:c>
      <x:c r="C4262" t="str">
        <x:v>Male</x:v>
      </x:c>
      <x:c r="D4262" t="str">
        <x:v>Footwear</x:v>
      </x:c>
      <x:c r="E4262" t="str">
        <x:v>Sandals</x:v>
      </x:c>
      <x:c r="F4262" s="24" t="n">
        <x:v>103.26</x:v>
      </x:c>
      <x:c r="G4262" t="str">
        <x:v>Winter</x:v>
      </x:c>
      <x:c r="H4262" t="str">
        <x:v>Card</x:v>
      </x:c>
      <x:c r="I4262" t="n">
        <x:v>5</x:v>
      </x:c>
      <x:c r="J4262" t="n">
        <x:v>15</x:v>
      </x:c>
      <x:c r="K4262" t="n">
        <x:v>5</x:v>
      </x:c>
      <x:c r="L4262" t="str">
        <x:v>STORE-001</x:v>
      </x:c>
      <x:c r="M4262" s="22" t="n">
        <x:v>46188</x:v>
      </x:c>
      <x:c r="N4262" t="str">
        <x:v>SKU-019</x:v>
      </x:c>
      <x:c r="O4262" t="n">
        <x:v>1</x:v>
      </x:c>
      <x:c r="P4262" s="26" t="n">
        <x:f>F4262/O4262</x:f>
        <x:v>103.26</x:v>
      </x:c>
    </x:row>
    <x:row r="4263">
      <x:c r="A4263" t="n">
        <x:v>4262</x:v>
      </x:c>
      <x:c r="B4263" t="n">
        <x:v>69</x:v>
      </x:c>
      <x:c r="C4263" t="str">
        <x:v>Male</x:v>
      </x:c>
      <x:c r="D4263" t="str">
        <x:v>Electronics</x:v>
      </x:c>
      <x:c r="E4263" t="str">
        <x:v>Headphones</x:v>
      </x:c>
      <x:c r="F4263" s="24" t="n">
        <x:v>1019.98</x:v>
      </x:c>
      <x:c r="G4263" t="str">
        <x:v>Spring</x:v>
      </x:c>
      <x:c r="H4263" t="str">
        <x:v>Card</x:v>
      </x:c>
      <x:c r="I4263" t="n">
        <x:v>4.5</x:v>
      </x:c>
      <x:c r="J4263" t="n">
        <x:v>18</x:v>
      </x:c>
      <x:c r="K4263" t="n">
        <x:v>4</x:v>
      </x:c>
      <x:c r="L4263" t="str">
        <x:v>STORE-001</x:v>
      </x:c>
      <x:c r="M4263" s="22" t="n">
        <x:v>45950</x:v>
      </x:c>
      <x:c r="N4263" t="str">
        <x:v>SKU-009</x:v>
      </x:c>
      <x:c r="O4263" t="n">
        <x:v>1</x:v>
      </x:c>
      <x:c r="P4263" s="26" t="n">
        <x:f>F4263/O4263</x:f>
        <x:v>1019.98</x:v>
      </x:c>
    </x:row>
    <x:row r="4264">
      <x:c r="A4264" t="n">
        <x:v>4263</x:v>
      </x:c>
      <x:c r="B4264" t="n">
        <x:v>48</x:v>
      </x:c>
      <x:c r="C4264" t="str">
        <x:v>Female</x:v>
      </x:c>
      <x:c r="D4264" t="str">
        <x:v>Accessories</x:v>
      </x:c>
      <x:c r="E4264" t="str">
        <x:v>Sunglasses</x:v>
      </x:c>
      <x:c r="F4264" s="24" t="n">
        <x:v>177.11</x:v>
      </x:c>
      <x:c r="G4264" t="str">
        <x:v>Autumn</x:v>
      </x:c>
      <x:c r="H4264" t="str">
        <x:v>Card</x:v>
      </x:c>
      <x:c r="I4264" t="n">
        <x:v>4.7</x:v>
      </x:c>
      <x:c r="J4264" t="n">
        <x:v>6</x:v>
      </x:c>
      <x:c r="K4264" t="n">
        <x:v>3</x:v>
      </x:c>
      <x:c r="L4264" t="str">
        <x:v>STORE-001</x:v>
      </x:c>
      <x:c r="M4264" s="22" t="n">
        <x:v>46135</x:v>
      </x:c>
      <x:c r="N4264" t="str">
        <x:v>SKU-026</x:v>
      </x:c>
      <x:c r="O4264" t="n">
        <x:v>1</x:v>
      </x:c>
      <x:c r="P4264" s="26" t="n">
        <x:f>F4264/O4264</x:f>
        <x:v>177.11</x:v>
      </x:c>
    </x:row>
    <x:row r="4265">
      <x:c r="A4265" t="n">
        <x:v>4264</x:v>
      </x:c>
      <x:c r="B4265" t="n">
        <x:v>68</x:v>
      </x:c>
      <x:c r="C4265" t="str">
        <x:v>Female</x:v>
      </x:c>
      <x:c r="D4265" t="str">
        <x:v>Womens Clothing</x:v>
      </x:c>
      <x:c r="E4265" t="str">
        <x:v>Top</x:v>
      </x:c>
      <x:c r="F4265" s="24" t="n">
        <x:v>102.76</x:v>
      </x:c>
      <x:c r="G4265" t="str">
        <x:v>Spring</x:v>
      </x:c>
      <x:c r="H4265" t="str">
        <x:v>Card</x:v>
      </x:c>
      <x:c r="I4265" t="n">
        <x:v>3.5</x:v>
      </x:c>
      <x:c r="J4265" t="n">
        <x:v>17</x:v>
      </x:c>
      <x:c r="K4265" t="n">
        <x:v>6</x:v>
      </x:c>
      <x:c r="L4265" t="str">
        <x:v>STORE-001</x:v>
      </x:c>
      <x:c r="M4265" s="22" t="n">
        <x:v>45974</x:v>
      </x:c>
      <x:c r="N4265" t="str">
        <x:v>SKU-028</x:v>
      </x:c>
      <x:c r="O4265" t="n">
        <x:v>2</x:v>
      </x:c>
      <x:c r="P4265" s="26" t="n">
        <x:f>F4265/O4265</x:f>
        <x:v>51.38</x:v>
      </x:c>
    </x:row>
    <x:row r="4266">
      <x:c r="A4266" t="n">
        <x:v>4265</x:v>
      </x:c>
      <x:c r="B4266" t="n">
        <x:v>58</x:v>
      </x:c>
      <x:c r="C4266" t="str">
        <x:v>Male</x:v>
      </x:c>
      <x:c r="D4266" t="str">
        <x:v>Mens Clothing</x:v>
      </x:c>
      <x:c r="E4266" t="str">
        <x:v>T-Shirt</x:v>
      </x:c>
      <x:c r="F4266" s="24" t="n">
        <x:v>115.46</x:v>
      </x:c>
      <x:c r="G4266" t="str">
        <x:v>Spring</x:v>
      </x:c>
      <x:c r="H4266" t="str">
        <x:v>Card</x:v>
      </x:c>
      <x:c r="I4266" t="n">
        <x:v>5</x:v>
      </x:c>
      <x:c r="J4266" t="n">
        <x:v>14</x:v>
      </x:c>
      <x:c r="K4266" t="n">
        <x:v>7</x:v>
      </x:c>
      <x:c r="L4266" t="str">
        <x:v>STORE-001</x:v>
      </x:c>
      <x:c r="M4266" s="22" t="n">
        <x:v>45944</x:v>
      </x:c>
      <x:c r="N4266" t="str">
        <x:v>SKU-027</x:v>
      </x:c>
      <x:c r="O4266" t="n">
        <x:v>2</x:v>
      </x:c>
      <x:c r="P4266" s="26" t="n">
        <x:f>F4266/O4266</x:f>
        <x:v>57.73</x:v>
      </x:c>
    </x:row>
    <x:row r="4267">
      <x:c r="A4267" t="n">
        <x:v>4266</x:v>
      </x:c>
      <x:c r="B4267" t="n">
        <x:v>23</x:v>
      </x:c>
      <x:c r="C4267" t="str">
        <x:v>Male</x:v>
      </x:c>
      <x:c r="D4267" t="str">
        <x:v>Mens Clothing</x:v>
      </x:c>
      <x:c r="E4267" t="str">
        <x:v>Jacket</x:v>
      </x:c>
      <x:c r="F4267" s="24" t="n">
        <x:v>180.94</x:v>
      </x:c>
      <x:c r="G4267" t="str">
        <x:v>Summer</x:v>
      </x:c>
      <x:c r="H4267" t="str">
        <x:v>Card</x:v>
      </x:c>
      <x:c r="I4267" t="n">
        <x:v>3.9</x:v>
      </x:c>
      <x:c r="J4267" t="n">
        <x:v>14</x:v>
      </x:c>
      <x:c r="K4267" t="n">
        <x:v>7</x:v>
      </x:c>
      <x:c r="L4267" t="str">
        <x:v>STORE-001</x:v>
      </x:c>
      <x:c r="M4267" s="22" t="n">
        <x:v>46064</x:v>
      </x:c>
      <x:c r="N4267" t="str">
        <x:v>SKU-010</x:v>
      </x:c>
      <x:c r="O4267" t="n">
        <x:v>1</x:v>
      </x:c>
      <x:c r="P4267" s="26" t="n">
        <x:f>F4267/O4267</x:f>
        <x:v>180.94</x:v>
      </x:c>
    </x:row>
    <x:row r="4268">
      <x:c r="A4268" t="n">
        <x:v>4267</x:v>
      </x:c>
      <x:c r="B4268" t="n">
        <x:v>62</x:v>
      </x:c>
      <x:c r="C4268" t="str">
        <x:v>Female</x:v>
      </x:c>
      <x:c r="D4268" t="str">
        <x:v>Accessories</x:v>
      </x:c>
      <x:c r="E4268" t="str">
        <x:v>Wallet</x:v>
      </x:c>
      <x:c r="F4268" s="24" t="n">
        <x:v>155.55</x:v>
      </x:c>
      <x:c r="G4268" t="str">
        <x:v>Autumn</x:v>
      </x:c>
      <x:c r="H4268" t="str">
        <x:v>Card</x:v>
      </x:c>
      <x:c r="I4268" t="n">
        <x:v>3.9</x:v>
      </x:c>
      <x:c r="J4268" t="n">
        <x:v>22</x:v>
      </x:c>
      <x:c r="K4268" t="n">
        <x:v>6</x:v>
      </x:c>
      <x:c r="L4268" t="str">
        <x:v>STORE-001</x:v>
      </x:c>
      <x:c r="M4268" s="22" t="n">
        <x:v>46125</x:v>
      </x:c>
      <x:c r="N4268" t="str">
        <x:v>SKU-029</x:v>
      </x:c>
      <x:c r="O4268" t="n">
        <x:v>1</x:v>
      </x:c>
      <x:c r="P4268" s="26" t="n">
        <x:f>F4268/O4268</x:f>
        <x:v>155.55</x:v>
      </x:c>
    </x:row>
    <x:row r="4269">
      <x:c r="A4269" t="n">
        <x:v>4268</x:v>
      </x:c>
      <x:c r="B4269" t="n">
        <x:v>41</x:v>
      </x:c>
      <x:c r="C4269" t="str">
        <x:v>Female</x:v>
      </x:c>
      <x:c r="D4269" t="str">
        <x:v>Groceries</x:v>
      </x:c>
      <x:c r="E4269" t="str">
        <x:v>Beverages</x:v>
      </x:c>
      <x:c r="F4269" s="24" t="n">
        <x:v>8.82</x:v>
      </x:c>
      <x:c r="G4269" t="str">
        <x:v>Winter</x:v>
      </x:c>
      <x:c r="H4269" t="str">
        <x:v>Cash on Delivery</x:v>
      </x:c>
      <x:c r="I4269" t="n">
        <x:v>3.6</x:v>
      </x:c>
      <x:c r="J4269" t="n">
        <x:v>6</x:v>
      </x:c>
      <x:c r="K4269" t="n">
        <x:v>3</x:v>
      </x:c>
      <x:c r="L4269" t="str">
        <x:v>STORE-001</x:v>
      </x:c>
      <x:c r="M4269" s="22" t="n">
        <x:v>46185</x:v>
      </x:c>
      <x:c r="N4269" t="str">
        <x:v>SKU-001</x:v>
      </x:c>
      <x:c r="O4269" t="n">
        <x:v>2</x:v>
      </x:c>
      <x:c r="P4269" s="26" t="n">
        <x:f>F4269/O4269</x:f>
        <x:v>4.41</x:v>
      </x:c>
    </x:row>
    <x:row r="4270">
      <x:c r="A4270" t="n">
        <x:v>4269</x:v>
      </x:c>
      <x:c r="B4270" t="n">
        <x:v>38</x:v>
      </x:c>
      <x:c r="C4270" t="str">
        <x:v>Female</x:v>
      </x:c>
      <x:c r="D4270" t="str">
        <x:v>Womens Clothing</x:v>
      </x:c>
      <x:c r="E4270" t="str">
        <x:v>Skirt</x:v>
      </x:c>
      <x:c r="F4270" s="24" t="n">
        <x:v>87.41</x:v>
      </x:c>
      <x:c r="G4270" t="str">
        <x:v>Spring</x:v>
      </x:c>
      <x:c r="H4270" t="str">
        <x:v>Card</x:v>
      </x:c>
      <x:c r="I4270" t="n">
        <x:v>3.8</x:v>
      </x:c>
      <x:c r="J4270" t="n">
        <x:v>2</x:v>
      </x:c>
      <x:c r="K4270" t="n">
        <x:v>1</x:v>
      </x:c>
      <x:c r="L4270" t="str">
        <x:v>STORE-001</x:v>
      </x:c>
      <x:c r="M4270" s="22" t="n">
        <x:v>45945</x:v>
      </x:c>
      <x:c r="N4270" t="str">
        <x:v>SKU-022</x:v>
      </x:c>
      <x:c r="O4270" t="n">
        <x:v>1</x:v>
      </x:c>
      <x:c r="P4270" s="26" t="n">
        <x:f>F4270/O4270</x:f>
        <x:v>87.41</x:v>
      </x:c>
    </x:row>
    <x:row r="4271">
      <x:c r="A4271" t="n">
        <x:v>4270</x:v>
      </x:c>
      <x:c r="B4271" t="n">
        <x:v>48</x:v>
      </x:c>
      <x:c r="C4271" t="str">
        <x:v>Male</x:v>
      </x:c>
      <x:c r="D4271" t="str">
        <x:v>Sports</x:v>
      </x:c>
      <x:c r="E4271" t="str">
        <x:v>Football</x:v>
      </x:c>
      <x:c r="F4271" s="24" t="n">
        <x:v>134.24</x:v>
      </x:c>
      <x:c r="G4271" t="str">
        <x:v>Autumn</x:v>
      </x:c>
      <x:c r="H4271" t="str">
        <x:v>Card</x:v>
      </x:c>
      <x:c r="I4271" t="n">
        <x:v>2.7</x:v>
      </x:c>
      <x:c r="J4271" t="n">
        <x:v>14</x:v>
      </x:c>
      <x:c r="K4271" t="n">
        <x:v>7</x:v>
      </x:c>
      <x:c r="L4271" t="str">
        <x:v>STORE-001</x:v>
      </x:c>
      <x:c r="M4271" s="22" t="n">
        <x:v>46149</x:v>
      </x:c>
      <x:c r="N4271" t="str">
        <x:v>SKU-006</x:v>
      </x:c>
      <x:c r="O4271" t="n">
        <x:v>1</x:v>
      </x:c>
      <x:c r="P4271" s="26" t="n">
        <x:f>F4271/O4271</x:f>
        <x:v>134.24</x:v>
      </x:c>
    </x:row>
    <x:row r="4272">
      <x:c r="A4272" t="n">
        <x:v>4271</x:v>
      </x:c>
      <x:c r="B4272" t="n">
        <x:v>48</x:v>
      </x:c>
      <x:c r="C4272" t="str">
        <x:v>Female</x:v>
      </x:c>
      <x:c r="D4272" t="str">
        <x:v>Beauty</x:v>
      </x:c>
      <x:c r="E4272" t="str">
        <x:v>Perfume</x:v>
      </x:c>
      <x:c r="F4272" s="24" t="n">
        <x:v>101.02</x:v>
      </x:c>
      <x:c r="G4272" t="str">
        <x:v>Summer</x:v>
      </x:c>
      <x:c r="H4272" t="str">
        <x:v>Card</x:v>
      </x:c>
      <x:c r="I4272" t="n">
        <x:v>4</x:v>
      </x:c>
      <x:c r="J4272" t="n">
        <x:v>22</x:v>
      </x:c>
      <x:c r="K4272" t="n">
        <x:v>6</x:v>
      </x:c>
      <x:c r="L4272" t="str">
        <x:v>STORE-001</x:v>
      </x:c>
      <x:c r="M4272" s="22" t="n">
        <x:v>46055</x:v>
      </x:c>
      <x:c r="N4272" t="str">
        <x:v>SKU-017</x:v>
      </x:c>
      <x:c r="O4272" t="n">
        <x:v>2</x:v>
      </x:c>
      <x:c r="P4272" s="26" t="n">
        <x:f>F4272/O4272</x:f>
        <x:v>50.51</x:v>
      </x:c>
    </x:row>
    <x:row r="4273">
      <x:c r="A4273" t="n">
        <x:v>4272</x:v>
      </x:c>
      <x:c r="B4273" t="n">
        <x:v>27</x:v>
      </x:c>
      <x:c r="C4273" t="str">
        <x:v>Female</x:v>
      </x:c>
      <x:c r="D4273" t="str">
        <x:v>Sports</x:v>
      </x:c>
      <x:c r="E4273" t="str">
        <x:v>Dumbbells</x:v>
      </x:c>
      <x:c r="F4273" s="24" t="n">
        <x:v>83.72</x:v>
      </x:c>
      <x:c r="G4273" t="str">
        <x:v>Spring</x:v>
      </x:c>
      <x:c r="H4273" t="str">
        <x:v>Card</x:v>
      </x:c>
      <x:c r="I4273" t="n">
        <x:v>3</x:v>
      </x:c>
      <x:c r="J4273" t="n">
        <x:v>22</x:v>
      </x:c>
      <x:c r="K4273" t="n">
        <x:v>6</x:v>
      </x:c>
      <x:c r="L4273" t="str">
        <x:v>STORE-001</x:v>
      </x:c>
      <x:c r="M4273" s="22" t="n">
        <x:v>45974</x:v>
      </x:c>
      <x:c r="N4273" t="str">
        <x:v>SKU-005</x:v>
      </x:c>
      <x:c r="O4273" t="n">
        <x:v>2</x:v>
      </x:c>
      <x:c r="P4273" s="26" t="n">
        <x:f>F4273/O4273</x:f>
        <x:v>41.86</x:v>
      </x:c>
    </x:row>
    <x:row r="4274">
      <x:c r="A4274" t="n">
        <x:v>4273</x:v>
      </x:c>
      <x:c r="B4274" t="n">
        <x:v>64</x:v>
      </x:c>
      <x:c r="C4274" t="str">
        <x:v>Male</x:v>
      </x:c>
      <x:c r="D4274" t="str">
        <x:v>Mens Clothing</x:v>
      </x:c>
      <x:c r="E4274" t="str">
        <x:v>Jacket</x:v>
      </x:c>
      <x:c r="F4274" s="24" t="n">
        <x:v>71.42</x:v>
      </x:c>
      <x:c r="G4274" t="str">
        <x:v>Spring</x:v>
      </x:c>
      <x:c r="H4274" t="str">
        <x:v>Cash on Delivery</x:v>
      </x:c>
      <x:c r="I4274" t="n">
        <x:v>2.8</x:v>
      </x:c>
      <x:c r="J4274" t="n">
        <x:v>10</x:v>
      </x:c>
      <x:c r="K4274" t="n">
        <x:v>5</x:v>
      </x:c>
      <x:c r="L4274" t="str">
        <x:v>STORE-001</x:v>
      </x:c>
      <x:c r="M4274" s="22" t="n">
        <x:v>46279</x:v>
      </x:c>
      <x:c r="N4274" t="str">
        <x:v>SKU-010</x:v>
      </x:c>
      <x:c r="O4274" t="n">
        <x:v>1</x:v>
      </x:c>
      <x:c r="P4274" s="26" t="n">
        <x:f>F4274/O4274</x:f>
        <x:v>71.42</x:v>
      </x:c>
    </x:row>
    <x:row r="4275">
      <x:c r="A4275" t="n">
        <x:v>4274</x:v>
      </x:c>
      <x:c r="B4275" t="n">
        <x:v>62</x:v>
      </x:c>
      <x:c r="C4275" t="str">
        <x:v>Female</x:v>
      </x:c>
      <x:c r="D4275" t="str">
        <x:v>Womens Clothing</x:v>
      </x:c>
      <x:c r="E4275" t="str">
        <x:v>Skirt</x:v>
      </x:c>
      <x:c r="F4275" s="24" t="n">
        <x:v>89.76</x:v>
      </x:c>
      <x:c r="G4275" t="str">
        <x:v>Autumn</x:v>
      </x:c>
      <x:c r="H4275" t="str">
        <x:v>Card</x:v>
      </x:c>
      <x:c r="I4275" t="n">
        <x:v>4.6</x:v>
      </x:c>
      <x:c r="J4275" t="n">
        <x:v>28</x:v>
      </x:c>
      <x:c r="K4275" t="n">
        <x:v>9</x:v>
      </x:c>
      <x:c r="L4275" t="str">
        <x:v>STORE-001</x:v>
      </x:c>
      <x:c r="M4275" s="22" t="n">
        <x:v>46103</x:v>
      </x:c>
      <x:c r="N4275" t="str">
        <x:v>SKU-022</x:v>
      </x:c>
      <x:c r="O4275" t="n">
        <x:v>1</x:v>
      </x:c>
      <x:c r="P4275" s="26" t="n">
        <x:f>F4275/O4275</x:f>
        <x:v>89.76</x:v>
      </x:c>
    </x:row>
    <x:row r="4276">
      <x:c r="A4276" t="n">
        <x:v>4275</x:v>
      </x:c>
      <x:c r="B4276" t="n">
        <x:v>46</x:v>
      </x:c>
      <x:c r="C4276" t="str">
        <x:v>Male</x:v>
      </x:c>
      <x:c r="D4276" t="str">
        <x:v>Electronics</x:v>
      </x:c>
      <x:c r="E4276" t="str">
        <x:v>Mobile Phone</x:v>
      </x:c>
      <x:c r="F4276" s="24" t="n">
        <x:v>683.7</x:v>
      </x:c>
      <x:c r="G4276" t="str">
        <x:v>Spring</x:v>
      </x:c>
      <x:c r="H4276" t="str">
        <x:v>Card</x:v>
      </x:c>
      <x:c r="I4276" t="n">
        <x:v>3.8</x:v>
      </x:c>
      <x:c r="J4276" t="n">
        <x:v>26</x:v>
      </x:c>
      <x:c r="K4276" t="n">
        <x:v>8</x:v>
      </x:c>
      <x:c r="L4276" t="str">
        <x:v>STORE-001</x:v>
      </x:c>
      <x:c r="M4276" s="22" t="n">
        <x:v>46279</x:v>
      </x:c>
      <x:c r="N4276" t="str">
        <x:v>SKU-016</x:v>
      </x:c>
      <x:c r="O4276" t="n">
        <x:v>1</x:v>
      </x:c>
      <x:c r="P4276" s="26" t="n">
        <x:f>F4276/O4276</x:f>
        <x:v>683.7</x:v>
      </x:c>
    </x:row>
    <x:row r="4277">
      <x:c r="A4277" t="n">
        <x:v>4276</x:v>
      </x:c>
      <x:c r="B4277" t="n">
        <x:v>58</x:v>
      </x:c>
      <x:c r="C4277" t="str">
        <x:v>Male</x:v>
      </x:c>
      <x:c r="D4277" t="str">
        <x:v>Sports</x:v>
      </x:c>
      <x:c r="E4277" t="str">
        <x:v>Dumbbells</x:v>
      </x:c>
      <x:c r="F4277" s="24" t="n">
        <x:v>151.74</x:v>
      </x:c>
      <x:c r="G4277" t="str">
        <x:v>Autumn</x:v>
      </x:c>
      <x:c r="H4277" t="str">
        <x:v>Card</x:v>
      </x:c>
      <x:c r="I4277" t="n">
        <x:v>4.4</x:v>
      </x:c>
      <x:c r="J4277" t="n">
        <x:v>16</x:v>
      </x:c>
      <x:c r="K4277" t="n">
        <x:v>8</x:v>
      </x:c>
      <x:c r="L4277" t="str">
        <x:v>STORE-001</x:v>
      </x:c>
      <x:c r="M4277" s="22" t="n">
        <x:v>46151</x:v>
      </x:c>
      <x:c r="N4277" t="str">
        <x:v>SKU-005</x:v>
      </x:c>
      <x:c r="O4277" t="n">
        <x:v>2</x:v>
      </x:c>
      <x:c r="P4277" s="26" t="n">
        <x:f>F4277/O4277</x:f>
        <x:v>75.87</x:v>
      </x:c>
    </x:row>
    <x:row r="4278">
      <x:c r="A4278" t="n">
        <x:v>4277</x:v>
      </x:c>
      <x:c r="B4278" t="n">
        <x:v>58</x:v>
      </x:c>
      <x:c r="C4278" t="str">
        <x:v>Male</x:v>
      </x:c>
      <x:c r="D4278" t="str">
        <x:v>Footwear</x:v>
      </x:c>
      <x:c r="E4278" t="str">
        <x:v>Sneakers</x:v>
      </x:c>
      <x:c r="F4278" s="24" t="n">
        <x:v>72.22</x:v>
      </x:c>
      <x:c r="G4278" t="str">
        <x:v>Winter</x:v>
      </x:c>
      <x:c r="H4278" t="str">
        <x:v>Card</x:v>
      </x:c>
      <x:c r="I4278" t="n">
        <x:v>2.6</x:v>
      </x:c>
      <x:c r="J4278" t="n">
        <x:v>16</x:v>
      </x:c>
      <x:c r="K4278" t="n">
        <x:v>8</x:v>
      </x:c>
      <x:c r="L4278" t="str">
        <x:v>STORE-001</x:v>
      </x:c>
      <x:c r="M4278" s="22" t="n">
        <x:v>46241</x:v>
      </x:c>
      <x:c r="N4278" t="str">
        <x:v>SKU-025</x:v>
      </x:c>
      <x:c r="O4278" t="n">
        <x:v>1</x:v>
      </x:c>
      <x:c r="P4278" s="26" t="n">
        <x:f>F4278/O4278</x:f>
        <x:v>72.22</x:v>
      </x:c>
    </x:row>
    <x:row r="4279">
      <x:c r="A4279" t="n">
        <x:v>4278</x:v>
      </x:c>
      <x:c r="B4279" t="n">
        <x:v>25</x:v>
      </x:c>
      <x:c r="C4279" t="str">
        <x:v>Male</x:v>
      </x:c>
      <x:c r="D4279" t="str">
        <x:v>Groceries</x:v>
      </x:c>
      <x:c r="E4279" t="str">
        <x:v>Snacks</x:v>
      </x:c>
      <x:c r="F4279" s="24" t="n">
        <x:v>53.37</x:v>
      </x:c>
      <x:c r="G4279" t="str">
        <x:v>Autumn</x:v>
      </x:c>
      <x:c r="H4279" t="str">
        <x:v>Cash on Delivery</x:v>
      </x:c>
      <x:c r="I4279" t="n">
        <x:v>3.5</x:v>
      </x:c>
      <x:c r="J4279" t="n">
        <x:v>26</x:v>
      </x:c>
      <x:c r="K4279" t="n">
        <x:v>8</x:v>
      </x:c>
      <x:c r="L4279" t="str">
        <x:v>STORE-001</x:v>
      </x:c>
      <x:c r="M4279" s="22" t="n">
        <x:v>46154</x:v>
      </x:c>
      <x:c r="N4279" t="str">
        <x:v>SKU-024</x:v>
      </x:c>
      <x:c r="O4279" t="n">
        <x:v>1</x:v>
      </x:c>
      <x:c r="P4279" s="26" t="n">
        <x:f>F4279/O4279</x:f>
        <x:v>53.37</x:v>
      </x:c>
    </x:row>
    <x:row r="4280">
      <x:c r="A4280" t="n">
        <x:v>4279</x:v>
      </x:c>
      <x:c r="B4280" t="n">
        <x:v>49</x:v>
      </x:c>
      <x:c r="C4280" t="str">
        <x:v>Male</x:v>
      </x:c>
      <x:c r="D4280" t="str">
        <x:v>Sports</x:v>
      </x:c>
      <x:c r="E4280" t="str">
        <x:v>Yoga Mat</x:v>
      </x:c>
      <x:c r="F4280" s="24" t="n">
        <x:v>33.07</x:v>
      </x:c>
      <x:c r="G4280" t="str">
        <x:v>Winter</x:v>
      </x:c>
      <x:c r="H4280" t="str">
        <x:v>Card</x:v>
      </x:c>
      <x:c r="I4280" t="n">
        <x:v>2.9</x:v>
      </x:c>
      <x:c r="J4280" t="n">
        <x:v>22</x:v>
      </x:c>
      <x:c r="K4280" t="n">
        <x:v>6</x:v>
      </x:c>
      <x:c r="L4280" t="str">
        <x:v>STORE-001</x:v>
      </x:c>
      <x:c r="M4280" s="22" t="n">
        <x:v>46215</x:v>
      </x:c>
      <x:c r="N4280" t="str">
        <x:v>SKU-030</x:v>
      </x:c>
      <x:c r="O4280" t="n">
        <x:v>1</x:v>
      </x:c>
      <x:c r="P4280" s="26" t="n">
        <x:f>F4280/O4280</x:f>
        <x:v>33.07</x:v>
      </x:c>
    </x:row>
    <x:row r="4281">
      <x:c r="A4281" t="n">
        <x:v>4280</x:v>
      </x:c>
      <x:c r="B4281" t="n">
        <x:v>33</x:v>
      </x:c>
      <x:c r="C4281" t="str">
        <x:v>Female</x:v>
      </x:c>
      <x:c r="D4281" t="str">
        <x:v>Accessories</x:v>
      </x:c>
      <x:c r="E4281" t="str">
        <x:v>Sunglasses</x:v>
      </x:c>
      <x:c r="F4281" s="24" t="n">
        <x:v>61.92</x:v>
      </x:c>
      <x:c r="G4281" t="str">
        <x:v>Spring</x:v>
      </x:c>
      <x:c r="H4281" t="str">
        <x:v>Cash on Delivery</x:v>
      </x:c>
      <x:c r="I4281" t="n">
        <x:v>4.2</x:v>
      </x:c>
      <x:c r="J4281" t="n">
        <x:v>28</x:v>
      </x:c>
      <x:c r="K4281" t="n">
        <x:v>9</x:v>
      </x:c>
      <x:c r="L4281" t="str">
        <x:v>STORE-001</x:v>
      </x:c>
      <x:c r="M4281" s="22" t="n">
        <x:v>46295</x:v>
      </x:c>
      <x:c r="N4281" t="str">
        <x:v>SKU-026</x:v>
      </x:c>
      <x:c r="O4281" t="n">
        <x:v>1</x:v>
      </x:c>
      <x:c r="P4281" s="26" t="n">
        <x:f>F4281/O4281</x:f>
        <x:v>61.92</x:v>
      </x:c>
    </x:row>
    <x:row r="4282">
      <x:c r="A4282" t="n">
        <x:v>4281</x:v>
      </x:c>
      <x:c r="B4282" t="n">
        <x:v>43</x:v>
      </x:c>
      <x:c r="C4282" t="str">
        <x:v>Male</x:v>
      </x:c>
      <x:c r="D4282" t="str">
        <x:v>Sports</x:v>
      </x:c>
      <x:c r="E4282" t="str">
        <x:v>Dumbbells</x:v>
      </x:c>
      <x:c r="F4282" s="24" t="n">
        <x:v>88.84</x:v>
      </x:c>
      <x:c r="G4282" t="str">
        <x:v>Autumn</x:v>
      </x:c>
      <x:c r="H4282" t="str">
        <x:v>Card</x:v>
      </x:c>
      <x:c r="I4282" t="n">
        <x:v>3.5</x:v>
      </x:c>
      <x:c r="J4282" t="n">
        <x:v>16</x:v>
      </x:c>
      <x:c r="K4282" t="n">
        <x:v>8</x:v>
      </x:c>
      <x:c r="L4282" t="str">
        <x:v>STORE-001</x:v>
      </x:c>
      <x:c r="M4282" s="22" t="n">
        <x:v>46107</x:v>
      </x:c>
      <x:c r="N4282" t="str">
        <x:v>SKU-005</x:v>
      </x:c>
      <x:c r="O4282" t="n">
        <x:v>1</x:v>
      </x:c>
      <x:c r="P4282" s="26" t="n">
        <x:f>F4282/O4282</x:f>
        <x:v>88.84</x:v>
      </x:c>
    </x:row>
    <x:row r="4283">
      <x:c r="A4283" t="n">
        <x:v>4282</x:v>
      </x:c>
      <x:c r="B4283" t="n">
        <x:v>46</x:v>
      </x:c>
      <x:c r="C4283" t="str">
        <x:v>Female</x:v>
      </x:c>
      <x:c r="D4283" t="str">
        <x:v>Footwear</x:v>
      </x:c>
      <x:c r="E4283" t="str">
        <x:v>Sneakers</x:v>
      </x:c>
      <x:c r="F4283" s="24" t="n">
        <x:v>213.67</x:v>
      </x:c>
      <x:c r="G4283" t="str">
        <x:v>Summer</x:v>
      </x:c>
      <x:c r="H4283" t="str">
        <x:v>Card</x:v>
      </x:c>
      <x:c r="I4283" t="n">
        <x:v>3.8</x:v>
      </x:c>
      <x:c r="J4283" t="n">
        <x:v>13</x:v>
      </x:c>
      <x:c r="K4283" t="n">
        <x:v>4</x:v>
      </x:c>
      <x:c r="L4283" t="str">
        <x:v>STORE-001</x:v>
      </x:c>
      <x:c r="M4283" s="22" t="n">
        <x:v>46078</x:v>
      </x:c>
      <x:c r="N4283" t="str">
        <x:v>SKU-025</x:v>
      </x:c>
      <x:c r="O4283" t="n">
        <x:v>2</x:v>
      </x:c>
      <x:c r="P4283" s="26" t="n">
        <x:f>F4283/O4283</x:f>
        <x:v>106.835</x:v>
      </x:c>
    </x:row>
    <x:row r="4284">
      <x:c r="A4284" t="n">
        <x:v>4283</x:v>
      </x:c>
      <x:c r="B4284" t="n">
        <x:v>32</x:v>
      </x:c>
      <x:c r="C4284" t="str">
        <x:v>Male</x:v>
      </x:c>
      <x:c r="D4284" t="str">
        <x:v>Electronics</x:v>
      </x:c>
      <x:c r="E4284" t="str">
        <x:v>Smart Watch</x:v>
      </x:c>
      <x:c r="F4284" s="24" t="n">
        <x:v>744.74</x:v>
      </x:c>
      <x:c r="G4284" t="str">
        <x:v>Winter</x:v>
      </x:c>
      <x:c r="H4284" t="str">
        <x:v>Card</x:v>
      </x:c>
      <x:c r="I4284" t="n">
        <x:v>2.9</x:v>
      </x:c>
      <x:c r="J4284" t="n">
        <x:v>4</x:v>
      </x:c>
      <x:c r="K4284" t="n">
        <x:v>2</x:v>
      </x:c>
      <x:c r="L4284" t="str">
        <x:v>STORE-001</x:v>
      </x:c>
      <x:c r="M4284" s="22" t="n">
        <x:v>46234</x:v>
      </x:c>
      <x:c r="N4284" t="str">
        <x:v>SKU-023</x:v>
      </x:c>
      <x:c r="O4284" t="n">
        <x:v>1</x:v>
      </x:c>
      <x:c r="P4284" s="26" t="n">
        <x:f>F4284/O4284</x:f>
        <x:v>744.74</x:v>
      </x:c>
    </x:row>
    <x:row r="4285">
      <x:c r="A4285" t="n">
        <x:v>4284</x:v>
      </x:c>
      <x:c r="B4285" t="n">
        <x:v>64</x:v>
      </x:c>
      <x:c r="C4285" t="str">
        <x:v>Female</x:v>
      </x:c>
      <x:c r="D4285" t="str">
        <x:v>Womens Clothing</x:v>
      </x:c>
      <x:c r="E4285" t="str">
        <x:v>Jeans</x:v>
      </x:c>
      <x:c r="F4285" s="24" t="n">
        <x:v>199.4</x:v>
      </x:c>
      <x:c r="G4285" t="str">
        <x:v>Spring</x:v>
      </x:c>
      <x:c r="H4285" t="str">
        <x:v>Card</x:v>
      </x:c>
      <x:c r="I4285" t="n">
        <x:v>3.2</x:v>
      </x:c>
      <x:c r="J4285" t="n">
        <x:v>11</x:v>
      </x:c>
      <x:c r="K4285" t="n">
        <x:v>3</x:v>
      </x:c>
      <x:c r="L4285" t="str">
        <x:v>STORE-001</x:v>
      </x:c>
      <x:c r="M4285" s="22" t="n">
        <x:v>45976</x:v>
      </x:c>
      <x:c r="N4285" t="str">
        <x:v>SKU-011</x:v>
      </x:c>
      <x:c r="O4285" t="n">
        <x:v>1</x:v>
      </x:c>
      <x:c r="P4285" s="26" t="n">
        <x:f>F4285/O4285</x:f>
        <x:v>199.4</x:v>
      </x:c>
    </x:row>
    <x:row r="4286">
      <x:c r="A4286" t="n">
        <x:v>4285</x:v>
      </x:c>
      <x:c r="B4286" t="n">
        <x:v>67</x:v>
      </x:c>
      <x:c r="C4286" t="str">
        <x:v>Female</x:v>
      </x:c>
      <x:c r="D4286" t="str">
        <x:v>Womens Clothing</x:v>
      </x:c>
      <x:c r="E4286" t="str">
        <x:v>Dress</x:v>
      </x:c>
      <x:c r="F4286" s="24" t="n">
        <x:v>122.67</x:v>
      </x:c>
      <x:c r="G4286" t="str">
        <x:v>Autumn</x:v>
      </x:c>
      <x:c r="H4286" t="str">
        <x:v>Card</x:v>
      </x:c>
      <x:c r="I4286" t="n">
        <x:v>3.6</x:v>
      </x:c>
      <x:c r="J4286" t="n">
        <x:v>24</x:v>
      </x:c>
      <x:c r="K4286" t="n">
        <x:v>7</x:v>
      </x:c>
      <x:c r="L4286" t="str">
        <x:v>STORE-001</x:v>
      </x:c>
      <x:c r="M4286" s="22" t="n">
        <x:v>46092</x:v>
      </x:c>
      <x:c r="N4286" t="str">
        <x:v>SKU-004</x:v>
      </x:c>
      <x:c r="O4286" t="n">
        <x:v>1</x:v>
      </x:c>
      <x:c r="P4286" s="26" t="n">
        <x:f>F4286/O4286</x:f>
        <x:v>122.67</x:v>
      </x:c>
    </x:row>
    <x:row r="4287">
      <x:c r="A4287" t="n">
        <x:v>4286</x:v>
      </x:c>
      <x:c r="B4287" t="n">
        <x:v>56</x:v>
      </x:c>
      <x:c r="C4287" t="str">
        <x:v>Female</x:v>
      </x:c>
      <x:c r="D4287" t="str">
        <x:v>Womens Clothing</x:v>
      </x:c>
      <x:c r="E4287" t="str">
        <x:v>Jeans</x:v>
      </x:c>
      <x:c r="F4287" s="24" t="n">
        <x:v>81.62</x:v>
      </x:c>
      <x:c r="G4287" t="str">
        <x:v>Spring</x:v>
      </x:c>
      <x:c r="H4287" t="str">
        <x:v>Card</x:v>
      </x:c>
      <x:c r="I4287" t="n">
        <x:v>4.1</x:v>
      </x:c>
      <x:c r="J4287" t="n">
        <x:v>22</x:v>
      </x:c>
      <x:c r="K4287" t="n">
        <x:v>6</x:v>
      </x:c>
      <x:c r="L4287" t="str">
        <x:v>STORE-001</x:v>
      </x:c>
      <x:c r="M4287" s="22" t="n">
        <x:v>46291</x:v>
      </x:c>
      <x:c r="N4287" t="str">
        <x:v>SKU-011</x:v>
      </x:c>
      <x:c r="O4287" t="n">
        <x:v>1</x:v>
      </x:c>
      <x:c r="P4287" s="26" t="n">
        <x:f>F4287/O4287</x:f>
        <x:v>81.62</x:v>
      </x:c>
    </x:row>
    <x:row r="4288">
      <x:c r="A4288" t="n">
        <x:v>4287</x:v>
      </x:c>
      <x:c r="B4288" t="n">
        <x:v>51</x:v>
      </x:c>
      <x:c r="C4288" t="str">
        <x:v>Female</x:v>
      </x:c>
      <x:c r="D4288" t="str">
        <x:v>Groceries</x:v>
      </x:c>
      <x:c r="E4288" t="str">
        <x:v>Snacks</x:v>
      </x:c>
      <x:c r="F4288" s="24" t="n">
        <x:v>50.86</x:v>
      </x:c>
      <x:c r="G4288" t="str">
        <x:v>Summer</x:v>
      </x:c>
      <x:c r="H4288" t="str">
        <x:v>Cash on Delivery</x:v>
      </x:c>
      <x:c r="I4288" t="n">
        <x:v>3.4</x:v>
      </x:c>
      <x:c r="J4288" t="n">
        <x:v>20</x:v>
      </x:c>
      <x:c r="K4288" t="n">
        <x:v>5</x:v>
      </x:c>
      <x:c r="L4288" t="str">
        <x:v>STORE-001</x:v>
      </x:c>
      <x:c r="M4288" s="22" t="n">
        <x:v>46033</x:v>
      </x:c>
      <x:c r="N4288" t="str">
        <x:v>SKU-024</x:v>
      </x:c>
      <x:c r="O4288" t="n">
        <x:v>2</x:v>
      </x:c>
      <x:c r="P4288" s="26" t="n">
        <x:f>F4288/O4288</x:f>
        <x:v>25.43</x:v>
      </x:c>
    </x:row>
    <x:row r="4289">
      <x:c r="A4289" t="n">
        <x:v>4288</x:v>
      </x:c>
      <x:c r="B4289" t="n">
        <x:v>42</x:v>
      </x:c>
      <x:c r="C4289" t="str">
        <x:v>Female</x:v>
      </x:c>
      <x:c r="D4289" t="str">
        <x:v>Footwear</x:v>
      </x:c>
      <x:c r="E4289" t="str">
        <x:v>Formal Shoes</x:v>
      </x:c>
      <x:c r="F4289" s="24" t="n">
        <x:v>50.03</x:v>
      </x:c>
      <x:c r="G4289" t="str">
        <x:v>Spring</x:v>
      </x:c>
      <x:c r="H4289" t="str">
        <x:v>Cash on Delivery</x:v>
      </x:c>
      <x:c r="I4289" t="n">
        <x:v>4.1</x:v>
      </x:c>
      <x:c r="J4289" t="n">
        <x:v>12</x:v>
      </x:c>
      <x:c r="K4289" t="n">
        <x:v>6</x:v>
      </x:c>
      <x:c r="L4289" t="str">
        <x:v>STORE-001</x:v>
      </x:c>
      <x:c r="M4289" s="22" t="n">
        <x:v>45963</x:v>
      </x:c>
      <x:c r="N4289" t="str">
        <x:v>SKU-007</x:v>
      </x:c>
      <x:c r="O4289" t="n">
        <x:v>2</x:v>
      </x:c>
      <x:c r="P4289" s="26" t="n">
        <x:f>F4289/O4289</x:f>
        <x:v>25.015</x:v>
      </x:c>
    </x:row>
    <x:row r="4290">
      <x:c r="A4290" t="n">
        <x:v>4289</x:v>
      </x:c>
      <x:c r="B4290" t="n">
        <x:v>46</x:v>
      </x:c>
      <x:c r="C4290" t="str">
        <x:v>Male</x:v>
      </x:c>
      <x:c r="D4290" t="str">
        <x:v>Footwear</x:v>
      </x:c>
      <x:c r="E4290" t="str">
        <x:v>Formal Shoes</x:v>
      </x:c>
      <x:c r="F4290" s="24" t="n">
        <x:v>140.4</x:v>
      </x:c>
      <x:c r="G4290" t="str">
        <x:v>Winter</x:v>
      </x:c>
      <x:c r="H4290" t="str">
        <x:v>Card</x:v>
      </x:c>
      <x:c r="I4290" t="n">
        <x:v>3.5</x:v>
      </x:c>
      <x:c r="J4290" t="n">
        <x:v>18</x:v>
      </x:c>
      <x:c r="K4290" t="n">
        <x:v>9</x:v>
      </x:c>
      <x:c r="L4290" t="str">
        <x:v>STORE-001</x:v>
      </x:c>
      <x:c r="M4290" s="22" t="n">
        <x:v>46219</x:v>
      </x:c>
      <x:c r="N4290" t="str">
        <x:v>SKU-007</x:v>
      </x:c>
      <x:c r="O4290" t="n">
        <x:v>2</x:v>
      </x:c>
      <x:c r="P4290" s="26" t="n">
        <x:f>F4290/O4290</x:f>
        <x:v>70.2</x:v>
      </x:c>
    </x:row>
    <x:row r="4291">
      <x:c r="A4291" t="n">
        <x:v>4290</x:v>
      </x:c>
      <x:c r="B4291" t="n">
        <x:v>29</x:v>
      </x:c>
      <x:c r="C4291" t="str">
        <x:v>Female</x:v>
      </x:c>
      <x:c r="D4291" t="str">
        <x:v>Beauty</x:v>
      </x:c>
      <x:c r="E4291" t="str">
        <x:v>Perfume</x:v>
      </x:c>
      <x:c r="F4291" s="24" t="n">
        <x:v>52.2</x:v>
      </x:c>
      <x:c r="G4291" t="str">
        <x:v>Winter</x:v>
      </x:c>
      <x:c r="H4291" t="str">
        <x:v>Card</x:v>
      </x:c>
      <x:c r="I4291" t="n">
        <x:v>4.3</x:v>
      </x:c>
      <x:c r="J4291" t="n">
        <x:v>6</x:v>
      </x:c>
      <x:c r="K4291" t="n">
        <x:v>3</x:v>
      </x:c>
      <x:c r="L4291" t="str">
        <x:v>STORE-001</x:v>
      </x:c>
      <x:c r="M4291" s="22" t="n">
        <x:v>46186</x:v>
      </x:c>
      <x:c r="N4291" t="str">
        <x:v>SKU-017</x:v>
      </x:c>
      <x:c r="O4291" t="n">
        <x:v>4</x:v>
      </x:c>
      <x:c r="P4291" s="26" t="n">
        <x:f>F4291/O4291</x:f>
        <x:v>13.05</x:v>
      </x:c>
    </x:row>
    <x:row r="4292">
      <x:c r="A4292" t="n">
        <x:v>4291</x:v>
      </x:c>
      <x:c r="B4292" t="n">
        <x:v>67</x:v>
      </x:c>
      <x:c r="C4292" t="str">
        <x:v>Male</x:v>
      </x:c>
      <x:c r="D4292" t="str">
        <x:v>Sports</x:v>
      </x:c>
      <x:c r="E4292" t="str">
        <x:v>Dumbbells</x:v>
      </x:c>
      <x:c r="F4292" s="24" t="n">
        <x:v>161.67</x:v>
      </x:c>
      <x:c r="G4292" t="str">
        <x:v>Spring</x:v>
      </x:c>
      <x:c r="H4292" t="str">
        <x:v>Card</x:v>
      </x:c>
      <x:c r="I4292" t="n">
        <x:v>2.8</x:v>
      </x:c>
      <x:c r="J4292" t="n">
        <x:v>10</x:v>
      </x:c>
      <x:c r="K4292" t="n">
        <x:v>5</x:v>
      </x:c>
      <x:c r="L4292" t="str">
        <x:v>STORE-001</x:v>
      </x:c>
      <x:c r="M4292" s="22" t="n">
        <x:v>45984</x:v>
      </x:c>
      <x:c r="N4292" t="str">
        <x:v>SKU-005</x:v>
      </x:c>
      <x:c r="O4292" t="n">
        <x:v>3</x:v>
      </x:c>
      <x:c r="P4292" s="26" t="n">
        <x:f>F4292/O4292</x:f>
        <x:v>53.88999999999999</x:v>
      </x:c>
    </x:row>
    <x:row r="4293">
      <x:c r="A4293" t="n">
        <x:v>4292</x:v>
      </x:c>
      <x:c r="B4293" t="n">
        <x:v>61</x:v>
      </x:c>
      <x:c r="C4293" t="str">
        <x:v>Male</x:v>
      </x:c>
      <x:c r="D4293" t="str">
        <x:v>Sports</x:v>
      </x:c>
      <x:c r="E4293" t="str">
        <x:v>Dumbbells</x:v>
      </x:c>
      <x:c r="F4293" s="24" t="n">
        <x:v>116.32</x:v>
      </x:c>
      <x:c r="G4293" t="str">
        <x:v>Autumn</x:v>
      </x:c>
      <x:c r="H4293" t="str">
        <x:v>Card</x:v>
      </x:c>
      <x:c r="I4293" t="n">
        <x:v>3.6</x:v>
      </x:c>
      <x:c r="J4293" t="n">
        <x:v>16</x:v>
      </x:c>
      <x:c r="K4293" t="n">
        <x:v>3</x:v>
      </x:c>
      <x:c r="L4293" t="str">
        <x:v>STORE-001</x:v>
      </x:c>
      <x:c r="M4293" s="22" t="n">
        <x:v>46083</x:v>
      </x:c>
      <x:c r="N4293" t="str">
        <x:v>SKU-005</x:v>
      </x:c>
      <x:c r="O4293" t="n">
        <x:v>2</x:v>
      </x:c>
      <x:c r="P4293" s="26" t="n">
        <x:f>F4293/O4293</x:f>
        <x:v>58.16</x:v>
      </x:c>
    </x:row>
    <x:row r="4294">
      <x:c r="A4294" t="n">
        <x:v>4293</x:v>
      </x:c>
      <x:c r="B4294" t="n">
        <x:v>63</x:v>
      </x:c>
      <x:c r="C4294" t="str">
        <x:v>Female</x:v>
      </x:c>
      <x:c r="D4294" t="str">
        <x:v>Beauty</x:v>
      </x:c>
      <x:c r="E4294" t="str">
        <x:v>Skincare Kit</x:v>
      </x:c>
      <x:c r="F4294" s="24" t="n">
        <x:v>88.46</x:v>
      </x:c>
      <x:c r="G4294" t="str">
        <x:v>Winter</x:v>
      </x:c>
      <x:c r="H4294" t="str">
        <x:v>Cash on Delivery</x:v>
      </x:c>
      <x:c r="I4294" t="n">
        <x:v>4.2</x:v>
      </x:c>
      <x:c r="J4294" t="n">
        <x:v>18</x:v>
      </x:c>
      <x:c r="K4294" t="n">
        <x:v>4</x:v>
      </x:c>
      <x:c r="L4294" t="str">
        <x:v>STORE-001</x:v>
      </x:c>
      <x:c r="M4294" s="22" t="n">
        <x:v>46239</x:v>
      </x:c>
      <x:c r="N4294" t="str">
        <x:v>SKU-021</x:v>
      </x:c>
      <x:c r="O4294" t="n">
        <x:v>1</x:v>
      </x:c>
      <x:c r="P4294" s="26" t="n">
        <x:f>F4294/O4294</x:f>
        <x:v>88.46</x:v>
      </x:c>
    </x:row>
    <x:row r="4295">
      <x:c r="A4295" t="n">
        <x:v>4294</x:v>
      </x:c>
      <x:c r="B4295" t="n">
        <x:v>20</x:v>
      </x:c>
      <x:c r="C4295" t="str">
        <x:v>Male</x:v>
      </x:c>
      <x:c r="D4295" t="str">
        <x:v>Mens Clothing</x:v>
      </x:c>
      <x:c r="E4295" t="str">
        <x:v>T-Shirt</x:v>
      </x:c>
      <x:c r="F4295" s="24" t="n">
        <x:v>175.64</x:v>
      </x:c>
      <x:c r="G4295" t="str">
        <x:v>Summer</x:v>
      </x:c>
      <x:c r="H4295" t="str">
        <x:v>Card</x:v>
      </x:c>
      <x:c r="I4295" t="n">
        <x:v>4</x:v>
      </x:c>
      <x:c r="J4295" t="n">
        <x:v>21</x:v>
      </x:c>
      <x:c r="K4295" t="n">
        <x:v>8</x:v>
      </x:c>
      <x:c r="L4295" t="str">
        <x:v>STORE-001</x:v>
      </x:c>
      <x:c r="M4295" s="22" t="n">
        <x:v>46060</x:v>
      </x:c>
      <x:c r="N4295" t="str">
        <x:v>SKU-027</x:v>
      </x:c>
      <x:c r="O4295" t="n">
        <x:v>1</x:v>
      </x:c>
      <x:c r="P4295" s="26" t="n">
        <x:f>F4295/O4295</x:f>
        <x:v>175.64</x:v>
      </x:c>
    </x:row>
    <x:row r="4296">
      <x:c r="A4296" t="n">
        <x:v>4295</x:v>
      </x:c>
      <x:c r="B4296" t="n">
        <x:v>68</x:v>
      </x:c>
      <x:c r="C4296" t="str">
        <x:v>Female</x:v>
      </x:c>
      <x:c r="D4296" t="str">
        <x:v>Footwear</x:v>
      </x:c>
      <x:c r="E4296" t="str">
        <x:v>Sandals</x:v>
      </x:c>
      <x:c r="F4296" s="24" t="n">
        <x:v>109.35</x:v>
      </x:c>
      <x:c r="G4296" t="str">
        <x:v>Summer</x:v>
      </x:c>
      <x:c r="H4296" t="str">
        <x:v>Card</x:v>
      </x:c>
      <x:c r="I4296" t="n">
        <x:v>4.2</x:v>
      </x:c>
      <x:c r="J4296" t="n">
        <x:v>15</x:v>
      </x:c>
      <x:c r="K4296" t="n">
        <x:v>5</x:v>
      </x:c>
      <x:c r="L4296" t="str">
        <x:v>STORE-001</x:v>
      </x:c>
      <x:c r="M4296" s="22" t="n">
        <x:v>46067</x:v>
      </x:c>
      <x:c r="N4296" t="str">
        <x:v>SKU-019</x:v>
      </x:c>
      <x:c r="O4296" t="n">
        <x:v>1</x:v>
      </x:c>
      <x:c r="P4296" s="26" t="n">
        <x:f>F4296/O4296</x:f>
        <x:v>109.35</x:v>
      </x:c>
    </x:row>
    <x:row r="4297">
      <x:c r="A4297" t="n">
        <x:v>4296</x:v>
      </x:c>
      <x:c r="B4297" t="n">
        <x:v>41</x:v>
      </x:c>
      <x:c r="C4297" t="str">
        <x:v>Female</x:v>
      </x:c>
      <x:c r="D4297" t="str">
        <x:v>Home</x:v>
      </x:c>
      <x:c r="E4297" t="str">
        <x:v>Lamp</x:v>
      </x:c>
      <x:c r="F4297" s="24" t="n">
        <x:v>63.09</x:v>
      </x:c>
      <x:c r="G4297" t="str">
        <x:v>Autumn</x:v>
      </x:c>
      <x:c r="H4297" t="str">
        <x:v>Card</x:v>
      </x:c>
      <x:c r="I4297" t="n">
        <x:v>4.1</x:v>
      </x:c>
      <x:c r="J4297" t="n">
        <x:v>20</x:v>
      </x:c>
      <x:c r="K4297" t="n">
        <x:v>5</x:v>
      </x:c>
      <x:c r="L4297" t="str">
        <x:v>STORE-001</x:v>
      </x:c>
      <x:c r="M4297" s="22" t="n">
        <x:v>46135</x:v>
      </x:c>
      <x:c r="N4297" t="str">
        <x:v>SKU-013</x:v>
      </x:c>
      <x:c r="O4297" t="n">
        <x:v>1</x:v>
      </x:c>
      <x:c r="P4297" s="26" t="n">
        <x:f>F4297/O4297</x:f>
        <x:v>63.09</x:v>
      </x:c>
    </x:row>
    <x:row r="4298">
      <x:c r="A4298" t="n">
        <x:v>4297</x:v>
      </x:c>
      <x:c r="B4298" t="n">
        <x:v>66</x:v>
      </x:c>
      <x:c r="C4298" t="str">
        <x:v>Male</x:v>
      </x:c>
      <x:c r="D4298" t="str">
        <x:v>Mens Clothing</x:v>
      </x:c>
      <x:c r="E4298" t="str">
        <x:v>T-Shirt</x:v>
      </x:c>
      <x:c r="F4298" s="24" t="n">
        <x:v>177.68</x:v>
      </x:c>
      <x:c r="G4298" t="str">
        <x:v>Winter</x:v>
      </x:c>
      <x:c r="H4298" t="str">
        <x:v>Card</x:v>
      </x:c>
      <x:c r="I4298" t="n">
        <x:v>4.6</x:v>
      </x:c>
      <x:c r="J4298" t="n">
        <x:v>22</x:v>
      </x:c>
      <x:c r="K4298" t="n">
        <x:v>6</x:v>
      </x:c>
      <x:c r="L4298" t="str">
        <x:v>STORE-001</x:v>
      </x:c>
      <x:c r="M4298" s="22" t="n">
        <x:v>46181</x:v>
      </x:c>
      <x:c r="N4298" t="str">
        <x:v>SKU-027</x:v>
      </x:c>
      <x:c r="O4298" t="n">
        <x:v>1</x:v>
      </x:c>
      <x:c r="P4298" s="26" t="n">
        <x:f>F4298/O4298</x:f>
        <x:v>177.68</x:v>
      </x:c>
    </x:row>
    <x:row r="4299">
      <x:c r="A4299" t="n">
        <x:v>4298</x:v>
      </x:c>
      <x:c r="B4299" t="n">
        <x:v>53</x:v>
      </x:c>
      <x:c r="C4299" t="str">
        <x:v>Male</x:v>
      </x:c>
      <x:c r="D4299" t="str">
        <x:v>Sports</x:v>
      </x:c>
      <x:c r="E4299" t="str">
        <x:v>Football</x:v>
      </x:c>
      <x:c r="F4299" s="24" t="n">
        <x:v>203.97</x:v>
      </x:c>
      <x:c r="G4299" t="str">
        <x:v>Spring</x:v>
      </x:c>
      <x:c r="H4299" t="str">
        <x:v>Card</x:v>
      </x:c>
      <x:c r="I4299" t="n">
        <x:v>3.8</x:v>
      </x:c>
      <x:c r="J4299" t="n">
        <x:v>6</x:v>
      </x:c>
      <x:c r="K4299" t="n">
        <x:v>3</x:v>
      </x:c>
      <x:c r="L4299" t="str">
        <x:v>STORE-001</x:v>
      </x:c>
      <x:c r="M4299" s="22" t="n">
        <x:v>45988</x:v>
      </x:c>
      <x:c r="N4299" t="str">
        <x:v>SKU-006</x:v>
      </x:c>
      <x:c r="O4299" t="n">
        <x:v>4</x:v>
      </x:c>
      <x:c r="P4299" s="26" t="n">
        <x:f>F4299/O4299</x:f>
        <x:v>50.9925</x:v>
      </x:c>
    </x:row>
    <x:row r="4300">
      <x:c r="A4300" t="n">
        <x:v>4299</x:v>
      </x:c>
      <x:c r="B4300" t="n">
        <x:v>66</x:v>
      </x:c>
      <x:c r="C4300" t="str">
        <x:v>Male</x:v>
      </x:c>
      <x:c r="D4300" t="str">
        <x:v>Footwear</x:v>
      </x:c>
      <x:c r="E4300" t="str">
        <x:v>Sandals</x:v>
      </x:c>
      <x:c r="F4300" s="24" t="n">
        <x:v>55.18</x:v>
      </x:c>
      <x:c r="G4300" t="str">
        <x:v>Spring</x:v>
      </x:c>
      <x:c r="H4300" t="str">
        <x:v>Cash on Delivery</x:v>
      </x:c>
      <x:c r="I4300" t="n">
        <x:v>5</x:v>
      </x:c>
      <x:c r="J4300" t="n">
        <x:v>16</x:v>
      </x:c>
      <x:c r="K4300" t="n">
        <x:v>8</x:v>
      </x:c>
      <x:c r="L4300" t="str">
        <x:v>STORE-001</x:v>
      </x:c>
      <x:c r="M4300" s="22" t="n">
        <x:v>46276</x:v>
      </x:c>
      <x:c r="N4300" t="str">
        <x:v>SKU-019</x:v>
      </x:c>
      <x:c r="O4300" t="n">
        <x:v>2</x:v>
      </x:c>
      <x:c r="P4300" s="26" t="n">
        <x:f>F4300/O4300</x:f>
        <x:v>27.59</x:v>
      </x:c>
    </x:row>
    <x:row r="4301">
      <x:c r="A4301" t="n">
        <x:v>4300</x:v>
      </x:c>
      <x:c r="B4301" t="n">
        <x:v>58</x:v>
      </x:c>
      <x:c r="C4301" t="str">
        <x:v>Female</x:v>
      </x:c>
      <x:c r="D4301" t="str">
        <x:v>Beauty</x:v>
      </x:c>
      <x:c r="E4301" t="str">
        <x:v>Perfume</x:v>
      </x:c>
      <x:c r="F4301" s="24" t="n">
        <x:v>120.91</x:v>
      </x:c>
      <x:c r="G4301" t="str">
        <x:v>Winter</x:v>
      </x:c>
      <x:c r="H4301" t="str">
        <x:v>Card</x:v>
      </x:c>
      <x:c r="I4301" t="n">
        <x:v>4.2</x:v>
      </x:c>
      <x:c r="J4301" t="n">
        <x:v>18</x:v>
      </x:c>
      <x:c r="K4301" t="n">
        <x:v>4</x:v>
      </x:c>
      <x:c r="L4301" t="str">
        <x:v>STORE-001</x:v>
      </x:c>
      <x:c r="M4301" s="22" t="n">
        <x:v>46220</x:v>
      </x:c>
      <x:c r="N4301" t="str">
        <x:v>SKU-017</x:v>
      </x:c>
      <x:c r="O4301" t="n">
        <x:v>2</x:v>
      </x:c>
      <x:c r="P4301" s="26" t="n">
        <x:f>F4301/O4301</x:f>
        <x:v>60.455</x:v>
      </x:c>
    </x:row>
    <x:row r="4302">
      <x:c r="A4302" t="n">
        <x:v>4301</x:v>
      </x:c>
      <x:c r="B4302" t="n">
        <x:v>65</x:v>
      </x:c>
      <x:c r="C4302" t="str">
        <x:v>Female</x:v>
      </x:c>
      <x:c r="D4302" t="str">
        <x:v>Footwear</x:v>
      </x:c>
      <x:c r="E4302" t="str">
        <x:v>Sneakers</x:v>
      </x:c>
      <x:c r="F4302" s="24" t="n">
        <x:v>107.79</x:v>
      </x:c>
      <x:c r="G4302" t="str">
        <x:v>Summer</x:v>
      </x:c>
      <x:c r="H4302" t="str">
        <x:v>Card</x:v>
      </x:c>
      <x:c r="I4302" t="n">
        <x:v>3.9</x:v>
      </x:c>
      <x:c r="J4302" t="n">
        <x:v>12</x:v>
      </x:c>
      <x:c r="K4302" t="n">
        <x:v>6</x:v>
      </x:c>
      <x:c r="L4302" t="str">
        <x:v>STORE-001</x:v>
      </x:c>
      <x:c r="M4302" s="22" t="n">
        <x:v>46076</x:v>
      </x:c>
      <x:c r="N4302" t="str">
        <x:v>SKU-025</x:v>
      </x:c>
      <x:c r="O4302" t="n">
        <x:v>1</x:v>
      </x:c>
      <x:c r="P4302" s="26" t="n">
        <x:f>F4302/O4302</x:f>
        <x:v>107.79</x:v>
      </x:c>
    </x:row>
    <x:row r="4303">
      <x:c r="A4303" t="n">
        <x:v>4302</x:v>
      </x:c>
      <x:c r="B4303" t="n">
        <x:v>22</x:v>
      </x:c>
      <x:c r="C4303" t="str">
        <x:v>Female</x:v>
      </x:c>
      <x:c r="D4303" t="str">
        <x:v>Beauty</x:v>
      </x:c>
      <x:c r="E4303" t="str">
        <x:v>Skincare Kit</x:v>
      </x:c>
      <x:c r="F4303" s="24" t="n">
        <x:v>88.76</x:v>
      </x:c>
      <x:c r="G4303" t="str">
        <x:v>Spring</x:v>
      </x:c>
      <x:c r="H4303" t="str">
        <x:v>Card</x:v>
      </x:c>
      <x:c r="I4303" t="n">
        <x:v>4</x:v>
      </x:c>
      <x:c r="J4303" t="n">
        <x:v>21</x:v>
      </x:c>
      <x:c r="K4303" t="n">
        <x:v>8</x:v>
      </x:c>
      <x:c r="L4303" t="str">
        <x:v>STORE-001</x:v>
      </x:c>
      <x:c r="M4303" s="22" t="n">
        <x:v>46267</x:v>
      </x:c>
      <x:c r="N4303" t="str">
        <x:v>SKU-021</x:v>
      </x:c>
      <x:c r="O4303" t="n">
        <x:v>2</x:v>
      </x:c>
      <x:c r="P4303" s="26" t="n">
        <x:f>F4303/O4303</x:f>
        <x:v>44.38</x:v>
      </x:c>
    </x:row>
    <x:row r="4304">
      <x:c r="A4304" t="n">
        <x:v>4303</x:v>
      </x:c>
      <x:c r="B4304" t="n">
        <x:v>41</x:v>
      </x:c>
      <x:c r="C4304" t="str">
        <x:v>Male</x:v>
      </x:c>
      <x:c r="D4304" t="str">
        <x:v>Sports</x:v>
      </x:c>
      <x:c r="E4304" t="str">
        <x:v>Dumbbells</x:v>
      </x:c>
      <x:c r="F4304" s="24" t="n">
        <x:v>131.51</x:v>
      </x:c>
      <x:c r="G4304" t="str">
        <x:v>Winter</x:v>
      </x:c>
      <x:c r="H4304" t="str">
        <x:v>Card</x:v>
      </x:c>
      <x:c r="I4304" t="n">
        <x:v>3.4</x:v>
      </x:c>
      <x:c r="J4304" t="n">
        <x:v>14</x:v>
      </x:c>
      <x:c r="K4304" t="n">
        <x:v>7</x:v>
      </x:c>
      <x:c r="L4304" t="str">
        <x:v>STORE-001</x:v>
      </x:c>
      <x:c r="M4304" s="22" t="n">
        <x:v>46257</x:v>
      </x:c>
      <x:c r="N4304" t="str">
        <x:v>SKU-005</x:v>
      </x:c>
      <x:c r="O4304" t="n">
        <x:v>1</x:v>
      </x:c>
      <x:c r="P4304" s="26" t="n">
        <x:f>F4304/O4304</x:f>
        <x:v>131.51</x:v>
      </x:c>
    </x:row>
    <x:row r="4305">
      <x:c r="A4305" t="n">
        <x:v>4304</x:v>
      </x:c>
      <x:c r="B4305" t="n">
        <x:v>54</x:v>
      </x:c>
      <x:c r="C4305" t="str">
        <x:v>Male</x:v>
      </x:c>
      <x:c r="D4305" t="str">
        <x:v>Home</x:v>
      </x:c>
      <x:c r="E4305" t="str">
        <x:v>Kitchen Set</x:v>
      </x:c>
      <x:c r="F4305" s="24" t="n">
        <x:v>58.82</x:v>
      </x:c>
      <x:c r="G4305" t="str">
        <x:v>Summer</x:v>
      </x:c>
      <x:c r="H4305" t="str">
        <x:v>Cash on Delivery</x:v>
      </x:c>
      <x:c r="I4305" t="n">
        <x:v>3.8</x:v>
      </x:c>
      <x:c r="J4305" t="n">
        <x:v>23</x:v>
      </x:c>
      <x:c r="K4305" t="n">
        <x:v>9</x:v>
      </x:c>
      <x:c r="L4305" t="str">
        <x:v>STORE-001</x:v>
      </x:c>
      <x:c r="M4305" s="22" t="n">
        <x:v>46000</x:v>
      </x:c>
      <x:c r="N4305" t="str">
        <x:v>SKU-012</x:v>
      </x:c>
      <x:c r="O4305" t="n">
        <x:v>1</x:v>
      </x:c>
      <x:c r="P4305" s="26" t="n">
        <x:f>F4305/O4305</x:f>
        <x:v>58.82</x:v>
      </x:c>
    </x:row>
    <x:row r="4306">
      <x:c r="A4306" t="n">
        <x:v>4305</x:v>
      </x:c>
      <x:c r="B4306" t="n">
        <x:v>62</x:v>
      </x:c>
      <x:c r="C4306" t="str">
        <x:v>Male</x:v>
      </x:c>
      <x:c r="D4306" t="str">
        <x:v>Mens Clothing</x:v>
      </x:c>
      <x:c r="E4306" t="str">
        <x:v>T-Shirt</x:v>
      </x:c>
      <x:c r="F4306" s="24" t="n">
        <x:v>184.53</x:v>
      </x:c>
      <x:c r="G4306" t="str">
        <x:v>Winter</x:v>
      </x:c>
      <x:c r="H4306" t="str">
        <x:v>Card</x:v>
      </x:c>
      <x:c r="I4306" t="n">
        <x:v>4.2</x:v>
      </x:c>
      <x:c r="J4306" t="n">
        <x:v>28</x:v>
      </x:c>
      <x:c r="K4306" t="n">
        <x:v>9</x:v>
      </x:c>
      <x:c r="L4306" t="str">
        <x:v>STORE-001</x:v>
      </x:c>
      <x:c r="M4306" s="22" t="n">
        <x:v>46224</x:v>
      </x:c>
      <x:c r="N4306" t="str">
        <x:v>SKU-027</x:v>
      </x:c>
      <x:c r="O4306" t="n">
        <x:v>1</x:v>
      </x:c>
      <x:c r="P4306" s="26" t="n">
        <x:f>F4306/O4306</x:f>
        <x:v>184.53</x:v>
      </x:c>
    </x:row>
    <x:row r="4307">
      <x:c r="A4307" t="n">
        <x:v>4306</x:v>
      </x:c>
      <x:c r="B4307" t="n">
        <x:v>65</x:v>
      </x:c>
      <x:c r="C4307" t="str">
        <x:v>Male</x:v>
      </x:c>
      <x:c r="D4307" t="str">
        <x:v>Electronics</x:v>
      </x:c>
      <x:c r="E4307" t="str">
        <x:v>Smart Watch</x:v>
      </x:c>
      <x:c r="F4307" s="24" t="n">
        <x:v>2803.45</x:v>
      </x:c>
      <x:c r="G4307" t="str">
        <x:v>Spring</x:v>
      </x:c>
      <x:c r="H4307" t="str">
        <x:v>Card</x:v>
      </x:c>
      <x:c r="I4307" t="n">
        <x:v>3.1</x:v>
      </x:c>
      <x:c r="J4307" t="n">
        <x:v>12</x:v>
      </x:c>
      <x:c r="K4307" t="n">
        <x:v>1</x:v>
      </x:c>
      <x:c r="L4307" t="str">
        <x:v>STORE-001</x:v>
      </x:c>
      <x:c r="M4307" s="22" t="n">
        <x:v>45945</x:v>
      </x:c>
      <x:c r="N4307" t="str">
        <x:v>SKU-023</x:v>
      </x:c>
      <x:c r="O4307" t="n">
        <x:v>1</x:v>
      </x:c>
      <x:c r="P4307" s="26" t="n">
        <x:f>F4307/O4307</x:f>
        <x:v>2803.45</x:v>
      </x:c>
    </x:row>
    <x:row r="4308">
      <x:c r="A4308" t="n">
        <x:v>4307</x:v>
      </x:c>
      <x:c r="B4308" t="n">
        <x:v>54</x:v>
      </x:c>
      <x:c r="C4308" t="str">
        <x:v>Female</x:v>
      </x:c>
      <x:c r="D4308" t="str">
        <x:v>Accessories</x:v>
      </x:c>
      <x:c r="E4308" t="str">
        <x:v>Wallet</x:v>
      </x:c>
      <x:c r="F4308" s="24" t="n">
        <x:v>91.94</x:v>
      </x:c>
      <x:c r="G4308" t="str">
        <x:v>Autumn</x:v>
      </x:c>
      <x:c r="H4308" t="str">
        <x:v>Card</x:v>
      </x:c>
      <x:c r="I4308" t="n">
        <x:v>3.6</x:v>
      </x:c>
      <x:c r="J4308" t="n">
        <x:v>16</x:v>
      </x:c>
      <x:c r="K4308" t="n">
        <x:v>3</x:v>
      </x:c>
      <x:c r="L4308" t="str">
        <x:v>STORE-001</x:v>
      </x:c>
      <x:c r="M4308" s="22" t="n">
        <x:v>46089</x:v>
      </x:c>
      <x:c r="N4308" t="str">
        <x:v>SKU-029</x:v>
      </x:c>
      <x:c r="O4308" t="n">
        <x:v>1</x:v>
      </x:c>
      <x:c r="P4308" s="26" t="n">
        <x:f>F4308/O4308</x:f>
        <x:v>91.94</x:v>
      </x:c>
    </x:row>
    <x:row r="4309">
      <x:c r="A4309" t="n">
        <x:v>4308</x:v>
      </x:c>
      <x:c r="B4309" t="n">
        <x:v>45</x:v>
      </x:c>
      <x:c r="C4309" t="str">
        <x:v>Male</x:v>
      </x:c>
      <x:c r="D4309" t="str">
        <x:v>Home</x:v>
      </x:c>
      <x:c r="E4309" t="str">
        <x:v>Curtains</x:v>
      </x:c>
      <x:c r="F4309" s="24" t="n">
        <x:v>130.45</x:v>
      </x:c>
      <x:c r="G4309" t="str">
        <x:v>Winter</x:v>
      </x:c>
      <x:c r="H4309" t="str">
        <x:v>Card</x:v>
      </x:c>
      <x:c r="I4309" t="n">
        <x:v>4.5</x:v>
      </x:c>
      <x:c r="J4309" t="n">
        <x:v>14</x:v>
      </x:c>
      <x:c r="K4309" t="n">
        <x:v>7</x:v>
      </x:c>
      <x:c r="L4309" t="str">
        <x:v>STORE-001</x:v>
      </x:c>
      <x:c r="M4309" s="22" t="n">
        <x:v>46233</x:v>
      </x:c>
      <x:c r="N4309" t="str">
        <x:v>SKU-003</x:v>
      </x:c>
      <x:c r="O4309" t="n">
        <x:v>2</x:v>
      </x:c>
      <x:c r="P4309" s="26" t="n">
        <x:f>F4309/O4309</x:f>
        <x:v>65.225</x:v>
      </x:c>
    </x:row>
    <x:row r="4310">
      <x:c r="A4310" t="n">
        <x:v>4309</x:v>
      </x:c>
      <x:c r="B4310" t="n">
        <x:v>34</x:v>
      </x:c>
      <x:c r="C4310" t="str">
        <x:v>Male</x:v>
      </x:c>
      <x:c r="D4310" t="str">
        <x:v>Home</x:v>
      </x:c>
      <x:c r="E4310" t="str">
        <x:v>Lamp</x:v>
      </x:c>
      <x:c r="F4310" s="24" t="n">
        <x:v>225</x:v>
      </x:c>
      <x:c r="G4310" t="str">
        <x:v>Summer</x:v>
      </x:c>
      <x:c r="H4310" t="str">
        <x:v>Card</x:v>
      </x:c>
      <x:c r="I4310" t="n">
        <x:v>3.2</x:v>
      </x:c>
      <x:c r="J4310" t="n">
        <x:v>14</x:v>
      </x:c>
      <x:c r="K4310" t="n">
        <x:v>2</x:v>
      </x:c>
      <x:c r="L4310" t="str">
        <x:v>STORE-001</x:v>
      </x:c>
      <x:c r="M4310" s="22" t="n">
        <x:v>46080</x:v>
      </x:c>
      <x:c r="N4310" t="str">
        <x:v>SKU-013</x:v>
      </x:c>
      <x:c r="O4310" t="n">
        <x:v>1</x:v>
      </x:c>
      <x:c r="P4310" s="26" t="n">
        <x:f>F4310/O4310</x:f>
        <x:v>225</x:v>
      </x:c>
    </x:row>
    <x:row r="4311">
      <x:c r="A4311" t="n">
        <x:v>4310</x:v>
      </x:c>
      <x:c r="B4311" t="n">
        <x:v>32</x:v>
      </x:c>
      <x:c r="C4311" t="str">
        <x:v>Male</x:v>
      </x:c>
      <x:c r="D4311" t="str">
        <x:v>Footwear</x:v>
      </x:c>
      <x:c r="E4311" t="str">
        <x:v>Sandals</x:v>
      </x:c>
      <x:c r="F4311" s="24" t="n">
        <x:v>237.39</x:v>
      </x:c>
      <x:c r="G4311" t="str">
        <x:v>Autumn</x:v>
      </x:c>
      <x:c r="H4311" t="str">
        <x:v>Card</x:v>
      </x:c>
      <x:c r="I4311" t="n">
        <x:v>5</x:v>
      </x:c>
      <x:c r="J4311" t="n">
        <x:v>24</x:v>
      </x:c>
      <x:c r="K4311" t="n">
        <x:v>7</x:v>
      </x:c>
      <x:c r="L4311" t="str">
        <x:v>STORE-001</x:v>
      </x:c>
      <x:c r="M4311" s="22" t="n">
        <x:v>46146</x:v>
      </x:c>
      <x:c r="N4311" t="str">
        <x:v>SKU-019</x:v>
      </x:c>
      <x:c r="O4311" t="n">
        <x:v>1</x:v>
      </x:c>
      <x:c r="P4311" s="26" t="n">
        <x:f>F4311/O4311</x:f>
        <x:v>237.39</x:v>
      </x:c>
    </x:row>
    <x:row r="4312">
      <x:c r="A4312" t="n">
        <x:v>4311</x:v>
      </x:c>
      <x:c r="B4312" t="n">
        <x:v>52</x:v>
      </x:c>
      <x:c r="C4312" t="str">
        <x:v>Female</x:v>
      </x:c>
      <x:c r="D4312" t="str">
        <x:v>Accessories</x:v>
      </x:c>
      <x:c r="E4312" t="str">
        <x:v>Sunglasses</x:v>
      </x:c>
      <x:c r="F4312" s="24" t="n">
        <x:v>36.25</x:v>
      </x:c>
      <x:c r="G4312" t="str">
        <x:v>Winter</x:v>
      </x:c>
      <x:c r="H4312" t="str">
        <x:v>Cash on Delivery</x:v>
      </x:c>
      <x:c r="I4312" t="n">
        <x:v>4</x:v>
      </x:c>
      <x:c r="J4312" t="n">
        <x:v>17</x:v>
      </x:c>
      <x:c r="K4312" t="n">
        <x:v>6</x:v>
      </x:c>
      <x:c r="L4312" t="str">
        <x:v>STORE-001</x:v>
      </x:c>
      <x:c r="M4312" s="22" t="n">
        <x:v>46259</x:v>
      </x:c>
      <x:c r="N4312" t="str">
        <x:v>SKU-026</x:v>
      </x:c>
      <x:c r="O4312" t="n">
        <x:v>2</x:v>
      </x:c>
      <x:c r="P4312" s="26" t="n">
        <x:f>F4312/O4312</x:f>
        <x:v>18.125</x:v>
      </x:c>
    </x:row>
    <x:row r="4313">
      <x:c r="A4313" t="n">
        <x:v>4312</x:v>
      </x:c>
      <x:c r="B4313" t="n">
        <x:v>53</x:v>
      </x:c>
      <x:c r="C4313" t="str">
        <x:v>Male</x:v>
      </x:c>
      <x:c r="D4313" t="str">
        <x:v>Footwear</x:v>
      </x:c>
      <x:c r="E4313" t="str">
        <x:v>Formal Shoes</x:v>
      </x:c>
      <x:c r="F4313" s="24" t="n">
        <x:v>70.21</x:v>
      </x:c>
      <x:c r="G4313" t="str">
        <x:v>Spring</x:v>
      </x:c>
      <x:c r="H4313" t="str">
        <x:v>Card</x:v>
      </x:c>
      <x:c r="I4313" t="n">
        <x:v>3</x:v>
      </x:c>
      <x:c r="J4313" t="n">
        <x:v>8</x:v>
      </x:c>
      <x:c r="K4313" t="n">
        <x:v>4</x:v>
      </x:c>
      <x:c r="L4313" t="str">
        <x:v>STORE-001</x:v>
      </x:c>
      <x:c r="M4313" s="22" t="n">
        <x:v>46279</x:v>
      </x:c>
      <x:c r="N4313" t="str">
        <x:v>SKU-007</x:v>
      </x:c>
      <x:c r="O4313" t="n">
        <x:v>1</x:v>
      </x:c>
      <x:c r="P4313" s="26" t="n">
        <x:f>F4313/O4313</x:f>
        <x:v>70.21</x:v>
      </x:c>
    </x:row>
    <x:row r="4314">
      <x:c r="A4314" t="n">
        <x:v>4313</x:v>
      </x:c>
      <x:c r="B4314" t="n">
        <x:v>38</x:v>
      </x:c>
      <x:c r="C4314" t="str">
        <x:v>Female</x:v>
      </x:c>
      <x:c r="D4314" t="str">
        <x:v>Womens Clothing</x:v>
      </x:c>
      <x:c r="E4314" t="str">
        <x:v>Dress</x:v>
      </x:c>
      <x:c r="F4314" s="24" t="n">
        <x:v>136.24</x:v>
      </x:c>
      <x:c r="G4314" t="str">
        <x:v>Winter</x:v>
      </x:c>
      <x:c r="H4314" t="str">
        <x:v>Card</x:v>
      </x:c>
      <x:c r="I4314" t="n">
        <x:v>3.9</x:v>
      </x:c>
      <x:c r="J4314" t="n">
        <x:v>8</x:v>
      </x:c>
      <x:c r="K4314" t="n">
        <x:v>4</x:v>
      </x:c>
      <x:c r="L4314" t="str">
        <x:v>STORE-001</x:v>
      </x:c>
      <x:c r="M4314" s="22" t="n">
        <x:v>46239</x:v>
      </x:c>
      <x:c r="N4314" t="str">
        <x:v>SKU-004</x:v>
      </x:c>
      <x:c r="O4314" t="n">
        <x:v>1</x:v>
      </x:c>
      <x:c r="P4314" s="26" t="n">
        <x:f>F4314/O4314</x:f>
        <x:v>136.24</x:v>
      </x:c>
    </x:row>
    <x:row r="4315">
      <x:c r="A4315" t="n">
        <x:v>4314</x:v>
      </x:c>
      <x:c r="B4315" t="n">
        <x:v>44</x:v>
      </x:c>
      <x:c r="C4315" t="str">
        <x:v>Female</x:v>
      </x:c>
      <x:c r="D4315" t="str">
        <x:v>Womens Clothing</x:v>
      </x:c>
      <x:c r="E4315" t="str">
        <x:v>Skirt</x:v>
      </x:c>
      <x:c r="F4315" s="24" t="n">
        <x:v>159.32</x:v>
      </x:c>
      <x:c r="G4315" t="str">
        <x:v>Autumn</x:v>
      </x:c>
      <x:c r="H4315" t="str">
        <x:v>Card</x:v>
      </x:c>
      <x:c r="I4315" t="n">
        <x:v>4.3</x:v>
      </x:c>
      <x:c r="J4315" t="n">
        <x:v>10</x:v>
      </x:c>
      <x:c r="K4315" t="n">
        <x:v>5</x:v>
      </x:c>
      <x:c r="L4315" t="str">
        <x:v>STORE-001</x:v>
      </x:c>
      <x:c r="M4315" s="22" t="n">
        <x:v>46133</x:v>
      </x:c>
      <x:c r="N4315" t="str">
        <x:v>SKU-022</x:v>
      </x:c>
      <x:c r="O4315" t="n">
        <x:v>1</x:v>
      </x:c>
      <x:c r="P4315" s="26" t="n">
        <x:f>F4315/O4315</x:f>
        <x:v>159.32</x:v>
      </x:c>
    </x:row>
    <x:row r="4316">
      <x:c r="A4316" t="n">
        <x:v>4315</x:v>
      </x:c>
      <x:c r="B4316" t="n">
        <x:v>27</x:v>
      </x:c>
      <x:c r="C4316" t="str">
        <x:v>Male</x:v>
      </x:c>
      <x:c r="D4316" t="str">
        <x:v>Home</x:v>
      </x:c>
      <x:c r="E4316" t="str">
        <x:v>Curtains</x:v>
      </x:c>
      <x:c r="F4316" s="24" t="n">
        <x:v>105.26</x:v>
      </x:c>
      <x:c r="G4316" t="str">
        <x:v>Winter</x:v>
      </x:c>
      <x:c r="H4316" t="str">
        <x:v>Card</x:v>
      </x:c>
      <x:c r="I4316" t="n">
        <x:v>3.7</x:v>
      </x:c>
      <x:c r="J4316" t="n">
        <x:v>15</x:v>
      </x:c>
      <x:c r="K4316" t="n">
        <x:v>5</x:v>
      </x:c>
      <x:c r="L4316" t="str">
        <x:v>STORE-001</x:v>
      </x:c>
      <x:c r="M4316" s="22" t="n">
        <x:v>46254</x:v>
      </x:c>
      <x:c r="N4316" t="str">
        <x:v>SKU-003</x:v>
      </x:c>
      <x:c r="O4316" t="n">
        <x:v>3</x:v>
      </x:c>
      <x:c r="P4316" s="26" t="n">
        <x:f>F4316/O4316</x:f>
        <x:v>35.086666666666666</x:v>
      </x:c>
    </x:row>
    <x:row r="4317">
      <x:c r="A4317" t="n">
        <x:v>4316</x:v>
      </x:c>
      <x:c r="B4317" t="n">
        <x:v>55</x:v>
      </x:c>
      <x:c r="C4317" t="str">
        <x:v>Female</x:v>
      </x:c>
      <x:c r="D4317" t="str">
        <x:v>Home</x:v>
      </x:c>
      <x:c r="E4317" t="str">
        <x:v>Lamp</x:v>
      </x:c>
      <x:c r="F4317" s="24" t="n">
        <x:v>214.41</x:v>
      </x:c>
      <x:c r="G4317" t="str">
        <x:v>Winter</x:v>
      </x:c>
      <x:c r="H4317" t="str">
        <x:v>Card</x:v>
      </x:c>
      <x:c r="I4317" t="n">
        <x:v>3.7</x:v>
      </x:c>
      <x:c r="J4317" t="n">
        <x:v>11</x:v>
      </x:c>
      <x:c r="K4317" t="n">
        <x:v>3</x:v>
      </x:c>
      <x:c r="L4317" t="str">
        <x:v>STORE-001</x:v>
      </x:c>
      <x:c r="M4317" s="22" t="n">
        <x:v>46197</x:v>
      </x:c>
      <x:c r="N4317" t="str">
        <x:v>SKU-013</x:v>
      </x:c>
      <x:c r="O4317" t="n">
        <x:v>1</x:v>
      </x:c>
      <x:c r="P4317" s="26" t="n">
        <x:f>F4317/O4317</x:f>
        <x:v>214.41</x:v>
      </x:c>
    </x:row>
    <x:row r="4318">
      <x:c r="A4318" t="n">
        <x:v>4317</x:v>
      </x:c>
      <x:c r="B4318" t="n">
        <x:v>42</x:v>
      </x:c>
      <x:c r="C4318" t="str">
        <x:v>Female</x:v>
      </x:c>
      <x:c r="D4318" t="str">
        <x:v>Womens Clothing</x:v>
      </x:c>
      <x:c r="E4318" t="str">
        <x:v>Skirt</x:v>
      </x:c>
      <x:c r="F4318" s="24" t="n">
        <x:v>101.15</x:v>
      </x:c>
      <x:c r="G4318" t="str">
        <x:v>Autumn</x:v>
      </x:c>
      <x:c r="H4318" t="str">
        <x:v>Card</x:v>
      </x:c>
      <x:c r="I4318" t="n">
        <x:v>2.6</x:v>
      </x:c>
      <x:c r="J4318" t="n">
        <x:v>12</x:v>
      </x:c>
      <x:c r="K4318" t="n">
        <x:v>6</x:v>
      </x:c>
      <x:c r="L4318" t="str">
        <x:v>STORE-001</x:v>
      </x:c>
      <x:c r="M4318" s="22" t="n">
        <x:v>46123</x:v>
      </x:c>
      <x:c r="N4318" t="str">
        <x:v>SKU-022</x:v>
      </x:c>
      <x:c r="O4318" t="n">
        <x:v>1</x:v>
      </x:c>
      <x:c r="P4318" s="26" t="n">
        <x:f>F4318/O4318</x:f>
        <x:v>101.15</x:v>
      </x:c>
    </x:row>
    <x:row r="4319">
      <x:c r="A4319" t="n">
        <x:v>4318</x:v>
      </x:c>
      <x:c r="B4319" t="n">
        <x:v>39</x:v>
      </x:c>
      <x:c r="C4319" t="str">
        <x:v>Female</x:v>
      </x:c>
      <x:c r="D4319" t="str">
        <x:v>Groceries</x:v>
      </x:c>
      <x:c r="E4319" t="str">
        <x:v>Rice Pack</x:v>
      </x:c>
      <x:c r="F4319" s="24" t="n">
        <x:v>23.86</x:v>
      </x:c>
      <x:c r="G4319" t="str">
        <x:v>Summer</x:v>
      </x:c>
      <x:c r="H4319" t="str">
        <x:v>Cash on Delivery</x:v>
      </x:c>
      <x:c r="I4319" t="n">
        <x:v>3.7</x:v>
      </x:c>
      <x:c r="J4319" t="n">
        <x:v>14</x:v>
      </x:c>
      <x:c r="K4319" t="n">
        <x:v>7</x:v>
      </x:c>
      <x:c r="L4319" t="str">
        <x:v>STORE-001</x:v>
      </x:c>
      <x:c r="M4319" s="22" t="n">
        <x:v>46068</x:v>
      </x:c>
      <x:c r="N4319" t="str">
        <x:v>SKU-018</x:v>
      </x:c>
      <x:c r="O4319" t="n">
        <x:v>3</x:v>
      </x:c>
      <x:c r="P4319" s="26" t="n">
        <x:f>F4319/O4319</x:f>
        <x:v>7.953333333333333</x:v>
      </x:c>
    </x:row>
    <x:row r="4320">
      <x:c r="A4320" t="n">
        <x:v>4319</x:v>
      </x:c>
      <x:c r="B4320" t="n">
        <x:v>38</x:v>
      </x:c>
      <x:c r="C4320" t="str">
        <x:v>Male</x:v>
      </x:c>
      <x:c r="D4320" t="str">
        <x:v>Footwear</x:v>
      </x:c>
      <x:c r="E4320" t="str">
        <x:v>Sneakers</x:v>
      </x:c>
      <x:c r="F4320" s="24" t="n">
        <x:v>206.88</x:v>
      </x:c>
      <x:c r="G4320" t="str">
        <x:v>Winter</x:v>
      </x:c>
      <x:c r="H4320" t="str">
        <x:v>Card</x:v>
      </x:c>
      <x:c r="I4320" t="n">
        <x:v>4.5</x:v>
      </x:c>
      <x:c r="J4320" t="n">
        <x:v>23</x:v>
      </x:c>
      <x:c r="K4320" t="n">
        <x:v>9</x:v>
      </x:c>
      <x:c r="L4320" t="str">
        <x:v>STORE-001</x:v>
      </x:c>
      <x:c r="M4320" s="22" t="n">
        <x:v>46223</x:v>
      </x:c>
      <x:c r="N4320" t="str">
        <x:v>SKU-025</x:v>
      </x:c>
      <x:c r="O4320" t="n">
        <x:v>1</x:v>
      </x:c>
      <x:c r="P4320" s="26" t="n">
        <x:f>F4320/O4320</x:f>
        <x:v>206.88</x:v>
      </x:c>
    </x:row>
    <x:row r="4321">
      <x:c r="A4321" t="n">
        <x:v>4320</x:v>
      </x:c>
      <x:c r="B4321" t="n">
        <x:v>33</x:v>
      </x:c>
      <x:c r="C4321" t="str">
        <x:v>Female</x:v>
      </x:c>
      <x:c r="D4321" t="str">
        <x:v>Womens Clothing</x:v>
      </x:c>
      <x:c r="E4321" t="str">
        <x:v>Jeans</x:v>
      </x:c>
      <x:c r="F4321" s="24" t="n">
        <x:v>152.85</x:v>
      </x:c>
      <x:c r="G4321" t="str">
        <x:v>Winter</x:v>
      </x:c>
      <x:c r="H4321" t="str">
        <x:v>Card</x:v>
      </x:c>
      <x:c r="I4321" t="n">
        <x:v>2.9</x:v>
      </x:c>
      <x:c r="J4321" t="n">
        <x:v>17</x:v>
      </x:c>
      <x:c r="K4321" t="n">
        <x:v>6</x:v>
      </x:c>
      <x:c r="L4321" t="str">
        <x:v>STORE-001</x:v>
      </x:c>
      <x:c r="M4321" s="22" t="n">
        <x:v>46244</x:v>
      </x:c>
      <x:c r="N4321" t="str">
        <x:v>SKU-011</x:v>
      </x:c>
      <x:c r="O4321" t="n">
        <x:v>2</x:v>
      </x:c>
      <x:c r="P4321" s="26" t="n">
        <x:f>F4321/O4321</x:f>
        <x:v>76.425</x:v>
      </x:c>
    </x:row>
    <x:row r="4322">
      <x:c r="A4322" t="n">
        <x:v>4321</x:v>
      </x:c>
      <x:c r="B4322" t="n">
        <x:v>41</x:v>
      </x:c>
      <x:c r="C4322" t="str">
        <x:v>Female</x:v>
      </x:c>
      <x:c r="D4322" t="str">
        <x:v>Womens Clothing</x:v>
      </x:c>
      <x:c r="E4322" t="str">
        <x:v>Top</x:v>
      </x:c>
      <x:c r="F4322" s="24" t="n">
        <x:v>131.57</x:v>
      </x:c>
      <x:c r="G4322" t="str">
        <x:v>Summer</x:v>
      </x:c>
      <x:c r="H4322" t="str">
        <x:v>Card</x:v>
      </x:c>
      <x:c r="I4322" t="n">
        <x:v>5</x:v>
      </x:c>
      <x:c r="J4322" t="n">
        <x:v>9</x:v>
      </x:c>
      <x:c r="K4322" t="n">
        <x:v>2</x:v>
      </x:c>
      <x:c r="L4322" t="str">
        <x:v>STORE-001</x:v>
      </x:c>
      <x:c r="M4322" s="22" t="n">
        <x:v>46044</x:v>
      </x:c>
      <x:c r="N4322" t="str">
        <x:v>SKU-028</x:v>
      </x:c>
      <x:c r="O4322" t="n">
        <x:v>1</x:v>
      </x:c>
      <x:c r="P4322" s="26" t="n">
        <x:f>F4322/O4322</x:f>
        <x:v>131.57</x:v>
      </x:c>
    </x:row>
    <x:row r="4323">
      <x:c r="A4323" t="n">
        <x:v>4322</x:v>
      </x:c>
      <x:c r="B4323" t="n">
        <x:v>46</x:v>
      </x:c>
      <x:c r="C4323" t="str">
        <x:v>Male</x:v>
      </x:c>
      <x:c r="D4323" t="str">
        <x:v>Sports</x:v>
      </x:c>
      <x:c r="E4323" t="str">
        <x:v>Football</x:v>
      </x:c>
      <x:c r="F4323" s="24" t="n">
        <x:v>61.71</x:v>
      </x:c>
      <x:c r="G4323" t="str">
        <x:v>Autumn</x:v>
      </x:c>
      <x:c r="H4323" t="str">
        <x:v>Card</x:v>
      </x:c>
      <x:c r="I4323" t="n">
        <x:v>4.8</x:v>
      </x:c>
      <x:c r="J4323" t="n">
        <x:v>18</x:v>
      </x:c>
      <x:c r="K4323" t="n">
        <x:v>4</x:v>
      </x:c>
      <x:c r="L4323" t="str">
        <x:v>STORE-001</x:v>
      </x:c>
      <x:c r="M4323" s="22" t="n">
        <x:v>46092</x:v>
      </x:c>
      <x:c r="N4323" t="str">
        <x:v>SKU-006</x:v>
      </x:c>
      <x:c r="O4323" t="n">
        <x:v>2</x:v>
      </x:c>
      <x:c r="P4323" s="26" t="n">
        <x:f>F4323/O4323</x:f>
        <x:v>30.855</x:v>
      </x:c>
    </x:row>
    <x:row r="4324">
      <x:c r="A4324" t="n">
        <x:v>4323</x:v>
      </x:c>
      <x:c r="B4324" t="n">
        <x:v>33</x:v>
      </x:c>
      <x:c r="C4324" t="str">
        <x:v>Female</x:v>
      </x:c>
      <x:c r="D4324" t="str">
        <x:v>Sports</x:v>
      </x:c>
      <x:c r="E4324" t="str">
        <x:v>Yoga Mat</x:v>
      </x:c>
      <x:c r="F4324" s="24" t="n">
        <x:v>146.32</x:v>
      </x:c>
      <x:c r="G4324" t="str">
        <x:v>Autumn</x:v>
      </x:c>
      <x:c r="H4324" t="str">
        <x:v>Card</x:v>
      </x:c>
      <x:c r="I4324" t="n">
        <x:v>3.9</x:v>
      </x:c>
      <x:c r="J4324" t="n">
        <x:v>14</x:v>
      </x:c>
      <x:c r="K4324" t="n">
        <x:v>2</x:v>
      </x:c>
      <x:c r="L4324" t="str">
        <x:v>STORE-001</x:v>
      </x:c>
      <x:c r="M4324" s="22" t="n">
        <x:v>46107</x:v>
      </x:c>
      <x:c r="N4324" t="str">
        <x:v>SKU-030</x:v>
      </x:c>
      <x:c r="O4324" t="n">
        <x:v>1</x:v>
      </x:c>
      <x:c r="P4324" s="26" t="n">
        <x:f>F4324/O4324</x:f>
        <x:v>146.32</x:v>
      </x:c>
    </x:row>
    <x:row r="4325">
      <x:c r="A4325" t="n">
        <x:v>4324</x:v>
      </x:c>
      <x:c r="B4325" t="n">
        <x:v>30</x:v>
      </x:c>
      <x:c r="C4325" t="str">
        <x:v>Male</x:v>
      </x:c>
      <x:c r="D4325" t="str">
        <x:v>Sports</x:v>
      </x:c>
      <x:c r="E4325" t="str">
        <x:v>Football</x:v>
      </x:c>
      <x:c r="F4325" s="24" t="n">
        <x:v>176.43</x:v>
      </x:c>
      <x:c r="G4325" t="str">
        <x:v>Autumn</x:v>
      </x:c>
      <x:c r="H4325" t="str">
        <x:v>Card</x:v>
      </x:c>
      <x:c r="I4325" t="n">
        <x:v>3.9</x:v>
      </x:c>
      <x:c r="J4325" t="n">
        <x:v>10</x:v>
      </x:c>
      <x:c r="K4325" t="n">
        <x:v>5</x:v>
      </x:c>
      <x:c r="L4325" t="str">
        <x:v>STORE-001</x:v>
      </x:c>
      <x:c r="M4325" s="22" t="n">
        <x:v>46132</x:v>
      </x:c>
      <x:c r="N4325" t="str">
        <x:v>SKU-006</x:v>
      </x:c>
      <x:c r="O4325" t="n">
        <x:v>3</x:v>
      </x:c>
      <x:c r="P4325" s="26" t="n">
        <x:f>F4325/O4325</x:f>
        <x:v>58.81</x:v>
      </x:c>
    </x:row>
    <x:row r="4326">
      <x:c r="A4326" t="n">
        <x:v>4325</x:v>
      </x:c>
      <x:c r="B4326" t="n">
        <x:v>40</x:v>
      </x:c>
      <x:c r="C4326" t="str">
        <x:v>Male</x:v>
      </x:c>
      <x:c r="D4326" t="str">
        <x:v>Footwear</x:v>
      </x:c>
      <x:c r="E4326" t="str">
        <x:v>Sneakers</x:v>
      </x:c>
      <x:c r="F4326" s="24" t="n">
        <x:v>180.35</x:v>
      </x:c>
      <x:c r="G4326" t="str">
        <x:v>Autumn</x:v>
      </x:c>
      <x:c r="H4326" t="str">
        <x:v>Card</x:v>
      </x:c>
      <x:c r="I4326" t="n">
        <x:v>3.5</x:v>
      </x:c>
      <x:c r="J4326" t="n">
        <x:v>10</x:v>
      </x:c>
      <x:c r="K4326" t="n">
        <x:v>5</x:v>
      </x:c>
      <x:c r="L4326" t="str">
        <x:v>STORE-001</x:v>
      </x:c>
      <x:c r="M4326" s="22" t="n">
        <x:v>46118</x:v>
      </x:c>
      <x:c r="N4326" t="str">
        <x:v>SKU-025</x:v>
      </x:c>
      <x:c r="O4326" t="n">
        <x:v>1</x:v>
      </x:c>
      <x:c r="P4326" s="26" t="n">
        <x:f>F4326/O4326</x:f>
        <x:v>180.35</x:v>
      </x:c>
    </x:row>
    <x:row r="4327">
      <x:c r="A4327" t="n">
        <x:v>4326</x:v>
      </x:c>
      <x:c r="B4327" t="n">
        <x:v>31</x:v>
      </x:c>
      <x:c r="C4327" t="str">
        <x:v>Female</x:v>
      </x:c>
      <x:c r="D4327" t="str">
        <x:v>Home</x:v>
      </x:c>
      <x:c r="E4327" t="str">
        <x:v>Lamp</x:v>
      </x:c>
      <x:c r="F4327" s="24" t="n">
        <x:v>46.08</x:v>
      </x:c>
      <x:c r="G4327" t="str">
        <x:v>Autumn</x:v>
      </x:c>
      <x:c r="H4327" t="str">
        <x:v>Card</x:v>
      </x:c>
      <x:c r="I4327" t="n">
        <x:v>3</x:v>
      </x:c>
      <x:c r="J4327" t="n">
        <x:v>17</x:v>
      </x:c>
      <x:c r="K4327" t="n">
        <x:v>6</x:v>
      </x:c>
      <x:c r="L4327" t="str">
        <x:v>STORE-001</x:v>
      </x:c>
      <x:c r="M4327" s="22" t="n">
        <x:v>46088</x:v>
      </x:c>
      <x:c r="N4327" t="str">
        <x:v>SKU-013</x:v>
      </x:c>
      <x:c r="O4327" t="n">
        <x:v>1</x:v>
      </x:c>
      <x:c r="P4327" s="26" t="n">
        <x:f>F4327/O4327</x:f>
        <x:v>46.08</x:v>
      </x:c>
    </x:row>
    <x:row r="4328">
      <x:c r="A4328" t="n">
        <x:v>4327</x:v>
      </x:c>
      <x:c r="B4328" t="n">
        <x:v>52</x:v>
      </x:c>
      <x:c r="C4328" t="str">
        <x:v>Female</x:v>
      </x:c>
      <x:c r="D4328" t="str">
        <x:v>Beauty</x:v>
      </x:c>
      <x:c r="E4328" t="str">
        <x:v>Makeup Set</x:v>
      </x:c>
      <x:c r="F4328" s="24" t="n">
        <x:v>89.09</x:v>
      </x:c>
      <x:c r="G4328" t="str">
        <x:v>Autumn</x:v>
      </x:c>
      <x:c r="H4328" t="str">
        <x:v>Cash on Delivery</x:v>
      </x:c>
      <x:c r="I4328" t="n">
        <x:v>4.4</x:v>
      </x:c>
      <x:c r="J4328" t="n">
        <x:v>12</x:v>
      </x:c>
      <x:c r="K4328" t="n">
        <x:v>6</x:v>
      </x:c>
      <x:c r="L4328" t="str">
        <x:v>STORE-001</x:v>
      </x:c>
      <x:c r="M4328" s="22" t="n">
        <x:v>46085</x:v>
      </x:c>
      <x:c r="N4328" t="str">
        <x:v>SKU-015</x:v>
      </x:c>
      <x:c r="O4328" t="n">
        <x:v>1</x:v>
      </x:c>
      <x:c r="P4328" s="26" t="n">
        <x:f>F4328/O4328</x:f>
        <x:v>89.09</x:v>
      </x:c>
    </x:row>
    <x:row r="4329">
      <x:c r="A4329" t="n">
        <x:v>4328</x:v>
      </x:c>
      <x:c r="B4329" t="n">
        <x:v>65</x:v>
      </x:c>
      <x:c r="C4329" t="str">
        <x:v>Female</x:v>
      </x:c>
      <x:c r="D4329" t="str">
        <x:v>Sports</x:v>
      </x:c>
      <x:c r="E4329" t="str">
        <x:v>Yoga Mat</x:v>
      </x:c>
      <x:c r="F4329" s="24" t="n">
        <x:v>100.42</x:v>
      </x:c>
      <x:c r="G4329" t="str">
        <x:v>Autumn</x:v>
      </x:c>
      <x:c r="H4329" t="str">
        <x:v>Card</x:v>
      </x:c>
      <x:c r="I4329" t="n">
        <x:v>3.8</x:v>
      </x:c>
      <x:c r="J4329" t="n">
        <x:v>22</x:v>
      </x:c>
      <x:c r="K4329" t="n">
        <x:v>6</x:v>
      </x:c>
      <x:c r="L4329" t="str">
        <x:v>STORE-001</x:v>
      </x:c>
      <x:c r="M4329" s="22" t="n">
        <x:v>46173</x:v>
      </x:c>
      <x:c r="N4329" t="str">
        <x:v>SKU-030</x:v>
      </x:c>
      <x:c r="O4329" t="n">
        <x:v>1</x:v>
      </x:c>
      <x:c r="P4329" s="26" t="n">
        <x:f>F4329/O4329</x:f>
        <x:v>100.42</x:v>
      </x:c>
    </x:row>
    <x:row r="4330">
      <x:c r="A4330" t="n">
        <x:v>4329</x:v>
      </x:c>
      <x:c r="B4330" t="n">
        <x:v>48</x:v>
      </x:c>
      <x:c r="C4330" t="str">
        <x:v>Male</x:v>
      </x:c>
      <x:c r="D4330" t="str">
        <x:v>Mens Clothing</x:v>
      </x:c>
      <x:c r="E4330" t="str">
        <x:v>T-Shirt</x:v>
      </x:c>
      <x:c r="F4330" s="24" t="n">
        <x:v>89.83</x:v>
      </x:c>
      <x:c r="G4330" t="str">
        <x:v>Summer</x:v>
      </x:c>
      <x:c r="H4330" t="str">
        <x:v>Card</x:v>
      </x:c>
      <x:c r="I4330" t="n">
        <x:v>4.1</x:v>
      </x:c>
      <x:c r="J4330" t="n">
        <x:v>20</x:v>
      </x:c>
      <x:c r="K4330" t="n">
        <x:v>5</x:v>
      </x:c>
      <x:c r="L4330" t="str">
        <x:v>STORE-001</x:v>
      </x:c>
      <x:c r="M4330" s="22" t="n">
        <x:v>46019</x:v>
      </x:c>
      <x:c r="N4330" t="str">
        <x:v>SKU-027</x:v>
      </x:c>
      <x:c r="O4330" t="n">
        <x:v>2</x:v>
      </x:c>
      <x:c r="P4330" s="26" t="n">
        <x:f>F4330/O4330</x:f>
        <x:v>44.915</x:v>
      </x:c>
    </x:row>
    <x:row r="4331">
      <x:c r="A4331" t="n">
        <x:v>4330</x:v>
      </x:c>
      <x:c r="B4331" t="n">
        <x:v>54</x:v>
      </x:c>
      <x:c r="C4331" t="str">
        <x:v>Male</x:v>
      </x:c>
      <x:c r="D4331" t="str">
        <x:v>Electronics</x:v>
      </x:c>
      <x:c r="E4331" t="str">
        <x:v>Mobile Phone</x:v>
      </x:c>
      <x:c r="F4331" s="24" t="n">
        <x:v>970.58</x:v>
      </x:c>
      <x:c r="G4331" t="str">
        <x:v>Summer</x:v>
      </x:c>
      <x:c r="H4331" t="str">
        <x:v>Card</x:v>
      </x:c>
      <x:c r="I4331" t="n">
        <x:v>4.7</x:v>
      </x:c>
      <x:c r="J4331" t="n">
        <x:v>18</x:v>
      </x:c>
      <x:c r="K4331" t="n">
        <x:v>9</x:v>
      </x:c>
      <x:c r="L4331" t="str">
        <x:v>STORE-001</x:v>
      </x:c>
      <x:c r="M4331" s="22" t="n">
        <x:v>46013</x:v>
      </x:c>
      <x:c r="N4331" t="str">
        <x:v>SKU-016</x:v>
      </x:c>
      <x:c r="O4331" t="n">
        <x:v>1</x:v>
      </x:c>
      <x:c r="P4331" s="26" t="n">
        <x:f>F4331/O4331</x:f>
        <x:v>970.58</x:v>
      </x:c>
    </x:row>
    <x:row r="4332">
      <x:c r="A4332" t="n">
        <x:v>4331</x:v>
      </x:c>
      <x:c r="B4332" t="n">
        <x:v>33</x:v>
      </x:c>
      <x:c r="C4332" t="str">
        <x:v>Male</x:v>
      </x:c>
      <x:c r="D4332" t="str">
        <x:v>Electronics</x:v>
      </x:c>
      <x:c r="E4332" t="str">
        <x:v>Laptop</x:v>
      </x:c>
      <x:c r="F4332" s="24" t="n">
        <x:v>1987.37</x:v>
      </x:c>
      <x:c r="G4332" t="str">
        <x:v>Summer</x:v>
      </x:c>
      <x:c r="H4332" t="str">
        <x:v>Card</x:v>
      </x:c>
      <x:c r="I4332" t="n">
        <x:v>3.9</x:v>
      </x:c>
      <x:c r="J4332" t="n">
        <x:v>14</x:v>
      </x:c>
      <x:c r="K4332" t="n">
        <x:v>2</x:v>
      </x:c>
      <x:c r="L4332" t="str">
        <x:v>STORE-001</x:v>
      </x:c>
      <x:c r="M4332" s="22" t="n">
        <x:v>46022</x:v>
      </x:c>
      <x:c r="N4332" t="str">
        <x:v>SKU-014</x:v>
      </x:c>
      <x:c r="O4332" t="n">
        <x:v>1</x:v>
      </x:c>
      <x:c r="P4332" s="26" t="n">
        <x:f>F4332/O4332</x:f>
        <x:v>1987.37</x:v>
      </x:c>
    </x:row>
    <x:row r="4333">
      <x:c r="A4333" t="n">
        <x:v>4332</x:v>
      </x:c>
      <x:c r="B4333" t="n">
        <x:v>56</x:v>
      </x:c>
      <x:c r="C4333" t="str">
        <x:v>Male</x:v>
      </x:c>
      <x:c r="D4333" t="str">
        <x:v>Electronics</x:v>
      </x:c>
      <x:c r="E4333" t="str">
        <x:v>Smart Watch</x:v>
      </x:c>
      <x:c r="F4333" s="24" t="n">
        <x:v>2918.5</x:v>
      </x:c>
      <x:c r="G4333" t="str">
        <x:v>Winter</x:v>
      </x:c>
      <x:c r="H4333" t="str">
        <x:v>Card</x:v>
      </x:c>
      <x:c r="I4333" t="n">
        <x:v>2.8</x:v>
      </x:c>
      <x:c r="J4333" t="n">
        <x:v>15</x:v>
      </x:c>
      <x:c r="K4333" t="n">
        <x:v>5</x:v>
      </x:c>
      <x:c r="L4333" t="str">
        <x:v>STORE-001</x:v>
      </x:c>
      <x:c r="M4333" s="22" t="n">
        <x:v>46244</x:v>
      </x:c>
      <x:c r="N4333" t="str">
        <x:v>SKU-023</x:v>
      </x:c>
      <x:c r="O4333" t="n">
        <x:v>1</x:v>
      </x:c>
      <x:c r="P4333" s="26" t="n">
        <x:f>F4333/O4333</x:f>
        <x:v>2918.5</x:v>
      </x:c>
    </x:row>
    <x:row r="4334">
      <x:c r="A4334" t="n">
        <x:v>4333</x:v>
      </x:c>
      <x:c r="B4334" t="n">
        <x:v>41</x:v>
      </x:c>
      <x:c r="C4334" t="str">
        <x:v>Female</x:v>
      </x:c>
      <x:c r="D4334" t="str">
        <x:v>Sports</x:v>
      </x:c>
      <x:c r="E4334" t="str">
        <x:v>Yoga Mat</x:v>
      </x:c>
      <x:c r="F4334" s="24" t="n">
        <x:v>25.82</x:v>
      </x:c>
      <x:c r="G4334" t="str">
        <x:v>Summer</x:v>
      </x:c>
      <x:c r="H4334" t="str">
        <x:v>Card</x:v>
      </x:c>
      <x:c r="I4334" t="n">
        <x:v>4.4</x:v>
      </x:c>
      <x:c r="J4334" t="n">
        <x:v>16</x:v>
      </x:c>
      <x:c r="K4334" t="n">
        <x:v>3</x:v>
      </x:c>
      <x:c r="L4334" t="str">
        <x:v>STORE-001</x:v>
      </x:c>
      <x:c r="M4334" s="22" t="n">
        <x:v>46034</x:v>
      </x:c>
      <x:c r="N4334" t="str">
        <x:v>SKU-030</x:v>
      </x:c>
      <x:c r="O4334" t="n">
        <x:v>1</x:v>
      </x:c>
      <x:c r="P4334" s="26" t="n">
        <x:f>F4334/O4334</x:f>
        <x:v>25.82</x:v>
      </x:c>
    </x:row>
    <x:row r="4335">
      <x:c r="A4335" t="n">
        <x:v>4334</x:v>
      </x:c>
      <x:c r="B4335" t="n">
        <x:v>65</x:v>
      </x:c>
      <x:c r="C4335" t="str">
        <x:v>Male</x:v>
      </x:c>
      <x:c r="D4335" t="str">
        <x:v>Footwear</x:v>
      </x:c>
      <x:c r="E4335" t="str">
        <x:v>Formal Shoes</x:v>
      </x:c>
      <x:c r="F4335" s="24" t="n">
        <x:v>72.74</x:v>
      </x:c>
      <x:c r="G4335" t="str">
        <x:v>Winter</x:v>
      </x:c>
      <x:c r="H4335" t="str">
        <x:v>Card</x:v>
      </x:c>
      <x:c r="I4335" t="n">
        <x:v>3</x:v>
      </x:c>
      <x:c r="J4335" t="n">
        <x:v>12</x:v>
      </x:c>
      <x:c r="K4335" t="n">
        <x:v>6</x:v>
      </x:c>
      <x:c r="L4335" t="str">
        <x:v>STORE-001</x:v>
      </x:c>
      <x:c r="M4335" s="22" t="n">
        <x:v>46177</x:v>
      </x:c>
      <x:c r="N4335" t="str">
        <x:v>SKU-007</x:v>
      </x:c>
      <x:c r="O4335" t="n">
        <x:v>1</x:v>
      </x:c>
      <x:c r="P4335" s="26" t="n">
        <x:f>F4335/O4335</x:f>
        <x:v>72.74</x:v>
      </x:c>
    </x:row>
    <x:row r="4336">
      <x:c r="A4336" t="n">
        <x:v>4335</x:v>
      </x:c>
      <x:c r="B4336" t="n">
        <x:v>32</x:v>
      </x:c>
      <x:c r="C4336" t="str">
        <x:v>Female</x:v>
      </x:c>
      <x:c r="D4336" t="str">
        <x:v>Beauty</x:v>
      </x:c>
      <x:c r="E4336" t="str">
        <x:v>Skincare Kit</x:v>
      </x:c>
      <x:c r="F4336" s="24" t="n">
        <x:v>139.7</x:v>
      </x:c>
      <x:c r="G4336" t="str">
        <x:v>Summer</x:v>
      </x:c>
      <x:c r="H4336" t="str">
        <x:v>Card</x:v>
      </x:c>
      <x:c r="I4336" t="n">
        <x:v>3.1</x:v>
      </x:c>
      <x:c r="J4336" t="n">
        <x:v>20</x:v>
      </x:c>
      <x:c r="K4336" t="n">
        <x:v>5</x:v>
      </x:c>
      <x:c r="L4336" t="str">
        <x:v>STORE-001</x:v>
      </x:c>
      <x:c r="M4336" s="22" t="n">
        <x:v>46039</x:v>
      </x:c>
      <x:c r="N4336" t="str">
        <x:v>SKU-021</x:v>
      </x:c>
      <x:c r="O4336" t="n">
        <x:v>1</x:v>
      </x:c>
      <x:c r="P4336" s="26" t="n">
        <x:f>F4336/O4336</x:f>
        <x:v>139.7</x:v>
      </x:c>
    </x:row>
    <x:row r="4337">
      <x:c r="A4337" t="n">
        <x:v>4336</x:v>
      </x:c>
      <x:c r="B4337" t="n">
        <x:v>49</x:v>
      </x:c>
      <x:c r="C4337" t="str">
        <x:v>Female</x:v>
      </x:c>
      <x:c r="D4337" t="str">
        <x:v>Footwear</x:v>
      </x:c>
      <x:c r="E4337" t="str">
        <x:v>Formal Shoes</x:v>
      </x:c>
      <x:c r="F4337" s="24" t="n">
        <x:v>59.06</x:v>
      </x:c>
      <x:c r="G4337" t="str">
        <x:v>Spring</x:v>
      </x:c>
      <x:c r="H4337" t="str">
        <x:v>Cash on Delivery</x:v>
      </x:c>
      <x:c r="I4337" t="n">
        <x:v>2.9</x:v>
      </x:c>
      <x:c r="J4337" t="n">
        <x:v>14</x:v>
      </x:c>
      <x:c r="K4337" t="n">
        <x:v>7</x:v>
      </x:c>
      <x:c r="L4337" t="str">
        <x:v>STORE-001</x:v>
      </x:c>
      <x:c r="M4337" s="22" t="n">
        <x:v>45943</x:v>
      </x:c>
      <x:c r="N4337" t="str">
        <x:v>SKU-007</x:v>
      </x:c>
      <x:c r="O4337" t="n">
        <x:v>1</x:v>
      </x:c>
      <x:c r="P4337" s="26" t="n">
        <x:f>F4337/O4337</x:f>
        <x:v>59.06</x:v>
      </x:c>
    </x:row>
    <x:row r="4338">
      <x:c r="A4338" t="n">
        <x:v>4337</x:v>
      </x:c>
      <x:c r="B4338" t="n">
        <x:v>61</x:v>
      </x:c>
      <x:c r="C4338" t="str">
        <x:v>Male</x:v>
      </x:c>
      <x:c r="D4338" t="str">
        <x:v>Sports</x:v>
      </x:c>
      <x:c r="E4338" t="str">
        <x:v>Football</x:v>
      </x:c>
      <x:c r="F4338" s="24" t="n">
        <x:v>101.88</x:v>
      </x:c>
      <x:c r="G4338" t="str">
        <x:v>Spring</x:v>
      </x:c>
      <x:c r="H4338" t="str">
        <x:v>Card</x:v>
      </x:c>
      <x:c r="I4338" t="n">
        <x:v>3.9</x:v>
      </x:c>
      <x:c r="J4338" t="n">
        <x:v>11</x:v>
      </x:c>
      <x:c r="K4338" t="n">
        <x:v>3</x:v>
      </x:c>
      <x:c r="L4338" t="str">
        <x:v>STORE-001</x:v>
      </x:c>
      <x:c r="M4338" s="22" t="n">
        <x:v>45956</x:v>
      </x:c>
      <x:c r="N4338" t="str">
        <x:v>SKU-006</x:v>
      </x:c>
      <x:c r="O4338" t="n">
        <x:v>1</x:v>
      </x:c>
      <x:c r="P4338" s="26" t="n">
        <x:f>F4338/O4338</x:f>
        <x:v>101.88</x:v>
      </x:c>
    </x:row>
    <x:row r="4339">
      <x:c r="A4339" t="n">
        <x:v>4338</x:v>
      </x:c>
      <x:c r="B4339" t="n">
        <x:v>54</x:v>
      </x:c>
      <x:c r="C4339" t="str">
        <x:v>Male</x:v>
      </x:c>
      <x:c r="D4339" t="str">
        <x:v>Sports</x:v>
      </x:c>
      <x:c r="E4339" t="str">
        <x:v>Football</x:v>
      </x:c>
      <x:c r="F4339" s="24" t="n">
        <x:v>92.18</x:v>
      </x:c>
      <x:c r="G4339" t="str">
        <x:v>Spring</x:v>
      </x:c>
      <x:c r="H4339" t="str">
        <x:v>Card</x:v>
      </x:c>
      <x:c r="I4339" t="n">
        <x:v>3.3</x:v>
      </x:c>
      <x:c r="J4339" t="n">
        <x:v>11</x:v>
      </x:c>
      <x:c r="K4339" t="n">
        <x:v>3</x:v>
      </x:c>
      <x:c r="L4339" t="str">
        <x:v>STORE-001</x:v>
      </x:c>
      <x:c r="M4339" s="22" t="n">
        <x:v>46271</x:v>
      </x:c>
      <x:c r="N4339" t="str">
        <x:v>SKU-006</x:v>
      </x:c>
      <x:c r="O4339" t="n">
        <x:v>1</x:v>
      </x:c>
      <x:c r="P4339" s="26" t="n">
        <x:f>F4339/O4339</x:f>
        <x:v>92.18</x:v>
      </x:c>
    </x:row>
    <x:row r="4340">
      <x:c r="A4340" t="n">
        <x:v>4339</x:v>
      </x:c>
      <x:c r="B4340" t="n">
        <x:v>50</x:v>
      </x:c>
      <x:c r="C4340" t="str">
        <x:v>Female</x:v>
      </x:c>
      <x:c r="D4340" t="str">
        <x:v>Sports</x:v>
      </x:c>
      <x:c r="E4340" t="str">
        <x:v>Football</x:v>
      </x:c>
      <x:c r="F4340" s="24" t="n">
        <x:v>118.5</x:v>
      </x:c>
      <x:c r="G4340" t="str">
        <x:v>Summer</x:v>
      </x:c>
      <x:c r="H4340" t="str">
        <x:v>Card</x:v>
      </x:c>
      <x:c r="I4340" t="n">
        <x:v>4.6</x:v>
      </x:c>
      <x:c r="J4340" t="n">
        <x:v>20</x:v>
      </x:c>
      <x:c r="K4340" t="n">
        <x:v>10</x:v>
      </x:c>
      <x:c r="L4340" t="str">
        <x:v>STORE-001</x:v>
      </x:c>
      <x:c r="M4340" s="22" t="n">
        <x:v>46026</x:v>
      </x:c>
      <x:c r="N4340" t="str">
        <x:v>SKU-006</x:v>
      </x:c>
      <x:c r="O4340" t="n">
        <x:v>1</x:v>
      </x:c>
      <x:c r="P4340" s="26" t="n">
        <x:f>F4340/O4340</x:f>
        <x:v>118.5</x:v>
      </x:c>
    </x:row>
    <x:row r="4341">
      <x:c r="A4341" t="n">
        <x:v>4340</x:v>
      </x:c>
      <x:c r="B4341" t="n">
        <x:v>61</x:v>
      </x:c>
      <x:c r="C4341" t="str">
        <x:v>Male</x:v>
      </x:c>
      <x:c r="D4341" t="str">
        <x:v>Electronics</x:v>
      </x:c>
      <x:c r="E4341" t="str">
        <x:v>Mobile Phone</x:v>
      </x:c>
      <x:c r="F4341" s="24" t="n">
        <x:v>1079.34</x:v>
      </x:c>
      <x:c r="G4341" t="str">
        <x:v>Autumn</x:v>
      </x:c>
      <x:c r="H4341" t="str">
        <x:v>Card</x:v>
      </x:c>
      <x:c r="I4341" t="n">
        <x:v>3.6</x:v>
      </x:c>
      <x:c r="J4341" t="n">
        <x:v>26</x:v>
      </x:c>
      <x:c r="K4341" t="n">
        <x:v>8</x:v>
      </x:c>
      <x:c r="L4341" t="str">
        <x:v>STORE-001</x:v>
      </x:c>
      <x:c r="M4341" s="22" t="n">
        <x:v>46171</x:v>
      </x:c>
      <x:c r="N4341" t="str">
        <x:v>SKU-016</x:v>
      </x:c>
      <x:c r="O4341" t="n">
        <x:v>2</x:v>
      </x:c>
      <x:c r="P4341" s="26" t="n">
        <x:f>F4341/O4341</x:f>
        <x:v>539.67</x:v>
      </x:c>
    </x:row>
    <x:row r="4342">
      <x:c r="A4342" t="n">
        <x:v>4341</x:v>
      </x:c>
      <x:c r="B4342" t="n">
        <x:v>60</x:v>
      </x:c>
      <x:c r="C4342" t="str">
        <x:v>Female</x:v>
      </x:c>
      <x:c r="D4342" t="str">
        <x:v>Beauty</x:v>
      </x:c>
      <x:c r="E4342" t="str">
        <x:v>Perfume</x:v>
      </x:c>
      <x:c r="F4342" s="24" t="n">
        <x:v>65.44</x:v>
      </x:c>
      <x:c r="G4342" t="str">
        <x:v>Autumn</x:v>
      </x:c>
      <x:c r="H4342" t="str">
        <x:v>Cash on Delivery</x:v>
      </x:c>
      <x:c r="I4342" t="n">
        <x:v>5</x:v>
      </x:c>
      <x:c r="J4342" t="n">
        <x:v>16</x:v>
      </x:c>
      <x:c r="K4342" t="n">
        <x:v>3</x:v>
      </x:c>
      <x:c r="L4342" t="str">
        <x:v>STORE-001</x:v>
      </x:c>
      <x:c r="M4342" s="22" t="n">
        <x:v>46085</x:v>
      </x:c>
      <x:c r="N4342" t="str">
        <x:v>SKU-017</x:v>
      </x:c>
      <x:c r="O4342" t="n">
        <x:v>1</x:v>
      </x:c>
      <x:c r="P4342" s="26" t="n">
        <x:f>F4342/O4342</x:f>
        <x:v>65.44</x:v>
      </x:c>
    </x:row>
    <x:row r="4343">
      <x:c r="A4343" t="n">
        <x:v>4342</x:v>
      </x:c>
      <x:c r="B4343" t="n">
        <x:v>42</x:v>
      </x:c>
      <x:c r="C4343" t="str">
        <x:v>Female</x:v>
      </x:c>
      <x:c r="D4343" t="str">
        <x:v>Beauty</x:v>
      </x:c>
      <x:c r="E4343" t="str">
        <x:v>Skincare Kit</x:v>
      </x:c>
      <x:c r="F4343" s="24" t="n">
        <x:v>25.79</x:v>
      </x:c>
      <x:c r="G4343" t="str">
        <x:v>Winter</x:v>
      </x:c>
      <x:c r="H4343" t="str">
        <x:v>Cash on Delivery</x:v>
      </x:c>
      <x:c r="I4343" t="n">
        <x:v>4</x:v>
      </x:c>
      <x:c r="J4343" t="n">
        <x:v>8</x:v>
      </x:c>
      <x:c r="K4343" t="n">
        <x:v>4</x:v>
      </x:c>
      <x:c r="L4343" t="str">
        <x:v>STORE-001</x:v>
      </x:c>
      <x:c r="M4343" s="22" t="n">
        <x:v>46201</x:v>
      </x:c>
      <x:c r="N4343" t="str">
        <x:v>SKU-021</x:v>
      </x:c>
      <x:c r="O4343" t="n">
        <x:v>1</x:v>
      </x:c>
      <x:c r="P4343" s="26" t="n">
        <x:f>F4343/O4343</x:f>
        <x:v>25.79</x:v>
      </x:c>
    </x:row>
    <x:row r="4344">
      <x:c r="A4344" t="n">
        <x:v>4343</x:v>
      </x:c>
      <x:c r="B4344" t="n">
        <x:v>45</x:v>
      </x:c>
      <x:c r="C4344" t="str">
        <x:v>Female</x:v>
      </x:c>
      <x:c r="D4344" t="str">
        <x:v>Footwear</x:v>
      </x:c>
      <x:c r="E4344" t="str">
        <x:v>Sandals</x:v>
      </x:c>
      <x:c r="F4344" s="24" t="n">
        <x:v>50.12</x:v>
      </x:c>
      <x:c r="G4344" t="str">
        <x:v>Winter</x:v>
      </x:c>
      <x:c r="H4344" t="str">
        <x:v>Cash on Delivery</x:v>
      </x:c>
      <x:c r="I4344" t="n">
        <x:v>3.3</x:v>
      </x:c>
      <x:c r="J4344" t="n">
        <x:v>9</x:v>
      </x:c>
      <x:c r="K4344" t="n">
        <x:v>2</x:v>
      </x:c>
      <x:c r="L4344" t="str">
        <x:v>STORE-001</x:v>
      </x:c>
      <x:c r="M4344" s="22" t="n">
        <x:v>46227</x:v>
      </x:c>
      <x:c r="N4344" t="str">
        <x:v>SKU-019</x:v>
      </x:c>
      <x:c r="O4344" t="n">
        <x:v>1</x:v>
      </x:c>
      <x:c r="P4344" s="26" t="n">
        <x:f>F4344/O4344</x:f>
        <x:v>50.12</x:v>
      </x:c>
    </x:row>
    <x:row r="4345">
      <x:c r="A4345" t="n">
        <x:v>4344</x:v>
      </x:c>
      <x:c r="B4345" t="n">
        <x:v>28</x:v>
      </x:c>
      <x:c r="C4345" t="str">
        <x:v>Male</x:v>
      </x:c>
      <x:c r="D4345" t="str">
        <x:v>Sports</x:v>
      </x:c>
      <x:c r="E4345" t="str">
        <x:v>Yoga Mat</x:v>
      </x:c>
      <x:c r="F4345" s="24" t="n">
        <x:v>131.99</x:v>
      </x:c>
      <x:c r="G4345" t="str">
        <x:v>Winter</x:v>
      </x:c>
      <x:c r="H4345" t="str">
        <x:v>Card</x:v>
      </x:c>
      <x:c r="I4345" t="n">
        <x:v>4</x:v>
      </x:c>
      <x:c r="J4345" t="n">
        <x:v>23</x:v>
      </x:c>
      <x:c r="K4345" t="n">
        <x:v>9</x:v>
      </x:c>
      <x:c r="L4345" t="str">
        <x:v>STORE-001</x:v>
      </x:c>
      <x:c r="M4345" s="22" t="n">
        <x:v>46223</x:v>
      </x:c>
      <x:c r="N4345" t="str">
        <x:v>SKU-030</x:v>
      </x:c>
      <x:c r="O4345" t="n">
        <x:v>2</x:v>
      </x:c>
      <x:c r="P4345" s="26" t="n">
        <x:f>F4345/O4345</x:f>
        <x:v>65.995</x:v>
      </x:c>
    </x:row>
    <x:row r="4346">
      <x:c r="A4346" t="n">
        <x:v>4345</x:v>
      </x:c>
      <x:c r="B4346" t="n">
        <x:v>53</x:v>
      </x:c>
      <x:c r="C4346" t="str">
        <x:v>Female</x:v>
      </x:c>
      <x:c r="D4346" t="str">
        <x:v>Footwear</x:v>
      </x:c>
      <x:c r="E4346" t="str">
        <x:v>Sandals</x:v>
      </x:c>
      <x:c r="F4346" s="24" t="n">
        <x:v>56.27</x:v>
      </x:c>
      <x:c r="G4346" t="str">
        <x:v>Spring</x:v>
      </x:c>
      <x:c r="H4346" t="str">
        <x:v>Cash on Delivery</x:v>
      </x:c>
      <x:c r="I4346" t="n">
        <x:v>3.3</x:v>
      </x:c>
      <x:c r="J4346" t="n">
        <x:v>16</x:v>
      </x:c>
      <x:c r="K4346" t="n">
        <x:v>8</x:v>
      </x:c>
      <x:c r="L4346" t="str">
        <x:v>STORE-001</x:v>
      </x:c>
      <x:c r="M4346" s="22" t="n">
        <x:v>45945</x:v>
      </x:c>
      <x:c r="N4346" t="str">
        <x:v>SKU-019</x:v>
      </x:c>
      <x:c r="O4346" t="n">
        <x:v>2</x:v>
      </x:c>
      <x:c r="P4346" s="26" t="n">
        <x:f>F4346/O4346</x:f>
        <x:v>28.135</x:v>
      </x:c>
    </x:row>
    <x:row r="4347">
      <x:c r="A4347" t="n">
        <x:v>4346</x:v>
      </x:c>
      <x:c r="B4347" t="n">
        <x:v>59</x:v>
      </x:c>
      <x:c r="C4347" t="str">
        <x:v>Male</x:v>
      </x:c>
      <x:c r="D4347" t="str">
        <x:v>Electronics</x:v>
      </x:c>
      <x:c r="E4347" t="str">
        <x:v>Laptop</x:v>
      </x:c>
      <x:c r="F4347" s="24" t="n">
        <x:v>639.17</x:v>
      </x:c>
      <x:c r="G4347" t="str">
        <x:v>Winter</x:v>
      </x:c>
      <x:c r="H4347" t="str">
        <x:v>Card</x:v>
      </x:c>
      <x:c r="I4347" t="n">
        <x:v>3.9</x:v>
      </x:c>
      <x:c r="J4347" t="n">
        <x:v>16</x:v>
      </x:c>
      <x:c r="K4347" t="n">
        <x:v>8</x:v>
      </x:c>
      <x:c r="L4347" t="str">
        <x:v>STORE-001</x:v>
      </x:c>
      <x:c r="M4347" s="22" t="n">
        <x:v>46208</x:v>
      </x:c>
      <x:c r="N4347" t="str">
        <x:v>SKU-014</x:v>
      </x:c>
      <x:c r="O4347" t="n">
        <x:v>1</x:v>
      </x:c>
      <x:c r="P4347" s="26" t="n">
        <x:f>F4347/O4347</x:f>
        <x:v>639.17</x:v>
      </x:c>
    </x:row>
    <x:row r="4348">
      <x:c r="A4348" t="n">
        <x:v>4347</x:v>
      </x:c>
      <x:c r="B4348" t="n">
        <x:v>42</x:v>
      </x:c>
      <x:c r="C4348" t="str">
        <x:v>Female</x:v>
      </x:c>
      <x:c r="D4348" t="str">
        <x:v>Footwear</x:v>
      </x:c>
      <x:c r="E4348" t="str">
        <x:v>Formal Shoes</x:v>
      </x:c>
      <x:c r="F4348" s="24" t="n">
        <x:v>56.5</x:v>
      </x:c>
      <x:c r="G4348" t="str">
        <x:v>Spring</x:v>
      </x:c>
      <x:c r="H4348" t="str">
        <x:v>Card</x:v>
      </x:c>
      <x:c r="I4348" t="n">
        <x:v>4.1</x:v>
      </x:c>
      <x:c r="J4348" t="n">
        <x:v>8</x:v>
      </x:c>
      <x:c r="K4348" t="n">
        <x:v>4</x:v>
      </x:c>
      <x:c r="L4348" t="str">
        <x:v>STORE-001</x:v>
      </x:c>
      <x:c r="M4348" s="22" t="n">
        <x:v>46279</x:v>
      </x:c>
      <x:c r="N4348" t="str">
        <x:v>SKU-007</x:v>
      </x:c>
      <x:c r="O4348" t="n">
        <x:v>1</x:v>
      </x:c>
      <x:c r="P4348" s="26" t="n">
        <x:f>F4348/O4348</x:f>
        <x:v>56.5</x:v>
      </x:c>
    </x:row>
    <x:row r="4349">
      <x:c r="A4349" t="n">
        <x:v>4348</x:v>
      </x:c>
      <x:c r="B4349" t="n">
        <x:v>69</x:v>
      </x:c>
      <x:c r="C4349" t="str">
        <x:v>Female</x:v>
      </x:c>
      <x:c r="D4349" t="str">
        <x:v>Sports</x:v>
      </x:c>
      <x:c r="E4349" t="str">
        <x:v>Football</x:v>
      </x:c>
      <x:c r="F4349" s="24" t="n">
        <x:v>49.1</x:v>
      </x:c>
      <x:c r="G4349" t="str">
        <x:v>Summer</x:v>
      </x:c>
      <x:c r="H4349" t="str">
        <x:v>Cash on Delivery</x:v>
      </x:c>
      <x:c r="I4349" t="n">
        <x:v>3</x:v>
      </x:c>
      <x:c r="J4349" t="n">
        <x:v>22</x:v>
      </x:c>
      <x:c r="K4349" t="n">
        <x:v>6</x:v>
      </x:c>
      <x:c r="L4349" t="str">
        <x:v>STORE-001</x:v>
      </x:c>
      <x:c r="M4349" s="22" t="n">
        <x:v>46002</x:v>
      </x:c>
      <x:c r="N4349" t="str">
        <x:v>SKU-006</x:v>
      </x:c>
      <x:c r="O4349" t="n">
        <x:v>1</x:v>
      </x:c>
      <x:c r="P4349" s="26" t="n">
        <x:f>F4349/O4349</x:f>
        <x:v>49.1</x:v>
      </x:c>
    </x:row>
    <x:row r="4350">
      <x:c r="A4350" t="n">
        <x:v>4349</x:v>
      </x:c>
      <x:c r="B4350" t="n">
        <x:v>70</x:v>
      </x:c>
      <x:c r="C4350" t="str">
        <x:v>Female</x:v>
      </x:c>
      <x:c r="D4350" t="str">
        <x:v>Accessories</x:v>
      </x:c>
      <x:c r="E4350" t="str">
        <x:v>Wallet</x:v>
      </x:c>
      <x:c r="F4350" s="24" t="n">
        <x:v>27.04</x:v>
      </x:c>
      <x:c r="G4350" t="str">
        <x:v>Winter</x:v>
      </x:c>
      <x:c r="H4350" t="str">
        <x:v>Card</x:v>
      </x:c>
      <x:c r="I4350" t="n">
        <x:v>3.9</x:v>
      </x:c>
      <x:c r="J4350" t="n">
        <x:v>16</x:v>
      </x:c>
      <x:c r="K4350" t="n">
        <x:v>3</x:v>
      </x:c>
      <x:c r="L4350" t="str">
        <x:v>STORE-001</x:v>
      </x:c>
      <x:c r="M4350" s="22" t="n">
        <x:v>46251</x:v>
      </x:c>
      <x:c r="N4350" t="str">
        <x:v>SKU-029</x:v>
      </x:c>
      <x:c r="O4350" t="n">
        <x:v>1</x:v>
      </x:c>
      <x:c r="P4350" s="26" t="n">
        <x:f>F4350/O4350</x:f>
        <x:v>27.04</x:v>
      </x:c>
    </x:row>
    <x:row r="4351">
      <x:c r="A4351" t="n">
        <x:v>4350</x:v>
      </x:c>
      <x:c r="B4351" t="n">
        <x:v>69</x:v>
      </x:c>
      <x:c r="C4351" t="str">
        <x:v>Male</x:v>
      </x:c>
      <x:c r="D4351" t="str">
        <x:v>Footwear</x:v>
      </x:c>
      <x:c r="E4351" t="str">
        <x:v>Sneakers</x:v>
      </x:c>
      <x:c r="F4351" s="24" t="n">
        <x:v>116.04</x:v>
      </x:c>
      <x:c r="G4351" t="str">
        <x:v>Winter</x:v>
      </x:c>
      <x:c r="H4351" t="str">
        <x:v>Card</x:v>
      </x:c>
      <x:c r="I4351" t="n">
        <x:v>3.3</x:v>
      </x:c>
      <x:c r="J4351" t="n">
        <x:v>17</x:v>
      </x:c>
      <x:c r="K4351" t="n">
        <x:v>6</x:v>
      </x:c>
      <x:c r="L4351" t="str">
        <x:v>STORE-001</x:v>
      </x:c>
      <x:c r="M4351" s="22" t="n">
        <x:v>46212</x:v>
      </x:c>
      <x:c r="N4351" t="str">
        <x:v>SKU-025</x:v>
      </x:c>
      <x:c r="O4351" t="n">
        <x:v>1</x:v>
      </x:c>
      <x:c r="P4351" s="26" t="n">
        <x:f>F4351/O4351</x:f>
        <x:v>116.04</x:v>
      </x:c>
    </x:row>
    <x:row r="4352">
      <x:c r="A4352" t="n">
        <x:v>4351</x:v>
      </x:c>
      <x:c r="B4352" t="n">
        <x:v>21</x:v>
      </x:c>
      <x:c r="C4352" t="str">
        <x:v>Female</x:v>
      </x:c>
      <x:c r="D4352" t="str">
        <x:v>Sports</x:v>
      </x:c>
      <x:c r="E4352" t="str">
        <x:v>Yoga Mat</x:v>
      </x:c>
      <x:c r="F4352" s="24" t="n">
        <x:v>130.7</x:v>
      </x:c>
      <x:c r="G4352" t="str">
        <x:v>Autumn</x:v>
      </x:c>
      <x:c r="H4352" t="str">
        <x:v>Card</x:v>
      </x:c>
      <x:c r="I4352" t="n">
        <x:v>3.5</x:v>
      </x:c>
      <x:c r="J4352" t="n">
        <x:v>10</x:v>
      </x:c>
      <x:c r="K4352" t="n">
        <x:v>5</x:v>
      </x:c>
      <x:c r="L4352" t="str">
        <x:v>STORE-001</x:v>
      </x:c>
      <x:c r="M4352" s="22" t="n">
        <x:v>46083</x:v>
      </x:c>
      <x:c r="N4352" t="str">
        <x:v>SKU-030</x:v>
      </x:c>
      <x:c r="O4352" t="n">
        <x:v>2</x:v>
      </x:c>
      <x:c r="P4352" s="26" t="n">
        <x:f>F4352/O4352</x:f>
        <x:v>65.35</x:v>
      </x:c>
    </x:row>
    <x:row r="4353">
      <x:c r="A4353" t="n">
        <x:v>4352</x:v>
      </x:c>
      <x:c r="B4353" t="n">
        <x:v>23</x:v>
      </x:c>
      <x:c r="C4353" t="str">
        <x:v>Male</x:v>
      </x:c>
      <x:c r="D4353" t="str">
        <x:v>Electronics</x:v>
      </x:c>
      <x:c r="E4353" t="str">
        <x:v>Mobile Phone</x:v>
      </x:c>
      <x:c r="F4353" s="24" t="n">
        <x:v>1990.13</x:v>
      </x:c>
      <x:c r="G4353" t="str">
        <x:v>Spring</x:v>
      </x:c>
      <x:c r="H4353" t="str">
        <x:v>Card</x:v>
      </x:c>
      <x:c r="I4353" t="n">
        <x:v>4.1</x:v>
      </x:c>
      <x:c r="J4353" t="n">
        <x:v>10</x:v>
      </x:c>
      <x:c r="K4353" t="n">
        <x:v>0</x:v>
      </x:c>
      <x:c r="L4353" t="str">
        <x:v>STORE-001</x:v>
      </x:c>
      <x:c r="M4353" s="22" t="n">
        <x:v>45969</x:v>
      </x:c>
      <x:c r="N4353" t="str">
        <x:v>SKU-016</x:v>
      </x:c>
      <x:c r="O4353" t="n">
        <x:v>1</x:v>
      </x:c>
      <x:c r="P4353" s="26" t="n">
        <x:f>F4353/O4353</x:f>
        <x:v>1990.13</x:v>
      </x:c>
    </x:row>
    <x:row r="4354">
      <x:c r="A4354" t="n">
        <x:v>4353</x:v>
      </x:c>
      <x:c r="B4354" t="n">
        <x:v>59</x:v>
      </x:c>
      <x:c r="C4354" t="str">
        <x:v>Female</x:v>
      </x:c>
      <x:c r="D4354" t="str">
        <x:v>Footwear</x:v>
      </x:c>
      <x:c r="E4354" t="str">
        <x:v>Sneakers</x:v>
      </x:c>
      <x:c r="F4354" s="24" t="n">
        <x:v>198.56</x:v>
      </x:c>
      <x:c r="G4354" t="str">
        <x:v>Summer</x:v>
      </x:c>
      <x:c r="H4354" t="str">
        <x:v>Card</x:v>
      </x:c>
      <x:c r="I4354" t="n">
        <x:v>3.4</x:v>
      </x:c>
      <x:c r="J4354" t="n">
        <x:v>10</x:v>
      </x:c>
      <x:c r="K4354" t="n">
        <x:v>5</x:v>
      </x:c>
      <x:c r="L4354" t="str">
        <x:v>STORE-001</x:v>
      </x:c>
      <x:c r="M4354" s="22" t="n">
        <x:v>46006</x:v>
      </x:c>
      <x:c r="N4354" t="str">
        <x:v>SKU-025</x:v>
      </x:c>
      <x:c r="O4354" t="n">
        <x:v>3</x:v>
      </x:c>
      <x:c r="P4354" s="26" t="n">
        <x:f>F4354/O4354</x:f>
        <x:v>66.18666666666667</x:v>
      </x:c>
    </x:row>
    <x:row r="4355">
      <x:c r="A4355" t="n">
        <x:v>4354</x:v>
      </x:c>
      <x:c r="B4355" t="n">
        <x:v>68</x:v>
      </x:c>
      <x:c r="C4355" t="str">
        <x:v>Female</x:v>
      </x:c>
      <x:c r="D4355" t="str">
        <x:v>Accessories</x:v>
      </x:c>
      <x:c r="E4355" t="str">
        <x:v>Sunglasses</x:v>
      </x:c>
      <x:c r="F4355" s="24" t="n">
        <x:v>116.6</x:v>
      </x:c>
      <x:c r="G4355" t="str">
        <x:v>Winter</x:v>
      </x:c>
      <x:c r="H4355" t="str">
        <x:v>Card</x:v>
      </x:c>
      <x:c r="I4355" t="n">
        <x:v>3.4</x:v>
      </x:c>
      <x:c r="J4355" t="n">
        <x:v>16</x:v>
      </x:c>
      <x:c r="K4355" t="n">
        <x:v>3</x:v>
      </x:c>
      <x:c r="L4355" t="str">
        <x:v>STORE-001</x:v>
      </x:c>
      <x:c r="M4355" s="22" t="n">
        <x:v>46201</x:v>
      </x:c>
      <x:c r="N4355" t="str">
        <x:v>SKU-026</x:v>
      </x:c>
      <x:c r="O4355" t="n">
        <x:v>2</x:v>
      </x:c>
      <x:c r="P4355" s="26" t="n">
        <x:f>F4355/O4355</x:f>
        <x:v>58.3</x:v>
      </x:c>
    </x:row>
    <x:row r="4356">
      <x:c r="A4356" t="n">
        <x:v>4355</x:v>
      </x:c>
      <x:c r="B4356" t="n">
        <x:v>41</x:v>
      </x:c>
      <x:c r="C4356" t="str">
        <x:v>Male</x:v>
      </x:c>
      <x:c r="D4356" t="str">
        <x:v>Mens Clothing</x:v>
      </x:c>
      <x:c r="E4356" t="str">
        <x:v>Shirt</x:v>
      </x:c>
      <x:c r="F4356" s="24" t="n">
        <x:v>143.78</x:v>
      </x:c>
      <x:c r="G4356" t="str">
        <x:v>Winter</x:v>
      </x:c>
      <x:c r="H4356" t="str">
        <x:v>Card</x:v>
      </x:c>
      <x:c r="I4356" t="n">
        <x:v>3.6</x:v>
      </x:c>
      <x:c r="J4356" t="n">
        <x:v>24</x:v>
      </x:c>
      <x:c r="K4356" t="n">
        <x:v>12</x:v>
      </x:c>
      <x:c r="L4356" t="str">
        <x:v>STORE-001</x:v>
      </x:c>
      <x:c r="M4356" s="22" t="n">
        <x:v>46195</x:v>
      </x:c>
      <x:c r="N4356" t="str">
        <x:v>SKU-020</x:v>
      </x:c>
      <x:c r="O4356" t="n">
        <x:v>1</x:v>
      </x:c>
      <x:c r="P4356" s="26" t="n">
        <x:f>F4356/O4356</x:f>
        <x:v>143.78</x:v>
      </x:c>
    </x:row>
    <x:row r="4357">
      <x:c r="A4357" t="n">
        <x:v>4356</x:v>
      </x:c>
      <x:c r="B4357" t="n">
        <x:v>22</x:v>
      </x:c>
      <x:c r="C4357" t="str">
        <x:v>Male</x:v>
      </x:c>
      <x:c r="D4357" t="str">
        <x:v>Footwear</x:v>
      </x:c>
      <x:c r="E4357" t="str">
        <x:v>Formal Shoes</x:v>
      </x:c>
      <x:c r="F4357" s="24" t="n">
        <x:v>72.51</x:v>
      </x:c>
      <x:c r="G4357" t="str">
        <x:v>Spring</x:v>
      </x:c>
      <x:c r="H4357" t="str">
        <x:v>Cash on Delivery</x:v>
      </x:c>
      <x:c r="I4357" t="n">
        <x:v>3.7</x:v>
      </x:c>
      <x:c r="J4357" t="n">
        <x:v>11</x:v>
      </x:c>
      <x:c r="K4357" t="n">
        <x:v>3</x:v>
      </x:c>
      <x:c r="L4357" t="str">
        <x:v>STORE-001</x:v>
      </x:c>
      <x:c r="M4357" s="22" t="n">
        <x:v>45943</x:v>
      </x:c>
      <x:c r="N4357" t="str">
        <x:v>SKU-007</x:v>
      </x:c>
      <x:c r="O4357" t="n">
        <x:v>1</x:v>
      </x:c>
      <x:c r="P4357" s="26" t="n">
        <x:f>F4357/O4357</x:f>
        <x:v>72.51</x:v>
      </x:c>
    </x:row>
    <x:row r="4358">
      <x:c r="A4358" t="n">
        <x:v>4357</x:v>
      </x:c>
      <x:c r="B4358" t="n">
        <x:v>20</x:v>
      </x:c>
      <x:c r="C4358" t="str">
        <x:v>Male</x:v>
      </x:c>
      <x:c r="D4358" t="str">
        <x:v>Footwear</x:v>
      </x:c>
      <x:c r="E4358" t="str">
        <x:v>Formal Shoes</x:v>
      </x:c>
      <x:c r="F4358" s="24" t="n">
        <x:v>238.67</x:v>
      </x:c>
      <x:c r="G4358" t="str">
        <x:v>Spring</x:v>
      </x:c>
      <x:c r="H4358" t="str">
        <x:v>Card</x:v>
      </x:c>
      <x:c r="I4358" t="n">
        <x:v>4.1</x:v>
      </x:c>
      <x:c r="J4358" t="n">
        <x:v>12</x:v>
      </x:c>
      <x:c r="K4358" t="n">
        <x:v>6</x:v>
      </x:c>
      <x:c r="L4358" t="str">
        <x:v>STORE-001</x:v>
      </x:c>
      <x:c r="M4358" s="22" t="n">
        <x:v>46276</x:v>
      </x:c>
      <x:c r="N4358" t="str">
        <x:v>SKU-007</x:v>
      </x:c>
      <x:c r="O4358" t="n">
        <x:v>2</x:v>
      </x:c>
      <x:c r="P4358" s="26" t="n">
        <x:f>F4358/O4358</x:f>
        <x:v>119.335</x:v>
      </x:c>
    </x:row>
    <x:row r="4359">
      <x:c r="A4359" t="n">
        <x:v>4358</x:v>
      </x:c>
      <x:c r="B4359" t="n">
        <x:v>52</x:v>
      </x:c>
      <x:c r="C4359" t="str">
        <x:v>Male</x:v>
      </x:c>
      <x:c r="D4359" t="str">
        <x:v>Mens Clothing</x:v>
      </x:c>
      <x:c r="E4359" t="str">
        <x:v>Shirt</x:v>
      </x:c>
      <x:c r="F4359" s="24" t="n">
        <x:v>164.35</x:v>
      </x:c>
      <x:c r="G4359" t="str">
        <x:v>Winter</x:v>
      </x:c>
      <x:c r="H4359" t="str">
        <x:v>Card</x:v>
      </x:c>
      <x:c r="I4359" t="n">
        <x:v>4.1</x:v>
      </x:c>
      <x:c r="J4359" t="n">
        <x:v>4</x:v>
      </x:c>
      <x:c r="K4359" t="n">
        <x:v>2</x:v>
      </x:c>
      <x:c r="L4359" t="str">
        <x:v>STORE-001</x:v>
      </x:c>
      <x:c r="M4359" s="22" t="n">
        <x:v>46228</x:v>
      </x:c>
      <x:c r="N4359" t="str">
        <x:v>SKU-020</x:v>
      </x:c>
      <x:c r="O4359" t="n">
        <x:v>1</x:v>
      </x:c>
      <x:c r="P4359" s="26" t="n">
        <x:f>F4359/O4359</x:f>
        <x:v>164.35</x:v>
      </x:c>
    </x:row>
    <x:row r="4360">
      <x:c r="A4360" t="n">
        <x:v>4359</x:v>
      </x:c>
      <x:c r="B4360" t="n">
        <x:v>69</x:v>
      </x:c>
      <x:c r="C4360" t="str">
        <x:v>Male</x:v>
      </x:c>
      <x:c r="D4360" t="str">
        <x:v>Electronics</x:v>
      </x:c>
      <x:c r="E4360" t="str">
        <x:v>Headphones</x:v>
      </x:c>
      <x:c r="F4360" s="24" t="n">
        <x:v>1339.11</x:v>
      </x:c>
      <x:c r="G4360" t="str">
        <x:v>Autumn</x:v>
      </x:c>
      <x:c r="H4360" t="str">
        <x:v>Card</x:v>
      </x:c>
      <x:c r="I4360" t="n">
        <x:v>3.5</x:v>
      </x:c>
      <x:c r="J4360" t="n">
        <x:v>9</x:v>
      </x:c>
      <x:c r="K4360" t="n">
        <x:v>2</x:v>
      </x:c>
      <x:c r="L4360" t="str">
        <x:v>STORE-001</x:v>
      </x:c>
      <x:c r="M4360" s="22" t="n">
        <x:v>46161</x:v>
      </x:c>
      <x:c r="N4360" t="str">
        <x:v>SKU-009</x:v>
      </x:c>
      <x:c r="O4360" t="n">
        <x:v>1</x:v>
      </x:c>
      <x:c r="P4360" s="26" t="n">
        <x:f>F4360/O4360</x:f>
        <x:v>1339.11</x:v>
      </x:c>
    </x:row>
    <x:row r="4361">
      <x:c r="A4361" t="n">
        <x:v>4360</x:v>
      </x:c>
      <x:c r="B4361" t="n">
        <x:v>42</x:v>
      </x:c>
      <x:c r="C4361" t="str">
        <x:v>Male</x:v>
      </x:c>
      <x:c r="D4361" t="str">
        <x:v>Sports</x:v>
      </x:c>
      <x:c r="E4361" t="str">
        <x:v>Dumbbells</x:v>
      </x:c>
      <x:c r="F4361" s="24" t="n">
        <x:v>198.2</x:v>
      </x:c>
      <x:c r="G4361" t="str">
        <x:v>Autumn</x:v>
      </x:c>
      <x:c r="H4361" t="str">
        <x:v>Card</x:v>
      </x:c>
      <x:c r="I4361" t="n">
        <x:v>3.3</x:v>
      </x:c>
      <x:c r="J4361" t="n">
        <x:v>8</x:v>
      </x:c>
      <x:c r="K4361" t="n">
        <x:v>4</x:v>
      </x:c>
      <x:c r="L4361" t="str">
        <x:v>STORE-001</x:v>
      </x:c>
      <x:c r="M4361" s="22" t="n">
        <x:v>46114</x:v>
      </x:c>
      <x:c r="N4361" t="str">
        <x:v>SKU-005</x:v>
      </x:c>
      <x:c r="O4361" t="n">
        <x:v>2</x:v>
      </x:c>
      <x:c r="P4361" s="26" t="n">
        <x:f>F4361/O4361</x:f>
        <x:v>99.1</x:v>
      </x:c>
    </x:row>
    <x:row r="4362">
      <x:c r="A4362" t="n">
        <x:v>4361</x:v>
      </x:c>
      <x:c r="B4362" t="n">
        <x:v>37</x:v>
      </x:c>
      <x:c r="C4362" t="str">
        <x:v>Male</x:v>
      </x:c>
      <x:c r="D4362" t="str">
        <x:v>Groceries</x:v>
      </x:c>
      <x:c r="E4362" t="str">
        <x:v>Cooking Oil</x:v>
      </x:c>
      <x:c r="F4362" s="24" t="n">
        <x:v>62.87</x:v>
      </x:c>
      <x:c r="G4362" t="str">
        <x:v>Summer</x:v>
      </x:c>
      <x:c r="H4362" t="str">
        <x:v>Cash on Delivery</x:v>
      </x:c>
      <x:c r="I4362" t="n">
        <x:v>3.5</x:v>
      </x:c>
      <x:c r="J4362" t="n">
        <x:v>14</x:v>
      </x:c>
      <x:c r="K4362" t="n">
        <x:v>7</x:v>
      </x:c>
      <x:c r="L4362" t="str">
        <x:v>STORE-001</x:v>
      </x:c>
      <x:c r="M4362" s="22" t="n">
        <x:v>46048</x:v>
      </x:c>
      <x:c r="N4362" t="str">
        <x:v>SKU-002</x:v>
      </x:c>
      <x:c r="O4362" t="n">
        <x:v>2</x:v>
      </x:c>
      <x:c r="P4362" s="26" t="n">
        <x:f>F4362/O4362</x:f>
        <x:v>31.435</x:v>
      </x:c>
    </x:row>
    <x:row r="4363">
      <x:c r="A4363" t="n">
        <x:v>4362</x:v>
      </x:c>
      <x:c r="B4363" t="n">
        <x:v>29</x:v>
      </x:c>
      <x:c r="C4363" t="str">
        <x:v>Female</x:v>
      </x:c>
      <x:c r="D4363" t="str">
        <x:v>Womens Clothing</x:v>
      </x:c>
      <x:c r="E4363" t="str">
        <x:v>Dress</x:v>
      </x:c>
      <x:c r="F4363" s="24" t="n">
        <x:v>150.07</x:v>
      </x:c>
      <x:c r="G4363" t="str">
        <x:v>Spring</x:v>
      </x:c>
      <x:c r="H4363" t="str">
        <x:v>Card</x:v>
      </x:c>
      <x:c r="I4363" t="n">
        <x:v>3.9</x:v>
      </x:c>
      <x:c r="J4363" t="n">
        <x:v>19</x:v>
      </x:c>
      <x:c r="K4363" t="n">
        <x:v>7</x:v>
      </x:c>
      <x:c r="L4363" t="str">
        <x:v>STORE-001</x:v>
      </x:c>
      <x:c r="M4363" s="22" t="n">
        <x:v>46274</x:v>
      </x:c>
      <x:c r="N4363" t="str">
        <x:v>SKU-004</x:v>
      </x:c>
      <x:c r="O4363" t="n">
        <x:v>1</x:v>
      </x:c>
      <x:c r="P4363" s="26" t="n">
        <x:f>F4363/O4363</x:f>
        <x:v>150.07</x:v>
      </x:c>
    </x:row>
    <x:row r="4364">
      <x:c r="A4364" t="n">
        <x:v>4363</x:v>
      </x:c>
      <x:c r="B4364" t="n">
        <x:v>51</x:v>
      </x:c>
      <x:c r="C4364" t="str">
        <x:v>Male</x:v>
      </x:c>
      <x:c r="D4364" t="str">
        <x:v>Groceries</x:v>
      </x:c>
      <x:c r="E4364" t="str">
        <x:v>Cooking Oil</x:v>
      </x:c>
      <x:c r="F4364" s="24" t="n">
        <x:v>71.54</x:v>
      </x:c>
      <x:c r="G4364" t="str">
        <x:v>Winter</x:v>
      </x:c>
      <x:c r="H4364" t="str">
        <x:v>Cash on Delivery</x:v>
      </x:c>
      <x:c r="I4364" t="n">
        <x:v>3.5</x:v>
      </x:c>
      <x:c r="J4364" t="n">
        <x:v>16</x:v>
      </x:c>
      <x:c r="K4364" t="n">
        <x:v>3</x:v>
      </x:c>
      <x:c r="L4364" t="str">
        <x:v>STORE-001</x:v>
      </x:c>
      <x:c r="M4364" s="22" t="n">
        <x:v>46256</x:v>
      </x:c>
      <x:c r="N4364" t="str">
        <x:v>SKU-002</x:v>
      </x:c>
      <x:c r="O4364" t="n">
        <x:v>3</x:v>
      </x:c>
      <x:c r="P4364" s="26" t="n">
        <x:f>F4364/O4364</x:f>
        <x:v>23.846666666666668</x:v>
      </x:c>
    </x:row>
    <x:row r="4365">
      <x:c r="A4365" t="n">
        <x:v>4364</x:v>
      </x:c>
      <x:c r="B4365" t="n">
        <x:v>26</x:v>
      </x:c>
      <x:c r="C4365" t="str">
        <x:v>Female</x:v>
      </x:c>
      <x:c r="D4365" t="str">
        <x:v>Womens Clothing</x:v>
      </x:c>
      <x:c r="E4365" t="str">
        <x:v>Skirt</x:v>
      </x:c>
      <x:c r="F4365" s="24" t="n">
        <x:v>43.22</x:v>
      </x:c>
      <x:c r="G4365" t="str">
        <x:v>Spring</x:v>
      </x:c>
      <x:c r="H4365" t="str">
        <x:v>Cash on Delivery</x:v>
      </x:c>
      <x:c r="I4365" t="n">
        <x:v>2.9</x:v>
      </x:c>
      <x:c r="J4365" t="n">
        <x:v>2</x:v>
      </x:c>
      <x:c r="K4365" t="n">
        <x:v>1</x:v>
      </x:c>
      <x:c r="L4365" t="str">
        <x:v>STORE-001</x:v>
      </x:c>
      <x:c r="M4365" s="22" t="n">
        <x:v>46273</x:v>
      </x:c>
      <x:c r="N4365" t="str">
        <x:v>SKU-022</x:v>
      </x:c>
      <x:c r="O4365" t="n">
        <x:v>1</x:v>
      </x:c>
      <x:c r="P4365" s="26" t="n">
        <x:f>F4365/O4365</x:f>
        <x:v>43.22</x:v>
      </x:c>
    </x:row>
    <x:row r="4366">
      <x:c r="A4366" t="n">
        <x:v>4365</x:v>
      </x:c>
      <x:c r="B4366" t="n">
        <x:v>49</x:v>
      </x:c>
      <x:c r="C4366" t="str">
        <x:v>Male</x:v>
      </x:c>
      <x:c r="D4366" t="str">
        <x:v>Footwear</x:v>
      </x:c>
      <x:c r="E4366" t="str">
        <x:v>Sandals</x:v>
      </x:c>
      <x:c r="F4366" s="24" t="n">
        <x:v>173.46</x:v>
      </x:c>
      <x:c r="G4366" t="str">
        <x:v>Autumn</x:v>
      </x:c>
      <x:c r="H4366" t="str">
        <x:v>Card</x:v>
      </x:c>
      <x:c r="I4366" t="n">
        <x:v>3.8</x:v>
      </x:c>
      <x:c r="J4366" t="n">
        <x:v>22</x:v>
      </x:c>
      <x:c r="K4366" t="n">
        <x:v>6</x:v>
      </x:c>
      <x:c r="L4366" t="str">
        <x:v>STORE-001</x:v>
      </x:c>
      <x:c r="M4366" s="22" t="n">
        <x:v>46167</x:v>
      </x:c>
      <x:c r="N4366" t="str">
        <x:v>SKU-019</x:v>
      </x:c>
      <x:c r="O4366" t="n">
        <x:v>1</x:v>
      </x:c>
      <x:c r="P4366" s="26" t="n">
        <x:f>F4366/O4366</x:f>
        <x:v>173.46</x:v>
      </x:c>
    </x:row>
    <x:row r="4367">
      <x:c r="A4367" t="n">
        <x:v>4366</x:v>
      </x:c>
      <x:c r="B4367" t="n">
        <x:v>47</x:v>
      </x:c>
      <x:c r="C4367" t="str">
        <x:v>Male</x:v>
      </x:c>
      <x:c r="D4367" t="str">
        <x:v>Home</x:v>
      </x:c>
      <x:c r="E4367" t="str">
        <x:v>Lamp</x:v>
      </x:c>
      <x:c r="F4367" s="24" t="n">
        <x:v>286.8</x:v>
      </x:c>
      <x:c r="G4367" t="str">
        <x:v>Spring</x:v>
      </x:c>
      <x:c r="H4367" t="str">
        <x:v>Card</x:v>
      </x:c>
      <x:c r="I4367" t="n">
        <x:v>5</x:v>
      </x:c>
      <x:c r="J4367" t="n">
        <x:v>19</x:v>
      </x:c>
      <x:c r="K4367" t="n">
        <x:v>7</x:v>
      </x:c>
      <x:c r="L4367" t="str">
        <x:v>STORE-001</x:v>
      </x:c>
      <x:c r="M4367" s="22" t="n">
        <x:v>45968</x:v>
      </x:c>
      <x:c r="N4367" t="str">
        <x:v>SKU-013</x:v>
      </x:c>
      <x:c r="O4367" t="n">
        <x:v>1</x:v>
      </x:c>
      <x:c r="P4367" s="26" t="n">
        <x:f>F4367/O4367</x:f>
        <x:v>286.8</x:v>
      </x:c>
    </x:row>
    <x:row r="4368">
      <x:c r="A4368" t="n">
        <x:v>4367</x:v>
      </x:c>
      <x:c r="B4368" t="n">
        <x:v>30</x:v>
      </x:c>
      <x:c r="C4368" t="str">
        <x:v>Male</x:v>
      </x:c>
      <x:c r="D4368" t="str">
        <x:v>Mens Clothing</x:v>
      </x:c>
      <x:c r="E4368" t="str">
        <x:v>Jacket</x:v>
      </x:c>
      <x:c r="F4368" s="24" t="n">
        <x:v>83.11</x:v>
      </x:c>
      <x:c r="G4368" t="str">
        <x:v>Autumn</x:v>
      </x:c>
      <x:c r="H4368" t="str">
        <x:v>Card</x:v>
      </x:c>
      <x:c r="I4368" t="n">
        <x:v>3.6</x:v>
      </x:c>
      <x:c r="J4368" t="n">
        <x:v>14</x:v>
      </x:c>
      <x:c r="K4368" t="n">
        <x:v>2</x:v>
      </x:c>
      <x:c r="L4368" t="str">
        <x:v>STORE-001</x:v>
      </x:c>
      <x:c r="M4368" s="22" t="n">
        <x:v>46146</x:v>
      </x:c>
      <x:c r="N4368" t="str">
        <x:v>SKU-010</x:v>
      </x:c>
      <x:c r="O4368" t="n">
        <x:v>1</x:v>
      </x:c>
      <x:c r="P4368" s="26" t="n">
        <x:f>F4368/O4368</x:f>
        <x:v>83.11</x:v>
      </x:c>
    </x:row>
    <x:row r="4369">
      <x:c r="A4369" t="n">
        <x:v>4368</x:v>
      </x:c>
      <x:c r="B4369" t="n">
        <x:v>22</x:v>
      </x:c>
      <x:c r="C4369" t="str">
        <x:v>Female</x:v>
      </x:c>
      <x:c r="D4369" t="str">
        <x:v>Beauty</x:v>
      </x:c>
      <x:c r="E4369" t="str">
        <x:v>Perfume</x:v>
      </x:c>
      <x:c r="F4369" s="24" t="n">
        <x:v>27.57</x:v>
      </x:c>
      <x:c r="G4369" t="str">
        <x:v>Spring</x:v>
      </x:c>
      <x:c r="H4369" t="str">
        <x:v>Cash on Delivery</x:v>
      </x:c>
      <x:c r="I4369" t="n">
        <x:v>4.1</x:v>
      </x:c>
      <x:c r="J4369" t="n">
        <x:v>14</x:v>
      </x:c>
      <x:c r="K4369" t="n">
        <x:v>7</x:v>
      </x:c>
      <x:c r="L4369" t="str">
        <x:v>STORE-001</x:v>
      </x:c>
      <x:c r="M4369" s="22" t="n">
        <x:v>46293</x:v>
      </x:c>
      <x:c r="N4369" t="str">
        <x:v>SKU-017</x:v>
      </x:c>
      <x:c r="O4369" t="n">
        <x:v>1</x:v>
      </x:c>
      <x:c r="P4369" s="26" t="n">
        <x:f>F4369/O4369</x:f>
        <x:v>27.57</x:v>
      </x:c>
    </x:row>
    <x:row r="4370">
      <x:c r="A4370" t="n">
        <x:v>4369</x:v>
      </x:c>
      <x:c r="B4370" t="n">
        <x:v>46</x:v>
      </x:c>
      <x:c r="C4370" t="str">
        <x:v>Female</x:v>
      </x:c>
      <x:c r="D4370" t="str">
        <x:v>Footwear</x:v>
      </x:c>
      <x:c r="E4370" t="str">
        <x:v>Sneakers</x:v>
      </x:c>
      <x:c r="F4370" s="24" t="n">
        <x:v>208.33</x:v>
      </x:c>
      <x:c r="G4370" t="str">
        <x:v>Winter</x:v>
      </x:c>
      <x:c r="H4370" t="str">
        <x:v>Card</x:v>
      </x:c>
      <x:c r="I4370" t="n">
        <x:v>3.9</x:v>
      </x:c>
      <x:c r="J4370" t="n">
        <x:v>8</x:v>
      </x:c>
      <x:c r="K4370" t="n">
        <x:v>4</x:v>
      </x:c>
      <x:c r="L4370" t="str">
        <x:v>STORE-001</x:v>
      </x:c>
      <x:c r="M4370" s="22" t="n">
        <x:v>46219</x:v>
      </x:c>
      <x:c r="N4370" t="str">
        <x:v>SKU-025</x:v>
      </x:c>
      <x:c r="O4370" t="n">
        <x:v>2</x:v>
      </x:c>
      <x:c r="P4370" s="26" t="n">
        <x:f>F4370/O4370</x:f>
        <x:v>104.165</x:v>
      </x:c>
    </x:row>
    <x:row r="4371">
      <x:c r="A4371" t="n">
        <x:v>4370</x:v>
      </x:c>
      <x:c r="B4371" t="n">
        <x:v>57</x:v>
      </x:c>
      <x:c r="C4371" t="str">
        <x:v>Female</x:v>
      </x:c>
      <x:c r="D4371" t="str">
        <x:v>Womens Clothing</x:v>
      </x:c>
      <x:c r="E4371" t="str">
        <x:v>Dress</x:v>
      </x:c>
      <x:c r="F4371" s="24" t="n">
        <x:v>43.06</x:v>
      </x:c>
      <x:c r="G4371" t="str">
        <x:v>Winter</x:v>
      </x:c>
      <x:c r="H4371" t="str">
        <x:v>Card</x:v>
      </x:c>
      <x:c r="I4371" t="n">
        <x:v>5</x:v>
      </x:c>
      <x:c r="J4371" t="n">
        <x:v>20</x:v>
      </x:c>
      <x:c r="K4371" t="n">
        <x:v>5</x:v>
      </x:c>
      <x:c r="L4371" t="str">
        <x:v>STORE-001</x:v>
      </x:c>
      <x:c r="M4371" s="22" t="n">
        <x:v>46178</x:v>
      </x:c>
      <x:c r="N4371" t="str">
        <x:v>SKU-004</x:v>
      </x:c>
      <x:c r="O4371" t="n">
        <x:v>2</x:v>
      </x:c>
      <x:c r="P4371" s="26" t="n">
        <x:f>F4371/O4371</x:f>
        <x:v>21.53</x:v>
      </x:c>
    </x:row>
    <x:row r="4372">
      <x:c r="A4372" t="n">
        <x:v>4371</x:v>
      </x:c>
      <x:c r="B4372" t="n">
        <x:v>63</x:v>
      </x:c>
      <x:c r="C4372" t="str">
        <x:v>Female</x:v>
      </x:c>
      <x:c r="D4372" t="str">
        <x:v>Groceries</x:v>
      </x:c>
      <x:c r="E4372" t="str">
        <x:v>Beverages</x:v>
      </x:c>
      <x:c r="F4372" s="24" t="n">
        <x:v>42.76</x:v>
      </x:c>
      <x:c r="G4372" t="str">
        <x:v>Autumn</x:v>
      </x:c>
      <x:c r="H4372" t="str">
        <x:v>Cash on Delivery</x:v>
      </x:c>
      <x:c r="I4372" t="n">
        <x:v>4.3</x:v>
      </x:c>
      <x:c r="J4372" t="n">
        <x:v>24</x:v>
      </x:c>
      <x:c r="K4372" t="n">
        <x:v>7</x:v>
      </x:c>
      <x:c r="L4372" t="str">
        <x:v>STORE-001</x:v>
      </x:c>
      <x:c r="M4372" s="22" t="n">
        <x:v>46169</x:v>
      </x:c>
      <x:c r="N4372" t="str">
        <x:v>SKU-001</x:v>
      </x:c>
      <x:c r="O4372" t="n">
        <x:v>1</x:v>
      </x:c>
      <x:c r="P4372" s="26" t="n">
        <x:f>F4372/O4372</x:f>
        <x:v>42.76</x:v>
      </x:c>
    </x:row>
    <x:row r="4373">
      <x:c r="A4373" t="n">
        <x:v>4372</x:v>
      </x:c>
      <x:c r="B4373" t="n">
        <x:v>54</x:v>
      </x:c>
      <x:c r="C4373" t="str">
        <x:v>Male</x:v>
      </x:c>
      <x:c r="D4373" t="str">
        <x:v>Mens Clothing</x:v>
      </x:c>
      <x:c r="E4373" t="str">
        <x:v>Jacket</x:v>
      </x:c>
      <x:c r="F4373" s="24" t="n">
        <x:v>80.56</x:v>
      </x:c>
      <x:c r="G4373" t="str">
        <x:v>Summer</x:v>
      </x:c>
      <x:c r="H4373" t="str">
        <x:v>Card</x:v>
      </x:c>
      <x:c r="I4373" t="n">
        <x:v>4</x:v>
      </x:c>
      <x:c r="J4373" t="n">
        <x:v>26</x:v>
      </x:c>
      <x:c r="K4373" t="n">
        <x:v>8</x:v>
      </x:c>
      <x:c r="L4373" t="str">
        <x:v>STORE-001</x:v>
      </x:c>
      <x:c r="M4373" s="22" t="n">
        <x:v>46037</x:v>
      </x:c>
      <x:c r="N4373" t="str">
        <x:v>SKU-010</x:v>
      </x:c>
      <x:c r="O4373" t="n">
        <x:v>1</x:v>
      </x:c>
      <x:c r="P4373" s="26" t="n">
        <x:f>F4373/O4373</x:f>
        <x:v>80.56</x:v>
      </x:c>
    </x:row>
    <x:row r="4374">
      <x:c r="A4374" t="n">
        <x:v>4373</x:v>
      </x:c>
      <x:c r="B4374" t="n">
        <x:v>32</x:v>
      </x:c>
      <x:c r="C4374" t="str">
        <x:v>Female</x:v>
      </x:c>
      <x:c r="D4374" t="str">
        <x:v>Womens Clothing</x:v>
      </x:c>
      <x:c r="E4374" t="str">
        <x:v>Skirt</x:v>
      </x:c>
      <x:c r="F4374" s="24" t="n">
        <x:v>59.17</x:v>
      </x:c>
      <x:c r="G4374" t="str">
        <x:v>Winter</x:v>
      </x:c>
      <x:c r="H4374" t="str">
        <x:v>Card</x:v>
      </x:c>
      <x:c r="I4374" t="n">
        <x:v>3</x:v>
      </x:c>
      <x:c r="J4374" t="n">
        <x:v>12</x:v>
      </x:c>
      <x:c r="K4374" t="n">
        <x:v>6</x:v>
      </x:c>
      <x:c r="L4374" t="str">
        <x:v>STORE-001</x:v>
      </x:c>
      <x:c r="M4374" s="22" t="n">
        <x:v>46194</x:v>
      </x:c>
      <x:c r="N4374" t="str">
        <x:v>SKU-022</x:v>
      </x:c>
      <x:c r="O4374" t="n">
        <x:v>2</x:v>
      </x:c>
      <x:c r="P4374" s="26" t="n">
        <x:f>F4374/O4374</x:f>
        <x:v>29.585</x:v>
      </x:c>
    </x:row>
    <x:row r="4375">
      <x:c r="A4375" t="n">
        <x:v>4374</x:v>
      </x:c>
      <x:c r="B4375" t="n">
        <x:v>69</x:v>
      </x:c>
      <x:c r="C4375" t="str">
        <x:v>Male</x:v>
      </x:c>
      <x:c r="D4375" t="str">
        <x:v>Groceries</x:v>
      </x:c>
      <x:c r="E4375" t="str">
        <x:v>Rice Pack</x:v>
      </x:c>
      <x:c r="F4375" s="24" t="n">
        <x:v>58.67</x:v>
      </x:c>
      <x:c r="G4375" t="str">
        <x:v>Winter</x:v>
      </x:c>
      <x:c r="H4375" t="str">
        <x:v>Cash on Delivery</x:v>
      </x:c>
      <x:c r="I4375" t="n">
        <x:v>4.7</x:v>
      </x:c>
      <x:c r="J4375" t="n">
        <x:v>28</x:v>
      </x:c>
      <x:c r="K4375" t="n">
        <x:v>9</x:v>
      </x:c>
      <x:c r="L4375" t="str">
        <x:v>STORE-001</x:v>
      </x:c>
      <x:c r="M4375" s="22" t="n">
        <x:v>46227</x:v>
      </x:c>
      <x:c r="N4375" t="str">
        <x:v>SKU-018</x:v>
      </x:c>
      <x:c r="O4375" t="n">
        <x:v>4</x:v>
      </x:c>
      <x:c r="P4375" s="26" t="n">
        <x:f>F4375/O4375</x:f>
        <x:v>14.6675</x:v>
      </x:c>
    </x:row>
    <x:row r="4376">
      <x:c r="A4376" t="n">
        <x:v>4375</x:v>
      </x:c>
      <x:c r="B4376" t="n">
        <x:v>65</x:v>
      </x:c>
      <x:c r="C4376" t="str">
        <x:v>Male</x:v>
      </x:c>
      <x:c r="D4376" t="str">
        <x:v>Electronics</x:v>
      </x:c>
      <x:c r="E4376" t="str">
        <x:v>Laptop</x:v>
      </x:c>
      <x:c r="F4376" s="24" t="n">
        <x:v>2600.47</x:v>
      </x:c>
      <x:c r="G4376" t="str">
        <x:v>Autumn</x:v>
      </x:c>
      <x:c r="H4376" t="str">
        <x:v>Card</x:v>
      </x:c>
      <x:c r="I4376" t="n">
        <x:v>2.1</x:v>
      </x:c>
      <x:c r="J4376" t="n">
        <x:v>13</x:v>
      </x:c>
      <x:c r="K4376" t="n">
        <x:v>4</x:v>
      </x:c>
      <x:c r="L4376" t="str">
        <x:v>STORE-001</x:v>
      </x:c>
      <x:c r="M4376" s="22" t="n">
        <x:v>46083</x:v>
      </x:c>
      <x:c r="N4376" t="str">
        <x:v>SKU-014</x:v>
      </x:c>
      <x:c r="O4376" t="n">
        <x:v>1</x:v>
      </x:c>
      <x:c r="P4376" s="26" t="n">
        <x:f>F4376/O4376</x:f>
        <x:v>2600.47</x:v>
      </x:c>
    </x:row>
    <x:row r="4377">
      <x:c r="A4377" t="n">
        <x:v>4376</x:v>
      </x:c>
      <x:c r="B4377" t="n">
        <x:v>57</x:v>
      </x:c>
      <x:c r="C4377" t="str">
        <x:v>Female</x:v>
      </x:c>
      <x:c r="D4377" t="str">
        <x:v>Womens Clothing</x:v>
      </x:c>
      <x:c r="E4377" t="str">
        <x:v>Skirt</x:v>
      </x:c>
      <x:c r="F4377" s="24" t="n">
        <x:v>54.73</x:v>
      </x:c>
      <x:c r="G4377" t="str">
        <x:v>Autumn</x:v>
      </x:c>
      <x:c r="H4377" t="str">
        <x:v>Cash on Delivery</x:v>
      </x:c>
      <x:c r="I4377" t="n">
        <x:v>3.7</x:v>
      </x:c>
      <x:c r="J4377" t="n">
        <x:v>22</x:v>
      </x:c>
      <x:c r="K4377" t="n">
        <x:v>11</x:v>
      </x:c>
      <x:c r="L4377" t="str">
        <x:v>STORE-001</x:v>
      </x:c>
      <x:c r="M4377" s="22" t="n">
        <x:v>46135</x:v>
      </x:c>
      <x:c r="N4377" t="str">
        <x:v>SKU-022</x:v>
      </x:c>
      <x:c r="O4377" t="n">
        <x:v>1</x:v>
      </x:c>
      <x:c r="P4377" s="26" t="n">
        <x:f>F4377/O4377</x:f>
        <x:v>54.73</x:v>
      </x:c>
    </x:row>
    <x:row r="4378">
      <x:c r="A4378" t="n">
        <x:v>4377</x:v>
      </x:c>
      <x:c r="B4378" t="n">
        <x:v>27</x:v>
      </x:c>
      <x:c r="C4378" t="str">
        <x:v>Male</x:v>
      </x:c>
      <x:c r="D4378" t="str">
        <x:v>Footwear</x:v>
      </x:c>
      <x:c r="E4378" t="str">
        <x:v>Sandals</x:v>
      </x:c>
      <x:c r="F4378" s="24" t="n">
        <x:v>66.29</x:v>
      </x:c>
      <x:c r="G4378" t="str">
        <x:v>Autumn</x:v>
      </x:c>
      <x:c r="H4378" t="str">
        <x:v>Cash on Delivery</x:v>
      </x:c>
      <x:c r="I4378" t="n">
        <x:v>3</x:v>
      </x:c>
      <x:c r="J4378" t="n">
        <x:v>11</x:v>
      </x:c>
      <x:c r="K4378" t="n">
        <x:v>3</x:v>
      </x:c>
      <x:c r="L4378" t="str">
        <x:v>STORE-001</x:v>
      </x:c>
      <x:c r="M4378" s="22" t="n">
        <x:v>46088</x:v>
      </x:c>
      <x:c r="N4378" t="str">
        <x:v>SKU-019</x:v>
      </x:c>
      <x:c r="O4378" t="n">
        <x:v>1</x:v>
      </x:c>
      <x:c r="P4378" s="26" t="n">
        <x:f>F4378/O4378</x:f>
        <x:v>66.29</x:v>
      </x:c>
    </x:row>
    <x:row r="4379">
      <x:c r="A4379" t="n">
        <x:v>4378</x:v>
      </x:c>
      <x:c r="B4379" t="n">
        <x:v>40</x:v>
      </x:c>
      <x:c r="C4379" t="str">
        <x:v>Female</x:v>
      </x:c>
      <x:c r="D4379" t="str">
        <x:v>Womens Clothing</x:v>
      </x:c>
      <x:c r="E4379" t="str">
        <x:v>Jeans</x:v>
      </x:c>
      <x:c r="F4379" s="24" t="n">
        <x:v>65.43</x:v>
      </x:c>
      <x:c r="G4379" t="str">
        <x:v>Spring</x:v>
      </x:c>
      <x:c r="H4379" t="str">
        <x:v>Card</x:v>
      </x:c>
      <x:c r="I4379" t="n">
        <x:v>3.6</x:v>
      </x:c>
      <x:c r="J4379" t="n">
        <x:v>14</x:v>
      </x:c>
      <x:c r="K4379" t="n">
        <x:v>2</x:v>
      </x:c>
      <x:c r="L4379" t="str">
        <x:v>STORE-001</x:v>
      </x:c>
      <x:c r="M4379" s="22" t="n">
        <x:v>46267</x:v>
      </x:c>
      <x:c r="N4379" t="str">
        <x:v>SKU-011</x:v>
      </x:c>
      <x:c r="O4379" t="n">
        <x:v>1</x:v>
      </x:c>
      <x:c r="P4379" s="26" t="n">
        <x:f>F4379/O4379</x:f>
        <x:v>65.43</x:v>
      </x:c>
    </x:row>
    <x:row r="4380">
      <x:c r="A4380" t="n">
        <x:v>4379</x:v>
      </x:c>
      <x:c r="B4380" t="n">
        <x:v>62</x:v>
      </x:c>
      <x:c r="C4380" t="str">
        <x:v>Male</x:v>
      </x:c>
      <x:c r="D4380" t="str">
        <x:v>Sports</x:v>
      </x:c>
      <x:c r="E4380" t="str">
        <x:v>Yoga Mat</x:v>
      </x:c>
      <x:c r="F4380" s="24" t="n">
        <x:v>50.26</x:v>
      </x:c>
      <x:c r="G4380" t="str">
        <x:v>Winter</x:v>
      </x:c>
      <x:c r="H4380" t="str">
        <x:v>Cash on Delivery</x:v>
      </x:c>
      <x:c r="I4380" t="n">
        <x:v>2.8</x:v>
      </x:c>
      <x:c r="J4380" t="n">
        <x:v>19</x:v>
      </x:c>
      <x:c r="K4380" t="n">
        <x:v>7</x:v>
      </x:c>
      <x:c r="L4380" t="str">
        <x:v>STORE-001</x:v>
      </x:c>
      <x:c r="M4380" s="22" t="n">
        <x:v>46198</x:v>
      </x:c>
      <x:c r="N4380" t="str">
        <x:v>SKU-030</x:v>
      </x:c>
      <x:c r="O4380" t="n">
        <x:v>2</x:v>
      </x:c>
      <x:c r="P4380" s="26" t="n">
        <x:f>F4380/O4380</x:f>
        <x:v>25.13</x:v>
      </x:c>
    </x:row>
    <x:row r="4381">
      <x:c r="A4381" t="n">
        <x:v>4380</x:v>
      </x:c>
      <x:c r="B4381" t="n">
        <x:v>27</x:v>
      </x:c>
      <x:c r="C4381" t="str">
        <x:v>Female</x:v>
      </x:c>
      <x:c r="D4381" t="str">
        <x:v>Beauty</x:v>
      </x:c>
      <x:c r="E4381" t="str">
        <x:v>Makeup Set</x:v>
      </x:c>
      <x:c r="F4381" s="24" t="n">
        <x:v>125.15</x:v>
      </x:c>
      <x:c r="G4381" t="str">
        <x:v>Summer</x:v>
      </x:c>
      <x:c r="H4381" t="str">
        <x:v>Card</x:v>
      </x:c>
      <x:c r="I4381" t="n">
        <x:v>3.9</x:v>
      </x:c>
      <x:c r="J4381" t="n">
        <x:v>18</x:v>
      </x:c>
      <x:c r="K4381" t="n">
        <x:v>4</x:v>
      </x:c>
      <x:c r="L4381" t="str">
        <x:v>STORE-001</x:v>
      </x:c>
      <x:c r="M4381" s="22" t="n">
        <x:v>46049</x:v>
      </x:c>
      <x:c r="N4381" t="str">
        <x:v>SKU-015</x:v>
      </x:c>
      <x:c r="O4381" t="n">
        <x:v>2</x:v>
      </x:c>
      <x:c r="P4381" s="26" t="n">
        <x:f>F4381/O4381</x:f>
        <x:v>62.575</x:v>
      </x:c>
    </x:row>
    <x:row r="4382">
      <x:c r="A4382" t="n">
        <x:v>4381</x:v>
      </x:c>
      <x:c r="B4382" t="n">
        <x:v>62</x:v>
      </x:c>
      <x:c r="C4382" t="str">
        <x:v>Male</x:v>
      </x:c>
      <x:c r="D4382" t="str">
        <x:v>Footwear</x:v>
      </x:c>
      <x:c r="E4382" t="str">
        <x:v>Sneakers</x:v>
      </x:c>
      <x:c r="F4382" s="24" t="n">
        <x:v>166.81</x:v>
      </x:c>
      <x:c r="G4382" t="str">
        <x:v>Winter</x:v>
      </x:c>
      <x:c r="H4382" t="str">
        <x:v>Card</x:v>
      </x:c>
      <x:c r="I4382" t="n">
        <x:v>4.6</x:v>
      </x:c>
      <x:c r="J4382" t="n">
        <x:v>28</x:v>
      </x:c>
      <x:c r="K4382" t="n">
        <x:v>9</x:v>
      </x:c>
      <x:c r="L4382" t="str">
        <x:v>STORE-001</x:v>
      </x:c>
      <x:c r="M4382" s="22" t="n">
        <x:v>46202</x:v>
      </x:c>
      <x:c r="N4382" t="str">
        <x:v>SKU-025</x:v>
      </x:c>
      <x:c r="O4382" t="n">
        <x:v>2</x:v>
      </x:c>
      <x:c r="P4382" s="26" t="n">
        <x:f>F4382/O4382</x:f>
        <x:v>83.405</x:v>
      </x:c>
    </x:row>
    <x:row r="4383">
      <x:c r="A4383" t="n">
        <x:v>4382</x:v>
      </x:c>
      <x:c r="B4383" t="n">
        <x:v>46</x:v>
      </x:c>
      <x:c r="C4383" t="str">
        <x:v>Female</x:v>
      </x:c>
      <x:c r="D4383" t="str">
        <x:v>Womens Clothing</x:v>
      </x:c>
      <x:c r="E4383" t="str">
        <x:v>Skirt</x:v>
      </x:c>
      <x:c r="F4383" s="24" t="n">
        <x:v>141.45</x:v>
      </x:c>
      <x:c r="G4383" t="str">
        <x:v>Summer</x:v>
      </x:c>
      <x:c r="H4383" t="str">
        <x:v>Card</x:v>
      </x:c>
      <x:c r="I4383" t="n">
        <x:v>5</x:v>
      </x:c>
      <x:c r="J4383" t="n">
        <x:v>14</x:v>
      </x:c>
      <x:c r="K4383" t="n">
        <x:v>7</x:v>
      </x:c>
      <x:c r="L4383" t="str">
        <x:v>STORE-001</x:v>
      </x:c>
      <x:c r="M4383" s="22" t="n">
        <x:v>46075</x:v>
      </x:c>
      <x:c r="N4383" t="str">
        <x:v>SKU-022</x:v>
      </x:c>
      <x:c r="O4383" t="n">
        <x:v>1</x:v>
      </x:c>
      <x:c r="P4383" s="26" t="n">
        <x:f>F4383/O4383</x:f>
        <x:v>141.45</x:v>
      </x:c>
    </x:row>
    <x:row r="4384">
      <x:c r="A4384" t="n">
        <x:v>4383</x:v>
      </x:c>
      <x:c r="B4384" t="n">
        <x:v>60</x:v>
      </x:c>
      <x:c r="C4384" t="str">
        <x:v>Male</x:v>
      </x:c>
      <x:c r="D4384" t="str">
        <x:v>Footwear</x:v>
      </x:c>
      <x:c r="E4384" t="str">
        <x:v>Sneakers</x:v>
      </x:c>
      <x:c r="F4384" s="24" t="n">
        <x:v>167.45</x:v>
      </x:c>
      <x:c r="G4384" t="str">
        <x:v>Spring</x:v>
      </x:c>
      <x:c r="H4384" t="str">
        <x:v>Card</x:v>
      </x:c>
      <x:c r="I4384" t="n">
        <x:v>4.4</x:v>
      </x:c>
      <x:c r="J4384" t="n">
        <x:v>5</x:v>
      </x:c>
      <x:c r="K4384" t="n">
        <x:v>0</x:v>
      </x:c>
      <x:c r="L4384" t="str">
        <x:v>STORE-001</x:v>
      </x:c>
      <x:c r="M4384" s="22" t="n">
        <x:v>45968</x:v>
      </x:c>
      <x:c r="N4384" t="str">
        <x:v>SKU-025</x:v>
      </x:c>
      <x:c r="O4384" t="n">
        <x:v>1</x:v>
      </x:c>
      <x:c r="P4384" s="26" t="n">
        <x:f>F4384/O4384</x:f>
        <x:v>167.45</x:v>
      </x:c>
    </x:row>
    <x:row r="4385">
      <x:c r="A4385" t="n">
        <x:v>4384</x:v>
      </x:c>
      <x:c r="B4385" t="n">
        <x:v>62</x:v>
      </x:c>
      <x:c r="C4385" t="str">
        <x:v>Male</x:v>
      </x:c>
      <x:c r="D4385" t="str">
        <x:v>Footwear</x:v>
      </x:c>
      <x:c r="E4385" t="str">
        <x:v>Formal Shoes</x:v>
      </x:c>
      <x:c r="F4385" s="24" t="n">
        <x:v>151.56</x:v>
      </x:c>
      <x:c r="G4385" t="str">
        <x:v>Spring</x:v>
      </x:c>
      <x:c r="H4385" t="str">
        <x:v>Card</x:v>
      </x:c>
      <x:c r="I4385" t="n">
        <x:v>4.1</x:v>
      </x:c>
      <x:c r="J4385" t="n">
        <x:v>13</x:v>
      </x:c>
      <x:c r="K4385" t="n">
        <x:v>4</x:v>
      </x:c>
      <x:c r="L4385" t="str">
        <x:v>STORE-001</x:v>
      </x:c>
      <x:c r="M4385" s="22" t="n">
        <x:v>45970</x:v>
      </x:c>
      <x:c r="N4385" t="str">
        <x:v>SKU-007</x:v>
      </x:c>
      <x:c r="O4385" t="n">
        <x:v>2</x:v>
      </x:c>
      <x:c r="P4385" s="26" t="n">
        <x:f>F4385/O4385</x:f>
        <x:v>75.78</x:v>
      </x:c>
    </x:row>
    <x:row r="4386">
      <x:c r="A4386" t="n">
        <x:v>4385</x:v>
      </x:c>
      <x:c r="B4386" t="n">
        <x:v>49</x:v>
      </x:c>
      <x:c r="C4386" t="str">
        <x:v>Male</x:v>
      </x:c>
      <x:c r="D4386" t="str">
        <x:v>Mens Clothing</x:v>
      </x:c>
      <x:c r="E4386" t="str">
        <x:v>T-Shirt</x:v>
      </x:c>
      <x:c r="F4386" s="24" t="n">
        <x:v>49.58</x:v>
      </x:c>
      <x:c r="G4386" t="str">
        <x:v>Autumn</x:v>
      </x:c>
      <x:c r="H4386" t="str">
        <x:v>Cash on Delivery</x:v>
      </x:c>
      <x:c r="I4386" t="n">
        <x:v>4.6</x:v>
      </x:c>
      <x:c r="J4386" t="n">
        <x:v>21</x:v>
      </x:c>
      <x:c r="K4386" t="n">
        <x:v>8</x:v>
      </x:c>
      <x:c r="L4386" t="str">
        <x:v>STORE-001</x:v>
      </x:c>
      <x:c r="M4386" s="22" t="n">
        <x:v>46140</x:v>
      </x:c>
      <x:c r="N4386" t="str">
        <x:v>SKU-027</x:v>
      </x:c>
      <x:c r="O4386" t="n">
        <x:v>2</x:v>
      </x:c>
      <x:c r="P4386" s="26" t="n">
        <x:f>F4386/O4386</x:f>
        <x:v>24.79</x:v>
      </x:c>
    </x:row>
    <x:row r="4387">
      <x:c r="A4387" t="n">
        <x:v>4386</x:v>
      </x:c>
      <x:c r="B4387" t="n">
        <x:v>21</x:v>
      </x:c>
      <x:c r="C4387" t="str">
        <x:v>Female</x:v>
      </x:c>
      <x:c r="D4387" t="str">
        <x:v>Footwear</x:v>
      </x:c>
      <x:c r="E4387" t="str">
        <x:v>Formal Shoes</x:v>
      </x:c>
      <x:c r="F4387" s="24" t="n">
        <x:v>170.32</x:v>
      </x:c>
      <x:c r="G4387" t="str">
        <x:v>Spring</x:v>
      </x:c>
      <x:c r="H4387" t="str">
        <x:v>Card</x:v>
      </x:c>
      <x:c r="I4387" t="n">
        <x:v>4.8</x:v>
      </x:c>
      <x:c r="J4387" t="n">
        <x:v>21</x:v>
      </x:c>
      <x:c r="K4387" t="n">
        <x:v>8</x:v>
      </x:c>
      <x:c r="L4387" t="str">
        <x:v>STORE-001</x:v>
      </x:c>
      <x:c r="M4387" s="22" t="n">
        <x:v>46272</x:v>
      </x:c>
      <x:c r="N4387" t="str">
        <x:v>SKU-007</x:v>
      </x:c>
      <x:c r="O4387" t="n">
        <x:v>2</x:v>
      </x:c>
      <x:c r="P4387" s="26" t="n">
        <x:f>F4387/O4387</x:f>
        <x:v>85.16</x:v>
      </x:c>
    </x:row>
    <x:row r="4388">
      <x:c r="A4388" t="n">
        <x:v>4387</x:v>
      </x:c>
      <x:c r="B4388" t="n">
        <x:v>25</x:v>
      </x:c>
      <x:c r="C4388" t="str">
        <x:v>Female</x:v>
      </x:c>
      <x:c r="D4388" t="str">
        <x:v>Accessories</x:v>
      </x:c>
      <x:c r="E4388" t="str">
        <x:v>Sunglasses</x:v>
      </x:c>
      <x:c r="F4388" s="24" t="n">
        <x:v>30.47</x:v>
      </x:c>
      <x:c r="G4388" t="str">
        <x:v>Winter</x:v>
      </x:c>
      <x:c r="H4388" t="str">
        <x:v>Card</x:v>
      </x:c>
      <x:c r="I4388" t="n">
        <x:v>4.5</x:v>
      </x:c>
      <x:c r="J4388" t="n">
        <x:v>20</x:v>
      </x:c>
      <x:c r="K4388" t="n">
        <x:v>5</x:v>
      </x:c>
      <x:c r="L4388" t="str">
        <x:v>STORE-001</x:v>
      </x:c>
      <x:c r="M4388" s="22" t="n">
        <x:v>46205</x:v>
      </x:c>
      <x:c r="N4388" t="str">
        <x:v>SKU-026</x:v>
      </x:c>
      <x:c r="O4388" t="n">
        <x:v>1</x:v>
      </x:c>
      <x:c r="P4388" s="26" t="n">
        <x:f>F4388/O4388</x:f>
        <x:v>30.47</x:v>
      </x:c>
    </x:row>
    <x:row r="4389">
      <x:c r="A4389" t="n">
        <x:v>4388</x:v>
      </x:c>
      <x:c r="B4389" t="n">
        <x:v>50</x:v>
      </x:c>
      <x:c r="C4389" t="str">
        <x:v>Male</x:v>
      </x:c>
      <x:c r="D4389" t="str">
        <x:v>Groceries</x:v>
      </x:c>
      <x:c r="E4389" t="str">
        <x:v>Rice Pack</x:v>
      </x:c>
      <x:c r="F4389" s="24" t="n">
        <x:v>10.5</x:v>
      </x:c>
      <x:c r="G4389" t="str">
        <x:v>Winter</x:v>
      </x:c>
      <x:c r="H4389" t="str">
        <x:v>Cash on Delivery</x:v>
      </x:c>
      <x:c r="I4389" t="n">
        <x:v>4.5</x:v>
      </x:c>
      <x:c r="J4389" t="n">
        <x:v>26</x:v>
      </x:c>
      <x:c r="K4389" t="n">
        <x:v>8</x:v>
      </x:c>
      <x:c r="L4389" t="str">
        <x:v>STORE-001</x:v>
      </x:c>
      <x:c r="M4389" s="22" t="n">
        <x:v>46239</x:v>
      </x:c>
      <x:c r="N4389" t="str">
        <x:v>SKU-018</x:v>
      </x:c>
      <x:c r="O4389" t="n">
        <x:v>1</x:v>
      </x:c>
      <x:c r="P4389" s="26" t="n">
        <x:f>F4389/O4389</x:f>
        <x:v>10.5</x:v>
      </x:c>
    </x:row>
    <x:row r="4390">
      <x:c r="A4390" t="n">
        <x:v>4389</x:v>
      </x:c>
      <x:c r="B4390" t="n">
        <x:v>63</x:v>
      </x:c>
      <x:c r="C4390" t="str">
        <x:v>Male</x:v>
      </x:c>
      <x:c r="D4390" t="str">
        <x:v>Electronics</x:v>
      </x:c>
      <x:c r="E4390" t="str">
        <x:v>Headphones</x:v>
      </x:c>
      <x:c r="F4390" s="24" t="n">
        <x:v>2558.44</x:v>
      </x:c>
      <x:c r="G4390" t="str">
        <x:v>Spring</x:v>
      </x:c>
      <x:c r="H4390" t="str">
        <x:v>Card</x:v>
      </x:c>
      <x:c r="I4390" t="n">
        <x:v>4.2</x:v>
      </x:c>
      <x:c r="J4390" t="n">
        <x:v>6</x:v>
      </x:c>
      <x:c r="K4390" t="n">
        <x:v>3</x:v>
      </x:c>
      <x:c r="L4390" t="str">
        <x:v>STORE-001</x:v>
      </x:c>
      <x:c r="M4390" s="22" t="n">
        <x:v>45972</x:v>
      </x:c>
      <x:c r="N4390" t="str">
        <x:v>SKU-009</x:v>
      </x:c>
      <x:c r="O4390" t="n">
        <x:v>1</x:v>
      </x:c>
      <x:c r="P4390" s="26" t="n">
        <x:f>F4390/O4390</x:f>
        <x:v>2558.44</x:v>
      </x:c>
    </x:row>
    <x:row r="4391">
      <x:c r="A4391" t="n">
        <x:v>4390</x:v>
      </x:c>
      <x:c r="B4391" t="n">
        <x:v>58</x:v>
      </x:c>
      <x:c r="C4391" t="str">
        <x:v>Female</x:v>
      </x:c>
      <x:c r="D4391" t="str">
        <x:v>Womens Clothing</x:v>
      </x:c>
      <x:c r="E4391" t="str">
        <x:v>Jeans</x:v>
      </x:c>
      <x:c r="F4391" s="24" t="n">
        <x:v>32.71</x:v>
      </x:c>
      <x:c r="G4391" t="str">
        <x:v>Spring</x:v>
      </x:c>
      <x:c r="H4391" t="str">
        <x:v>Cash on Delivery</x:v>
      </x:c>
      <x:c r="I4391" t="n">
        <x:v>3.4</x:v>
      </x:c>
      <x:c r="J4391" t="n">
        <x:v>17</x:v>
      </x:c>
      <x:c r="K4391" t="n">
        <x:v>6</x:v>
      </x:c>
      <x:c r="L4391" t="str">
        <x:v>STORE-001</x:v>
      </x:c>
      <x:c r="M4391" s="22" t="n">
        <x:v>45966</x:v>
      </x:c>
      <x:c r="N4391" t="str">
        <x:v>SKU-011</x:v>
      </x:c>
      <x:c r="O4391" t="n">
        <x:v>1</x:v>
      </x:c>
      <x:c r="P4391" s="26" t="n">
        <x:f>F4391/O4391</x:f>
        <x:v>32.71</x:v>
      </x:c>
    </x:row>
    <x:row r="4392">
      <x:c r="A4392" t="n">
        <x:v>4391</x:v>
      </x:c>
      <x:c r="B4392" t="n">
        <x:v>25</x:v>
      </x:c>
      <x:c r="C4392" t="str">
        <x:v>Male</x:v>
      </x:c>
      <x:c r="D4392" t="str">
        <x:v>Sports</x:v>
      </x:c>
      <x:c r="E4392" t="str">
        <x:v>Football</x:v>
      </x:c>
      <x:c r="F4392" s="24" t="n">
        <x:v>203.65</x:v>
      </x:c>
      <x:c r="G4392" t="str">
        <x:v>Summer</x:v>
      </x:c>
      <x:c r="H4392" t="str">
        <x:v>Card</x:v>
      </x:c>
      <x:c r="I4392" t="n">
        <x:v>4.7</x:v>
      </x:c>
      <x:c r="J4392" t="n">
        <x:v>26</x:v>
      </x:c>
      <x:c r="K4392" t="n">
        <x:v>13</x:v>
      </x:c>
      <x:c r="L4392" t="str">
        <x:v>STORE-001</x:v>
      </x:c>
      <x:c r="M4392" s="22" t="n">
        <x:v>46057</x:v>
      </x:c>
      <x:c r="N4392" t="str">
        <x:v>SKU-006</x:v>
      </x:c>
      <x:c r="O4392" t="n">
        <x:v>1</x:v>
      </x:c>
      <x:c r="P4392" s="26" t="n">
        <x:f>F4392/O4392</x:f>
        <x:v>203.65</x:v>
      </x:c>
    </x:row>
    <x:row r="4393">
      <x:c r="A4393" t="n">
        <x:v>4392</x:v>
      </x:c>
      <x:c r="B4393" t="n">
        <x:v>66</x:v>
      </x:c>
      <x:c r="C4393" t="str">
        <x:v>Female</x:v>
      </x:c>
      <x:c r="D4393" t="str">
        <x:v>Home</x:v>
      </x:c>
      <x:c r="E4393" t="str">
        <x:v>Kitchen Set</x:v>
      </x:c>
      <x:c r="F4393" s="24" t="n">
        <x:v>186.33</x:v>
      </x:c>
      <x:c r="G4393" t="str">
        <x:v>Summer</x:v>
      </x:c>
      <x:c r="H4393" t="str">
        <x:v>Card</x:v>
      </x:c>
      <x:c r="I4393" t="n">
        <x:v>3.9</x:v>
      </x:c>
      <x:c r="J4393" t="n">
        <x:v>12</x:v>
      </x:c>
      <x:c r="K4393" t="n">
        <x:v>6</x:v>
      </x:c>
      <x:c r="L4393" t="str">
        <x:v>STORE-001</x:v>
      </x:c>
      <x:c r="M4393" s="22" t="n">
        <x:v>46028</x:v>
      </x:c>
      <x:c r="N4393" t="str">
        <x:v>SKU-012</x:v>
      </x:c>
      <x:c r="O4393" t="n">
        <x:v>2</x:v>
      </x:c>
      <x:c r="P4393" s="26" t="n">
        <x:f>F4393/O4393</x:f>
        <x:v>93.165</x:v>
      </x:c>
    </x:row>
    <x:row r="4394">
      <x:c r="A4394" t="n">
        <x:v>4393</x:v>
      </x:c>
      <x:c r="B4394" t="n">
        <x:v>63</x:v>
      </x:c>
      <x:c r="C4394" t="str">
        <x:v>Female</x:v>
      </x:c>
      <x:c r="D4394" t="str">
        <x:v>Sports</x:v>
      </x:c>
      <x:c r="E4394" t="str">
        <x:v>Yoga Mat</x:v>
      </x:c>
      <x:c r="F4394" s="24" t="n">
        <x:v>154.41</x:v>
      </x:c>
      <x:c r="G4394" t="str">
        <x:v>Autumn</x:v>
      </x:c>
      <x:c r="H4394" t="str">
        <x:v>Card</x:v>
      </x:c>
      <x:c r="I4394" t="n">
        <x:v>3.5</x:v>
      </x:c>
      <x:c r="J4394" t="n">
        <x:v>16</x:v>
      </x:c>
      <x:c r="K4394" t="n">
        <x:v>3</x:v>
      </x:c>
      <x:c r="L4394" t="str">
        <x:v>STORE-001</x:v>
      </x:c>
      <x:c r="M4394" s="22" t="n">
        <x:v>46093</x:v>
      </x:c>
      <x:c r="N4394" t="str">
        <x:v>SKU-030</x:v>
      </x:c>
      <x:c r="O4394" t="n">
        <x:v>2</x:v>
      </x:c>
      <x:c r="P4394" s="26" t="n">
        <x:f>F4394/O4394</x:f>
        <x:v>77.205</x:v>
      </x:c>
    </x:row>
    <x:row r="4395">
      <x:c r="A4395" t="n">
        <x:v>4394</x:v>
      </x:c>
      <x:c r="B4395" t="n">
        <x:v>70</x:v>
      </x:c>
      <x:c r="C4395" t="str">
        <x:v>Female</x:v>
      </x:c>
      <x:c r="D4395" t="str">
        <x:v>Beauty</x:v>
      </x:c>
      <x:c r="E4395" t="str">
        <x:v>Perfume</x:v>
      </x:c>
      <x:c r="F4395" s="24" t="n">
        <x:v>105.45</x:v>
      </x:c>
      <x:c r="G4395" t="str">
        <x:v>Autumn</x:v>
      </x:c>
      <x:c r="H4395" t="str">
        <x:v>Card</x:v>
      </x:c>
      <x:c r="I4395" t="n">
        <x:v>3.2</x:v>
      </x:c>
      <x:c r="J4395" t="n">
        <x:v>16</x:v>
      </x:c>
      <x:c r="K4395" t="n">
        <x:v>3</x:v>
      </x:c>
      <x:c r="L4395" t="str">
        <x:v>STORE-001</x:v>
      </x:c>
      <x:c r="M4395" s="22" t="n">
        <x:v>46112</x:v>
      </x:c>
      <x:c r="N4395" t="str">
        <x:v>SKU-017</x:v>
      </x:c>
      <x:c r="O4395" t="n">
        <x:v>1</x:v>
      </x:c>
      <x:c r="P4395" s="26" t="n">
        <x:f>F4395/O4395</x:f>
        <x:v>105.45</x:v>
      </x:c>
    </x:row>
    <x:row r="4396">
      <x:c r="A4396" t="n">
        <x:v>4395</x:v>
      </x:c>
      <x:c r="B4396" t="n">
        <x:v>28</x:v>
      </x:c>
      <x:c r="C4396" t="str">
        <x:v>Female</x:v>
      </x:c>
      <x:c r="D4396" t="str">
        <x:v>Groceries</x:v>
      </x:c>
      <x:c r="E4396" t="str">
        <x:v>Snacks</x:v>
      </x:c>
      <x:c r="F4396" s="24" t="n">
        <x:v>71.26</x:v>
      </x:c>
      <x:c r="G4396" t="str">
        <x:v>Autumn</x:v>
      </x:c>
      <x:c r="H4396" t="str">
        <x:v>Card</x:v>
      </x:c>
      <x:c r="I4396" t="n">
        <x:v>3.6</x:v>
      </x:c>
      <x:c r="J4396" t="n">
        <x:v>11</x:v>
      </x:c>
      <x:c r="K4396" t="n">
        <x:v>3</x:v>
      </x:c>
      <x:c r="L4396" t="str">
        <x:v>STORE-001</x:v>
      </x:c>
      <x:c r="M4396" s="22" t="n">
        <x:v>46132</x:v>
      </x:c>
      <x:c r="N4396" t="str">
        <x:v>SKU-024</x:v>
      </x:c>
      <x:c r="O4396" t="n">
        <x:v>1</x:v>
      </x:c>
      <x:c r="P4396" s="26" t="n">
        <x:f>F4396/O4396</x:f>
        <x:v>71.26</x:v>
      </x:c>
    </x:row>
    <x:row r="4397">
      <x:c r="A4397" t="n">
        <x:v>4396</x:v>
      </x:c>
      <x:c r="B4397" t="n">
        <x:v>28</x:v>
      </x:c>
      <x:c r="C4397" t="str">
        <x:v>Female</x:v>
      </x:c>
      <x:c r="D4397" t="str">
        <x:v>Footwear</x:v>
      </x:c>
      <x:c r="E4397" t="str">
        <x:v>Sneakers</x:v>
      </x:c>
      <x:c r="F4397" s="24" t="n">
        <x:v>210.09</x:v>
      </x:c>
      <x:c r="G4397" t="str">
        <x:v>Summer</x:v>
      </x:c>
      <x:c r="H4397" t="str">
        <x:v>Card</x:v>
      </x:c>
      <x:c r="I4397" t="n">
        <x:v>4.4</x:v>
      </x:c>
      <x:c r="J4397" t="n">
        <x:v>24</x:v>
      </x:c>
      <x:c r="K4397" t="n">
        <x:v>7</x:v>
      </x:c>
      <x:c r="L4397" t="str">
        <x:v>STORE-001</x:v>
      </x:c>
      <x:c r="M4397" s="22" t="n">
        <x:v>46081</x:v>
      </x:c>
      <x:c r="N4397" t="str">
        <x:v>SKU-025</x:v>
      </x:c>
      <x:c r="O4397" t="n">
        <x:v>1</x:v>
      </x:c>
      <x:c r="P4397" s="26" t="n">
        <x:f>F4397/O4397</x:f>
        <x:v>210.09</x:v>
      </x:c>
    </x:row>
    <x:row r="4398">
      <x:c r="A4398" t="n">
        <x:v>4397</x:v>
      </x:c>
      <x:c r="B4398" t="n">
        <x:v>36</x:v>
      </x:c>
      <x:c r="C4398" t="str">
        <x:v>Female</x:v>
      </x:c>
      <x:c r="D4398" t="str">
        <x:v>Beauty</x:v>
      </x:c>
      <x:c r="E4398" t="str">
        <x:v>Perfume</x:v>
      </x:c>
      <x:c r="F4398" s="24" t="n">
        <x:v>28.51</x:v>
      </x:c>
      <x:c r="G4398" t="str">
        <x:v>Spring</x:v>
      </x:c>
      <x:c r="H4398" t="str">
        <x:v>Card</x:v>
      </x:c>
      <x:c r="I4398" t="n">
        <x:v>2.9</x:v>
      </x:c>
      <x:c r="J4398" t="n">
        <x:v>16</x:v>
      </x:c>
      <x:c r="K4398" t="n">
        <x:v>3</x:v>
      </x:c>
      <x:c r="L4398" t="str">
        <x:v>STORE-001</x:v>
      </x:c>
      <x:c r="M4398" s="22" t="n">
        <x:v>45938</x:v>
      </x:c>
      <x:c r="N4398" t="str">
        <x:v>SKU-017</x:v>
      </x:c>
      <x:c r="O4398" t="n">
        <x:v>2</x:v>
      </x:c>
      <x:c r="P4398" s="26" t="n">
        <x:f>F4398/O4398</x:f>
        <x:v>14.255</x:v>
      </x:c>
    </x:row>
    <x:row r="4399">
      <x:c r="A4399" t="n">
        <x:v>4398</x:v>
      </x:c>
      <x:c r="B4399" t="n">
        <x:v>47</x:v>
      </x:c>
      <x:c r="C4399" t="str">
        <x:v>Female</x:v>
      </x:c>
      <x:c r="D4399" t="str">
        <x:v>Beauty</x:v>
      </x:c>
      <x:c r="E4399" t="str">
        <x:v>Skincare Kit</x:v>
      </x:c>
      <x:c r="F4399" s="24" t="n">
        <x:v>108.76</x:v>
      </x:c>
      <x:c r="G4399" t="str">
        <x:v>Spring</x:v>
      </x:c>
      <x:c r="H4399" t="str">
        <x:v>Card</x:v>
      </x:c>
      <x:c r="I4399" t="n">
        <x:v>3.7</x:v>
      </x:c>
      <x:c r="J4399" t="n">
        <x:v>6</x:v>
      </x:c>
      <x:c r="K4399" t="n">
        <x:v>3</x:v>
      </x:c>
      <x:c r="L4399" t="str">
        <x:v>STORE-001</x:v>
      </x:c>
      <x:c r="M4399" s="22" t="n">
        <x:v>46272</x:v>
      </x:c>
      <x:c r="N4399" t="str">
        <x:v>SKU-021</x:v>
      </x:c>
      <x:c r="O4399" t="n">
        <x:v>1</x:v>
      </x:c>
      <x:c r="P4399" s="26" t="n">
        <x:f>F4399/O4399</x:f>
        <x:v>108.76</x:v>
      </x:c>
    </x:row>
    <x:row r="4400">
      <x:c r="A4400" t="n">
        <x:v>4399</x:v>
      </x:c>
      <x:c r="B4400" t="n">
        <x:v>25</x:v>
      </x:c>
      <x:c r="C4400" t="str">
        <x:v>Female</x:v>
      </x:c>
      <x:c r="D4400" t="str">
        <x:v>Footwear</x:v>
      </x:c>
      <x:c r="E4400" t="str">
        <x:v>Sneakers</x:v>
      </x:c>
      <x:c r="F4400" s="24" t="n">
        <x:v>248.94</x:v>
      </x:c>
      <x:c r="G4400" t="str">
        <x:v>Autumn</x:v>
      </x:c>
      <x:c r="H4400" t="str">
        <x:v>Card</x:v>
      </x:c>
      <x:c r="I4400" t="n">
        <x:v>2.5</x:v>
      </x:c>
      <x:c r="J4400" t="n">
        <x:v>18</x:v>
      </x:c>
      <x:c r="K4400" t="n">
        <x:v>4</x:v>
      </x:c>
      <x:c r="L4400" t="str">
        <x:v>STORE-001</x:v>
      </x:c>
      <x:c r="M4400" s="22" t="n">
        <x:v>46152</x:v>
      </x:c>
      <x:c r="N4400" t="str">
        <x:v>SKU-025</x:v>
      </x:c>
      <x:c r="O4400" t="n">
        <x:v>2</x:v>
      </x:c>
      <x:c r="P4400" s="26" t="n">
        <x:f>F4400/O4400</x:f>
        <x:v>124.47</x:v>
      </x:c>
    </x:row>
    <x:row r="4401">
      <x:c r="A4401" t="n">
        <x:v>4400</x:v>
      </x:c>
      <x:c r="B4401" t="n">
        <x:v>55</x:v>
      </x:c>
      <x:c r="C4401" t="str">
        <x:v>Male</x:v>
      </x:c>
      <x:c r="D4401" t="str">
        <x:v>Mens Clothing</x:v>
      </x:c>
      <x:c r="E4401" t="str">
        <x:v>Shirt</x:v>
      </x:c>
      <x:c r="F4401" s="24" t="n">
        <x:v>178.99</x:v>
      </x:c>
      <x:c r="G4401" t="str">
        <x:v>Spring</x:v>
      </x:c>
      <x:c r="H4401" t="str">
        <x:v>Card</x:v>
      </x:c>
      <x:c r="I4401" t="n">
        <x:v>5</x:v>
      </x:c>
      <x:c r="J4401" t="n">
        <x:v>8</x:v>
      </x:c>
      <x:c r="K4401" t="n">
        <x:v>4</x:v>
      </x:c>
      <x:c r="L4401" t="str">
        <x:v>STORE-001</x:v>
      </x:c>
      <x:c r="M4401" s="22" t="n">
        <x:v>46280</x:v>
      </x:c>
      <x:c r="N4401" t="str">
        <x:v>SKU-020</x:v>
      </x:c>
      <x:c r="O4401" t="n">
        <x:v>1</x:v>
      </x:c>
      <x:c r="P4401" s="26" t="n">
        <x:f>F4401/O4401</x:f>
        <x:v>178.99</x:v>
      </x:c>
    </x:row>
    <x:row r="4402">
      <x:c r="A4402" t="n">
        <x:v>4401</x:v>
      </x:c>
      <x:c r="B4402" t="n">
        <x:v>22</x:v>
      </x:c>
      <x:c r="C4402" t="str">
        <x:v>Female</x:v>
      </x:c>
      <x:c r="D4402" t="str">
        <x:v>Groceries</x:v>
      </x:c>
      <x:c r="E4402" t="str">
        <x:v>Snacks</x:v>
      </x:c>
      <x:c r="F4402" s="24" t="n">
        <x:v>64.91</x:v>
      </x:c>
      <x:c r="G4402" t="str">
        <x:v>Spring</x:v>
      </x:c>
      <x:c r="H4402" t="str">
        <x:v>Cash on Delivery</x:v>
      </x:c>
      <x:c r="I4402" t="n">
        <x:v>2.9</x:v>
      </x:c>
      <x:c r="J4402" t="n">
        <x:v>15</x:v>
      </x:c>
      <x:c r="K4402" t="n">
        <x:v>5</x:v>
      </x:c>
      <x:c r="L4402" t="str">
        <x:v>STORE-001</x:v>
      </x:c>
      <x:c r="M4402" s="22" t="n">
        <x:v>45941</x:v>
      </x:c>
      <x:c r="N4402" t="str">
        <x:v>SKU-024</x:v>
      </x:c>
      <x:c r="O4402" t="n">
        <x:v>2</x:v>
      </x:c>
      <x:c r="P4402" s="26" t="n">
        <x:f>F4402/O4402</x:f>
        <x:v>32.455</x:v>
      </x:c>
    </x:row>
    <x:row r="4403">
      <x:c r="A4403" t="n">
        <x:v>4402</x:v>
      </x:c>
      <x:c r="B4403" t="n">
        <x:v>55</x:v>
      </x:c>
      <x:c r="C4403" t="str">
        <x:v>Male</x:v>
      </x:c>
      <x:c r="D4403" t="str">
        <x:v>Electronics</x:v>
      </x:c>
      <x:c r="E4403" t="str">
        <x:v>Smart Watch</x:v>
      </x:c>
      <x:c r="F4403" s="24" t="n">
        <x:v>1774.32</x:v>
      </x:c>
      <x:c r="G4403" t="str">
        <x:v>Summer</x:v>
      </x:c>
      <x:c r="H4403" t="str">
        <x:v>Card</x:v>
      </x:c>
      <x:c r="I4403" t="n">
        <x:v>4</x:v>
      </x:c>
      <x:c r="J4403" t="n">
        <x:v>26</x:v>
      </x:c>
      <x:c r="K4403" t="n">
        <x:v>8</x:v>
      </x:c>
      <x:c r="L4403" t="str">
        <x:v>STORE-001</x:v>
      </x:c>
      <x:c r="M4403" s="22" t="n">
        <x:v>46068</x:v>
      </x:c>
      <x:c r="N4403" t="str">
        <x:v>SKU-023</x:v>
      </x:c>
      <x:c r="O4403" t="n">
        <x:v>1</x:v>
      </x:c>
      <x:c r="P4403" s="26" t="n">
        <x:f>F4403/O4403</x:f>
        <x:v>1774.32</x:v>
      </x:c>
    </x:row>
    <x:row r="4404">
      <x:c r="A4404" t="n">
        <x:v>4403</x:v>
      </x:c>
      <x:c r="B4404" t="n">
        <x:v>25</x:v>
      </x:c>
      <x:c r="C4404" t="str">
        <x:v>Male</x:v>
      </x:c>
      <x:c r="D4404" t="str">
        <x:v>Mens Clothing</x:v>
      </x:c>
      <x:c r="E4404" t="str">
        <x:v>Shirt</x:v>
      </x:c>
      <x:c r="F4404" s="24" t="n">
        <x:v>173.88</x:v>
      </x:c>
      <x:c r="G4404" t="str">
        <x:v>Spring</x:v>
      </x:c>
      <x:c r="H4404" t="str">
        <x:v>Card</x:v>
      </x:c>
      <x:c r="I4404" t="n">
        <x:v>4.4</x:v>
      </x:c>
      <x:c r="J4404" t="n">
        <x:v>21</x:v>
      </x:c>
      <x:c r="K4404" t="n">
        <x:v>8</x:v>
      </x:c>
      <x:c r="L4404" t="str">
        <x:v>STORE-001</x:v>
      </x:c>
      <x:c r="M4404" s="22" t="n">
        <x:v>46266</x:v>
      </x:c>
      <x:c r="N4404" t="str">
        <x:v>SKU-020</x:v>
      </x:c>
      <x:c r="O4404" t="n">
        <x:v>3</x:v>
      </x:c>
      <x:c r="P4404" s="26" t="n">
        <x:f>F4404/O4404</x:f>
        <x:v>57.96</x:v>
      </x:c>
    </x:row>
    <x:row r="4405">
      <x:c r="A4405" t="n">
        <x:v>4404</x:v>
      </x:c>
      <x:c r="B4405" t="n">
        <x:v>34</x:v>
      </x:c>
      <x:c r="C4405" t="str">
        <x:v>Male</x:v>
      </x:c>
      <x:c r="D4405" t="str">
        <x:v>Sports</x:v>
      </x:c>
      <x:c r="E4405" t="str">
        <x:v>Dumbbells</x:v>
      </x:c>
      <x:c r="F4405" s="24" t="n">
        <x:v>130.83</x:v>
      </x:c>
      <x:c r="G4405" t="str">
        <x:v>Spring</x:v>
      </x:c>
      <x:c r="H4405" t="str">
        <x:v>Card</x:v>
      </x:c>
      <x:c r="I4405" t="n">
        <x:v>3.6</x:v>
      </x:c>
      <x:c r="J4405" t="n">
        <x:v>20</x:v>
      </x:c>
      <x:c r="K4405" t="n">
        <x:v>5</x:v>
      </x:c>
      <x:c r="L4405" t="str">
        <x:v>STORE-001</x:v>
      </x:c>
      <x:c r="M4405" s="22" t="n">
        <x:v>45946</x:v>
      </x:c>
      <x:c r="N4405" t="str">
        <x:v>SKU-005</x:v>
      </x:c>
      <x:c r="O4405" t="n">
        <x:v>1</x:v>
      </x:c>
      <x:c r="P4405" s="26" t="n">
        <x:f>F4405/O4405</x:f>
        <x:v>130.83</x:v>
      </x:c>
    </x:row>
    <x:row r="4406">
      <x:c r="A4406" t="n">
        <x:v>4405</x:v>
      </x:c>
      <x:c r="B4406" t="n">
        <x:v>39</x:v>
      </x:c>
      <x:c r="C4406" t="str">
        <x:v>Female</x:v>
      </x:c>
      <x:c r="D4406" t="str">
        <x:v>Accessories</x:v>
      </x:c>
      <x:c r="E4406" t="str">
        <x:v>Wallet</x:v>
      </x:c>
      <x:c r="F4406" s="24" t="n">
        <x:v>47.44</x:v>
      </x:c>
      <x:c r="G4406" t="str">
        <x:v>Summer</x:v>
      </x:c>
      <x:c r="H4406" t="str">
        <x:v>Card</x:v>
      </x:c>
      <x:c r="I4406" t="n">
        <x:v>3.8</x:v>
      </x:c>
      <x:c r="J4406" t="n">
        <x:v>15</x:v>
      </x:c>
      <x:c r="K4406" t="n">
        <x:v>5</x:v>
      </x:c>
      <x:c r="L4406" t="str">
        <x:v>STORE-001</x:v>
      </x:c>
      <x:c r="M4406" s="22" t="n">
        <x:v>46025</x:v>
      </x:c>
      <x:c r="N4406" t="str">
        <x:v>SKU-029</x:v>
      </x:c>
      <x:c r="O4406" t="n">
        <x:v>1</x:v>
      </x:c>
      <x:c r="P4406" s="26" t="n">
        <x:f>F4406/O4406</x:f>
        <x:v>47.44</x:v>
      </x:c>
    </x:row>
    <x:row r="4407">
      <x:c r="A4407" t="n">
        <x:v>4406</x:v>
      </x:c>
      <x:c r="B4407" t="n">
        <x:v>65</x:v>
      </x:c>
      <x:c r="C4407" t="str">
        <x:v>Male</x:v>
      </x:c>
      <x:c r="D4407" t="str">
        <x:v>Mens Clothing</x:v>
      </x:c>
      <x:c r="E4407" t="str">
        <x:v>Jeans</x:v>
      </x:c>
      <x:c r="F4407" s="24" t="n">
        <x:v>76.94</x:v>
      </x:c>
      <x:c r="G4407" t="str">
        <x:v>Spring</x:v>
      </x:c>
      <x:c r="H4407" t="str">
        <x:v>Card</x:v>
      </x:c>
      <x:c r="I4407" t="n">
        <x:v>3.9</x:v>
      </x:c>
      <x:c r="J4407" t="n">
        <x:v>16</x:v>
      </x:c>
      <x:c r="K4407" t="n">
        <x:v>8</x:v>
      </x:c>
      <x:c r="L4407" t="str">
        <x:v>STORE-001</x:v>
      </x:c>
      <x:c r="M4407" s="22" t="n">
        <x:v>46287</x:v>
      </x:c>
      <x:c r="N4407" t="str">
        <x:v>SKU-011</x:v>
      </x:c>
      <x:c r="O4407" t="n">
        <x:v>1</x:v>
      </x:c>
      <x:c r="P4407" s="26" t="n">
        <x:f>F4407/O4407</x:f>
        <x:v>76.94</x:v>
      </x:c>
    </x:row>
    <x:row r="4408">
      <x:c r="A4408" t="n">
        <x:v>4407</x:v>
      </x:c>
      <x:c r="B4408" t="n">
        <x:v>51</x:v>
      </x:c>
      <x:c r="C4408" t="str">
        <x:v>Female</x:v>
      </x:c>
      <x:c r="D4408" t="str">
        <x:v>Footwear</x:v>
      </x:c>
      <x:c r="E4408" t="str">
        <x:v>Sneakers</x:v>
      </x:c>
      <x:c r="F4408" s="24" t="n">
        <x:v>79.66</x:v>
      </x:c>
      <x:c r="G4408" t="str">
        <x:v>Autumn</x:v>
      </x:c>
      <x:c r="H4408" t="str">
        <x:v>Card</x:v>
      </x:c>
      <x:c r="I4408" t="n">
        <x:v>3.8</x:v>
      </x:c>
      <x:c r="J4408" t="n">
        <x:v>2</x:v>
      </x:c>
      <x:c r="K4408" t="n">
        <x:v>1</x:v>
      </x:c>
      <x:c r="L4408" t="str">
        <x:v>STORE-001</x:v>
      </x:c>
      <x:c r="M4408" s="22" t="n">
        <x:v>46103</x:v>
      </x:c>
      <x:c r="N4408" t="str">
        <x:v>SKU-025</x:v>
      </x:c>
      <x:c r="O4408" t="n">
        <x:v>1</x:v>
      </x:c>
      <x:c r="P4408" s="26" t="n">
        <x:f>F4408/O4408</x:f>
        <x:v>79.66</x:v>
      </x:c>
    </x:row>
    <x:row r="4409">
      <x:c r="A4409" t="n">
        <x:v>4408</x:v>
      </x:c>
      <x:c r="B4409" t="n">
        <x:v>52</x:v>
      </x:c>
      <x:c r="C4409" t="str">
        <x:v>Male</x:v>
      </x:c>
      <x:c r="D4409" t="str">
        <x:v>Footwear</x:v>
      </x:c>
      <x:c r="E4409" t="str">
        <x:v>Sneakers</x:v>
      </x:c>
      <x:c r="F4409" s="24" t="n">
        <x:v>91.9</x:v>
      </x:c>
      <x:c r="G4409" t="str">
        <x:v>Winter</x:v>
      </x:c>
      <x:c r="H4409" t="str">
        <x:v>Cash on Delivery</x:v>
      </x:c>
      <x:c r="I4409" t="n">
        <x:v>2.5</x:v>
      </x:c>
      <x:c r="J4409" t="n">
        <x:v>8</x:v>
      </x:c>
      <x:c r="K4409" t="n">
        <x:v>4</x:v>
      </x:c>
      <x:c r="L4409" t="str">
        <x:v>STORE-001</x:v>
      </x:c>
      <x:c r="M4409" s="22" t="n">
        <x:v>46180</x:v>
      </x:c>
      <x:c r="N4409" t="str">
        <x:v>SKU-025</x:v>
      </x:c>
      <x:c r="O4409" t="n">
        <x:v>2</x:v>
      </x:c>
      <x:c r="P4409" s="26" t="n">
        <x:f>F4409/O4409</x:f>
        <x:v>45.95</x:v>
      </x:c>
    </x:row>
    <x:row r="4410">
      <x:c r="A4410" t="n">
        <x:v>4409</x:v>
      </x:c>
      <x:c r="B4410" t="n">
        <x:v>48</x:v>
      </x:c>
      <x:c r="C4410" t="str">
        <x:v>Female</x:v>
      </x:c>
      <x:c r="D4410" t="str">
        <x:v>Footwear</x:v>
      </x:c>
      <x:c r="E4410" t="str">
        <x:v>Sandals</x:v>
      </x:c>
      <x:c r="F4410" s="24" t="n">
        <x:v>146.85</x:v>
      </x:c>
      <x:c r="G4410" t="str">
        <x:v>Spring</x:v>
      </x:c>
      <x:c r="H4410" t="str">
        <x:v>Card</x:v>
      </x:c>
      <x:c r="I4410" t="n">
        <x:v>3.5</x:v>
      </x:c>
      <x:c r="J4410" t="n">
        <x:v>11</x:v>
      </x:c>
      <x:c r="K4410" t="n">
        <x:v>3</x:v>
      </x:c>
      <x:c r="L4410" t="str">
        <x:v>STORE-001</x:v>
      </x:c>
      <x:c r="M4410" s="22" t="n">
        <x:v>45952</x:v>
      </x:c>
      <x:c r="N4410" t="str">
        <x:v>SKU-019</x:v>
      </x:c>
      <x:c r="O4410" t="n">
        <x:v>2</x:v>
      </x:c>
      <x:c r="P4410" s="26" t="n">
        <x:f>F4410/O4410</x:f>
        <x:v>73.425</x:v>
      </x:c>
    </x:row>
    <x:row r="4411">
      <x:c r="A4411" t="n">
        <x:v>4410</x:v>
      </x:c>
      <x:c r="B4411" t="n">
        <x:v>25</x:v>
      </x:c>
      <x:c r="C4411" t="str">
        <x:v>Female</x:v>
      </x:c>
      <x:c r="D4411" t="str">
        <x:v>Accessories</x:v>
      </x:c>
      <x:c r="E4411" t="str">
        <x:v>Handbag</x:v>
      </x:c>
      <x:c r="F4411" s="24" t="n">
        <x:v>100.99</x:v>
      </x:c>
      <x:c r="G4411" t="str">
        <x:v>Autumn</x:v>
      </x:c>
      <x:c r="H4411" t="str">
        <x:v>Card</x:v>
      </x:c>
      <x:c r="I4411" t="n">
        <x:v>3.5</x:v>
      </x:c>
      <x:c r="J4411" t="n">
        <x:v>19</x:v>
      </x:c>
      <x:c r="K4411" t="n">
        <x:v>7</x:v>
      </x:c>
      <x:c r="L4411" t="str">
        <x:v>STORE-001</x:v>
      </x:c>
      <x:c r="M4411" s="22" t="n">
        <x:v>46097</x:v>
      </x:c>
      <x:c r="N4411" t="str">
        <x:v>SKU-008</x:v>
      </x:c>
      <x:c r="O4411" t="n">
        <x:v>1</x:v>
      </x:c>
      <x:c r="P4411" s="26" t="n">
        <x:f>F4411/O4411</x:f>
        <x:v>100.99</x:v>
      </x:c>
    </x:row>
    <x:row r="4412">
      <x:c r="A4412" t="n">
        <x:v>4411</x:v>
      </x:c>
      <x:c r="B4412" t="n">
        <x:v>35</x:v>
      </x:c>
      <x:c r="C4412" t="str">
        <x:v>Male</x:v>
      </x:c>
      <x:c r="D4412" t="str">
        <x:v>Electronics</x:v>
      </x:c>
      <x:c r="E4412" t="str">
        <x:v>Laptop</x:v>
      </x:c>
      <x:c r="F4412" s="24" t="n">
        <x:v>2272.7</x:v>
      </x:c>
      <x:c r="G4412" t="str">
        <x:v>Winter</x:v>
      </x:c>
      <x:c r="H4412" t="str">
        <x:v>Card</x:v>
      </x:c>
      <x:c r="I4412" t="n">
        <x:v>2.3</x:v>
      </x:c>
      <x:c r="J4412" t="n">
        <x:v>14</x:v>
      </x:c>
      <x:c r="K4412" t="n">
        <x:v>7</x:v>
      </x:c>
      <x:c r="L4412" t="str">
        <x:v>STORE-001</x:v>
      </x:c>
      <x:c r="M4412" s="22" t="n">
        <x:v>46225</x:v>
      </x:c>
      <x:c r="N4412" t="str">
        <x:v>SKU-014</x:v>
      </x:c>
      <x:c r="O4412" t="n">
        <x:v>1</x:v>
      </x:c>
      <x:c r="P4412" s="26" t="n">
        <x:f>F4412/O4412</x:f>
        <x:v>2272.7</x:v>
      </x:c>
    </x:row>
    <x:row r="4413">
      <x:c r="A4413" t="n">
        <x:v>4412</x:v>
      </x:c>
      <x:c r="B4413" t="n">
        <x:v>42</x:v>
      </x:c>
      <x:c r="C4413" t="str">
        <x:v>Male</x:v>
      </x:c>
      <x:c r="D4413" t="str">
        <x:v>Electronics</x:v>
      </x:c>
      <x:c r="E4413" t="str">
        <x:v>Mobile Phone</x:v>
      </x:c>
      <x:c r="F4413" s="24" t="n">
        <x:v>783.29</x:v>
      </x:c>
      <x:c r="G4413" t="str">
        <x:v>Winter</x:v>
      </x:c>
      <x:c r="H4413" t="str">
        <x:v>Card</x:v>
      </x:c>
      <x:c r="I4413" t="n">
        <x:v>3.6</x:v>
      </x:c>
      <x:c r="J4413" t="n">
        <x:v>20</x:v>
      </x:c>
      <x:c r="K4413" t="n">
        <x:v>5</x:v>
      </x:c>
      <x:c r="L4413" t="str">
        <x:v>STORE-001</x:v>
      </x:c>
      <x:c r="M4413" s="22" t="n">
        <x:v>46220</x:v>
      </x:c>
      <x:c r="N4413" t="str">
        <x:v>SKU-016</x:v>
      </x:c>
      <x:c r="O4413" t="n">
        <x:v>1</x:v>
      </x:c>
      <x:c r="P4413" s="26" t="n">
        <x:f>F4413/O4413</x:f>
        <x:v>783.29</x:v>
      </x:c>
    </x:row>
    <x:row r="4414">
      <x:c r="A4414" t="n">
        <x:v>4413</x:v>
      </x:c>
      <x:c r="B4414" t="n">
        <x:v>46</x:v>
      </x:c>
      <x:c r="C4414" t="str">
        <x:v>Male</x:v>
      </x:c>
      <x:c r="D4414" t="str">
        <x:v>Sports</x:v>
      </x:c>
      <x:c r="E4414" t="str">
        <x:v>Yoga Mat</x:v>
      </x:c>
      <x:c r="F4414" s="24" t="n">
        <x:v>125.6</x:v>
      </x:c>
      <x:c r="G4414" t="str">
        <x:v>Spring</x:v>
      </x:c>
      <x:c r="H4414" t="str">
        <x:v>Card</x:v>
      </x:c>
      <x:c r="I4414" t="n">
        <x:v>1.8</x:v>
      </x:c>
      <x:c r="J4414" t="n">
        <x:v>10</x:v>
      </x:c>
      <x:c r="K4414" t="n">
        <x:v>5</x:v>
      </x:c>
      <x:c r="L4414" t="str">
        <x:v>STORE-001</x:v>
      </x:c>
      <x:c r="M4414" s="22" t="n">
        <x:v>46286</x:v>
      </x:c>
      <x:c r="N4414" t="str">
        <x:v>SKU-030</x:v>
      </x:c>
      <x:c r="O4414" t="n">
        <x:v>1</x:v>
      </x:c>
      <x:c r="P4414" s="26" t="n">
        <x:f>F4414/O4414</x:f>
        <x:v>125.6</x:v>
      </x:c>
    </x:row>
    <x:row r="4415">
      <x:c r="A4415" t="n">
        <x:v>4414</x:v>
      </x:c>
      <x:c r="B4415" t="n">
        <x:v>21</x:v>
      </x:c>
      <x:c r="C4415" t="str">
        <x:v>Male</x:v>
      </x:c>
      <x:c r="D4415" t="str">
        <x:v>Footwear</x:v>
      </x:c>
      <x:c r="E4415" t="str">
        <x:v>Formal Shoes</x:v>
      </x:c>
      <x:c r="F4415" s="24" t="n">
        <x:v>151.15</x:v>
      </x:c>
      <x:c r="G4415" t="str">
        <x:v>Summer</x:v>
      </x:c>
      <x:c r="H4415" t="str">
        <x:v>Card</x:v>
      </x:c>
      <x:c r="I4415" t="n">
        <x:v>4.2</x:v>
      </x:c>
      <x:c r="J4415" t="n">
        <x:v>9</x:v>
      </x:c>
      <x:c r="K4415" t="n">
        <x:v>2</x:v>
      </x:c>
      <x:c r="L4415" t="str">
        <x:v>STORE-001</x:v>
      </x:c>
      <x:c r="M4415" s="22" t="n">
        <x:v>46018</x:v>
      </x:c>
      <x:c r="N4415" t="str">
        <x:v>SKU-007</x:v>
      </x:c>
      <x:c r="O4415" t="n">
        <x:v>1</x:v>
      </x:c>
      <x:c r="P4415" s="26" t="n">
        <x:f>F4415/O4415</x:f>
        <x:v>151.15</x:v>
      </x:c>
    </x:row>
    <x:row r="4416">
      <x:c r="A4416" t="n">
        <x:v>4415</x:v>
      </x:c>
      <x:c r="B4416" t="n">
        <x:v>22</x:v>
      </x:c>
      <x:c r="C4416" t="str">
        <x:v>Female</x:v>
      </x:c>
      <x:c r="D4416" t="str">
        <x:v>Beauty</x:v>
      </x:c>
      <x:c r="E4416" t="str">
        <x:v>Makeup Set</x:v>
      </x:c>
      <x:c r="F4416" s="24" t="n">
        <x:v>116.28</x:v>
      </x:c>
      <x:c r="G4416" t="str">
        <x:v>Summer</x:v>
      </x:c>
      <x:c r="H4416" t="str">
        <x:v>Card</x:v>
      </x:c>
      <x:c r="I4416" t="n">
        <x:v>4.2</x:v>
      </x:c>
      <x:c r="J4416" t="n">
        <x:v>12</x:v>
      </x:c>
      <x:c r="K4416" t="n">
        <x:v>6</x:v>
      </x:c>
      <x:c r="L4416" t="str">
        <x:v>STORE-001</x:v>
      </x:c>
      <x:c r="M4416" s="22" t="n">
        <x:v>46047</x:v>
      </x:c>
      <x:c r="N4416" t="str">
        <x:v>SKU-015</x:v>
      </x:c>
      <x:c r="O4416" t="n">
        <x:v>1</x:v>
      </x:c>
      <x:c r="P4416" s="26" t="n">
        <x:f>F4416/O4416</x:f>
        <x:v>116.28</x:v>
      </x:c>
    </x:row>
    <x:row r="4417">
      <x:c r="A4417" t="n">
        <x:v>4416</x:v>
      </x:c>
      <x:c r="B4417" t="n">
        <x:v>53</x:v>
      </x:c>
      <x:c r="C4417" t="str">
        <x:v>Female</x:v>
      </x:c>
      <x:c r="D4417" t="str">
        <x:v>Groceries</x:v>
      </x:c>
      <x:c r="E4417" t="str">
        <x:v>Snacks</x:v>
      </x:c>
      <x:c r="F4417" s="24" t="n">
        <x:v>46.85</x:v>
      </x:c>
      <x:c r="G4417" t="str">
        <x:v>Winter</x:v>
      </x:c>
      <x:c r="H4417" t="str">
        <x:v>Cash on Delivery</x:v>
      </x:c>
      <x:c r="I4417" t="n">
        <x:v>3</x:v>
      </x:c>
      <x:c r="J4417" t="n">
        <x:v>18</x:v>
      </x:c>
      <x:c r="K4417" t="n">
        <x:v>4</x:v>
      </x:c>
      <x:c r="L4417" t="str">
        <x:v>STORE-001</x:v>
      </x:c>
      <x:c r="M4417" s="22" t="n">
        <x:v>46208</x:v>
      </x:c>
      <x:c r="N4417" t="str">
        <x:v>SKU-024</x:v>
      </x:c>
      <x:c r="O4417" t="n">
        <x:v>1</x:v>
      </x:c>
      <x:c r="P4417" s="26" t="n">
        <x:f>F4417/O4417</x:f>
        <x:v>46.85</x:v>
      </x:c>
    </x:row>
    <x:row r="4418">
      <x:c r="A4418" t="n">
        <x:v>4417</x:v>
      </x:c>
      <x:c r="B4418" t="n">
        <x:v>26</x:v>
      </x:c>
      <x:c r="C4418" t="str">
        <x:v>Male</x:v>
      </x:c>
      <x:c r="D4418" t="str">
        <x:v>Electronics</x:v>
      </x:c>
      <x:c r="E4418" t="str">
        <x:v>Smart Watch</x:v>
      </x:c>
      <x:c r="F4418" s="24" t="n">
        <x:v>2162.23</x:v>
      </x:c>
      <x:c r="G4418" t="str">
        <x:v>Spring</x:v>
      </x:c>
      <x:c r="H4418" t="str">
        <x:v>Card</x:v>
      </x:c>
      <x:c r="I4418" t="n">
        <x:v>4.1</x:v>
      </x:c>
      <x:c r="J4418" t="n">
        <x:v>4</x:v>
      </x:c>
      <x:c r="K4418" t="n">
        <x:v>2</x:v>
      </x:c>
      <x:c r="L4418" t="str">
        <x:v>STORE-001</x:v>
      </x:c>
      <x:c r="M4418" s="22" t="n">
        <x:v>45973</x:v>
      </x:c>
      <x:c r="N4418" t="str">
        <x:v>SKU-023</x:v>
      </x:c>
      <x:c r="O4418" t="n">
        <x:v>1</x:v>
      </x:c>
      <x:c r="P4418" s="26" t="n">
        <x:f>F4418/O4418</x:f>
        <x:v>2162.23</x:v>
      </x:c>
    </x:row>
    <x:row r="4419">
      <x:c r="A4419" t="n">
        <x:v>4418</x:v>
      </x:c>
      <x:c r="B4419" t="n">
        <x:v>29</x:v>
      </x:c>
      <x:c r="C4419" t="str">
        <x:v>Male</x:v>
      </x:c>
      <x:c r="D4419" t="str">
        <x:v>Mens Clothing</x:v>
      </x:c>
      <x:c r="E4419" t="str">
        <x:v>Jacket</x:v>
      </x:c>
      <x:c r="F4419" s="24" t="n">
        <x:v>99.56</x:v>
      </x:c>
      <x:c r="G4419" t="str">
        <x:v>Spring</x:v>
      </x:c>
      <x:c r="H4419" t="str">
        <x:v>Card</x:v>
      </x:c>
      <x:c r="I4419" t="n">
        <x:v>3</x:v>
      </x:c>
      <x:c r="J4419" t="n">
        <x:v>20</x:v>
      </x:c>
      <x:c r="K4419" t="n">
        <x:v>5</x:v>
      </x:c>
      <x:c r="L4419" t="str">
        <x:v>STORE-001</x:v>
      </x:c>
      <x:c r="M4419" s="22" t="n">
        <x:v>46278</x:v>
      </x:c>
      <x:c r="N4419" t="str">
        <x:v>SKU-010</x:v>
      </x:c>
      <x:c r="O4419" t="n">
        <x:v>1</x:v>
      </x:c>
      <x:c r="P4419" s="26" t="n">
        <x:f>F4419/O4419</x:f>
        <x:v>99.56</x:v>
      </x:c>
    </x:row>
    <x:row r="4420">
      <x:c r="A4420" t="n">
        <x:v>4419</x:v>
      </x:c>
      <x:c r="B4420" t="n">
        <x:v>22</x:v>
      </x:c>
      <x:c r="C4420" t="str">
        <x:v>Male</x:v>
      </x:c>
      <x:c r="D4420" t="str">
        <x:v>Electronics</x:v>
      </x:c>
      <x:c r="E4420" t="str">
        <x:v>Laptop</x:v>
      </x:c>
      <x:c r="F4420" s="24" t="n">
        <x:v>2633.36</x:v>
      </x:c>
      <x:c r="G4420" t="str">
        <x:v>Spring</x:v>
      </x:c>
      <x:c r="H4420" t="str">
        <x:v>Card</x:v>
      </x:c>
      <x:c r="I4420" t="n">
        <x:v>4.2</x:v>
      </x:c>
      <x:c r="J4420" t="n">
        <x:v>18</x:v>
      </x:c>
      <x:c r="K4420" t="n">
        <x:v>4</x:v>
      </x:c>
      <x:c r="L4420" t="str">
        <x:v>STORE-001</x:v>
      </x:c>
      <x:c r="M4420" s="22" t="n">
        <x:v>45981</x:v>
      </x:c>
      <x:c r="N4420" t="str">
        <x:v>SKU-014</x:v>
      </x:c>
      <x:c r="O4420" t="n">
        <x:v>2</x:v>
      </x:c>
      <x:c r="P4420" s="26" t="n">
        <x:f>F4420/O4420</x:f>
        <x:v>1316.68</x:v>
      </x:c>
    </x:row>
    <x:row r="4421">
      <x:c r="A4421" t="n">
        <x:v>4420</x:v>
      </x:c>
      <x:c r="B4421" t="n">
        <x:v>63</x:v>
      </x:c>
      <x:c r="C4421" t="str">
        <x:v>Female</x:v>
      </x:c>
      <x:c r="D4421" t="str">
        <x:v>Accessories</x:v>
      </x:c>
      <x:c r="E4421" t="str">
        <x:v>Sunglasses</x:v>
      </x:c>
      <x:c r="F4421" s="24" t="n">
        <x:v>132.84</x:v>
      </x:c>
      <x:c r="G4421" t="str">
        <x:v>Autumn</x:v>
      </x:c>
      <x:c r="H4421" t="str">
        <x:v>Card</x:v>
      </x:c>
      <x:c r="I4421" t="n">
        <x:v>4.1</x:v>
      </x:c>
      <x:c r="J4421" t="n">
        <x:v>20</x:v>
      </x:c>
      <x:c r="K4421" t="n">
        <x:v>5</x:v>
      </x:c>
      <x:c r="L4421" t="str">
        <x:v>STORE-001</x:v>
      </x:c>
      <x:c r="M4421" s="22" t="n">
        <x:v>46172</x:v>
      </x:c>
      <x:c r="N4421" t="str">
        <x:v>SKU-026</x:v>
      </x:c>
      <x:c r="O4421" t="n">
        <x:v>2</x:v>
      </x:c>
      <x:c r="P4421" s="26" t="n">
        <x:f>F4421/O4421</x:f>
        <x:v>66.42</x:v>
      </x:c>
    </x:row>
    <x:row r="4422">
      <x:c r="A4422" t="n">
        <x:v>4421</x:v>
      </x:c>
      <x:c r="B4422" t="n">
        <x:v>20</x:v>
      </x:c>
      <x:c r="C4422" t="str">
        <x:v>Female</x:v>
      </x:c>
      <x:c r="D4422" t="str">
        <x:v>Footwear</x:v>
      </x:c>
      <x:c r="E4422" t="str">
        <x:v>Sandals</x:v>
      </x:c>
      <x:c r="F4422" s="24" t="n">
        <x:v>161.07</x:v>
      </x:c>
      <x:c r="G4422" t="str">
        <x:v>Spring</x:v>
      </x:c>
      <x:c r="H4422" t="str">
        <x:v>Card</x:v>
      </x:c>
      <x:c r="I4422" t="n">
        <x:v>3.7</x:v>
      </x:c>
      <x:c r="J4422" t="n">
        <x:v>8</x:v>
      </x:c>
      <x:c r="K4422" t="n">
        <x:v>4</x:v>
      </x:c>
      <x:c r="L4422" t="str">
        <x:v>STORE-001</x:v>
      </x:c>
      <x:c r="M4422" s="22" t="n">
        <x:v>45965</x:v>
      </x:c>
      <x:c r="N4422" t="str">
        <x:v>SKU-019</x:v>
      </x:c>
      <x:c r="O4422" t="n">
        <x:v>3</x:v>
      </x:c>
      <x:c r="P4422" s="26" t="n">
        <x:f>F4422/O4422</x:f>
        <x:v>53.69</x:v>
      </x:c>
    </x:row>
    <x:row r="4423">
      <x:c r="A4423" t="n">
        <x:v>4422</x:v>
      </x:c>
      <x:c r="B4423" t="n">
        <x:v>50</x:v>
      </x:c>
      <x:c r="C4423" t="str">
        <x:v>Female</x:v>
      </x:c>
      <x:c r="D4423" t="str">
        <x:v>Beauty</x:v>
      </x:c>
      <x:c r="E4423" t="str">
        <x:v>Perfume</x:v>
      </x:c>
      <x:c r="F4423" s="24" t="n">
        <x:v>35.9</x:v>
      </x:c>
      <x:c r="G4423" t="str">
        <x:v>Autumn</x:v>
      </x:c>
      <x:c r="H4423" t="str">
        <x:v>Card</x:v>
      </x:c>
      <x:c r="I4423" t="n">
        <x:v>4.4</x:v>
      </x:c>
      <x:c r="J4423" t="n">
        <x:v>18</x:v>
      </x:c>
      <x:c r="K4423" t="n">
        <x:v>9</x:v>
      </x:c>
      <x:c r="L4423" t="str">
        <x:v>STORE-001</x:v>
      </x:c>
      <x:c r="M4423" s="22" t="n">
        <x:v>46119</x:v>
      </x:c>
      <x:c r="N4423" t="str">
        <x:v>SKU-017</x:v>
      </x:c>
      <x:c r="O4423" t="n">
        <x:v>1</x:v>
      </x:c>
      <x:c r="P4423" s="26" t="n">
        <x:f>F4423/O4423</x:f>
        <x:v>35.9</x:v>
      </x:c>
    </x:row>
    <x:row r="4424">
      <x:c r="A4424" t="n">
        <x:v>4423</x:v>
      </x:c>
      <x:c r="B4424" t="n">
        <x:v>54</x:v>
      </x:c>
      <x:c r="C4424" t="str">
        <x:v>Female</x:v>
      </x:c>
      <x:c r="D4424" t="str">
        <x:v>Womens Clothing</x:v>
      </x:c>
      <x:c r="E4424" t="str">
        <x:v>Dress</x:v>
      </x:c>
      <x:c r="F4424" s="24" t="n">
        <x:v>41.24</x:v>
      </x:c>
      <x:c r="G4424" t="str">
        <x:v>Autumn</x:v>
      </x:c>
      <x:c r="H4424" t="str">
        <x:v>Cash on Delivery</x:v>
      </x:c>
      <x:c r="I4424" t="n">
        <x:v>3.4</x:v>
      </x:c>
      <x:c r="J4424" t="n">
        <x:v>19</x:v>
      </x:c>
      <x:c r="K4424" t="n">
        <x:v>7</x:v>
      </x:c>
      <x:c r="L4424" t="str">
        <x:v>STORE-001</x:v>
      </x:c>
      <x:c r="M4424" s="22" t="n">
        <x:v>46153</x:v>
      </x:c>
      <x:c r="N4424" t="str">
        <x:v>SKU-004</x:v>
      </x:c>
      <x:c r="O4424" t="n">
        <x:v>2</x:v>
      </x:c>
      <x:c r="P4424" s="26" t="n">
        <x:f>F4424/O4424</x:f>
        <x:v>20.62</x:v>
      </x:c>
    </x:row>
    <x:row r="4425">
      <x:c r="A4425" t="n">
        <x:v>4424</x:v>
      </x:c>
      <x:c r="B4425" t="n">
        <x:v>45</x:v>
      </x:c>
      <x:c r="C4425" t="str">
        <x:v>Male</x:v>
      </x:c>
      <x:c r="D4425" t="str">
        <x:v>Sports</x:v>
      </x:c>
      <x:c r="E4425" t="str">
        <x:v>Dumbbells</x:v>
      </x:c>
      <x:c r="F4425" s="24" t="n">
        <x:v>160.08</x:v>
      </x:c>
      <x:c r="G4425" t="str">
        <x:v>Summer</x:v>
      </x:c>
      <x:c r="H4425" t="str">
        <x:v>Card</x:v>
      </x:c>
      <x:c r="I4425" t="n">
        <x:v>3.9</x:v>
      </x:c>
      <x:c r="J4425" t="n">
        <x:v>17</x:v>
      </x:c>
      <x:c r="K4425" t="n">
        <x:v>6</x:v>
      </x:c>
      <x:c r="L4425" t="str">
        <x:v>STORE-001</x:v>
      </x:c>
      <x:c r="M4425" s="22" t="n">
        <x:v>46071</x:v>
      </x:c>
      <x:c r="N4425" t="str">
        <x:v>SKU-005</x:v>
      </x:c>
      <x:c r="O4425" t="n">
        <x:v>1</x:v>
      </x:c>
      <x:c r="P4425" s="26" t="n">
        <x:f>F4425/O4425</x:f>
        <x:v>160.08</x:v>
      </x:c>
    </x:row>
    <x:row r="4426">
      <x:c r="A4426" t="n">
        <x:v>4425</x:v>
      </x:c>
      <x:c r="B4426" t="n">
        <x:v>59</x:v>
      </x:c>
      <x:c r="C4426" t="str">
        <x:v>Female</x:v>
      </x:c>
      <x:c r="D4426" t="str">
        <x:v>Accessories</x:v>
      </x:c>
      <x:c r="E4426" t="str">
        <x:v>Wallet</x:v>
      </x:c>
      <x:c r="F4426" s="24" t="n">
        <x:v>152.97</x:v>
      </x:c>
      <x:c r="G4426" t="str">
        <x:v>Winter</x:v>
      </x:c>
      <x:c r="H4426" t="str">
        <x:v>Card</x:v>
      </x:c>
      <x:c r="I4426" t="n">
        <x:v>3.5</x:v>
      </x:c>
      <x:c r="J4426" t="n">
        <x:v>17</x:v>
      </x:c>
      <x:c r="K4426" t="n">
        <x:v>6</x:v>
      </x:c>
      <x:c r="L4426" t="str">
        <x:v>STORE-001</x:v>
      </x:c>
      <x:c r="M4426" s="22" t="n">
        <x:v>46228</x:v>
      </x:c>
      <x:c r="N4426" t="str">
        <x:v>SKU-029</x:v>
      </x:c>
      <x:c r="O4426" t="n">
        <x:v>1</x:v>
      </x:c>
      <x:c r="P4426" s="26" t="n">
        <x:f>F4426/O4426</x:f>
        <x:v>152.97</x:v>
      </x:c>
    </x:row>
    <x:row r="4427">
      <x:c r="A4427" t="n">
        <x:v>4426</x:v>
      </x:c>
      <x:c r="B4427" t="n">
        <x:v>43</x:v>
      </x:c>
      <x:c r="C4427" t="str">
        <x:v>Female</x:v>
      </x:c>
      <x:c r="D4427" t="str">
        <x:v>Womens Clothing</x:v>
      </x:c>
      <x:c r="E4427" t="str">
        <x:v>Skirt</x:v>
      </x:c>
      <x:c r="F4427" s="24" t="n">
        <x:v>71.83</x:v>
      </x:c>
      <x:c r="G4427" t="str">
        <x:v>Summer</x:v>
      </x:c>
      <x:c r="H4427" t="str">
        <x:v>Cash on Delivery</x:v>
      </x:c>
      <x:c r="I4427" t="n">
        <x:v>4.1</x:v>
      </x:c>
      <x:c r="J4427" t="n">
        <x:v>12</x:v>
      </x:c>
      <x:c r="K4427" t="n">
        <x:v>6</x:v>
      </x:c>
      <x:c r="L4427" t="str">
        <x:v>STORE-001</x:v>
      </x:c>
      <x:c r="M4427" s="22" t="n">
        <x:v>46001</x:v>
      </x:c>
      <x:c r="N4427" t="str">
        <x:v>SKU-022</x:v>
      </x:c>
      <x:c r="O4427" t="n">
        <x:v>1</x:v>
      </x:c>
      <x:c r="P4427" s="26" t="n">
        <x:f>F4427/O4427</x:f>
        <x:v>71.83</x:v>
      </x:c>
    </x:row>
    <x:row r="4428">
      <x:c r="A4428" t="n">
        <x:v>4427</x:v>
      </x:c>
      <x:c r="B4428" t="n">
        <x:v>21</x:v>
      </x:c>
      <x:c r="C4428" t="str">
        <x:v>Female</x:v>
      </x:c>
      <x:c r="D4428" t="str">
        <x:v>Accessories</x:v>
      </x:c>
      <x:c r="E4428" t="str">
        <x:v>Handbag</x:v>
      </x:c>
      <x:c r="F4428" s="24" t="n">
        <x:v>95.84</x:v>
      </x:c>
      <x:c r="G4428" t="str">
        <x:v>Autumn</x:v>
      </x:c>
      <x:c r="H4428" t="str">
        <x:v>Cash on Delivery</x:v>
      </x:c>
      <x:c r="I4428" t="n">
        <x:v>4.3</x:v>
      </x:c>
      <x:c r="J4428" t="n">
        <x:v>22</x:v>
      </x:c>
      <x:c r="K4428" t="n">
        <x:v>6</x:v>
      </x:c>
      <x:c r="L4428" t="str">
        <x:v>STORE-001</x:v>
      </x:c>
      <x:c r="M4428" s="22" t="n">
        <x:v>46164</x:v>
      </x:c>
      <x:c r="N4428" t="str">
        <x:v>SKU-008</x:v>
      </x:c>
      <x:c r="O4428" t="n">
        <x:v>1</x:v>
      </x:c>
      <x:c r="P4428" s="26" t="n">
        <x:f>F4428/O4428</x:f>
        <x:v>95.84</x:v>
      </x:c>
    </x:row>
    <x:row r="4429">
      <x:c r="A4429" t="n">
        <x:v>4428</x:v>
      </x:c>
      <x:c r="B4429" t="n">
        <x:v>62</x:v>
      </x:c>
      <x:c r="C4429" t="str">
        <x:v>Male</x:v>
      </x:c>
      <x:c r="D4429" t="str">
        <x:v>Home</x:v>
      </x:c>
      <x:c r="E4429" t="str">
        <x:v>Curtains</x:v>
      </x:c>
      <x:c r="F4429" s="24" t="n">
        <x:v>38.66</x:v>
      </x:c>
      <x:c r="G4429" t="str">
        <x:v>Winter</x:v>
      </x:c>
      <x:c r="H4429" t="str">
        <x:v>Cash on Delivery</x:v>
      </x:c>
      <x:c r="I4429" t="n">
        <x:v>3.6</x:v>
      </x:c>
      <x:c r="J4429" t="n">
        <x:v>8</x:v>
      </x:c>
      <x:c r="K4429" t="n">
        <x:v>4</x:v>
      </x:c>
      <x:c r="L4429" t="str">
        <x:v>STORE-001</x:v>
      </x:c>
      <x:c r="M4429" s="22" t="n">
        <x:v>46221</x:v>
      </x:c>
      <x:c r="N4429" t="str">
        <x:v>SKU-003</x:v>
      </x:c>
      <x:c r="O4429" t="n">
        <x:v>1</x:v>
      </x:c>
      <x:c r="P4429" s="26" t="n">
        <x:f>F4429/O4429</x:f>
        <x:v>38.66</x:v>
      </x:c>
    </x:row>
    <x:row r="4430">
      <x:c r="A4430" t="n">
        <x:v>4429</x:v>
      </x:c>
      <x:c r="B4430" t="n">
        <x:v>44</x:v>
      </x:c>
      <x:c r="C4430" t="str">
        <x:v>Male</x:v>
      </x:c>
      <x:c r="D4430" t="str">
        <x:v>Electronics</x:v>
      </x:c>
      <x:c r="E4430" t="str">
        <x:v>Smart Watch</x:v>
      </x:c>
      <x:c r="F4430" s="24" t="n">
        <x:v>1769.68</x:v>
      </x:c>
      <x:c r="G4430" t="str">
        <x:v>Spring</x:v>
      </x:c>
      <x:c r="H4430" t="str">
        <x:v>Card</x:v>
      </x:c>
      <x:c r="I4430" t="n">
        <x:v>4.8</x:v>
      </x:c>
      <x:c r="J4430" t="n">
        <x:v>20</x:v>
      </x:c>
      <x:c r="K4430" t="n">
        <x:v>5</x:v>
      </x:c>
      <x:c r="L4430" t="str">
        <x:v>STORE-001</x:v>
      </x:c>
      <x:c r="M4430" s="22" t="n">
        <x:v>46273</x:v>
      </x:c>
      <x:c r="N4430" t="str">
        <x:v>SKU-023</x:v>
      </x:c>
      <x:c r="O4430" t="n">
        <x:v>2</x:v>
      </x:c>
      <x:c r="P4430" s="26" t="n">
        <x:f>F4430/O4430</x:f>
        <x:v>884.84</x:v>
      </x:c>
    </x:row>
    <x:row r="4431">
      <x:c r="A4431" t="n">
        <x:v>4430</x:v>
      </x:c>
      <x:c r="B4431" t="n">
        <x:v>44</x:v>
      </x:c>
      <x:c r="C4431" t="str">
        <x:v>Female</x:v>
      </x:c>
      <x:c r="D4431" t="str">
        <x:v>Footwear</x:v>
      </x:c>
      <x:c r="E4431" t="str">
        <x:v>Formal Shoes</x:v>
      </x:c>
      <x:c r="F4431" s="24" t="n">
        <x:v>103.11</x:v>
      </x:c>
      <x:c r="G4431" t="str">
        <x:v>Winter</x:v>
      </x:c>
      <x:c r="H4431" t="str">
        <x:v>Card</x:v>
      </x:c>
      <x:c r="I4431" t="n">
        <x:v>3.1</x:v>
      </x:c>
      <x:c r="J4431" t="n">
        <x:v>15</x:v>
      </x:c>
      <x:c r="K4431" t="n">
        <x:v>5</x:v>
      </x:c>
      <x:c r="L4431" t="str">
        <x:v>STORE-001</x:v>
      </x:c>
      <x:c r="M4431" s="22" t="n">
        <x:v>46253</x:v>
      </x:c>
      <x:c r="N4431" t="str">
        <x:v>SKU-007</x:v>
      </x:c>
      <x:c r="O4431" t="n">
        <x:v>2</x:v>
      </x:c>
      <x:c r="P4431" s="26" t="n">
        <x:f>F4431/O4431</x:f>
        <x:v>51.555</x:v>
      </x:c>
    </x:row>
    <x:row r="4432">
      <x:c r="A4432" t="n">
        <x:v>4431</x:v>
      </x:c>
      <x:c r="B4432" t="n">
        <x:v>45</x:v>
      </x:c>
      <x:c r="C4432" t="str">
        <x:v>Female</x:v>
      </x:c>
      <x:c r="D4432" t="str">
        <x:v>Footwear</x:v>
      </x:c>
      <x:c r="E4432" t="str">
        <x:v>Formal Shoes</x:v>
      </x:c>
      <x:c r="F4432" s="24" t="n">
        <x:v>118.28</x:v>
      </x:c>
      <x:c r="G4432" t="str">
        <x:v>Winter</x:v>
      </x:c>
      <x:c r="H4432" t="str">
        <x:v>Card</x:v>
      </x:c>
      <x:c r="I4432" t="n">
        <x:v>4</x:v>
      </x:c>
      <x:c r="J4432" t="n">
        <x:v>10</x:v>
      </x:c>
      <x:c r="K4432" t="n">
        <x:v>5</x:v>
      </x:c>
      <x:c r="L4432" t="str">
        <x:v>STORE-001</x:v>
      </x:c>
      <x:c r="M4432" s="22" t="n">
        <x:v>46259</x:v>
      </x:c>
      <x:c r="N4432" t="str">
        <x:v>SKU-007</x:v>
      </x:c>
      <x:c r="O4432" t="n">
        <x:v>1</x:v>
      </x:c>
      <x:c r="P4432" s="26" t="n">
        <x:f>F4432/O4432</x:f>
        <x:v>118.28</x:v>
      </x:c>
    </x:row>
    <x:row r="4433">
      <x:c r="A4433" t="n">
        <x:v>4432</x:v>
      </x:c>
      <x:c r="B4433" t="n">
        <x:v>37</x:v>
      </x:c>
      <x:c r="C4433" t="str">
        <x:v>Female</x:v>
      </x:c>
      <x:c r="D4433" t="str">
        <x:v>Accessories</x:v>
      </x:c>
      <x:c r="E4433" t="str">
        <x:v>Wallet</x:v>
      </x:c>
      <x:c r="F4433" s="24" t="n">
        <x:v>162.7</x:v>
      </x:c>
      <x:c r="G4433" t="str">
        <x:v>Winter</x:v>
      </x:c>
      <x:c r="H4433" t="str">
        <x:v>Card</x:v>
      </x:c>
      <x:c r="I4433" t="n">
        <x:v>3.5</x:v>
      </x:c>
      <x:c r="J4433" t="n">
        <x:v>19</x:v>
      </x:c>
      <x:c r="K4433" t="n">
        <x:v>7</x:v>
      </x:c>
      <x:c r="L4433" t="str">
        <x:v>STORE-001</x:v>
      </x:c>
      <x:c r="M4433" s="22" t="n">
        <x:v>46192</x:v>
      </x:c>
      <x:c r="N4433" t="str">
        <x:v>SKU-029</x:v>
      </x:c>
      <x:c r="O4433" t="n">
        <x:v>1</x:v>
      </x:c>
      <x:c r="P4433" s="26" t="n">
        <x:f>F4433/O4433</x:f>
        <x:v>162.7</x:v>
      </x:c>
    </x:row>
    <x:row r="4434">
      <x:c r="A4434" t="n">
        <x:v>4433</x:v>
      </x:c>
      <x:c r="B4434" t="n">
        <x:v>49</x:v>
      </x:c>
      <x:c r="C4434" t="str">
        <x:v>Male</x:v>
      </x:c>
      <x:c r="D4434" t="str">
        <x:v>Sports</x:v>
      </x:c>
      <x:c r="E4434" t="str">
        <x:v>Yoga Mat</x:v>
      </x:c>
      <x:c r="F4434" s="24" t="n">
        <x:v>75.76</x:v>
      </x:c>
      <x:c r="G4434" t="str">
        <x:v>Summer</x:v>
      </x:c>
      <x:c r="H4434" t="str">
        <x:v>Cash on Delivery</x:v>
      </x:c>
      <x:c r="I4434" t="n">
        <x:v>4.5</x:v>
      </x:c>
      <x:c r="J4434" t="n">
        <x:v>15</x:v>
      </x:c>
      <x:c r="K4434" t="n">
        <x:v>5</x:v>
      </x:c>
      <x:c r="L4434" t="str">
        <x:v>STORE-001</x:v>
      </x:c>
      <x:c r="M4434" s="22" t="n">
        <x:v>46019</x:v>
      </x:c>
      <x:c r="N4434" t="str">
        <x:v>SKU-030</x:v>
      </x:c>
      <x:c r="O4434" t="n">
        <x:v>3</x:v>
      </x:c>
      <x:c r="P4434" s="26" t="n">
        <x:f>F4434/O4434</x:f>
        <x:v>25.253333333333334</x:v>
      </x:c>
    </x:row>
    <x:row r="4435">
      <x:c r="A4435" t="n">
        <x:v>4434</x:v>
      </x:c>
      <x:c r="B4435" t="n">
        <x:v>63</x:v>
      </x:c>
      <x:c r="C4435" t="str">
        <x:v>Male</x:v>
      </x:c>
      <x:c r="D4435" t="str">
        <x:v>Sports</x:v>
      </x:c>
      <x:c r="E4435" t="str">
        <x:v>Dumbbells</x:v>
      </x:c>
      <x:c r="F4435" s="24" t="n">
        <x:v>234.8</x:v>
      </x:c>
      <x:c r="G4435" t="str">
        <x:v>Spring</x:v>
      </x:c>
      <x:c r="H4435" t="str">
        <x:v>Card</x:v>
      </x:c>
      <x:c r="I4435" t="n">
        <x:v>3.1</x:v>
      </x:c>
      <x:c r="J4435" t="n">
        <x:v>16</x:v>
      </x:c>
      <x:c r="K4435" t="n">
        <x:v>3</x:v>
      </x:c>
      <x:c r="L4435" t="str">
        <x:v>STORE-001</x:v>
      </x:c>
      <x:c r="M4435" s="22" t="n">
        <x:v>45986</x:v>
      </x:c>
      <x:c r="N4435" t="str">
        <x:v>SKU-005</x:v>
      </x:c>
      <x:c r="O4435" t="n">
        <x:v>2</x:v>
      </x:c>
      <x:c r="P4435" s="26" t="n">
        <x:f>F4435/O4435</x:f>
        <x:v>117.4</x:v>
      </x:c>
    </x:row>
    <x:row r="4436">
      <x:c r="A4436" t="n">
        <x:v>4435</x:v>
      </x:c>
      <x:c r="B4436" t="n">
        <x:v>25</x:v>
      </x:c>
      <x:c r="C4436" t="str">
        <x:v>Female</x:v>
      </x:c>
      <x:c r="D4436" t="str">
        <x:v>Footwear</x:v>
      </x:c>
      <x:c r="E4436" t="str">
        <x:v>Sandals</x:v>
      </x:c>
      <x:c r="F4436" s="24" t="n">
        <x:v>107.61</x:v>
      </x:c>
      <x:c r="G4436" t="str">
        <x:v>Summer</x:v>
      </x:c>
      <x:c r="H4436" t="str">
        <x:v>Card</x:v>
      </x:c>
      <x:c r="I4436" t="n">
        <x:v>4.8</x:v>
      </x:c>
      <x:c r="J4436" t="n">
        <x:v>17</x:v>
      </x:c>
      <x:c r="K4436" t="n">
        <x:v>6</x:v>
      </x:c>
      <x:c r="L4436" t="str">
        <x:v>STORE-001</x:v>
      </x:c>
      <x:c r="M4436" s="22" t="n">
        <x:v>46021</x:v>
      </x:c>
      <x:c r="N4436" t="str">
        <x:v>SKU-019</x:v>
      </x:c>
      <x:c r="O4436" t="n">
        <x:v>2</x:v>
      </x:c>
      <x:c r="P4436" s="26" t="n">
        <x:f>F4436/O4436</x:f>
        <x:v>53.805</x:v>
      </x:c>
    </x:row>
    <x:row r="4437">
      <x:c r="A4437" t="n">
        <x:v>4436</x:v>
      </x:c>
      <x:c r="B4437" t="n">
        <x:v>44</x:v>
      </x:c>
      <x:c r="C4437" t="str">
        <x:v>Male</x:v>
      </x:c>
      <x:c r="D4437" t="str">
        <x:v>Sports</x:v>
      </x:c>
      <x:c r="E4437" t="str">
        <x:v>Football</x:v>
      </x:c>
      <x:c r="F4437" s="24" t="n">
        <x:v>150.15</x:v>
      </x:c>
      <x:c r="G4437" t="str">
        <x:v>Spring</x:v>
      </x:c>
      <x:c r="H4437" t="str">
        <x:v>Card</x:v>
      </x:c>
      <x:c r="I4437" t="n">
        <x:v>3.5</x:v>
      </x:c>
      <x:c r="J4437" t="n">
        <x:v>20</x:v>
      </x:c>
      <x:c r="K4437" t="n">
        <x:v>5</x:v>
      </x:c>
      <x:c r="L4437" t="str">
        <x:v>STORE-001</x:v>
      </x:c>
      <x:c r="M4437" s="22" t="n">
        <x:v>46267</x:v>
      </x:c>
      <x:c r="N4437" t="str">
        <x:v>SKU-006</x:v>
      </x:c>
      <x:c r="O4437" t="n">
        <x:v>3</x:v>
      </x:c>
      <x:c r="P4437" s="26" t="n">
        <x:f>F4437/O4437</x:f>
        <x:v>50.050000000000004</x:v>
      </x:c>
    </x:row>
    <x:row r="4438">
      <x:c r="A4438" t="n">
        <x:v>4437</x:v>
      </x:c>
      <x:c r="B4438" t="n">
        <x:v>36</x:v>
      </x:c>
      <x:c r="C4438" t="str">
        <x:v>Male</x:v>
      </x:c>
      <x:c r="D4438" t="str">
        <x:v>Sports</x:v>
      </x:c>
      <x:c r="E4438" t="str">
        <x:v>Dumbbells</x:v>
      </x:c>
      <x:c r="F4438" s="24" t="n">
        <x:v>97.03</x:v>
      </x:c>
      <x:c r="G4438" t="str">
        <x:v>Summer</x:v>
      </x:c>
      <x:c r="H4438" t="str">
        <x:v>Card</x:v>
      </x:c>
      <x:c r="I4438" t="n">
        <x:v>3.4</x:v>
      </x:c>
      <x:c r="J4438" t="n">
        <x:v>6</x:v>
      </x:c>
      <x:c r="K4438" t="n">
        <x:v>3</x:v>
      </x:c>
      <x:c r="L4438" t="str">
        <x:v>STORE-001</x:v>
      </x:c>
      <x:c r="M4438" s="22" t="n">
        <x:v>46056</x:v>
      </x:c>
      <x:c r="N4438" t="str">
        <x:v>SKU-005</x:v>
      </x:c>
      <x:c r="O4438" t="n">
        <x:v>1</x:v>
      </x:c>
      <x:c r="P4438" s="26" t="n">
        <x:f>F4438/O4438</x:f>
        <x:v>97.03</x:v>
      </x:c>
    </x:row>
    <x:row r="4439">
      <x:c r="A4439" t="n">
        <x:v>4438</x:v>
      </x:c>
      <x:c r="B4439" t="n">
        <x:v>44</x:v>
      </x:c>
      <x:c r="C4439" t="str">
        <x:v>Female</x:v>
      </x:c>
      <x:c r="D4439" t="str">
        <x:v>Sports</x:v>
      </x:c>
      <x:c r="E4439" t="str">
        <x:v>Yoga Mat</x:v>
      </x:c>
      <x:c r="F4439" s="24" t="n">
        <x:v>129.12</x:v>
      </x:c>
      <x:c r="G4439" t="str">
        <x:v>Summer</x:v>
      </x:c>
      <x:c r="H4439" t="str">
        <x:v>Card</x:v>
      </x:c>
      <x:c r="I4439" t="n">
        <x:v>5</x:v>
      </x:c>
      <x:c r="J4439" t="n">
        <x:v>20</x:v>
      </x:c>
      <x:c r="K4439" t="n">
        <x:v>5</x:v>
      </x:c>
      <x:c r="L4439" t="str">
        <x:v>STORE-001</x:v>
      </x:c>
      <x:c r="M4439" s="22" t="n">
        <x:v>46026</x:v>
      </x:c>
      <x:c r="N4439" t="str">
        <x:v>SKU-030</x:v>
      </x:c>
      <x:c r="O4439" t="n">
        <x:v>1</x:v>
      </x:c>
      <x:c r="P4439" s="26" t="n">
        <x:f>F4439/O4439</x:f>
        <x:v>129.12</x:v>
      </x:c>
    </x:row>
    <x:row r="4440">
      <x:c r="A4440" t="n">
        <x:v>4439</x:v>
      </x:c>
      <x:c r="B4440" t="n">
        <x:v>31</x:v>
      </x:c>
      <x:c r="C4440" t="str">
        <x:v>Female</x:v>
      </x:c>
      <x:c r="D4440" t="str">
        <x:v>Footwear</x:v>
      </x:c>
      <x:c r="E4440" t="str">
        <x:v>Sandals</x:v>
      </x:c>
      <x:c r="F4440" s="24" t="n">
        <x:v>75.93</x:v>
      </x:c>
      <x:c r="G4440" t="str">
        <x:v>Autumn</x:v>
      </x:c>
      <x:c r="H4440" t="str">
        <x:v>Card</x:v>
      </x:c>
      <x:c r="I4440" t="n">
        <x:v>3.5</x:v>
      </x:c>
      <x:c r="J4440" t="n">
        <x:v>18</x:v>
      </x:c>
      <x:c r="K4440" t="n">
        <x:v>4</x:v>
      </x:c>
      <x:c r="L4440" t="str">
        <x:v>STORE-001</x:v>
      </x:c>
      <x:c r="M4440" s="22" t="n">
        <x:v>46111</x:v>
      </x:c>
      <x:c r="N4440" t="str">
        <x:v>SKU-019</x:v>
      </x:c>
      <x:c r="O4440" t="n">
        <x:v>1</x:v>
      </x:c>
      <x:c r="P4440" s="26" t="n">
        <x:f>F4440/O4440</x:f>
        <x:v>75.93</x:v>
      </x:c>
    </x:row>
    <x:row r="4441">
      <x:c r="A4441" t="n">
        <x:v>4440</x:v>
      </x:c>
      <x:c r="B4441" t="n">
        <x:v>46</x:v>
      </x:c>
      <x:c r="C4441" t="str">
        <x:v>Female</x:v>
      </x:c>
      <x:c r="D4441" t="str">
        <x:v>Womens Clothing</x:v>
      </x:c>
      <x:c r="E4441" t="str">
        <x:v>Top</x:v>
      </x:c>
      <x:c r="F4441" s="24" t="n">
        <x:v>181.75</x:v>
      </x:c>
      <x:c r="G4441" t="str">
        <x:v>Winter</x:v>
      </x:c>
      <x:c r="H4441" t="str">
        <x:v>Card</x:v>
      </x:c>
      <x:c r="I4441" t="n">
        <x:v>4.3</x:v>
      </x:c>
      <x:c r="J4441" t="n">
        <x:v>8</x:v>
      </x:c>
      <x:c r="K4441" t="n">
        <x:v>4</x:v>
      </x:c>
      <x:c r="L4441" t="str">
        <x:v>STORE-001</x:v>
      </x:c>
      <x:c r="M4441" s="22" t="n">
        <x:v>46201</x:v>
      </x:c>
      <x:c r="N4441" t="str">
        <x:v>SKU-028</x:v>
      </x:c>
      <x:c r="O4441" t="n">
        <x:v>1</x:v>
      </x:c>
      <x:c r="P4441" s="26" t="n">
        <x:f>F4441/O4441</x:f>
        <x:v>181.75</x:v>
      </x:c>
    </x:row>
    <x:row r="4442">
      <x:c r="A4442" t="n">
        <x:v>4441</x:v>
      </x:c>
      <x:c r="B4442" t="n">
        <x:v>43</x:v>
      </x:c>
      <x:c r="C4442" t="str">
        <x:v>Male</x:v>
      </x:c>
      <x:c r="D4442" t="str">
        <x:v>Electronics</x:v>
      </x:c>
      <x:c r="E4442" t="str">
        <x:v>Mobile Phone</x:v>
      </x:c>
      <x:c r="F4442" s="24" t="n">
        <x:v>1217.08</x:v>
      </x:c>
      <x:c r="G4442" t="str">
        <x:v>Spring</x:v>
      </x:c>
      <x:c r="H4442" t="str">
        <x:v>Card</x:v>
      </x:c>
      <x:c r="I4442" t="n">
        <x:v>4.6</x:v>
      </x:c>
      <x:c r="J4442" t="n">
        <x:v>20</x:v>
      </x:c>
      <x:c r="K4442" t="n">
        <x:v>5</x:v>
      </x:c>
      <x:c r="L4442" t="str">
        <x:v>STORE-001</x:v>
      </x:c>
      <x:c r="M4442" s="22" t="n">
        <x:v>45970</x:v>
      </x:c>
      <x:c r="N4442" t="str">
        <x:v>SKU-016</x:v>
      </x:c>
      <x:c r="O4442" t="n">
        <x:v>1</x:v>
      </x:c>
      <x:c r="P4442" s="26" t="n">
        <x:f>F4442/O4442</x:f>
        <x:v>1217.08</x:v>
      </x:c>
    </x:row>
    <x:row r="4443">
      <x:c r="A4443" t="n">
        <x:v>4442</x:v>
      </x:c>
      <x:c r="B4443" t="n">
        <x:v>23</x:v>
      </x:c>
      <x:c r="C4443" t="str">
        <x:v>Female</x:v>
      </x:c>
      <x:c r="D4443" t="str">
        <x:v>Footwear</x:v>
      </x:c>
      <x:c r="E4443" t="str">
        <x:v>Sneakers</x:v>
      </x:c>
      <x:c r="F4443" s="24" t="n">
        <x:v>241.42</x:v>
      </x:c>
      <x:c r="G4443" t="str">
        <x:v>Spring</x:v>
      </x:c>
      <x:c r="H4443" t="str">
        <x:v>Card</x:v>
      </x:c>
      <x:c r="I4443" t="n">
        <x:v>5</x:v>
      </x:c>
      <x:c r="J4443" t="n">
        <x:v>8</x:v>
      </x:c>
      <x:c r="K4443" t="n">
        <x:v>4</x:v>
      </x:c>
      <x:c r="L4443" t="str">
        <x:v>STORE-001</x:v>
      </x:c>
      <x:c r="M4443" s="22" t="n">
        <x:v>46272</x:v>
      </x:c>
      <x:c r="N4443" t="str">
        <x:v>SKU-025</x:v>
      </x:c>
      <x:c r="O4443" t="n">
        <x:v>1</x:v>
      </x:c>
      <x:c r="P4443" s="26" t="n">
        <x:f>F4443/O4443</x:f>
        <x:v>241.42</x:v>
      </x:c>
    </x:row>
    <x:row r="4444">
      <x:c r="A4444" t="n">
        <x:v>4443</x:v>
      </x:c>
      <x:c r="B4444" t="n">
        <x:v>58</x:v>
      </x:c>
      <x:c r="C4444" t="str">
        <x:v>Male</x:v>
      </x:c>
      <x:c r="D4444" t="str">
        <x:v>Electronics</x:v>
      </x:c>
      <x:c r="E4444" t="str">
        <x:v>Laptop</x:v>
      </x:c>
      <x:c r="F4444" s="24" t="n">
        <x:v>1944.24</x:v>
      </x:c>
      <x:c r="G4444" t="str">
        <x:v>Spring</x:v>
      </x:c>
      <x:c r="H4444" t="str">
        <x:v>Card</x:v>
      </x:c>
      <x:c r="I4444" t="n">
        <x:v>2.7</x:v>
      </x:c>
      <x:c r="J4444" t="n">
        <x:v>22</x:v>
      </x:c>
      <x:c r="K4444" t="n">
        <x:v>6</x:v>
      </x:c>
      <x:c r="L4444" t="str">
        <x:v>STORE-001</x:v>
      </x:c>
      <x:c r="M4444" s="22" t="n">
        <x:v>45982</x:v>
      </x:c>
      <x:c r="N4444" t="str">
        <x:v>SKU-014</x:v>
      </x:c>
      <x:c r="O4444" t="n">
        <x:v>1</x:v>
      </x:c>
      <x:c r="P4444" s="26" t="n">
        <x:f>F4444/O4444</x:f>
        <x:v>1944.24</x:v>
      </x:c>
    </x:row>
    <x:row r="4445">
      <x:c r="A4445" t="n">
        <x:v>4444</x:v>
      </x:c>
      <x:c r="B4445" t="n">
        <x:v>22</x:v>
      </x:c>
      <x:c r="C4445" t="str">
        <x:v>Male</x:v>
      </x:c>
      <x:c r="D4445" t="str">
        <x:v>Sports</x:v>
      </x:c>
      <x:c r="E4445" t="str">
        <x:v>Yoga Mat</x:v>
      </x:c>
      <x:c r="F4445" s="24" t="n">
        <x:v>48.39</x:v>
      </x:c>
      <x:c r="G4445" t="str">
        <x:v>Summer</x:v>
      </x:c>
      <x:c r="H4445" t="str">
        <x:v>Cash on Delivery</x:v>
      </x:c>
      <x:c r="I4445" t="n">
        <x:v>4</x:v>
      </x:c>
      <x:c r="J4445" t="n">
        <x:v>4</x:v>
      </x:c>
      <x:c r="K4445" t="n">
        <x:v>2</x:v>
      </x:c>
      <x:c r="L4445" t="str">
        <x:v>STORE-001</x:v>
      </x:c>
      <x:c r="M4445" s="22" t="n">
        <x:v>46073</x:v>
      </x:c>
      <x:c r="N4445" t="str">
        <x:v>SKU-030</x:v>
      </x:c>
      <x:c r="O4445" t="n">
        <x:v>2</x:v>
      </x:c>
      <x:c r="P4445" s="26" t="n">
        <x:f>F4445/O4445</x:f>
        <x:v>24.195</x:v>
      </x:c>
    </x:row>
    <x:row r="4446">
      <x:c r="A4446" t="n">
        <x:v>4445</x:v>
      </x:c>
      <x:c r="B4446" t="n">
        <x:v>63</x:v>
      </x:c>
      <x:c r="C4446" t="str">
        <x:v>Female</x:v>
      </x:c>
      <x:c r="D4446" t="str">
        <x:v>Accessories</x:v>
      </x:c>
      <x:c r="E4446" t="str">
        <x:v>Sunglasses</x:v>
      </x:c>
      <x:c r="F4446" s="24" t="n">
        <x:v>107.47</x:v>
      </x:c>
      <x:c r="G4446" t="str">
        <x:v>Autumn</x:v>
      </x:c>
      <x:c r="H4446" t="str">
        <x:v>Card</x:v>
      </x:c>
      <x:c r="I4446" t="n">
        <x:v>2.2</x:v>
      </x:c>
      <x:c r="J4446" t="n">
        <x:v>12</x:v>
      </x:c>
      <x:c r="K4446" t="n">
        <x:v>1</x:v>
      </x:c>
      <x:c r="L4446" t="str">
        <x:v>STORE-001</x:v>
      </x:c>
      <x:c r="M4446" s="22" t="n">
        <x:v>46150</x:v>
      </x:c>
      <x:c r="N4446" t="str">
        <x:v>SKU-026</x:v>
      </x:c>
      <x:c r="O4446" t="n">
        <x:v>1</x:v>
      </x:c>
      <x:c r="P4446" s="26" t="n">
        <x:f>F4446/O4446</x:f>
        <x:v>107.47</x:v>
      </x:c>
    </x:row>
    <x:row r="4447">
      <x:c r="A4447" t="n">
        <x:v>4446</x:v>
      </x:c>
      <x:c r="B4447" t="n">
        <x:v>62</x:v>
      </x:c>
      <x:c r="C4447" t="str">
        <x:v>Male</x:v>
      </x:c>
      <x:c r="D4447" t="str">
        <x:v>Electronics</x:v>
      </x:c>
      <x:c r="E4447" t="str">
        <x:v>Headphones</x:v>
      </x:c>
      <x:c r="F4447" s="24" t="n">
        <x:v>1763.47</x:v>
      </x:c>
      <x:c r="G4447" t="str">
        <x:v>Autumn</x:v>
      </x:c>
      <x:c r="H4447" t="str">
        <x:v>Card</x:v>
      </x:c>
      <x:c r="I4447" t="n">
        <x:v>4</x:v>
      </x:c>
      <x:c r="J4447" t="n">
        <x:v>20</x:v>
      </x:c>
      <x:c r="K4447" t="n">
        <x:v>5</x:v>
      </x:c>
      <x:c r="L4447" t="str">
        <x:v>STORE-001</x:v>
      </x:c>
      <x:c r="M4447" s="22" t="n">
        <x:v>46087</x:v>
      </x:c>
      <x:c r="N4447" t="str">
        <x:v>SKU-009</x:v>
      </x:c>
      <x:c r="O4447" t="n">
        <x:v>1</x:v>
      </x:c>
      <x:c r="P4447" s="26" t="n">
        <x:f>F4447/O4447</x:f>
        <x:v>1763.47</x:v>
      </x:c>
    </x:row>
    <x:row r="4448">
      <x:c r="A4448" t="n">
        <x:v>4447</x:v>
      </x:c>
      <x:c r="B4448" t="n">
        <x:v>69</x:v>
      </x:c>
      <x:c r="C4448" t="str">
        <x:v>Female</x:v>
      </x:c>
      <x:c r="D4448" t="str">
        <x:v>Womens Clothing</x:v>
      </x:c>
      <x:c r="E4448" t="str">
        <x:v>Dress</x:v>
      </x:c>
      <x:c r="F4448" s="24" t="n">
        <x:v>159.98</x:v>
      </x:c>
      <x:c r="G4448" t="str">
        <x:v>Winter</x:v>
      </x:c>
      <x:c r="H4448" t="str">
        <x:v>Card</x:v>
      </x:c>
      <x:c r="I4448" t="n">
        <x:v>2.9</x:v>
      </x:c>
      <x:c r="J4448" t="n">
        <x:v>24</x:v>
      </x:c>
      <x:c r="K4448" t="n">
        <x:v>7</x:v>
      </x:c>
      <x:c r="L4448" t="str">
        <x:v>STORE-001</x:v>
      </x:c>
      <x:c r="M4448" s="22" t="n">
        <x:v>46239</x:v>
      </x:c>
      <x:c r="N4448" t="str">
        <x:v>SKU-004</x:v>
      </x:c>
      <x:c r="O4448" t="n">
        <x:v>2</x:v>
      </x:c>
      <x:c r="P4448" s="26" t="n">
        <x:f>F4448/O4448</x:f>
        <x:v>79.99</x:v>
      </x:c>
    </x:row>
    <x:row r="4449">
      <x:c r="A4449" t="n">
        <x:v>4448</x:v>
      </x:c>
      <x:c r="B4449" t="n">
        <x:v>36</x:v>
      </x:c>
      <x:c r="C4449" t="str">
        <x:v>Male</x:v>
      </x:c>
      <x:c r="D4449" t="str">
        <x:v>Groceries</x:v>
      </x:c>
      <x:c r="E4449" t="str">
        <x:v>Cooking Oil</x:v>
      </x:c>
      <x:c r="F4449" s="24" t="n">
        <x:v>60.71</x:v>
      </x:c>
      <x:c r="G4449" t="str">
        <x:v>Winter</x:v>
      </x:c>
      <x:c r="H4449" t="str">
        <x:v>Cash on Delivery</x:v>
      </x:c>
      <x:c r="I4449" t="n">
        <x:v>4.5</x:v>
      </x:c>
      <x:c r="J4449" t="n">
        <x:v>16</x:v>
      </x:c>
      <x:c r="K4449" t="n">
        <x:v>3</x:v>
      </x:c>
      <x:c r="L4449" t="str">
        <x:v>STORE-001</x:v>
      </x:c>
      <x:c r="M4449" s="22" t="n">
        <x:v>46251</x:v>
      </x:c>
      <x:c r="N4449" t="str">
        <x:v>SKU-002</x:v>
      </x:c>
      <x:c r="O4449" t="n">
        <x:v>3</x:v>
      </x:c>
      <x:c r="P4449" s="26" t="n">
        <x:f>F4449/O4449</x:f>
        <x:v>20.236666666666668</x:v>
      </x:c>
    </x:row>
    <x:row r="4450">
      <x:c r="A4450" t="n">
        <x:v>4449</x:v>
      </x:c>
      <x:c r="B4450" t="n">
        <x:v>46</x:v>
      </x:c>
      <x:c r="C4450" t="str">
        <x:v>Female</x:v>
      </x:c>
      <x:c r="D4450" t="str">
        <x:v>Home</x:v>
      </x:c>
      <x:c r="E4450" t="str">
        <x:v>Lamp</x:v>
      </x:c>
      <x:c r="F4450" s="24" t="n">
        <x:v>118.81</x:v>
      </x:c>
      <x:c r="G4450" t="str">
        <x:v>Autumn</x:v>
      </x:c>
      <x:c r="H4450" t="str">
        <x:v>Card</x:v>
      </x:c>
      <x:c r="I4450" t="n">
        <x:v>4.1</x:v>
      </x:c>
      <x:c r="J4450" t="n">
        <x:v>16</x:v>
      </x:c>
      <x:c r="K4450" t="n">
        <x:v>3</x:v>
      </x:c>
      <x:c r="L4450" t="str">
        <x:v>STORE-001</x:v>
      </x:c>
      <x:c r="M4450" s="22" t="n">
        <x:v>46104</x:v>
      </x:c>
      <x:c r="N4450" t="str">
        <x:v>SKU-013</x:v>
      </x:c>
      <x:c r="O4450" t="n">
        <x:v>2</x:v>
      </x:c>
      <x:c r="P4450" s="26" t="n">
        <x:f>F4450/O4450</x:f>
        <x:v>59.405</x:v>
      </x:c>
    </x:row>
    <x:row r="4451">
      <x:c r="A4451" t="n">
        <x:v>4450</x:v>
      </x:c>
      <x:c r="B4451" t="n">
        <x:v>53</x:v>
      </x:c>
      <x:c r="C4451" t="str">
        <x:v>Male</x:v>
      </x:c>
      <x:c r="D4451" t="str">
        <x:v>Sports</x:v>
      </x:c>
      <x:c r="E4451" t="str">
        <x:v>Football</x:v>
      </x:c>
      <x:c r="F4451" s="24" t="n">
        <x:v>115.93</x:v>
      </x:c>
      <x:c r="G4451" t="str">
        <x:v>Summer</x:v>
      </x:c>
      <x:c r="H4451" t="str">
        <x:v>Card</x:v>
      </x:c>
      <x:c r="I4451" t="n">
        <x:v>3</x:v>
      </x:c>
      <x:c r="J4451" t="n">
        <x:v>6</x:v>
      </x:c>
      <x:c r="K4451" t="n">
        <x:v>3</x:v>
      </x:c>
      <x:c r="L4451" t="str">
        <x:v>STORE-001</x:v>
      </x:c>
      <x:c r="M4451" s="22" t="n">
        <x:v>46019</x:v>
      </x:c>
      <x:c r="N4451" t="str">
        <x:v>SKU-006</x:v>
      </x:c>
      <x:c r="O4451" t="n">
        <x:v>1</x:v>
      </x:c>
      <x:c r="P4451" s="26" t="n">
        <x:f>F4451/O4451</x:f>
        <x:v>115.93</x:v>
      </x:c>
    </x:row>
    <x:row r="4452">
      <x:c r="A4452" t="n">
        <x:v>4451</x:v>
      </x:c>
      <x:c r="B4452" t="n">
        <x:v>20</x:v>
      </x:c>
      <x:c r="C4452" t="str">
        <x:v>Female</x:v>
      </x:c>
      <x:c r="D4452" t="str">
        <x:v>Beauty</x:v>
      </x:c>
      <x:c r="E4452" t="str">
        <x:v>Perfume</x:v>
      </x:c>
      <x:c r="F4452" s="24" t="n">
        <x:v>109.6</x:v>
      </x:c>
      <x:c r="G4452" t="str">
        <x:v>Winter</x:v>
      </x:c>
      <x:c r="H4452" t="str">
        <x:v>Card</x:v>
      </x:c>
      <x:c r="I4452" t="n">
        <x:v>4.4</x:v>
      </x:c>
      <x:c r="J4452" t="n">
        <x:v>16</x:v>
      </x:c>
      <x:c r="K4452" t="n">
        <x:v>8</x:v>
      </x:c>
      <x:c r="L4452" t="str">
        <x:v>STORE-001</x:v>
      </x:c>
      <x:c r="M4452" s="22" t="n">
        <x:v>46213</x:v>
      </x:c>
      <x:c r="N4452" t="str">
        <x:v>SKU-017</x:v>
      </x:c>
      <x:c r="O4452" t="n">
        <x:v>2</x:v>
      </x:c>
      <x:c r="P4452" s="26" t="n">
        <x:f>F4452/O4452</x:f>
        <x:v>54.8</x:v>
      </x:c>
    </x:row>
    <x:row r="4453">
      <x:c r="A4453" t="n">
        <x:v>4452</x:v>
      </x:c>
      <x:c r="B4453" t="n">
        <x:v>48</x:v>
      </x:c>
      <x:c r="C4453" t="str">
        <x:v>Male</x:v>
      </x:c>
      <x:c r="D4453" t="str">
        <x:v>Footwear</x:v>
      </x:c>
      <x:c r="E4453" t="str">
        <x:v>Formal Shoes</x:v>
      </x:c>
      <x:c r="F4453" s="24" t="n">
        <x:v>197.83</x:v>
      </x:c>
      <x:c r="G4453" t="str">
        <x:v>Autumn</x:v>
      </x:c>
      <x:c r="H4453" t="str">
        <x:v>Card</x:v>
      </x:c>
      <x:c r="I4453" t="n">
        <x:v>3.4</x:v>
      </x:c>
      <x:c r="J4453" t="n">
        <x:v>17</x:v>
      </x:c>
      <x:c r="K4453" t="n">
        <x:v>6</x:v>
      </x:c>
      <x:c r="L4453" t="str">
        <x:v>STORE-001</x:v>
      </x:c>
      <x:c r="M4453" s="22" t="n">
        <x:v>46154</x:v>
      </x:c>
      <x:c r="N4453" t="str">
        <x:v>SKU-007</x:v>
      </x:c>
      <x:c r="O4453" t="n">
        <x:v>1</x:v>
      </x:c>
      <x:c r="P4453" s="26" t="n">
        <x:f>F4453/O4453</x:f>
        <x:v>197.83</x:v>
      </x:c>
    </x:row>
    <x:row r="4454">
      <x:c r="A4454" t="n">
        <x:v>4453</x:v>
      </x:c>
      <x:c r="B4454" t="n">
        <x:v>29</x:v>
      </x:c>
      <x:c r="C4454" t="str">
        <x:v>Female</x:v>
      </x:c>
      <x:c r="D4454" t="str">
        <x:v>Footwear</x:v>
      </x:c>
      <x:c r="E4454" t="str">
        <x:v>Sneakers</x:v>
      </x:c>
      <x:c r="F4454" s="24" t="n">
        <x:v>68.82</x:v>
      </x:c>
      <x:c r="G4454" t="str">
        <x:v>Summer</x:v>
      </x:c>
      <x:c r="H4454" t="str">
        <x:v>Card</x:v>
      </x:c>
      <x:c r="I4454" t="n">
        <x:v>3.6</x:v>
      </x:c>
      <x:c r="J4454" t="n">
        <x:v>0</x:v>
      </x:c>
      <x:c r="K4454" t="n">
        <x:v>0</x:v>
      </x:c>
      <x:c r="L4454" t="str">
        <x:v>STORE-001</x:v>
      </x:c>
      <x:c r="M4454" s="22" t="n">
        <x:v>45992</x:v>
      </x:c>
      <x:c r="N4454" t="str">
        <x:v>SKU-025</x:v>
      </x:c>
      <x:c r="O4454" t="n">
        <x:v>1</x:v>
      </x:c>
      <x:c r="P4454" s="26" t="n">
        <x:f>F4454/O4454</x:f>
        <x:v>68.82</x:v>
      </x:c>
    </x:row>
    <x:row r="4455">
      <x:c r="A4455" t="n">
        <x:v>4454</x:v>
      </x:c>
      <x:c r="B4455" t="n">
        <x:v>43</x:v>
      </x:c>
      <x:c r="C4455" t="str">
        <x:v>Male</x:v>
      </x:c>
      <x:c r="D4455" t="str">
        <x:v>Mens Clothing</x:v>
      </x:c>
      <x:c r="E4455" t="str">
        <x:v>T-Shirt</x:v>
      </x:c>
      <x:c r="F4455" s="24" t="n">
        <x:v>112.21</x:v>
      </x:c>
      <x:c r="G4455" t="str">
        <x:v>Summer</x:v>
      </x:c>
      <x:c r="H4455" t="str">
        <x:v>Card</x:v>
      </x:c>
      <x:c r="I4455" t="n">
        <x:v>4.1</x:v>
      </x:c>
      <x:c r="J4455" t="n">
        <x:v>12</x:v>
      </x:c>
      <x:c r="K4455" t="n">
        <x:v>6</x:v>
      </x:c>
      <x:c r="L4455" t="str">
        <x:v>STORE-001</x:v>
      </x:c>
      <x:c r="M4455" s="22" t="n">
        <x:v>46034</x:v>
      </x:c>
      <x:c r="N4455" t="str">
        <x:v>SKU-027</x:v>
      </x:c>
      <x:c r="O4455" t="n">
        <x:v>2</x:v>
      </x:c>
      <x:c r="P4455" s="26" t="n">
        <x:f>F4455/O4455</x:f>
        <x:v>56.105</x:v>
      </x:c>
    </x:row>
    <x:row r="4456">
      <x:c r="A4456" t="n">
        <x:v>4455</x:v>
      </x:c>
      <x:c r="B4456" t="n">
        <x:v>37</x:v>
      </x:c>
      <x:c r="C4456" t="str">
        <x:v>Male</x:v>
      </x:c>
      <x:c r="D4456" t="str">
        <x:v>Footwear</x:v>
      </x:c>
      <x:c r="E4456" t="str">
        <x:v>Sandals</x:v>
      </x:c>
      <x:c r="F4456" s="24" t="n">
        <x:v>75.17</x:v>
      </x:c>
      <x:c r="G4456" t="str">
        <x:v>Autumn</x:v>
      </x:c>
      <x:c r="H4456" t="str">
        <x:v>Card</x:v>
      </x:c>
      <x:c r="I4456" t="n">
        <x:v>2.9</x:v>
      </x:c>
      <x:c r="J4456" t="n">
        <x:v>11</x:v>
      </x:c>
      <x:c r="K4456" t="n">
        <x:v>3</x:v>
      </x:c>
      <x:c r="L4456" t="str">
        <x:v>STORE-001</x:v>
      </x:c>
      <x:c r="M4456" s="22" t="n">
        <x:v>46164</x:v>
      </x:c>
      <x:c r="N4456" t="str">
        <x:v>SKU-019</x:v>
      </x:c>
      <x:c r="O4456" t="n">
        <x:v>1</x:v>
      </x:c>
      <x:c r="P4456" s="26" t="n">
        <x:f>F4456/O4456</x:f>
        <x:v>75.17</x:v>
      </x:c>
    </x:row>
    <x:row r="4457">
      <x:c r="A4457" t="n">
        <x:v>4456</x:v>
      </x:c>
      <x:c r="B4457" t="n">
        <x:v>49</x:v>
      </x:c>
      <x:c r="C4457" t="str">
        <x:v>Male</x:v>
      </x:c>
      <x:c r="D4457" t="str">
        <x:v>Electronics</x:v>
      </x:c>
      <x:c r="E4457" t="str">
        <x:v>Headphones</x:v>
      </x:c>
      <x:c r="F4457" s="24" t="n">
        <x:v>2429.83</x:v>
      </x:c>
      <x:c r="G4457" t="str">
        <x:v>Winter</x:v>
      </x:c>
      <x:c r="H4457" t="str">
        <x:v>Card</x:v>
      </x:c>
      <x:c r="I4457" t="n">
        <x:v>2.9</x:v>
      </x:c>
      <x:c r="J4457" t="n">
        <x:v>18</x:v>
      </x:c>
      <x:c r="K4457" t="n">
        <x:v>9</x:v>
      </x:c>
      <x:c r="L4457" t="str">
        <x:v>STORE-001</x:v>
      </x:c>
      <x:c r="M4457" s="22" t="n">
        <x:v>46189</x:v>
      </x:c>
      <x:c r="N4457" t="str">
        <x:v>SKU-009</x:v>
      </x:c>
      <x:c r="O4457" t="n">
        <x:v>2</x:v>
      </x:c>
      <x:c r="P4457" s="26" t="n">
        <x:f>F4457/O4457</x:f>
        <x:v>1214.915</x:v>
      </x:c>
    </x:row>
    <x:row r="4458">
      <x:c r="A4458" t="n">
        <x:v>4457</x:v>
      </x:c>
      <x:c r="B4458" t="n">
        <x:v>38</x:v>
      </x:c>
      <x:c r="C4458" t="str">
        <x:v>Male</x:v>
      </x:c>
      <x:c r="D4458" t="str">
        <x:v>Electronics</x:v>
      </x:c>
      <x:c r="E4458" t="str">
        <x:v>Headphones</x:v>
      </x:c>
      <x:c r="F4458" s="24" t="n">
        <x:v>1961.17</x:v>
      </x:c>
      <x:c r="G4458" t="str">
        <x:v>Summer</x:v>
      </x:c>
      <x:c r="H4458" t="str">
        <x:v>Card</x:v>
      </x:c>
      <x:c r="I4458" t="n">
        <x:v>2.9</x:v>
      </x:c>
      <x:c r="J4458" t="n">
        <x:v>26</x:v>
      </x:c>
      <x:c r="K4458" t="n">
        <x:v>8</x:v>
      </x:c>
      <x:c r="L4458" t="str">
        <x:v>STORE-001</x:v>
      </x:c>
      <x:c r="M4458" s="22" t="n">
        <x:v>45996</x:v>
      </x:c>
      <x:c r="N4458" t="str">
        <x:v>SKU-009</x:v>
      </x:c>
      <x:c r="O4458" t="n">
        <x:v>1</x:v>
      </x:c>
      <x:c r="P4458" s="26" t="n">
        <x:f>F4458/O4458</x:f>
        <x:v>1961.17</x:v>
      </x:c>
    </x:row>
    <x:row r="4459">
      <x:c r="A4459" t="n">
        <x:v>4458</x:v>
      </x:c>
      <x:c r="B4459" t="n">
        <x:v>41</x:v>
      </x:c>
      <x:c r="C4459" t="str">
        <x:v>Female</x:v>
      </x:c>
      <x:c r="D4459" t="str">
        <x:v>Footwear</x:v>
      </x:c>
      <x:c r="E4459" t="str">
        <x:v>Sandals</x:v>
      </x:c>
      <x:c r="F4459" s="24" t="n">
        <x:v>119.89</x:v>
      </x:c>
      <x:c r="G4459" t="str">
        <x:v>Winter</x:v>
      </x:c>
      <x:c r="H4459" t="str">
        <x:v>Card</x:v>
      </x:c>
      <x:c r="I4459" t="n">
        <x:v>3.6</x:v>
      </x:c>
      <x:c r="J4459" t="n">
        <x:v>11</x:v>
      </x:c>
      <x:c r="K4459" t="n">
        <x:v>3</x:v>
      </x:c>
      <x:c r="L4459" t="str">
        <x:v>STORE-001</x:v>
      </x:c>
      <x:c r="M4459" s="22" t="n">
        <x:v>46181</x:v>
      </x:c>
      <x:c r="N4459" t="str">
        <x:v>SKU-019</x:v>
      </x:c>
      <x:c r="O4459" t="n">
        <x:v>1</x:v>
      </x:c>
      <x:c r="P4459" s="26" t="n">
        <x:f>F4459/O4459</x:f>
        <x:v>119.89</x:v>
      </x:c>
    </x:row>
    <x:row r="4460">
      <x:c r="A4460" t="n">
        <x:v>4459</x:v>
      </x:c>
      <x:c r="B4460" t="n">
        <x:v>25</x:v>
      </x:c>
      <x:c r="C4460" t="str">
        <x:v>Female</x:v>
      </x:c>
      <x:c r="D4460" t="str">
        <x:v>Groceries</x:v>
      </x:c>
      <x:c r="E4460" t="str">
        <x:v>Cooking Oil</x:v>
      </x:c>
      <x:c r="F4460" s="24" t="n">
        <x:v>78.32</x:v>
      </x:c>
      <x:c r="G4460" t="str">
        <x:v>Winter</x:v>
      </x:c>
      <x:c r="H4460" t="str">
        <x:v>Cash on Delivery</x:v>
      </x:c>
      <x:c r="I4460" t="n">
        <x:v>4.6</x:v>
      </x:c>
      <x:c r="J4460" t="n">
        <x:v>24</x:v>
      </x:c>
      <x:c r="K4460" t="n">
        <x:v>7</x:v>
      </x:c>
      <x:c r="L4460" t="str">
        <x:v>STORE-001</x:v>
      </x:c>
      <x:c r="M4460" s="22" t="n">
        <x:v>46193</x:v>
      </x:c>
      <x:c r="N4460" t="str">
        <x:v>SKU-002</x:v>
      </x:c>
      <x:c r="O4460" t="n">
        <x:v>1</x:v>
      </x:c>
      <x:c r="P4460" s="26" t="n">
        <x:f>F4460/O4460</x:f>
        <x:v>78.32</x:v>
      </x:c>
    </x:row>
    <x:row r="4461">
      <x:c r="A4461" t="n">
        <x:v>4460</x:v>
      </x:c>
      <x:c r="B4461" t="n">
        <x:v>55</x:v>
      </x:c>
      <x:c r="C4461" t="str">
        <x:v>Male</x:v>
      </x:c>
      <x:c r="D4461" t="str">
        <x:v>Electronics</x:v>
      </x:c>
      <x:c r="E4461" t="str">
        <x:v>Mobile Phone</x:v>
      </x:c>
      <x:c r="F4461" s="24" t="n">
        <x:v>1710.6</x:v>
      </x:c>
      <x:c r="G4461" t="str">
        <x:v>Autumn</x:v>
      </x:c>
      <x:c r="H4461" t="str">
        <x:v>Card</x:v>
      </x:c>
      <x:c r="I4461" t="n">
        <x:v>4</x:v>
      </x:c>
      <x:c r="J4461" t="n">
        <x:v>16</x:v>
      </x:c>
      <x:c r="K4461" t="n">
        <x:v>3</x:v>
      </x:c>
      <x:c r="L4461" t="str">
        <x:v>STORE-001</x:v>
      </x:c>
      <x:c r="M4461" s="22" t="n">
        <x:v>46092</x:v>
      </x:c>
      <x:c r="N4461" t="str">
        <x:v>SKU-016</x:v>
      </x:c>
      <x:c r="O4461" t="n">
        <x:v>1</x:v>
      </x:c>
      <x:c r="P4461" s="26" t="n">
        <x:f>F4461/O4461</x:f>
        <x:v>1710.6</x:v>
      </x:c>
    </x:row>
    <x:row r="4462">
      <x:c r="A4462" t="n">
        <x:v>4461</x:v>
      </x:c>
      <x:c r="B4462" t="n">
        <x:v>47</x:v>
      </x:c>
      <x:c r="C4462" t="str">
        <x:v>Female</x:v>
      </x:c>
      <x:c r="D4462" t="str">
        <x:v>Footwear</x:v>
      </x:c>
      <x:c r="E4462" t="str">
        <x:v>Sandals</x:v>
      </x:c>
      <x:c r="F4462" s="24" t="n">
        <x:v>148.86</x:v>
      </x:c>
      <x:c r="G4462" t="str">
        <x:v>Autumn</x:v>
      </x:c>
      <x:c r="H4462" t="str">
        <x:v>Card</x:v>
      </x:c>
      <x:c r="I4462" t="n">
        <x:v>3.4</x:v>
      </x:c>
      <x:c r="J4462" t="n">
        <x:v>16</x:v>
      </x:c>
      <x:c r="K4462" t="n">
        <x:v>3</x:v>
      </x:c>
      <x:c r="L4462" t="str">
        <x:v>STORE-001</x:v>
      </x:c>
      <x:c r="M4462" s="22" t="n">
        <x:v>46100</x:v>
      </x:c>
      <x:c r="N4462" t="str">
        <x:v>SKU-019</x:v>
      </x:c>
      <x:c r="O4462" t="n">
        <x:v>2</x:v>
      </x:c>
      <x:c r="P4462" s="26" t="n">
        <x:f>F4462/O4462</x:f>
        <x:v>74.43</x:v>
      </x:c>
    </x:row>
    <x:row r="4463">
      <x:c r="A4463" t="n">
        <x:v>4462</x:v>
      </x:c>
      <x:c r="B4463" t="n">
        <x:v>70</x:v>
      </x:c>
      <x:c r="C4463" t="str">
        <x:v>Male</x:v>
      </x:c>
      <x:c r="D4463" t="str">
        <x:v>Home</x:v>
      </x:c>
      <x:c r="E4463" t="str">
        <x:v>Curtains</x:v>
      </x:c>
      <x:c r="F4463" s="24" t="n">
        <x:v>194.65</x:v>
      </x:c>
      <x:c r="G4463" t="str">
        <x:v>Summer</x:v>
      </x:c>
      <x:c r="H4463" t="str">
        <x:v>Card</x:v>
      </x:c>
      <x:c r="I4463" t="n">
        <x:v>3.3</x:v>
      </x:c>
      <x:c r="J4463" t="n">
        <x:v>12</x:v>
      </x:c>
      <x:c r="K4463" t="n">
        <x:v>6</x:v>
      </x:c>
      <x:c r="L4463" t="str">
        <x:v>STORE-001</x:v>
      </x:c>
      <x:c r="M4463" s="22" t="n">
        <x:v>45992</x:v>
      </x:c>
      <x:c r="N4463" t="str">
        <x:v>SKU-003</x:v>
      </x:c>
      <x:c r="O4463" t="n">
        <x:v>2</x:v>
      </x:c>
      <x:c r="P4463" s="26" t="n">
        <x:f>F4463/O4463</x:f>
        <x:v>97.325</x:v>
      </x:c>
    </x:row>
    <x:row r="4464">
      <x:c r="A4464" t="n">
        <x:v>4463</x:v>
      </x:c>
      <x:c r="B4464" t="n">
        <x:v>59</x:v>
      </x:c>
      <x:c r="C4464" t="str">
        <x:v>Female</x:v>
      </x:c>
      <x:c r="D4464" t="str">
        <x:v>Beauty</x:v>
      </x:c>
      <x:c r="E4464" t="str">
        <x:v>Perfume</x:v>
      </x:c>
      <x:c r="F4464" s="24" t="n">
        <x:v>58.65</x:v>
      </x:c>
      <x:c r="G4464" t="str">
        <x:v>Autumn</x:v>
      </x:c>
      <x:c r="H4464" t="str">
        <x:v>Cash on Delivery</x:v>
      </x:c>
      <x:c r="I4464" t="n">
        <x:v>3.3</x:v>
      </x:c>
      <x:c r="J4464" t="n">
        <x:v>12</x:v>
      </x:c>
      <x:c r="K4464" t="n">
        <x:v>6</x:v>
      </x:c>
      <x:c r="L4464" t="str">
        <x:v>STORE-001</x:v>
      </x:c>
      <x:c r="M4464" s="22" t="n">
        <x:v>46161</x:v>
      </x:c>
      <x:c r="N4464" t="str">
        <x:v>SKU-017</x:v>
      </x:c>
      <x:c r="O4464" t="n">
        <x:v>1</x:v>
      </x:c>
      <x:c r="P4464" s="26" t="n">
        <x:f>F4464/O4464</x:f>
        <x:v>58.65</x:v>
      </x:c>
    </x:row>
    <x:row r="4465">
      <x:c r="A4465" t="n">
        <x:v>4464</x:v>
      </x:c>
      <x:c r="B4465" t="n">
        <x:v>21</x:v>
      </x:c>
      <x:c r="C4465" t="str">
        <x:v>Female</x:v>
      </x:c>
      <x:c r="D4465" t="str">
        <x:v>Footwear</x:v>
      </x:c>
      <x:c r="E4465" t="str">
        <x:v>Sandals</x:v>
      </x:c>
      <x:c r="F4465" s="24" t="n">
        <x:v>228.61</x:v>
      </x:c>
      <x:c r="G4465" t="str">
        <x:v>Autumn</x:v>
      </x:c>
      <x:c r="H4465" t="str">
        <x:v>Card</x:v>
      </x:c>
      <x:c r="I4465" t="n">
        <x:v>2.5</x:v>
      </x:c>
      <x:c r="J4465" t="n">
        <x:v>10</x:v>
      </x:c>
      <x:c r="K4465" t="n">
        <x:v>5</x:v>
      </x:c>
      <x:c r="L4465" t="str">
        <x:v>STORE-001</x:v>
      </x:c>
      <x:c r="M4465" s="22" t="n">
        <x:v>46120</x:v>
      </x:c>
      <x:c r="N4465" t="str">
        <x:v>SKU-019</x:v>
      </x:c>
      <x:c r="O4465" t="n">
        <x:v>2</x:v>
      </x:c>
      <x:c r="P4465" s="26" t="n">
        <x:f>F4465/O4465</x:f>
        <x:v>114.305</x:v>
      </x:c>
    </x:row>
    <x:row r="4466">
      <x:c r="A4466" t="n">
        <x:v>4465</x:v>
      </x:c>
      <x:c r="B4466" t="n">
        <x:v>62</x:v>
      </x:c>
      <x:c r="C4466" t="str">
        <x:v>Male</x:v>
      </x:c>
      <x:c r="D4466" t="str">
        <x:v>Electronics</x:v>
      </x:c>
      <x:c r="E4466" t="str">
        <x:v>Mobile Phone</x:v>
      </x:c>
      <x:c r="F4466" s="24" t="n">
        <x:v>2057.65</x:v>
      </x:c>
      <x:c r="G4466" t="str">
        <x:v>Spring</x:v>
      </x:c>
      <x:c r="H4466" t="str">
        <x:v>Card</x:v>
      </x:c>
      <x:c r="I4466" t="n">
        <x:v>4.1</x:v>
      </x:c>
      <x:c r="J4466" t="n">
        <x:v>24</x:v>
      </x:c>
      <x:c r="K4466" t="n">
        <x:v>7</x:v>
      </x:c>
      <x:c r="L4466" t="str">
        <x:v>STORE-001</x:v>
      </x:c>
      <x:c r="M4466" s="22" t="n">
        <x:v>46280</x:v>
      </x:c>
      <x:c r="N4466" t="str">
        <x:v>SKU-016</x:v>
      </x:c>
      <x:c r="O4466" t="n">
        <x:v>1</x:v>
      </x:c>
      <x:c r="P4466" s="26" t="n">
        <x:f>F4466/O4466</x:f>
        <x:v>2057.65</x:v>
      </x:c>
    </x:row>
    <x:row r="4467">
      <x:c r="A4467" t="n">
        <x:v>4466</x:v>
      </x:c>
      <x:c r="B4467" t="n">
        <x:v>25</x:v>
      </x:c>
      <x:c r="C4467" t="str">
        <x:v>Female</x:v>
      </x:c>
      <x:c r="D4467" t="str">
        <x:v>Footwear</x:v>
      </x:c>
      <x:c r="E4467" t="str">
        <x:v>Sandals</x:v>
      </x:c>
      <x:c r="F4467" s="24" t="n">
        <x:v>138.83</x:v>
      </x:c>
      <x:c r="G4467" t="str">
        <x:v>Summer</x:v>
      </x:c>
      <x:c r="H4467" t="str">
        <x:v>Card</x:v>
      </x:c>
      <x:c r="I4467" t="n">
        <x:v>3.8</x:v>
      </x:c>
      <x:c r="J4467" t="n">
        <x:v>20</x:v>
      </x:c>
      <x:c r="K4467" t="n">
        <x:v>5</x:v>
      </x:c>
      <x:c r="L4467" t="str">
        <x:v>STORE-001</x:v>
      </x:c>
      <x:c r="M4467" s="22" t="n">
        <x:v>46004</x:v>
      </x:c>
      <x:c r="N4467" t="str">
        <x:v>SKU-019</x:v>
      </x:c>
      <x:c r="O4467" t="n">
        <x:v>2</x:v>
      </x:c>
      <x:c r="P4467" s="26" t="n">
        <x:f>F4467/O4467</x:f>
        <x:v>69.415</x:v>
      </x:c>
    </x:row>
    <x:row r="4468">
      <x:c r="A4468" t="n">
        <x:v>4467</x:v>
      </x:c>
      <x:c r="B4468" t="n">
        <x:v>23</x:v>
      </x:c>
      <x:c r="C4468" t="str">
        <x:v>Male</x:v>
      </x:c>
      <x:c r="D4468" t="str">
        <x:v>Mens Clothing</x:v>
      </x:c>
      <x:c r="E4468" t="str">
        <x:v>Shirt</x:v>
      </x:c>
      <x:c r="F4468" s="24" t="n">
        <x:v>106.76</x:v>
      </x:c>
      <x:c r="G4468" t="str">
        <x:v>Summer</x:v>
      </x:c>
      <x:c r="H4468" t="str">
        <x:v>Card</x:v>
      </x:c>
      <x:c r="I4468" t="n">
        <x:v>4.5</x:v>
      </x:c>
      <x:c r="J4468" t="n">
        <x:v>20</x:v>
      </x:c>
      <x:c r="K4468" t="n">
        <x:v>5</x:v>
      </x:c>
      <x:c r="L4468" t="str">
        <x:v>STORE-001</x:v>
      </x:c>
      <x:c r="M4468" s="22" t="n">
        <x:v>46046</x:v>
      </x:c>
      <x:c r="N4468" t="str">
        <x:v>SKU-020</x:v>
      </x:c>
      <x:c r="O4468" t="n">
        <x:v>2</x:v>
      </x:c>
      <x:c r="P4468" s="26" t="n">
        <x:f>F4468/O4468</x:f>
        <x:v>53.38</x:v>
      </x:c>
    </x:row>
    <x:row r="4469">
      <x:c r="A4469" t="n">
        <x:v>4468</x:v>
      </x:c>
      <x:c r="B4469" t="n">
        <x:v>62</x:v>
      </x:c>
      <x:c r="C4469" t="str">
        <x:v>Male</x:v>
      </x:c>
      <x:c r="D4469" t="str">
        <x:v>Electronics</x:v>
      </x:c>
      <x:c r="E4469" t="str">
        <x:v>Headphones</x:v>
      </x:c>
      <x:c r="F4469" s="24" t="n">
        <x:v>2593.67</x:v>
      </x:c>
      <x:c r="G4469" t="str">
        <x:v>Autumn</x:v>
      </x:c>
      <x:c r="H4469" t="str">
        <x:v>Card</x:v>
      </x:c>
      <x:c r="I4469" t="n">
        <x:v>2.9</x:v>
      </x:c>
      <x:c r="J4469" t="n">
        <x:v>10</x:v>
      </x:c>
      <x:c r="K4469" t="n">
        <x:v>5</x:v>
      </x:c>
      <x:c r="L4469" t="str">
        <x:v>STORE-001</x:v>
      </x:c>
      <x:c r="M4469" s="22" t="n">
        <x:v>46094</x:v>
      </x:c>
      <x:c r="N4469" t="str">
        <x:v>SKU-009</x:v>
      </x:c>
      <x:c r="O4469" t="n">
        <x:v>2</x:v>
      </x:c>
      <x:c r="P4469" s="26" t="n">
        <x:f>F4469/O4469</x:f>
        <x:v>1296.835</x:v>
      </x:c>
    </x:row>
    <x:row r="4470">
      <x:c r="A4470" t="n">
        <x:v>4469</x:v>
      </x:c>
      <x:c r="B4470" t="n">
        <x:v>30</x:v>
      </x:c>
      <x:c r="C4470" t="str">
        <x:v>Male</x:v>
      </x:c>
      <x:c r="D4470" t="str">
        <x:v>Mens Clothing</x:v>
      </x:c>
      <x:c r="E4470" t="str">
        <x:v>Jacket</x:v>
      </x:c>
      <x:c r="F4470" s="24" t="n">
        <x:v>195.55</x:v>
      </x:c>
      <x:c r="G4470" t="str">
        <x:v>Spring</x:v>
      </x:c>
      <x:c r="H4470" t="str">
        <x:v>Card</x:v>
      </x:c>
      <x:c r="I4470" t="n">
        <x:v>3.9</x:v>
      </x:c>
      <x:c r="J4470" t="n">
        <x:v>18</x:v>
      </x:c>
      <x:c r="K4470" t="n">
        <x:v>4</x:v>
      </x:c>
      <x:c r="L4470" t="str">
        <x:v>STORE-001</x:v>
      </x:c>
      <x:c r="M4470" s="22" t="n">
        <x:v>46277</x:v>
      </x:c>
      <x:c r="N4470" t="str">
        <x:v>SKU-010</x:v>
      </x:c>
      <x:c r="O4470" t="n">
        <x:v>1</x:v>
      </x:c>
      <x:c r="P4470" s="26" t="n">
        <x:f>F4470/O4470</x:f>
        <x:v>195.55</x:v>
      </x:c>
    </x:row>
    <x:row r="4471">
      <x:c r="A4471" t="n">
        <x:v>4470</x:v>
      </x:c>
      <x:c r="B4471" t="n">
        <x:v>69</x:v>
      </x:c>
      <x:c r="C4471" t="str">
        <x:v>Male</x:v>
      </x:c>
      <x:c r="D4471" t="str">
        <x:v>Home</x:v>
      </x:c>
      <x:c r="E4471" t="str">
        <x:v>Kitchen Set</x:v>
      </x:c>
      <x:c r="F4471" s="24" t="n">
        <x:v>127.32</x:v>
      </x:c>
      <x:c r="G4471" t="str">
        <x:v>Spring</x:v>
      </x:c>
      <x:c r="H4471" t="str">
        <x:v>Card</x:v>
      </x:c>
      <x:c r="I4471" t="n">
        <x:v>3.5</x:v>
      </x:c>
      <x:c r="J4471" t="n">
        <x:v>4</x:v>
      </x:c>
      <x:c r="K4471" t="n">
        <x:v>2</x:v>
      </x:c>
      <x:c r="L4471" t="str">
        <x:v>STORE-001</x:v>
      </x:c>
      <x:c r="M4471" s="22" t="n">
        <x:v>46288</x:v>
      </x:c>
      <x:c r="N4471" t="str">
        <x:v>SKU-012</x:v>
      </x:c>
      <x:c r="O4471" t="n">
        <x:v>2</x:v>
      </x:c>
      <x:c r="P4471" s="26" t="n">
        <x:f>F4471/O4471</x:f>
        <x:v>63.66</x:v>
      </x:c>
    </x:row>
    <x:row r="4472">
      <x:c r="A4472" t="n">
        <x:v>4471</x:v>
      </x:c>
      <x:c r="B4472" t="n">
        <x:v>29</x:v>
      </x:c>
      <x:c r="C4472" t="str">
        <x:v>Male</x:v>
      </x:c>
      <x:c r="D4472" t="str">
        <x:v>Footwear</x:v>
      </x:c>
      <x:c r="E4472" t="str">
        <x:v>Formal Shoes</x:v>
      </x:c>
      <x:c r="F4472" s="24" t="n">
        <x:v>86.48</x:v>
      </x:c>
      <x:c r="G4472" t="str">
        <x:v>Spring</x:v>
      </x:c>
      <x:c r="H4472" t="str">
        <x:v>Card</x:v>
      </x:c>
      <x:c r="I4472" t="n">
        <x:v>3.7</x:v>
      </x:c>
      <x:c r="J4472" t="n">
        <x:v>11</x:v>
      </x:c>
      <x:c r="K4472" t="n">
        <x:v>3</x:v>
      </x:c>
      <x:c r="L4472" t="str">
        <x:v>STORE-001</x:v>
      </x:c>
      <x:c r="M4472" s="22" t="n">
        <x:v>45948</x:v>
      </x:c>
      <x:c r="N4472" t="str">
        <x:v>SKU-007</x:v>
      </x:c>
      <x:c r="O4472" t="n">
        <x:v>1</x:v>
      </x:c>
      <x:c r="P4472" s="26" t="n">
        <x:f>F4472/O4472</x:f>
        <x:v>86.48</x:v>
      </x:c>
    </x:row>
    <x:row r="4473">
      <x:c r="A4473" t="n">
        <x:v>4472</x:v>
      </x:c>
      <x:c r="B4473" t="n">
        <x:v>21</x:v>
      </x:c>
      <x:c r="C4473" t="str">
        <x:v>Female</x:v>
      </x:c>
      <x:c r="D4473" t="str">
        <x:v>Beauty</x:v>
      </x:c>
      <x:c r="E4473" t="str">
        <x:v>Skincare Kit</x:v>
      </x:c>
      <x:c r="F4473" s="24" t="n">
        <x:v>109.66</x:v>
      </x:c>
      <x:c r="G4473" t="str">
        <x:v>Winter</x:v>
      </x:c>
      <x:c r="H4473" t="str">
        <x:v>Card</x:v>
      </x:c>
      <x:c r="I4473" t="n">
        <x:v>3.5</x:v>
      </x:c>
      <x:c r="J4473" t="n">
        <x:v>16</x:v>
      </x:c>
      <x:c r="K4473" t="n">
        <x:v>8</x:v>
      </x:c>
      <x:c r="L4473" t="str">
        <x:v>STORE-001</x:v>
      </x:c>
      <x:c r="M4473" s="22" t="n">
        <x:v>46211</x:v>
      </x:c>
      <x:c r="N4473" t="str">
        <x:v>SKU-021</x:v>
      </x:c>
      <x:c r="O4473" t="n">
        <x:v>2</x:v>
      </x:c>
      <x:c r="P4473" s="26" t="n">
        <x:f>F4473/O4473</x:f>
        <x:v>54.83</x:v>
      </x:c>
    </x:row>
    <x:row r="4474">
      <x:c r="A4474" t="n">
        <x:v>4473</x:v>
      </x:c>
      <x:c r="B4474" t="n">
        <x:v>57</x:v>
      </x:c>
      <x:c r="C4474" t="str">
        <x:v>Female</x:v>
      </x:c>
      <x:c r="D4474" t="str">
        <x:v>Accessories</x:v>
      </x:c>
      <x:c r="E4474" t="str">
        <x:v>Handbag</x:v>
      </x:c>
      <x:c r="F4474" s="24" t="n">
        <x:v>63.39</x:v>
      </x:c>
      <x:c r="G4474" t="str">
        <x:v>Winter</x:v>
      </x:c>
      <x:c r="H4474" t="str">
        <x:v>Cash on Delivery</x:v>
      </x:c>
      <x:c r="I4474" t="n">
        <x:v>4</x:v>
      </x:c>
      <x:c r="J4474" t="n">
        <x:v>17</x:v>
      </x:c>
      <x:c r="K4474" t="n">
        <x:v>6</x:v>
      </x:c>
      <x:c r="L4474" t="str">
        <x:v>STORE-001</x:v>
      </x:c>
      <x:c r="M4474" s="22" t="n">
        <x:v>46221</x:v>
      </x:c>
      <x:c r="N4474" t="str">
        <x:v>SKU-008</x:v>
      </x:c>
      <x:c r="O4474" t="n">
        <x:v>2</x:v>
      </x:c>
      <x:c r="P4474" s="26" t="n">
        <x:f>F4474/O4474</x:f>
        <x:v>31.695</x:v>
      </x:c>
    </x:row>
    <x:row r="4475">
      <x:c r="A4475" t="n">
        <x:v>4474</x:v>
      </x:c>
      <x:c r="B4475" t="n">
        <x:v>61</x:v>
      </x:c>
      <x:c r="C4475" t="str">
        <x:v>Female</x:v>
      </x:c>
      <x:c r="D4475" t="str">
        <x:v>Womens Clothing</x:v>
      </x:c>
      <x:c r="E4475" t="str">
        <x:v>Top</x:v>
      </x:c>
      <x:c r="F4475" s="24" t="n">
        <x:v>198.86</x:v>
      </x:c>
      <x:c r="G4475" t="str">
        <x:v>Winter</x:v>
      </x:c>
      <x:c r="H4475" t="str">
        <x:v>Card</x:v>
      </x:c>
      <x:c r="I4475" t="n">
        <x:v>3.5</x:v>
      </x:c>
      <x:c r="J4475" t="n">
        <x:v>15</x:v>
      </x:c>
      <x:c r="K4475" t="n">
        <x:v>5</x:v>
      </x:c>
      <x:c r="L4475" t="str">
        <x:v>STORE-001</x:v>
      </x:c>
      <x:c r="M4475" s="22" t="n">
        <x:v>46181</x:v>
      </x:c>
      <x:c r="N4475" t="str">
        <x:v>SKU-028</x:v>
      </x:c>
      <x:c r="O4475" t="n">
        <x:v>1</x:v>
      </x:c>
      <x:c r="P4475" s="26" t="n">
        <x:f>F4475/O4475</x:f>
        <x:v>198.86</x:v>
      </x:c>
    </x:row>
    <x:row r="4476">
      <x:c r="A4476" t="n">
        <x:v>4475</x:v>
      </x:c>
      <x:c r="B4476" t="n">
        <x:v>29</x:v>
      </x:c>
      <x:c r="C4476" t="str">
        <x:v>Female</x:v>
      </x:c>
      <x:c r="D4476" t="str">
        <x:v>Beauty</x:v>
      </x:c>
      <x:c r="E4476" t="str">
        <x:v>Makeup Set</x:v>
      </x:c>
      <x:c r="F4476" s="24" t="n">
        <x:v>143.68</x:v>
      </x:c>
      <x:c r="G4476" t="str">
        <x:v>Spring</x:v>
      </x:c>
      <x:c r="H4476" t="str">
        <x:v>Card</x:v>
      </x:c>
      <x:c r="I4476" t="n">
        <x:v>3.5</x:v>
      </x:c>
      <x:c r="J4476" t="n">
        <x:v>11</x:v>
      </x:c>
      <x:c r="K4476" t="n">
        <x:v>3</x:v>
      </x:c>
      <x:c r="L4476" t="str">
        <x:v>STORE-001</x:v>
      </x:c>
      <x:c r="M4476" s="22" t="n">
        <x:v>45970</x:v>
      </x:c>
      <x:c r="N4476" t="str">
        <x:v>SKU-015</x:v>
      </x:c>
      <x:c r="O4476" t="n">
        <x:v>1</x:v>
      </x:c>
      <x:c r="P4476" s="26" t="n">
        <x:f>F4476/O4476</x:f>
        <x:v>143.68</x:v>
      </x:c>
    </x:row>
    <x:row r="4477">
      <x:c r="A4477" t="n">
        <x:v>4476</x:v>
      </x:c>
      <x:c r="B4477" t="n">
        <x:v>44</x:v>
      </x:c>
      <x:c r="C4477" t="str">
        <x:v>Male</x:v>
      </x:c>
      <x:c r="D4477" t="str">
        <x:v>Electronics</x:v>
      </x:c>
      <x:c r="E4477" t="str">
        <x:v>Mobile Phone</x:v>
      </x:c>
      <x:c r="F4477" s="24" t="n">
        <x:v>605.68</x:v>
      </x:c>
      <x:c r="G4477" t="str">
        <x:v>Summer</x:v>
      </x:c>
      <x:c r="H4477" t="str">
        <x:v>Card</x:v>
      </x:c>
      <x:c r="I4477" t="n">
        <x:v>3</x:v>
      </x:c>
      <x:c r="J4477" t="n">
        <x:v>20</x:v>
      </x:c>
      <x:c r="K4477" t="n">
        <x:v>5</x:v>
      </x:c>
      <x:c r="L4477" t="str">
        <x:v>STORE-001</x:v>
      </x:c>
      <x:c r="M4477" s="22" t="n">
        <x:v>46043</x:v>
      </x:c>
      <x:c r="N4477" t="str">
        <x:v>SKU-016</x:v>
      </x:c>
      <x:c r="O4477" t="n">
        <x:v>1</x:v>
      </x:c>
      <x:c r="P4477" s="26" t="n">
        <x:f>F4477/O4477</x:f>
        <x:v>605.68</x:v>
      </x:c>
    </x:row>
    <x:row r="4478">
      <x:c r="A4478" t="n">
        <x:v>4477</x:v>
      </x:c>
      <x:c r="B4478" t="n">
        <x:v>24</x:v>
      </x:c>
      <x:c r="C4478" t="str">
        <x:v>Female</x:v>
      </x:c>
      <x:c r="D4478" t="str">
        <x:v>Footwear</x:v>
      </x:c>
      <x:c r="E4478" t="str">
        <x:v>Formal Shoes</x:v>
      </x:c>
      <x:c r="F4478" s="24" t="n">
        <x:v>52.58</x:v>
      </x:c>
      <x:c r="G4478" t="str">
        <x:v>Autumn</x:v>
      </x:c>
      <x:c r="H4478" t="str">
        <x:v>Cash on Delivery</x:v>
      </x:c>
      <x:c r="I4478" t="n">
        <x:v>2.4</x:v>
      </x:c>
      <x:c r="J4478" t="n">
        <x:v>13</x:v>
      </x:c>
      <x:c r="K4478" t="n">
        <x:v>4</x:v>
      </x:c>
      <x:c r="L4478" t="str">
        <x:v>STORE-001</x:v>
      </x:c>
      <x:c r="M4478" s="22" t="n">
        <x:v>46109</x:v>
      </x:c>
      <x:c r="N4478" t="str">
        <x:v>SKU-007</x:v>
      </x:c>
      <x:c r="O4478" t="n">
        <x:v>1</x:v>
      </x:c>
      <x:c r="P4478" s="26" t="n">
        <x:f>F4478/O4478</x:f>
        <x:v>52.58</x:v>
      </x:c>
    </x:row>
    <x:row r="4479">
      <x:c r="A4479" t="n">
        <x:v>4478</x:v>
      </x:c>
      <x:c r="B4479" t="n">
        <x:v>51</x:v>
      </x:c>
      <x:c r="C4479" t="str">
        <x:v>Male</x:v>
      </x:c>
      <x:c r="D4479" t="str">
        <x:v>Sports</x:v>
      </x:c>
      <x:c r="E4479" t="str">
        <x:v>Yoga Mat</x:v>
      </x:c>
      <x:c r="F4479" s="24" t="n">
        <x:v>179.61</x:v>
      </x:c>
      <x:c r="G4479" t="str">
        <x:v>Autumn</x:v>
      </x:c>
      <x:c r="H4479" t="str">
        <x:v>Card</x:v>
      </x:c>
      <x:c r="I4479" t="n">
        <x:v>2.9</x:v>
      </x:c>
      <x:c r="J4479" t="n">
        <x:v>9</x:v>
      </x:c>
      <x:c r="K4479" t="n">
        <x:v>2</x:v>
      </x:c>
      <x:c r="L4479" t="str">
        <x:v>STORE-001</x:v>
      </x:c>
      <x:c r="M4479" s="22" t="n">
        <x:v>46108</x:v>
      </x:c>
      <x:c r="N4479" t="str">
        <x:v>SKU-030</x:v>
      </x:c>
      <x:c r="O4479" t="n">
        <x:v>2</x:v>
      </x:c>
      <x:c r="P4479" s="26" t="n">
        <x:f>F4479/O4479</x:f>
        <x:v>89.805</x:v>
      </x:c>
    </x:row>
    <x:row r="4480">
      <x:c r="A4480" t="n">
        <x:v>4479</x:v>
      </x:c>
      <x:c r="B4480" t="n">
        <x:v>35</x:v>
      </x:c>
      <x:c r="C4480" t="str">
        <x:v>Female</x:v>
      </x:c>
      <x:c r="D4480" t="str">
        <x:v>Womens Clothing</x:v>
      </x:c>
      <x:c r="E4480" t="str">
        <x:v>Dress</x:v>
      </x:c>
      <x:c r="F4480" s="24" t="n">
        <x:v>170.61</x:v>
      </x:c>
      <x:c r="G4480" t="str">
        <x:v>Spring</x:v>
      </x:c>
      <x:c r="H4480" t="str">
        <x:v>Card</x:v>
      </x:c>
      <x:c r="I4480" t="n">
        <x:v>4.3</x:v>
      </x:c>
      <x:c r="J4480" t="n">
        <x:v>24</x:v>
      </x:c>
      <x:c r="K4480" t="n">
        <x:v>7</x:v>
      </x:c>
      <x:c r="L4480" t="str">
        <x:v>STORE-001</x:v>
      </x:c>
      <x:c r="M4480" s="22" t="n">
        <x:v>45934</x:v>
      </x:c>
      <x:c r="N4480" t="str">
        <x:v>SKU-004</x:v>
      </x:c>
      <x:c r="O4480" t="n">
        <x:v>1</x:v>
      </x:c>
      <x:c r="P4480" s="26" t="n">
        <x:f>F4480/O4480</x:f>
        <x:v>170.61</x:v>
      </x:c>
    </x:row>
    <x:row r="4481">
      <x:c r="A4481" t="n">
        <x:v>4480</x:v>
      </x:c>
      <x:c r="B4481" t="n">
        <x:v>61</x:v>
      </x:c>
      <x:c r="C4481" t="str">
        <x:v>Male</x:v>
      </x:c>
      <x:c r="D4481" t="str">
        <x:v>Mens Clothing</x:v>
      </x:c>
      <x:c r="E4481" t="str">
        <x:v>Shirt</x:v>
      </x:c>
      <x:c r="F4481" s="24" t="n">
        <x:v>124.26</x:v>
      </x:c>
      <x:c r="G4481" t="str">
        <x:v>Summer</x:v>
      </x:c>
      <x:c r="H4481" t="str">
        <x:v>Card</x:v>
      </x:c>
      <x:c r="I4481" t="n">
        <x:v>3.6</x:v>
      </x:c>
      <x:c r="J4481" t="n">
        <x:v>15</x:v>
      </x:c>
      <x:c r="K4481" t="n">
        <x:v>5</x:v>
      </x:c>
      <x:c r="L4481" t="str">
        <x:v>STORE-001</x:v>
      </x:c>
      <x:c r="M4481" s="22" t="n">
        <x:v>46046</x:v>
      </x:c>
      <x:c r="N4481" t="str">
        <x:v>SKU-020</x:v>
      </x:c>
      <x:c r="O4481" t="n">
        <x:v>2</x:v>
      </x:c>
      <x:c r="P4481" s="26" t="n">
        <x:f>F4481/O4481</x:f>
        <x:v>62.13</x:v>
      </x:c>
    </x:row>
    <x:row r="4482">
      <x:c r="A4482" t="n">
        <x:v>4481</x:v>
      </x:c>
      <x:c r="B4482" t="n">
        <x:v>54</x:v>
      </x:c>
      <x:c r="C4482" t="str">
        <x:v>Female</x:v>
      </x:c>
      <x:c r="D4482" t="str">
        <x:v>Womens Clothing</x:v>
      </x:c>
      <x:c r="E4482" t="str">
        <x:v>Top</x:v>
      </x:c>
      <x:c r="F4482" s="24" t="n">
        <x:v>102.38</x:v>
      </x:c>
      <x:c r="G4482" t="str">
        <x:v>Autumn</x:v>
      </x:c>
      <x:c r="H4482" t="str">
        <x:v>Card</x:v>
      </x:c>
      <x:c r="I4482" t="n">
        <x:v>4.8</x:v>
      </x:c>
      <x:c r="J4482" t="n">
        <x:v>6</x:v>
      </x:c>
      <x:c r="K4482" t="n">
        <x:v>3</x:v>
      </x:c>
      <x:c r="L4482" t="str">
        <x:v>STORE-001</x:v>
      </x:c>
      <x:c r="M4482" s="22" t="n">
        <x:v>46158</x:v>
      </x:c>
      <x:c r="N4482" t="str">
        <x:v>SKU-028</x:v>
      </x:c>
      <x:c r="O4482" t="n">
        <x:v>1</x:v>
      </x:c>
      <x:c r="P4482" s="26" t="n">
        <x:f>F4482/O4482</x:f>
        <x:v>102.38</x:v>
      </x:c>
    </x:row>
    <x:row r="4483">
      <x:c r="A4483" t="n">
        <x:v>4482</x:v>
      </x:c>
      <x:c r="B4483" t="n">
        <x:v>31</x:v>
      </x:c>
      <x:c r="C4483" t="str">
        <x:v>Male</x:v>
      </x:c>
      <x:c r="D4483" t="str">
        <x:v>Mens Clothing</x:v>
      </x:c>
      <x:c r="E4483" t="str">
        <x:v>Jeans</x:v>
      </x:c>
      <x:c r="F4483" s="24" t="n">
        <x:v>129.77</x:v>
      </x:c>
      <x:c r="G4483" t="str">
        <x:v>Autumn</x:v>
      </x:c>
      <x:c r="H4483" t="str">
        <x:v>Card</x:v>
      </x:c>
      <x:c r="I4483" t="n">
        <x:v>3.3</x:v>
      </x:c>
      <x:c r="J4483" t="n">
        <x:v>11</x:v>
      </x:c>
      <x:c r="K4483" t="n">
        <x:v>3</x:v>
      </x:c>
      <x:c r="L4483" t="str">
        <x:v>STORE-001</x:v>
      </x:c>
      <x:c r="M4483" s="22" t="n">
        <x:v>46107</x:v>
      </x:c>
      <x:c r="N4483" t="str">
        <x:v>SKU-011</x:v>
      </x:c>
      <x:c r="O4483" t="n">
        <x:v>1</x:v>
      </x:c>
      <x:c r="P4483" s="26" t="n">
        <x:f>F4483/O4483</x:f>
        <x:v>129.77</x:v>
      </x:c>
    </x:row>
    <x:row r="4484">
      <x:c r="A4484" t="n">
        <x:v>4483</x:v>
      </x:c>
      <x:c r="B4484" t="n">
        <x:v>31</x:v>
      </x:c>
      <x:c r="C4484" t="str">
        <x:v>Male</x:v>
      </x:c>
      <x:c r="D4484" t="str">
        <x:v>Sports</x:v>
      </x:c>
      <x:c r="E4484" t="str">
        <x:v>Football</x:v>
      </x:c>
      <x:c r="F4484" s="24" t="n">
        <x:v>107.4</x:v>
      </x:c>
      <x:c r="G4484" t="str">
        <x:v>Spring</x:v>
      </x:c>
      <x:c r="H4484" t="str">
        <x:v>Card</x:v>
      </x:c>
      <x:c r="I4484" t="n">
        <x:v>3.2</x:v>
      </x:c>
      <x:c r="J4484" t="n">
        <x:v>15</x:v>
      </x:c>
      <x:c r="K4484" t="n">
        <x:v>5</x:v>
      </x:c>
      <x:c r="L4484" t="str">
        <x:v>STORE-001</x:v>
      </x:c>
      <x:c r="M4484" s="22" t="n">
        <x:v>46291</x:v>
      </x:c>
      <x:c r="N4484" t="str">
        <x:v>SKU-006</x:v>
      </x:c>
      <x:c r="O4484" t="n">
        <x:v>1</x:v>
      </x:c>
      <x:c r="P4484" s="26" t="n">
        <x:f>F4484/O4484</x:f>
        <x:v>107.4</x:v>
      </x:c>
    </x:row>
    <x:row r="4485">
      <x:c r="A4485" t="n">
        <x:v>4484</x:v>
      </x:c>
      <x:c r="B4485" t="n">
        <x:v>56</x:v>
      </x:c>
      <x:c r="C4485" t="str">
        <x:v>Male</x:v>
      </x:c>
      <x:c r="D4485" t="str">
        <x:v>Electronics</x:v>
      </x:c>
      <x:c r="E4485" t="str">
        <x:v>Mobile Phone</x:v>
      </x:c>
      <x:c r="F4485" s="24" t="n">
        <x:v>1554.91</x:v>
      </x:c>
      <x:c r="G4485" t="str">
        <x:v>Autumn</x:v>
      </x:c>
      <x:c r="H4485" t="str">
        <x:v>Card</x:v>
      </x:c>
      <x:c r="I4485" t="n">
        <x:v>2.8</x:v>
      </x:c>
      <x:c r="J4485" t="n">
        <x:v>7</x:v>
      </x:c>
      <x:c r="K4485" t="n">
        <x:v>1</x:v>
      </x:c>
      <x:c r="L4485" t="str">
        <x:v>STORE-001</x:v>
      </x:c>
      <x:c r="M4485" s="22" t="n">
        <x:v>46156</x:v>
      </x:c>
      <x:c r="N4485" t="str">
        <x:v>SKU-016</x:v>
      </x:c>
      <x:c r="O4485" t="n">
        <x:v>1</x:v>
      </x:c>
      <x:c r="P4485" s="26" t="n">
        <x:f>F4485/O4485</x:f>
        <x:v>1554.91</x:v>
      </x:c>
    </x:row>
    <x:row r="4486">
      <x:c r="A4486" t="n">
        <x:v>4485</x:v>
      </x:c>
      <x:c r="B4486" t="n">
        <x:v>66</x:v>
      </x:c>
      <x:c r="C4486" t="str">
        <x:v>Female</x:v>
      </x:c>
      <x:c r="D4486" t="str">
        <x:v>Womens Clothing</x:v>
      </x:c>
      <x:c r="E4486" t="str">
        <x:v>Top</x:v>
      </x:c>
      <x:c r="F4486" s="24" t="n">
        <x:v>131.11</x:v>
      </x:c>
      <x:c r="G4486" t="str">
        <x:v>Autumn</x:v>
      </x:c>
      <x:c r="H4486" t="str">
        <x:v>Card</x:v>
      </x:c>
      <x:c r="I4486" t="n">
        <x:v>3</x:v>
      </x:c>
      <x:c r="J4486" t="n">
        <x:v>20</x:v>
      </x:c>
      <x:c r="K4486" t="n">
        <x:v>10</x:v>
      </x:c>
      <x:c r="L4486" t="str">
        <x:v>STORE-001</x:v>
      </x:c>
      <x:c r="M4486" s="22" t="n">
        <x:v>46150</x:v>
      </x:c>
      <x:c r="N4486" t="str">
        <x:v>SKU-028</x:v>
      </x:c>
      <x:c r="O4486" t="n">
        <x:v>1</x:v>
      </x:c>
      <x:c r="P4486" s="26" t="n">
        <x:f>F4486/O4486</x:f>
        <x:v>131.11</x:v>
      </x:c>
    </x:row>
    <x:row r="4487">
      <x:c r="A4487" t="n">
        <x:v>4486</x:v>
      </x:c>
      <x:c r="B4487" t="n">
        <x:v>38</x:v>
      </x:c>
      <x:c r="C4487" t="str">
        <x:v>Male</x:v>
      </x:c>
      <x:c r="D4487" t="str">
        <x:v>Mens Clothing</x:v>
      </x:c>
      <x:c r="E4487" t="str">
        <x:v>Jacket</x:v>
      </x:c>
      <x:c r="F4487" s="24" t="n">
        <x:v>52.09</x:v>
      </x:c>
      <x:c r="G4487" t="str">
        <x:v>Winter</x:v>
      </x:c>
      <x:c r="H4487" t="str">
        <x:v>Card</x:v>
      </x:c>
      <x:c r="I4487" t="n">
        <x:v>4.2</x:v>
      </x:c>
      <x:c r="J4487" t="n">
        <x:v>14</x:v>
      </x:c>
      <x:c r="K4487" t="n">
        <x:v>2</x:v>
      </x:c>
      <x:c r="L4487" t="str">
        <x:v>STORE-001</x:v>
      </x:c>
      <x:c r="M4487" s="22" t="n">
        <x:v>46202</x:v>
      </x:c>
      <x:c r="N4487" t="str">
        <x:v>SKU-010</x:v>
      </x:c>
      <x:c r="O4487" t="n">
        <x:v>1</x:v>
      </x:c>
      <x:c r="P4487" s="26" t="n">
        <x:f>F4487/O4487</x:f>
        <x:v>52.09</x:v>
      </x:c>
    </x:row>
    <x:row r="4488">
      <x:c r="A4488" t="n">
        <x:v>4487</x:v>
      </x:c>
      <x:c r="B4488" t="n">
        <x:v>25</x:v>
      </x:c>
      <x:c r="C4488" t="str">
        <x:v>Male</x:v>
      </x:c>
      <x:c r="D4488" t="str">
        <x:v>Sports</x:v>
      </x:c>
      <x:c r="E4488" t="str">
        <x:v>Dumbbells</x:v>
      </x:c>
      <x:c r="F4488" s="24" t="n">
        <x:v>130.23</x:v>
      </x:c>
      <x:c r="G4488" t="str">
        <x:v>Summer</x:v>
      </x:c>
      <x:c r="H4488" t="str">
        <x:v>Card</x:v>
      </x:c>
      <x:c r="I4488" t="n">
        <x:v>4.7</x:v>
      </x:c>
      <x:c r="J4488" t="n">
        <x:v>16</x:v>
      </x:c>
      <x:c r="K4488" t="n">
        <x:v>3</x:v>
      </x:c>
      <x:c r="L4488" t="str">
        <x:v>STORE-001</x:v>
      </x:c>
      <x:c r="M4488" s="22" t="n">
        <x:v>46039</x:v>
      </x:c>
      <x:c r="N4488" t="str">
        <x:v>SKU-005</x:v>
      </x:c>
      <x:c r="O4488" t="n">
        <x:v>1</x:v>
      </x:c>
      <x:c r="P4488" s="26" t="n">
        <x:f>F4488/O4488</x:f>
        <x:v>130.23</x:v>
      </x:c>
    </x:row>
    <x:row r="4489">
      <x:c r="A4489" t="n">
        <x:v>4488</x:v>
      </x:c>
      <x:c r="B4489" t="n">
        <x:v>44</x:v>
      </x:c>
      <x:c r="C4489" t="str">
        <x:v>Male</x:v>
      </x:c>
      <x:c r="D4489" t="str">
        <x:v>Sports</x:v>
      </x:c>
      <x:c r="E4489" t="str">
        <x:v>Football</x:v>
      </x:c>
      <x:c r="F4489" s="24" t="n">
        <x:v>125.56</x:v>
      </x:c>
      <x:c r="G4489" t="str">
        <x:v>Summer</x:v>
      </x:c>
      <x:c r="H4489" t="str">
        <x:v>Card</x:v>
      </x:c>
      <x:c r="I4489" t="n">
        <x:v>3.2</x:v>
      </x:c>
      <x:c r="J4489" t="n">
        <x:v>12</x:v>
      </x:c>
      <x:c r="K4489" t="n">
        <x:v>1</x:v>
      </x:c>
      <x:c r="L4489" t="str">
        <x:v>STORE-001</x:v>
      </x:c>
      <x:c r="M4489" s="22" t="n">
        <x:v>46058</x:v>
      </x:c>
      <x:c r="N4489" t="str">
        <x:v>SKU-006</x:v>
      </x:c>
      <x:c r="O4489" t="n">
        <x:v>1</x:v>
      </x:c>
      <x:c r="P4489" s="26" t="n">
        <x:f>F4489/O4489</x:f>
        <x:v>125.56</x:v>
      </x:c>
    </x:row>
    <x:row r="4490">
      <x:c r="A4490" t="n">
        <x:v>4489</x:v>
      </x:c>
      <x:c r="B4490" t="n">
        <x:v>60</x:v>
      </x:c>
      <x:c r="C4490" t="str">
        <x:v>Female</x:v>
      </x:c>
      <x:c r="D4490" t="str">
        <x:v>Footwear</x:v>
      </x:c>
      <x:c r="E4490" t="str">
        <x:v>Sneakers</x:v>
      </x:c>
      <x:c r="F4490" s="24" t="n">
        <x:v>76.16</x:v>
      </x:c>
      <x:c r="G4490" t="str">
        <x:v>Winter</x:v>
      </x:c>
      <x:c r="H4490" t="str">
        <x:v>Card</x:v>
      </x:c>
      <x:c r="I4490" t="n">
        <x:v>4.7</x:v>
      </x:c>
      <x:c r="J4490" t="n">
        <x:v>13</x:v>
      </x:c>
      <x:c r="K4490" t="n">
        <x:v>4</x:v>
      </x:c>
      <x:c r="L4490" t="str">
        <x:v>STORE-001</x:v>
      </x:c>
      <x:c r="M4490" s="22" t="n">
        <x:v>46182</x:v>
      </x:c>
      <x:c r="N4490" t="str">
        <x:v>SKU-025</x:v>
      </x:c>
      <x:c r="O4490" t="n">
        <x:v>1</x:v>
      </x:c>
      <x:c r="P4490" s="26" t="n">
        <x:f>F4490/O4490</x:f>
        <x:v>76.16</x:v>
      </x:c>
    </x:row>
    <x:row r="4491">
      <x:c r="A4491" t="n">
        <x:v>4490</x:v>
      </x:c>
      <x:c r="B4491" t="n">
        <x:v>50</x:v>
      </x:c>
      <x:c r="C4491" t="str">
        <x:v>Male</x:v>
      </x:c>
      <x:c r="D4491" t="str">
        <x:v>Mens Clothing</x:v>
      </x:c>
      <x:c r="E4491" t="str">
        <x:v>T-Shirt</x:v>
      </x:c>
      <x:c r="F4491" s="24" t="n">
        <x:v>37.53</x:v>
      </x:c>
      <x:c r="G4491" t="str">
        <x:v>Winter</x:v>
      </x:c>
      <x:c r="H4491" t="str">
        <x:v>Card</x:v>
      </x:c>
      <x:c r="I4491" t="n">
        <x:v>3.5</x:v>
      </x:c>
      <x:c r="J4491" t="n">
        <x:v>8</x:v>
      </x:c>
      <x:c r="K4491" t="n">
        <x:v>4</x:v>
      </x:c>
      <x:c r="L4491" t="str">
        <x:v>STORE-001</x:v>
      </x:c>
      <x:c r="M4491" s="22" t="n">
        <x:v>46242</x:v>
      </x:c>
      <x:c r="N4491" t="str">
        <x:v>SKU-027</x:v>
      </x:c>
      <x:c r="O4491" t="n">
        <x:v>2</x:v>
      </x:c>
      <x:c r="P4491" s="26" t="n">
        <x:f>F4491/O4491</x:f>
        <x:v>18.765</x:v>
      </x:c>
    </x:row>
    <x:row r="4492">
      <x:c r="A4492" t="n">
        <x:v>4491</x:v>
      </x:c>
      <x:c r="B4492" t="n">
        <x:v>51</x:v>
      </x:c>
      <x:c r="C4492" t="str">
        <x:v>Male</x:v>
      </x:c>
      <x:c r="D4492" t="str">
        <x:v>Mens Clothing</x:v>
      </x:c>
      <x:c r="E4492" t="str">
        <x:v>T-Shirt</x:v>
      </x:c>
      <x:c r="F4492" s="24" t="n">
        <x:v>100.29</x:v>
      </x:c>
      <x:c r="G4492" t="str">
        <x:v>Winter</x:v>
      </x:c>
      <x:c r="H4492" t="str">
        <x:v>Card</x:v>
      </x:c>
      <x:c r="I4492" t="n">
        <x:v>3.5</x:v>
      </x:c>
      <x:c r="J4492" t="n">
        <x:v>14</x:v>
      </x:c>
      <x:c r="K4492" t="n">
        <x:v>7</x:v>
      </x:c>
      <x:c r="L4492" t="str">
        <x:v>STORE-001</x:v>
      </x:c>
      <x:c r="M4492" s="22" t="n">
        <x:v>46222</x:v>
      </x:c>
      <x:c r="N4492" t="str">
        <x:v>SKU-027</x:v>
      </x:c>
      <x:c r="O4492" t="n">
        <x:v>2</x:v>
      </x:c>
      <x:c r="P4492" s="26" t="n">
        <x:f>F4492/O4492</x:f>
        <x:v>50.145</x:v>
      </x:c>
    </x:row>
    <x:row r="4493">
      <x:c r="A4493" t="n">
        <x:v>4492</x:v>
      </x:c>
      <x:c r="B4493" t="n">
        <x:v>26</x:v>
      </x:c>
      <x:c r="C4493" t="str">
        <x:v>Male</x:v>
      </x:c>
      <x:c r="D4493" t="str">
        <x:v>Electronics</x:v>
      </x:c>
      <x:c r="E4493" t="str">
        <x:v>Laptop</x:v>
      </x:c>
      <x:c r="F4493" s="24" t="n">
        <x:v>1336.49</x:v>
      </x:c>
      <x:c r="G4493" t="str">
        <x:v>Winter</x:v>
      </x:c>
      <x:c r="H4493" t="str">
        <x:v>Card</x:v>
      </x:c>
      <x:c r="I4493" t="n">
        <x:v>3.8</x:v>
      </x:c>
      <x:c r="J4493" t="n">
        <x:v>9</x:v>
      </x:c>
      <x:c r="K4493" t="n">
        <x:v>2</x:v>
      </x:c>
      <x:c r="L4493" t="str">
        <x:v>STORE-001</x:v>
      </x:c>
      <x:c r="M4493" s="22" t="n">
        <x:v>46210</x:v>
      </x:c>
      <x:c r="N4493" t="str">
        <x:v>SKU-014</x:v>
      </x:c>
      <x:c r="O4493" t="n">
        <x:v>2</x:v>
      </x:c>
      <x:c r="P4493" s="26" t="n">
        <x:f>F4493/O4493</x:f>
        <x:v>668.245</x:v>
      </x:c>
    </x:row>
    <x:row r="4494">
      <x:c r="A4494" t="n">
        <x:v>4493</x:v>
      </x:c>
      <x:c r="B4494" t="n">
        <x:v>23</x:v>
      </x:c>
      <x:c r="C4494" t="str">
        <x:v>Male</x:v>
      </x:c>
      <x:c r="D4494" t="str">
        <x:v>Home</x:v>
      </x:c>
      <x:c r="E4494" t="str">
        <x:v>Kitchen Set</x:v>
      </x:c>
      <x:c r="F4494" s="24" t="n">
        <x:v>207.75</x:v>
      </x:c>
      <x:c r="G4494" t="str">
        <x:v>Winter</x:v>
      </x:c>
      <x:c r="H4494" t="str">
        <x:v>Card</x:v>
      </x:c>
      <x:c r="I4494" t="n">
        <x:v>4.9</x:v>
      </x:c>
      <x:c r="J4494" t="n">
        <x:v>17</x:v>
      </x:c>
      <x:c r="K4494" t="n">
        <x:v>6</x:v>
      </x:c>
      <x:c r="L4494" t="str">
        <x:v>STORE-001</x:v>
      </x:c>
      <x:c r="M4494" s="22" t="n">
        <x:v>46209</x:v>
      </x:c>
      <x:c r="N4494" t="str">
        <x:v>SKU-012</x:v>
      </x:c>
      <x:c r="O4494" t="n">
        <x:v>1</x:v>
      </x:c>
      <x:c r="P4494" s="26" t="n">
        <x:f>F4494/O4494</x:f>
        <x:v>207.75</x:v>
      </x:c>
    </x:row>
    <x:row r="4495">
      <x:c r="A4495" t="n">
        <x:v>4494</x:v>
      </x:c>
      <x:c r="B4495" t="n">
        <x:v>25</x:v>
      </x:c>
      <x:c r="C4495" t="str">
        <x:v>Female</x:v>
      </x:c>
      <x:c r="D4495" t="str">
        <x:v>Home</x:v>
      </x:c>
      <x:c r="E4495" t="str">
        <x:v>Lamp</x:v>
      </x:c>
      <x:c r="F4495" s="24" t="n">
        <x:v>44.45</x:v>
      </x:c>
      <x:c r="G4495" t="str">
        <x:v>Summer</x:v>
      </x:c>
      <x:c r="H4495" t="str">
        <x:v>Cash on Delivery</x:v>
      </x:c>
      <x:c r="I4495" t="n">
        <x:v>5</x:v>
      </x:c>
      <x:c r="J4495" t="n">
        <x:v>10</x:v>
      </x:c>
      <x:c r="K4495" t="n">
        <x:v>5</x:v>
      </x:c>
      <x:c r="L4495" t="str">
        <x:v>STORE-001</x:v>
      </x:c>
      <x:c r="M4495" s="22" t="n">
        <x:v>46043</x:v>
      </x:c>
      <x:c r="N4495" t="str">
        <x:v>SKU-013</x:v>
      </x:c>
      <x:c r="O4495" t="n">
        <x:v>4</x:v>
      </x:c>
      <x:c r="P4495" s="26" t="n">
        <x:f>F4495/O4495</x:f>
        <x:v>11.1125</x:v>
      </x:c>
    </x:row>
    <x:row r="4496">
      <x:c r="A4496" t="n">
        <x:v>4495</x:v>
      </x:c>
      <x:c r="B4496" t="n">
        <x:v>34</x:v>
      </x:c>
      <x:c r="C4496" t="str">
        <x:v>Female</x:v>
      </x:c>
      <x:c r="D4496" t="str">
        <x:v>Home</x:v>
      </x:c>
      <x:c r="E4496" t="str">
        <x:v>Kitchen Set</x:v>
      </x:c>
      <x:c r="F4496" s="24" t="n">
        <x:v>228.41</x:v>
      </x:c>
      <x:c r="G4496" t="str">
        <x:v>Winter</x:v>
      </x:c>
      <x:c r="H4496" t="str">
        <x:v>Card</x:v>
      </x:c>
      <x:c r="I4496" t="n">
        <x:v>3.5</x:v>
      </x:c>
      <x:c r="J4496" t="n">
        <x:v>8</x:v>
      </x:c>
      <x:c r="K4496" t="n">
        <x:v>4</x:v>
      </x:c>
      <x:c r="L4496" t="str">
        <x:v>STORE-001</x:v>
      </x:c>
      <x:c r="M4496" s="22" t="n">
        <x:v>46216</x:v>
      </x:c>
      <x:c r="N4496" t="str">
        <x:v>SKU-012</x:v>
      </x:c>
      <x:c r="O4496" t="n">
        <x:v>2</x:v>
      </x:c>
      <x:c r="P4496" s="26" t="n">
        <x:f>F4496/O4496</x:f>
        <x:v>114.205</x:v>
      </x:c>
    </x:row>
    <x:row r="4497">
      <x:c r="A4497" t="n">
        <x:v>4496</x:v>
      </x:c>
      <x:c r="B4497" t="n">
        <x:v>24</x:v>
      </x:c>
      <x:c r="C4497" t="str">
        <x:v>Male</x:v>
      </x:c>
      <x:c r="D4497" t="str">
        <x:v>Home</x:v>
      </x:c>
      <x:c r="E4497" t="str">
        <x:v>Kitchen Set</x:v>
      </x:c>
      <x:c r="F4497" s="24" t="n">
        <x:v>69.23</x:v>
      </x:c>
      <x:c r="G4497" t="str">
        <x:v>Spring</x:v>
      </x:c>
      <x:c r="H4497" t="str">
        <x:v>Cash on Delivery</x:v>
      </x:c>
      <x:c r="I4497" t="n">
        <x:v>4.2</x:v>
      </x:c>
      <x:c r="J4497" t="n">
        <x:v>4</x:v>
      </x:c>
      <x:c r="K4497" t="n">
        <x:v>2</x:v>
      </x:c>
      <x:c r="L4497" t="str">
        <x:v>STORE-001</x:v>
      </x:c>
      <x:c r="M4497" s="22" t="n">
        <x:v>45980</x:v>
      </x:c>
      <x:c r="N4497" t="str">
        <x:v>SKU-012</x:v>
      </x:c>
      <x:c r="O4497" t="n">
        <x:v>2</x:v>
      </x:c>
      <x:c r="P4497" s="26" t="n">
        <x:f>F4497/O4497</x:f>
        <x:v>34.615</x:v>
      </x:c>
    </x:row>
    <x:row r="4498">
      <x:c r="A4498" t="n">
        <x:v>4497</x:v>
      </x:c>
      <x:c r="B4498" t="n">
        <x:v>40</x:v>
      </x:c>
      <x:c r="C4498" t="str">
        <x:v>Female</x:v>
      </x:c>
      <x:c r="D4498" t="str">
        <x:v>Beauty</x:v>
      </x:c>
      <x:c r="E4498" t="str">
        <x:v>Skincare Kit</x:v>
      </x:c>
      <x:c r="F4498" s="24" t="n">
        <x:v>37.65</x:v>
      </x:c>
      <x:c r="G4498" t="str">
        <x:v>Winter</x:v>
      </x:c>
      <x:c r="H4498" t="str">
        <x:v>Cash on Delivery</x:v>
      </x:c>
      <x:c r="I4498" t="n">
        <x:v>4.3</x:v>
      </x:c>
      <x:c r="J4498" t="n">
        <x:v>27</x:v>
      </x:c>
      <x:c r="K4498" t="n">
        <x:v>11</x:v>
      </x:c>
      <x:c r="L4498" t="str">
        <x:v>STORE-001</x:v>
      </x:c>
      <x:c r="M4498" s="22" t="n">
        <x:v>46212</x:v>
      </x:c>
      <x:c r="N4498" t="str">
        <x:v>SKU-021</x:v>
      </x:c>
      <x:c r="O4498" t="n">
        <x:v>2</x:v>
      </x:c>
      <x:c r="P4498" s="26" t="n">
        <x:f>F4498/O4498</x:f>
        <x:v>18.825</x:v>
      </x:c>
    </x:row>
    <x:row r="4499">
      <x:c r="A4499" t="n">
        <x:v>4498</x:v>
      </x:c>
      <x:c r="B4499" t="n">
        <x:v>23</x:v>
      </x:c>
      <x:c r="C4499" t="str">
        <x:v>Male</x:v>
      </x:c>
      <x:c r="D4499" t="str">
        <x:v>Electronics</x:v>
      </x:c>
      <x:c r="E4499" t="str">
        <x:v>Laptop</x:v>
      </x:c>
      <x:c r="F4499" s="24" t="n">
        <x:v>1286.98</x:v>
      </x:c>
      <x:c r="G4499" t="str">
        <x:v>Spring</x:v>
      </x:c>
      <x:c r="H4499" t="str">
        <x:v>Card</x:v>
      </x:c>
      <x:c r="I4499" t="n">
        <x:v>4</x:v>
      </x:c>
      <x:c r="J4499" t="n">
        <x:v>14</x:v>
      </x:c>
      <x:c r="K4499" t="n">
        <x:v>7</x:v>
      </x:c>
      <x:c r="L4499" t="str">
        <x:v>STORE-001</x:v>
      </x:c>
      <x:c r="M4499" s="22" t="n">
        <x:v>46276</x:v>
      </x:c>
      <x:c r="N4499" t="str">
        <x:v>SKU-014</x:v>
      </x:c>
      <x:c r="O4499" t="n">
        <x:v>1</x:v>
      </x:c>
      <x:c r="P4499" s="26" t="n">
        <x:f>F4499/O4499</x:f>
        <x:v>1286.98</x:v>
      </x:c>
    </x:row>
    <x:row r="4500">
      <x:c r="A4500" t="n">
        <x:v>4499</x:v>
      </x:c>
      <x:c r="B4500" t="n">
        <x:v>28</x:v>
      </x:c>
      <x:c r="C4500" t="str">
        <x:v>Female</x:v>
      </x:c>
      <x:c r="D4500" t="str">
        <x:v>Footwear</x:v>
      </x:c>
      <x:c r="E4500" t="str">
        <x:v>Sneakers</x:v>
      </x:c>
      <x:c r="F4500" s="24" t="n">
        <x:v>99.44</x:v>
      </x:c>
      <x:c r="G4500" t="str">
        <x:v>Winter</x:v>
      </x:c>
      <x:c r="H4500" t="str">
        <x:v>Card</x:v>
      </x:c>
      <x:c r="I4500" t="n">
        <x:v>3.7</x:v>
      </x:c>
      <x:c r="J4500" t="n">
        <x:v>20</x:v>
      </x:c>
      <x:c r="K4500" t="n">
        <x:v>5</x:v>
      </x:c>
      <x:c r="L4500" t="str">
        <x:v>STORE-001</x:v>
      </x:c>
      <x:c r="M4500" s="22" t="n">
        <x:v>46233</x:v>
      </x:c>
      <x:c r="N4500" t="str">
        <x:v>SKU-025</x:v>
      </x:c>
      <x:c r="O4500" t="n">
        <x:v>1</x:v>
      </x:c>
      <x:c r="P4500" s="26" t="n">
        <x:f>F4500/O4500</x:f>
        <x:v>99.44</x:v>
      </x:c>
    </x:row>
    <x:row r="4501">
      <x:c r="A4501" t="n">
        <x:v>4500</x:v>
      </x:c>
      <x:c r="B4501" t="n">
        <x:v>22</x:v>
      </x:c>
      <x:c r="C4501" t="str">
        <x:v>Male</x:v>
      </x:c>
      <x:c r="D4501" t="str">
        <x:v>Sports</x:v>
      </x:c>
      <x:c r="E4501" t="str">
        <x:v>Football</x:v>
      </x:c>
      <x:c r="F4501" s="24" t="n">
        <x:v>215.07</x:v>
      </x:c>
      <x:c r="G4501" t="str">
        <x:v>Winter</x:v>
      </x:c>
      <x:c r="H4501" t="str">
        <x:v>Card</x:v>
      </x:c>
      <x:c r="I4501" t="n">
        <x:v>2.5</x:v>
      </x:c>
      <x:c r="J4501" t="n">
        <x:v>24</x:v>
      </x:c>
      <x:c r="K4501" t="n">
        <x:v>7</x:v>
      </x:c>
      <x:c r="L4501" t="str">
        <x:v>STORE-001</x:v>
      </x:c>
      <x:c r="M4501" s="22" t="n">
        <x:v>46220</x:v>
      </x:c>
      <x:c r="N4501" t="str">
        <x:v>SKU-006</x:v>
      </x:c>
      <x:c r="O4501" t="n">
        <x:v>1</x:v>
      </x:c>
      <x:c r="P4501" s="26" t="n">
        <x:f>F4501/O4501</x:f>
        <x:v>215.07</x:v>
      </x:c>
    </x:row>
    <x:row r="4502">
      <x:c r="A4502" t="n">
        <x:v>4501</x:v>
      </x:c>
      <x:c r="B4502" t="n">
        <x:v>27</x:v>
      </x:c>
      <x:c r="C4502" t="str">
        <x:v>Male</x:v>
      </x:c>
      <x:c r="D4502" t="str">
        <x:v>Electronics</x:v>
      </x:c>
      <x:c r="E4502" t="str">
        <x:v>Headphones</x:v>
      </x:c>
      <x:c r="F4502" s="24" t="n">
        <x:v>975.24</x:v>
      </x:c>
      <x:c r="G4502" t="str">
        <x:v>Spring</x:v>
      </x:c>
      <x:c r="H4502" t="str">
        <x:v>Card</x:v>
      </x:c>
      <x:c r="I4502" t="n">
        <x:v>3.6</x:v>
      </x:c>
      <x:c r="J4502" t="n">
        <x:v>4</x:v>
      </x:c>
      <x:c r="K4502" t="n">
        <x:v>2</x:v>
      </x:c>
      <x:c r="L4502" t="str">
        <x:v>STORE-001</x:v>
      </x:c>
      <x:c r="M4502" s="22" t="n">
        <x:v>45951</x:v>
      </x:c>
      <x:c r="N4502" t="str">
        <x:v>SKU-009</x:v>
      </x:c>
      <x:c r="O4502" t="n">
        <x:v>1</x:v>
      </x:c>
      <x:c r="P4502" s="26" t="n">
        <x:f>F4502/O4502</x:f>
        <x:v>975.24</x:v>
      </x:c>
    </x:row>
    <x:row r="4503">
      <x:c r="A4503" t="n">
        <x:v>4502</x:v>
      </x:c>
      <x:c r="B4503" t="n">
        <x:v>58</x:v>
      </x:c>
      <x:c r="C4503" t="str">
        <x:v>Female</x:v>
      </x:c>
      <x:c r="D4503" t="str">
        <x:v>Womens Clothing</x:v>
      </x:c>
      <x:c r="E4503" t="str">
        <x:v>Skirt</x:v>
      </x:c>
      <x:c r="F4503" s="24" t="n">
        <x:v>52.67</x:v>
      </x:c>
      <x:c r="G4503" t="str">
        <x:v>Spring</x:v>
      </x:c>
      <x:c r="H4503" t="str">
        <x:v>Cash on Delivery</x:v>
      </x:c>
      <x:c r="I4503" t="n">
        <x:v>3.3</x:v>
      </x:c>
      <x:c r="J4503" t="n">
        <x:v>16</x:v>
      </x:c>
      <x:c r="K4503" t="n">
        <x:v>8</x:v>
      </x:c>
      <x:c r="L4503" t="str">
        <x:v>STORE-001</x:v>
      </x:c>
      <x:c r="M4503" s="22" t="n">
        <x:v>45948</x:v>
      </x:c>
      <x:c r="N4503" t="str">
        <x:v>SKU-022</x:v>
      </x:c>
      <x:c r="O4503" t="n">
        <x:v>2</x:v>
      </x:c>
      <x:c r="P4503" s="26" t="n">
        <x:f>F4503/O4503</x:f>
        <x:v>26.335</x:v>
      </x:c>
    </x:row>
    <x:row r="4504">
      <x:c r="A4504" t="n">
        <x:v>4503</x:v>
      </x:c>
      <x:c r="B4504" t="n">
        <x:v>49</x:v>
      </x:c>
      <x:c r="C4504" t="str">
        <x:v>Male</x:v>
      </x:c>
      <x:c r="D4504" t="str">
        <x:v>Electronics</x:v>
      </x:c>
      <x:c r="E4504" t="str">
        <x:v>Headphones</x:v>
      </x:c>
      <x:c r="F4504" s="24" t="n">
        <x:v>2177.28</x:v>
      </x:c>
      <x:c r="G4504" t="str">
        <x:v>Summer</x:v>
      </x:c>
      <x:c r="H4504" t="str">
        <x:v>Card</x:v>
      </x:c>
      <x:c r="I4504" t="n">
        <x:v>3.6</x:v>
      </x:c>
      <x:c r="J4504" t="n">
        <x:v>26</x:v>
      </x:c>
      <x:c r="K4504" t="n">
        <x:v>8</x:v>
      </x:c>
      <x:c r="L4504" t="str">
        <x:v>STORE-001</x:v>
      </x:c>
      <x:c r="M4504" s="22" t="n">
        <x:v>46032</x:v>
      </x:c>
      <x:c r="N4504" t="str">
        <x:v>SKU-009</x:v>
      </x:c>
      <x:c r="O4504" t="n">
        <x:v>1</x:v>
      </x:c>
      <x:c r="P4504" s="26" t="n">
        <x:f>F4504/O4504</x:f>
        <x:v>2177.28</x:v>
      </x:c>
    </x:row>
    <x:row r="4505">
      <x:c r="A4505" t="n">
        <x:v>4504</x:v>
      </x:c>
      <x:c r="B4505" t="n">
        <x:v>60</x:v>
      </x:c>
      <x:c r="C4505" t="str">
        <x:v>Female</x:v>
      </x:c>
      <x:c r="D4505" t="str">
        <x:v>Womens Clothing</x:v>
      </x:c>
      <x:c r="E4505" t="str">
        <x:v>Top</x:v>
      </x:c>
      <x:c r="F4505" s="24" t="n">
        <x:v>90.75</x:v>
      </x:c>
      <x:c r="G4505" t="str">
        <x:v>Spring</x:v>
      </x:c>
      <x:c r="H4505" t="str">
        <x:v>Card</x:v>
      </x:c>
      <x:c r="I4505" t="n">
        <x:v>3.7</x:v>
      </x:c>
      <x:c r="J4505" t="n">
        <x:v>25</x:v>
      </x:c>
      <x:c r="K4505" t="n">
        <x:v>10</x:v>
      </x:c>
      <x:c r="L4505" t="str">
        <x:v>STORE-001</x:v>
      </x:c>
      <x:c r="M4505" s="22" t="n">
        <x:v>45951</x:v>
      </x:c>
      <x:c r="N4505" t="str">
        <x:v>SKU-028</x:v>
      </x:c>
      <x:c r="O4505" t="n">
        <x:v>1</x:v>
      </x:c>
      <x:c r="P4505" s="26" t="n">
        <x:f>F4505/O4505</x:f>
        <x:v>90.75</x:v>
      </x:c>
    </x:row>
    <x:row r="4506">
      <x:c r="A4506" t="n">
        <x:v>4505</x:v>
      </x:c>
      <x:c r="B4506" t="n">
        <x:v>23</x:v>
      </x:c>
      <x:c r="C4506" t="str">
        <x:v>Female</x:v>
      </x:c>
      <x:c r="D4506" t="str">
        <x:v>Footwear</x:v>
      </x:c>
      <x:c r="E4506" t="str">
        <x:v>Sneakers</x:v>
      </x:c>
      <x:c r="F4506" s="24" t="n">
        <x:v>200.4</x:v>
      </x:c>
      <x:c r="G4506" t="str">
        <x:v>Autumn</x:v>
      </x:c>
      <x:c r="H4506" t="str">
        <x:v>Card</x:v>
      </x:c>
      <x:c r="I4506" t="n">
        <x:v>3</x:v>
      </x:c>
      <x:c r="J4506" t="n">
        <x:v>19</x:v>
      </x:c>
      <x:c r="K4506" t="n">
        <x:v>7</x:v>
      </x:c>
      <x:c r="L4506" t="str">
        <x:v>STORE-001</x:v>
      </x:c>
      <x:c r="M4506" s="22" t="n">
        <x:v>46134</x:v>
      </x:c>
      <x:c r="N4506" t="str">
        <x:v>SKU-025</x:v>
      </x:c>
      <x:c r="O4506" t="n">
        <x:v>1</x:v>
      </x:c>
      <x:c r="P4506" s="26" t="n">
        <x:f>F4506/O4506</x:f>
        <x:v>200.4</x:v>
      </x:c>
    </x:row>
    <x:row r="4507">
      <x:c r="A4507" t="n">
        <x:v>4506</x:v>
      </x:c>
      <x:c r="B4507" t="n">
        <x:v>51</x:v>
      </x:c>
      <x:c r="C4507" t="str">
        <x:v>Female</x:v>
      </x:c>
      <x:c r="D4507" t="str">
        <x:v>Beauty</x:v>
      </x:c>
      <x:c r="E4507" t="str">
        <x:v>Perfume</x:v>
      </x:c>
      <x:c r="F4507" s="24" t="n">
        <x:v>20.2</x:v>
      </x:c>
      <x:c r="G4507" t="str">
        <x:v>Autumn</x:v>
      </x:c>
      <x:c r="H4507" t="str">
        <x:v>Cash on Delivery</x:v>
      </x:c>
      <x:c r="I4507" t="n">
        <x:v>5</x:v>
      </x:c>
      <x:c r="J4507" t="n">
        <x:v>15</x:v>
      </x:c>
      <x:c r="K4507" t="n">
        <x:v>5</x:v>
      </x:c>
      <x:c r="L4507" t="str">
        <x:v>STORE-001</x:v>
      </x:c>
      <x:c r="M4507" s="22" t="n">
        <x:v>46170</x:v>
      </x:c>
      <x:c r="N4507" t="str">
        <x:v>SKU-017</x:v>
      </x:c>
      <x:c r="O4507" t="n">
        <x:v>1</x:v>
      </x:c>
      <x:c r="P4507" s="26" t="n">
        <x:f>F4507/O4507</x:f>
        <x:v>20.2</x:v>
      </x:c>
    </x:row>
    <x:row r="4508">
      <x:c r="A4508" t="n">
        <x:v>4507</x:v>
      </x:c>
      <x:c r="B4508" t="n">
        <x:v>42</x:v>
      </x:c>
      <x:c r="C4508" t="str">
        <x:v>Male</x:v>
      </x:c>
      <x:c r="D4508" t="str">
        <x:v>Mens Clothing</x:v>
      </x:c>
      <x:c r="E4508" t="str">
        <x:v>Shirt</x:v>
      </x:c>
      <x:c r="F4508" s="24" t="n">
        <x:v>120.04</x:v>
      </x:c>
      <x:c r="G4508" t="str">
        <x:v>Summer</x:v>
      </x:c>
      <x:c r="H4508" t="str">
        <x:v>Card</x:v>
      </x:c>
      <x:c r="I4508" t="n">
        <x:v>4.8</x:v>
      </x:c>
      <x:c r="J4508" t="n">
        <x:v>17</x:v>
      </x:c>
      <x:c r="K4508" t="n">
        <x:v>6</x:v>
      </x:c>
      <x:c r="L4508" t="str">
        <x:v>STORE-001</x:v>
      </x:c>
      <x:c r="M4508" s="22" t="n">
        <x:v>46020</x:v>
      </x:c>
      <x:c r="N4508" t="str">
        <x:v>SKU-020</x:v>
      </x:c>
      <x:c r="O4508" t="n">
        <x:v>1</x:v>
      </x:c>
      <x:c r="P4508" s="26" t="n">
        <x:f>F4508/O4508</x:f>
        <x:v>120.04</x:v>
      </x:c>
    </x:row>
    <x:row r="4509">
      <x:c r="A4509" t="n">
        <x:v>4508</x:v>
      </x:c>
      <x:c r="B4509" t="n">
        <x:v>63</x:v>
      </x:c>
      <x:c r="C4509" t="str">
        <x:v>Female</x:v>
      </x:c>
      <x:c r="D4509" t="str">
        <x:v>Beauty</x:v>
      </x:c>
      <x:c r="E4509" t="str">
        <x:v>Skincare Kit</x:v>
      </x:c>
      <x:c r="F4509" s="24" t="n">
        <x:v>64.58</x:v>
      </x:c>
      <x:c r="G4509" t="str">
        <x:v>Autumn</x:v>
      </x:c>
      <x:c r="H4509" t="str">
        <x:v>Card</x:v>
      </x:c>
      <x:c r="I4509" t="n">
        <x:v>3.5</x:v>
      </x:c>
      <x:c r="J4509" t="n">
        <x:v>6</x:v>
      </x:c>
      <x:c r="K4509" t="n">
        <x:v>3</x:v>
      </x:c>
      <x:c r="L4509" t="str">
        <x:v>STORE-001</x:v>
      </x:c>
      <x:c r="M4509" s="22" t="n">
        <x:v>46086</x:v>
      </x:c>
      <x:c r="N4509" t="str">
        <x:v>SKU-021</x:v>
      </x:c>
      <x:c r="O4509" t="n">
        <x:v>1</x:v>
      </x:c>
      <x:c r="P4509" s="26" t="n">
        <x:f>F4509/O4509</x:f>
        <x:v>64.58</x:v>
      </x:c>
    </x:row>
    <x:row r="4510">
      <x:c r="A4510" t="n">
        <x:v>4509</x:v>
      </x:c>
      <x:c r="B4510" t="n">
        <x:v>21</x:v>
      </x:c>
      <x:c r="C4510" t="str">
        <x:v>Male</x:v>
      </x:c>
      <x:c r="D4510" t="str">
        <x:v>Groceries</x:v>
      </x:c>
      <x:c r="E4510" t="str">
        <x:v>Rice Pack</x:v>
      </x:c>
      <x:c r="F4510" s="24" t="n">
        <x:v>5.44</x:v>
      </x:c>
      <x:c r="G4510" t="str">
        <x:v>Summer</x:v>
      </x:c>
      <x:c r="H4510" t="str">
        <x:v>Card</x:v>
      </x:c>
      <x:c r="I4510" t="n">
        <x:v>3.7</x:v>
      </x:c>
      <x:c r="J4510" t="n">
        <x:v>22</x:v>
      </x:c>
      <x:c r="K4510" t="n">
        <x:v>6</x:v>
      </x:c>
      <x:c r="L4510" t="str">
        <x:v>STORE-001</x:v>
      </x:c>
      <x:c r="M4510" s="22" t="n">
        <x:v>46021</x:v>
      </x:c>
      <x:c r="N4510" t="str">
        <x:v>SKU-018</x:v>
      </x:c>
      <x:c r="O4510" t="n">
        <x:v>3</x:v>
      </x:c>
      <x:c r="P4510" s="26" t="n">
        <x:f>F4510/O4510</x:f>
        <x:v>1.8133333333333335</x:v>
      </x:c>
    </x:row>
    <x:row r="4511">
      <x:c r="A4511" t="n">
        <x:v>4510</x:v>
      </x:c>
      <x:c r="B4511" t="n">
        <x:v>52</x:v>
      </x:c>
      <x:c r="C4511" t="str">
        <x:v>Male</x:v>
      </x:c>
      <x:c r="D4511" t="str">
        <x:v>Electronics</x:v>
      </x:c>
      <x:c r="E4511" t="str">
        <x:v>Mobile Phone</x:v>
      </x:c>
      <x:c r="F4511" s="24" t="n">
        <x:v>1371.54</x:v>
      </x:c>
      <x:c r="G4511" t="str">
        <x:v>Winter</x:v>
      </x:c>
      <x:c r="H4511" t="str">
        <x:v>Card</x:v>
      </x:c>
      <x:c r="I4511" t="n">
        <x:v>3.4</x:v>
      </x:c>
      <x:c r="J4511" t="n">
        <x:v>14</x:v>
      </x:c>
      <x:c r="K4511" t="n">
        <x:v>7</x:v>
      </x:c>
      <x:c r="L4511" t="str">
        <x:v>STORE-001</x:v>
      </x:c>
      <x:c r="M4511" s="22" t="n">
        <x:v>46249</x:v>
      </x:c>
      <x:c r="N4511" t="str">
        <x:v>SKU-016</x:v>
      </x:c>
      <x:c r="O4511" t="n">
        <x:v>1</x:v>
      </x:c>
      <x:c r="P4511" s="26" t="n">
        <x:f>F4511/O4511</x:f>
        <x:v>1371.54</x:v>
      </x:c>
    </x:row>
    <x:row r="4512">
      <x:c r="A4512" t="n">
        <x:v>4511</x:v>
      </x:c>
      <x:c r="B4512" t="n">
        <x:v>30</x:v>
      </x:c>
      <x:c r="C4512" t="str">
        <x:v>Male</x:v>
      </x:c>
      <x:c r="D4512" t="str">
        <x:v>Footwear</x:v>
      </x:c>
      <x:c r="E4512" t="str">
        <x:v>Formal Shoes</x:v>
      </x:c>
      <x:c r="F4512" s="24" t="n">
        <x:v>193.68</x:v>
      </x:c>
      <x:c r="G4512" t="str">
        <x:v>Winter</x:v>
      </x:c>
      <x:c r="H4512" t="str">
        <x:v>Card</x:v>
      </x:c>
      <x:c r="I4512" t="n">
        <x:v>3.1</x:v>
      </x:c>
      <x:c r="J4512" t="n">
        <x:v>14</x:v>
      </x:c>
      <x:c r="K4512" t="n">
        <x:v>2</x:v>
      </x:c>
      <x:c r="L4512" t="str">
        <x:v>STORE-001</x:v>
      </x:c>
      <x:c r="M4512" s="22" t="n">
        <x:v>46196</x:v>
      </x:c>
      <x:c r="N4512" t="str">
        <x:v>SKU-007</x:v>
      </x:c>
      <x:c r="O4512" t="n">
        <x:v>2</x:v>
      </x:c>
      <x:c r="P4512" s="26" t="n">
        <x:f>F4512/O4512</x:f>
        <x:v>96.84</x:v>
      </x:c>
    </x:row>
    <x:row r="4513">
      <x:c r="A4513" t="n">
        <x:v>4512</x:v>
      </x:c>
      <x:c r="B4513" t="n">
        <x:v>70</x:v>
      </x:c>
      <x:c r="C4513" t="str">
        <x:v>Female</x:v>
      </x:c>
      <x:c r="D4513" t="str">
        <x:v>Womens Clothing</x:v>
      </x:c>
      <x:c r="E4513" t="str">
        <x:v>Jeans</x:v>
      </x:c>
      <x:c r="F4513" s="24" t="n">
        <x:v>142.97</x:v>
      </x:c>
      <x:c r="G4513" t="str">
        <x:v>Winter</x:v>
      </x:c>
      <x:c r="H4513" t="str">
        <x:v>Card</x:v>
      </x:c>
      <x:c r="I4513" t="n">
        <x:v>4</x:v>
      </x:c>
      <x:c r="J4513" t="n">
        <x:v>17</x:v>
      </x:c>
      <x:c r="K4513" t="n">
        <x:v>6</x:v>
      </x:c>
      <x:c r="L4513" t="str">
        <x:v>STORE-001</x:v>
      </x:c>
      <x:c r="M4513" s="22" t="n">
        <x:v>46181</x:v>
      </x:c>
      <x:c r="N4513" t="str">
        <x:v>SKU-011</x:v>
      </x:c>
      <x:c r="O4513" t="n">
        <x:v>2</x:v>
      </x:c>
      <x:c r="P4513" s="26" t="n">
        <x:f>F4513/O4513</x:f>
        <x:v>71.485</x:v>
      </x:c>
    </x:row>
    <x:row r="4514">
      <x:c r="A4514" t="n">
        <x:v>4513</x:v>
      </x:c>
      <x:c r="B4514" t="n">
        <x:v>61</x:v>
      </x:c>
      <x:c r="C4514" t="str">
        <x:v>Female</x:v>
      </x:c>
      <x:c r="D4514" t="str">
        <x:v>Accessories</x:v>
      </x:c>
      <x:c r="E4514" t="str">
        <x:v>Sunglasses</x:v>
      </x:c>
      <x:c r="F4514" s="24" t="n">
        <x:v>119.4</x:v>
      </x:c>
      <x:c r="G4514" t="str">
        <x:v>Winter</x:v>
      </x:c>
      <x:c r="H4514" t="str">
        <x:v>Card</x:v>
      </x:c>
      <x:c r="I4514" t="n">
        <x:v>4.3</x:v>
      </x:c>
      <x:c r="J4514" t="n">
        <x:v>26</x:v>
      </x:c>
      <x:c r="K4514" t="n">
        <x:v>8</x:v>
      </x:c>
      <x:c r="L4514" t="str">
        <x:v>STORE-001</x:v>
      </x:c>
      <x:c r="M4514" s="22" t="n">
        <x:v>46205</x:v>
      </x:c>
      <x:c r="N4514" t="str">
        <x:v>SKU-026</x:v>
      </x:c>
      <x:c r="O4514" t="n">
        <x:v>1</x:v>
      </x:c>
      <x:c r="P4514" s="26" t="n">
        <x:f>F4514/O4514</x:f>
        <x:v>119.4</x:v>
      </x:c>
    </x:row>
    <x:row r="4515">
      <x:c r="A4515" t="n">
        <x:v>4514</x:v>
      </x:c>
      <x:c r="B4515" t="n">
        <x:v>55</x:v>
      </x:c>
      <x:c r="C4515" t="str">
        <x:v>Female</x:v>
      </x:c>
      <x:c r="D4515" t="str">
        <x:v>Womens Clothing</x:v>
      </x:c>
      <x:c r="E4515" t="str">
        <x:v>Top</x:v>
      </x:c>
      <x:c r="F4515" s="24" t="n">
        <x:v>178.14</x:v>
      </x:c>
      <x:c r="G4515" t="str">
        <x:v>Autumn</x:v>
      </x:c>
      <x:c r="H4515" t="str">
        <x:v>Card</x:v>
      </x:c>
      <x:c r="I4515" t="n">
        <x:v>4.7</x:v>
      </x:c>
      <x:c r="J4515" t="n">
        <x:v>16</x:v>
      </x:c>
      <x:c r="K4515" t="n">
        <x:v>3</x:v>
      </x:c>
      <x:c r="L4515" t="str">
        <x:v>STORE-001</x:v>
      </x:c>
      <x:c r="M4515" s="22" t="n">
        <x:v>46172</x:v>
      </x:c>
      <x:c r="N4515" t="str">
        <x:v>SKU-028</x:v>
      </x:c>
      <x:c r="O4515" t="n">
        <x:v>1</x:v>
      </x:c>
      <x:c r="P4515" s="26" t="n">
        <x:f>F4515/O4515</x:f>
        <x:v>178.14</x:v>
      </x:c>
    </x:row>
    <x:row r="4516">
      <x:c r="A4516" t="n">
        <x:v>4515</x:v>
      </x:c>
      <x:c r="B4516" t="n">
        <x:v>65</x:v>
      </x:c>
      <x:c r="C4516" t="str">
        <x:v>Male</x:v>
      </x:c>
      <x:c r="D4516" t="str">
        <x:v>Groceries</x:v>
      </x:c>
      <x:c r="E4516" t="str">
        <x:v>Cooking Oil</x:v>
      </x:c>
      <x:c r="F4516" s="24" t="n">
        <x:v>13.59</x:v>
      </x:c>
      <x:c r="G4516" t="str">
        <x:v>Spring</x:v>
      </x:c>
      <x:c r="H4516" t="str">
        <x:v>Card</x:v>
      </x:c>
      <x:c r="I4516" t="n">
        <x:v>3.1</x:v>
      </x:c>
      <x:c r="J4516" t="n">
        <x:v>10</x:v>
      </x:c>
      <x:c r="K4516" t="n">
        <x:v>5</x:v>
      </x:c>
      <x:c r="L4516" t="str">
        <x:v>STORE-001</x:v>
      </x:c>
      <x:c r="M4516" s="22" t="n">
        <x:v>46292</x:v>
      </x:c>
      <x:c r="N4516" t="str">
        <x:v>SKU-002</x:v>
      </x:c>
      <x:c r="O4516" t="n">
        <x:v>1</x:v>
      </x:c>
      <x:c r="P4516" s="26" t="n">
        <x:f>F4516/O4516</x:f>
        <x:v>13.59</x:v>
      </x:c>
    </x:row>
    <x:row r="4517">
      <x:c r="A4517" t="n">
        <x:v>4516</x:v>
      </x:c>
      <x:c r="B4517" t="n">
        <x:v>41</x:v>
      </x:c>
      <x:c r="C4517" t="str">
        <x:v>Male</x:v>
      </x:c>
      <x:c r="D4517" t="str">
        <x:v>Groceries</x:v>
      </x:c>
      <x:c r="E4517" t="str">
        <x:v>Beverages</x:v>
      </x:c>
      <x:c r="F4517" s="24" t="n">
        <x:v>11.01</x:v>
      </x:c>
      <x:c r="G4517" t="str">
        <x:v>Summer</x:v>
      </x:c>
      <x:c r="H4517" t="str">
        <x:v>Cash on Delivery</x:v>
      </x:c>
      <x:c r="I4517" t="n">
        <x:v>4.6</x:v>
      </x:c>
      <x:c r="J4517" t="n">
        <x:v>13</x:v>
      </x:c>
      <x:c r="K4517" t="n">
        <x:v>4</x:v>
      </x:c>
      <x:c r="L4517" t="str">
        <x:v>STORE-001</x:v>
      </x:c>
      <x:c r="M4517" s="22" t="n">
        <x:v>46063</x:v>
      </x:c>
      <x:c r="N4517" t="str">
        <x:v>SKU-001</x:v>
      </x:c>
      <x:c r="O4517" t="n">
        <x:v>1</x:v>
      </x:c>
      <x:c r="P4517" s="26" t="n">
        <x:f>F4517/O4517</x:f>
        <x:v>11.01</x:v>
      </x:c>
    </x:row>
    <x:row r="4518">
      <x:c r="A4518" t="n">
        <x:v>4517</x:v>
      </x:c>
      <x:c r="B4518" t="n">
        <x:v>35</x:v>
      </x:c>
      <x:c r="C4518" t="str">
        <x:v>Male</x:v>
      </x:c>
      <x:c r="D4518" t="str">
        <x:v>Sports</x:v>
      </x:c>
      <x:c r="E4518" t="str">
        <x:v>Yoga Mat</x:v>
      </x:c>
      <x:c r="F4518" s="24" t="n">
        <x:v>156.76</x:v>
      </x:c>
      <x:c r="G4518" t="str">
        <x:v>Winter</x:v>
      </x:c>
      <x:c r="H4518" t="str">
        <x:v>Card</x:v>
      </x:c>
      <x:c r="I4518" t="n">
        <x:v>3.3</x:v>
      </x:c>
      <x:c r="J4518" t="n">
        <x:v>6</x:v>
      </x:c>
      <x:c r="K4518" t="n">
        <x:v>3</x:v>
      </x:c>
      <x:c r="L4518" t="str">
        <x:v>STORE-001</x:v>
      </x:c>
      <x:c r="M4518" s="22" t="n">
        <x:v>46205</x:v>
      </x:c>
      <x:c r="N4518" t="str">
        <x:v>SKU-030</x:v>
      </x:c>
      <x:c r="O4518" t="n">
        <x:v>1</x:v>
      </x:c>
      <x:c r="P4518" s="26" t="n">
        <x:f>F4518/O4518</x:f>
        <x:v>156.76</x:v>
      </x:c>
    </x:row>
    <x:row r="4519">
      <x:c r="A4519" t="n">
        <x:v>4518</x:v>
      </x:c>
      <x:c r="B4519" t="n">
        <x:v>55</x:v>
      </x:c>
      <x:c r="C4519" t="str">
        <x:v>Female</x:v>
      </x:c>
      <x:c r="D4519" t="str">
        <x:v>Footwear</x:v>
      </x:c>
      <x:c r="E4519" t="str">
        <x:v>Formal Shoes</x:v>
      </x:c>
      <x:c r="F4519" s="24" t="n">
        <x:v>40.21</x:v>
      </x:c>
      <x:c r="G4519" t="str">
        <x:v>Autumn</x:v>
      </x:c>
      <x:c r="H4519" t="str">
        <x:v>Card</x:v>
      </x:c>
      <x:c r="I4519" t="n">
        <x:v>3.5</x:v>
      </x:c>
      <x:c r="J4519" t="n">
        <x:v>14</x:v>
      </x:c>
      <x:c r="K4519" t="n">
        <x:v>2</x:v>
      </x:c>
      <x:c r="L4519" t="str">
        <x:v>STORE-001</x:v>
      </x:c>
      <x:c r="M4519" s="22" t="n">
        <x:v>46143</x:v>
      </x:c>
      <x:c r="N4519" t="str">
        <x:v>SKU-007</x:v>
      </x:c>
      <x:c r="O4519" t="n">
        <x:v>1</x:v>
      </x:c>
      <x:c r="P4519" s="26" t="n">
        <x:f>F4519/O4519</x:f>
        <x:v>40.21</x:v>
      </x:c>
    </x:row>
    <x:row r="4520">
      <x:c r="A4520" t="n">
        <x:v>4519</x:v>
      </x:c>
      <x:c r="B4520" t="n">
        <x:v>65</x:v>
      </x:c>
      <x:c r="C4520" t="str">
        <x:v>Female</x:v>
      </x:c>
      <x:c r="D4520" t="str">
        <x:v>Beauty</x:v>
      </x:c>
      <x:c r="E4520" t="str">
        <x:v>Skincare Kit</x:v>
      </x:c>
      <x:c r="F4520" s="24" t="n">
        <x:v>54.03</x:v>
      </x:c>
      <x:c r="G4520" t="str">
        <x:v>Summer</x:v>
      </x:c>
      <x:c r="H4520" t="str">
        <x:v>Card</x:v>
      </x:c>
      <x:c r="I4520" t="n">
        <x:v>3.6</x:v>
      </x:c>
      <x:c r="J4520" t="n">
        <x:v>15</x:v>
      </x:c>
      <x:c r="K4520" t="n">
        <x:v>5</x:v>
      </x:c>
      <x:c r="L4520" t="str">
        <x:v>STORE-001</x:v>
      </x:c>
      <x:c r="M4520" s="22" t="n">
        <x:v>46010</x:v>
      </x:c>
      <x:c r="N4520" t="str">
        <x:v>SKU-021</x:v>
      </x:c>
      <x:c r="O4520" t="n">
        <x:v>1</x:v>
      </x:c>
      <x:c r="P4520" s="26" t="n">
        <x:f>F4520/O4520</x:f>
        <x:v>54.03</x:v>
      </x:c>
    </x:row>
    <x:row r="4521">
      <x:c r="A4521" t="n">
        <x:v>4520</x:v>
      </x:c>
      <x:c r="B4521" t="n">
        <x:v>40</x:v>
      </x:c>
      <x:c r="C4521" t="str">
        <x:v>Female</x:v>
      </x:c>
      <x:c r="D4521" t="str">
        <x:v>Home</x:v>
      </x:c>
      <x:c r="E4521" t="str">
        <x:v>Lamp</x:v>
      </x:c>
      <x:c r="F4521" s="24" t="n">
        <x:v>216.9</x:v>
      </x:c>
      <x:c r="G4521" t="str">
        <x:v>Summer</x:v>
      </x:c>
      <x:c r="H4521" t="str">
        <x:v>Card</x:v>
      </x:c>
      <x:c r="I4521" t="n">
        <x:v>3.7</x:v>
      </x:c>
      <x:c r="J4521" t="n">
        <x:v>4</x:v>
      </x:c>
      <x:c r="K4521" t="n">
        <x:v>2</x:v>
      </x:c>
      <x:c r="L4521" t="str">
        <x:v>STORE-001</x:v>
      </x:c>
      <x:c r="M4521" s="22" t="n">
        <x:v>45993</x:v>
      </x:c>
      <x:c r="N4521" t="str">
        <x:v>SKU-013</x:v>
      </x:c>
      <x:c r="O4521" t="n">
        <x:v>1</x:v>
      </x:c>
      <x:c r="P4521" s="26" t="n">
        <x:f>F4521/O4521</x:f>
        <x:v>216.9</x:v>
      </x:c>
    </x:row>
    <x:row r="4522">
      <x:c r="A4522" t="n">
        <x:v>4521</x:v>
      </x:c>
      <x:c r="B4522" t="n">
        <x:v>59</x:v>
      </x:c>
      <x:c r="C4522" t="str">
        <x:v>Female</x:v>
      </x:c>
      <x:c r="D4522" t="str">
        <x:v>Accessories</x:v>
      </x:c>
      <x:c r="E4522" t="str">
        <x:v>Sunglasses</x:v>
      </x:c>
      <x:c r="F4522" s="24" t="n">
        <x:v>29.8</x:v>
      </x:c>
      <x:c r="G4522" t="str">
        <x:v>Winter</x:v>
      </x:c>
      <x:c r="H4522" t="str">
        <x:v>Cash on Delivery</x:v>
      </x:c>
      <x:c r="I4522" t="n">
        <x:v>3.2</x:v>
      </x:c>
      <x:c r="J4522" t="n">
        <x:v>10</x:v>
      </x:c>
      <x:c r="K4522" t="n">
        <x:v>5</x:v>
      </x:c>
      <x:c r="L4522" t="str">
        <x:v>STORE-001</x:v>
      </x:c>
      <x:c r="M4522" s="22" t="n">
        <x:v>46230</x:v>
      </x:c>
      <x:c r="N4522" t="str">
        <x:v>SKU-026</x:v>
      </x:c>
      <x:c r="O4522" t="n">
        <x:v>1</x:v>
      </x:c>
      <x:c r="P4522" s="26" t="n">
        <x:f>F4522/O4522</x:f>
        <x:v>29.8</x:v>
      </x:c>
    </x:row>
    <x:row r="4523">
      <x:c r="A4523" t="n">
        <x:v>4522</x:v>
      </x:c>
      <x:c r="B4523" t="n">
        <x:v>59</x:v>
      </x:c>
      <x:c r="C4523" t="str">
        <x:v>Female</x:v>
      </x:c>
      <x:c r="D4523" t="str">
        <x:v>Beauty</x:v>
      </x:c>
      <x:c r="E4523" t="str">
        <x:v>Perfume</x:v>
      </x:c>
      <x:c r="F4523" s="24" t="n">
        <x:v>111.6</x:v>
      </x:c>
      <x:c r="G4523" t="str">
        <x:v>Spring</x:v>
      </x:c>
      <x:c r="H4523" t="str">
        <x:v>Card</x:v>
      </x:c>
      <x:c r="I4523" t="n">
        <x:v>2.2</x:v>
      </x:c>
      <x:c r="J4523" t="n">
        <x:v>4</x:v>
      </x:c>
      <x:c r="K4523" t="n">
        <x:v>2</x:v>
      </x:c>
      <x:c r="L4523" t="str">
        <x:v>STORE-001</x:v>
      </x:c>
      <x:c r="M4523" s="22" t="n">
        <x:v>46276</x:v>
      </x:c>
      <x:c r="N4523" t="str">
        <x:v>SKU-017</x:v>
      </x:c>
      <x:c r="O4523" t="n">
        <x:v>1</x:v>
      </x:c>
      <x:c r="P4523" s="26" t="n">
        <x:f>F4523/O4523</x:f>
        <x:v>111.6</x:v>
      </x:c>
    </x:row>
    <x:row r="4524">
      <x:c r="A4524" t="n">
        <x:v>4523</x:v>
      </x:c>
      <x:c r="B4524" t="n">
        <x:v>70</x:v>
      </x:c>
      <x:c r="C4524" t="str">
        <x:v>Female</x:v>
      </x:c>
      <x:c r="D4524" t="str">
        <x:v>Womens Clothing</x:v>
      </x:c>
      <x:c r="E4524" t="str">
        <x:v>Top</x:v>
      </x:c>
      <x:c r="F4524" s="24" t="n">
        <x:v>161.67</x:v>
      </x:c>
      <x:c r="G4524" t="str">
        <x:v>Winter</x:v>
      </x:c>
      <x:c r="H4524" t="str">
        <x:v>Card</x:v>
      </x:c>
      <x:c r="I4524" t="n">
        <x:v>3.8</x:v>
      </x:c>
      <x:c r="J4524" t="n">
        <x:v>17</x:v>
      </x:c>
      <x:c r="K4524" t="n">
        <x:v>6</x:v>
      </x:c>
      <x:c r="L4524" t="str">
        <x:v>STORE-001</x:v>
      </x:c>
      <x:c r="M4524" s="22" t="n">
        <x:v>46199</x:v>
      </x:c>
      <x:c r="N4524" t="str">
        <x:v>SKU-028</x:v>
      </x:c>
      <x:c r="O4524" t="n">
        <x:v>2</x:v>
      </x:c>
      <x:c r="P4524" s="26" t="n">
        <x:f>F4524/O4524</x:f>
        <x:v>80.835</x:v>
      </x:c>
    </x:row>
    <x:row r="4525">
      <x:c r="A4525" t="n">
        <x:v>4524</x:v>
      </x:c>
      <x:c r="B4525" t="n">
        <x:v>59</x:v>
      </x:c>
      <x:c r="C4525" t="str">
        <x:v>Male</x:v>
      </x:c>
      <x:c r="D4525" t="str">
        <x:v>Home</x:v>
      </x:c>
      <x:c r="E4525" t="str">
        <x:v>Kitchen Set</x:v>
      </x:c>
      <x:c r="F4525" s="24" t="n">
        <x:v>155.09</x:v>
      </x:c>
      <x:c r="G4525" t="str">
        <x:v>Summer</x:v>
      </x:c>
      <x:c r="H4525" t="str">
        <x:v>Card</x:v>
      </x:c>
      <x:c r="I4525" t="n">
        <x:v>3.6</x:v>
      </x:c>
      <x:c r="J4525" t="n">
        <x:v>18</x:v>
      </x:c>
      <x:c r="K4525" t="n">
        <x:v>9</x:v>
      </x:c>
      <x:c r="L4525" t="str">
        <x:v>STORE-001</x:v>
      </x:c>
      <x:c r="M4525" s="22" t="n">
        <x:v>45995</x:v>
      </x:c>
      <x:c r="N4525" t="str">
        <x:v>SKU-012</x:v>
      </x:c>
      <x:c r="O4525" t="n">
        <x:v>1</x:v>
      </x:c>
      <x:c r="P4525" s="26" t="n">
        <x:f>F4525/O4525</x:f>
        <x:v>155.09</x:v>
      </x:c>
    </x:row>
    <x:row r="4526">
      <x:c r="A4526" t="n">
        <x:v>4525</x:v>
      </x:c>
      <x:c r="B4526" t="n">
        <x:v>61</x:v>
      </x:c>
      <x:c r="C4526" t="str">
        <x:v>Female</x:v>
      </x:c>
      <x:c r="D4526" t="str">
        <x:v>Sports</x:v>
      </x:c>
      <x:c r="E4526" t="str">
        <x:v>Football</x:v>
      </x:c>
      <x:c r="F4526" s="24" t="n">
        <x:v>140.07</x:v>
      </x:c>
      <x:c r="G4526" t="str">
        <x:v>Summer</x:v>
      </x:c>
      <x:c r="H4526" t="str">
        <x:v>Card</x:v>
      </x:c>
      <x:c r="I4526" t="n">
        <x:v>4</x:v>
      </x:c>
      <x:c r="J4526" t="n">
        <x:v>10</x:v>
      </x:c>
      <x:c r="K4526" t="n">
        <x:v>5</x:v>
      </x:c>
      <x:c r="L4526" t="str">
        <x:v>STORE-001</x:v>
      </x:c>
      <x:c r="M4526" s="22" t="n">
        <x:v>46062</x:v>
      </x:c>
      <x:c r="N4526" t="str">
        <x:v>SKU-006</x:v>
      </x:c>
      <x:c r="O4526" t="n">
        <x:v>2</x:v>
      </x:c>
      <x:c r="P4526" s="26" t="n">
        <x:f>F4526/O4526</x:f>
        <x:v>70.035</x:v>
      </x:c>
    </x:row>
    <x:row r="4527">
      <x:c r="A4527" t="n">
        <x:v>4526</x:v>
      </x:c>
      <x:c r="B4527" t="n">
        <x:v>68</x:v>
      </x:c>
      <x:c r="C4527" t="str">
        <x:v>Male</x:v>
      </x:c>
      <x:c r="D4527" t="str">
        <x:v>Electronics</x:v>
      </x:c>
      <x:c r="E4527" t="str">
        <x:v>Headphones</x:v>
      </x:c>
      <x:c r="F4527" s="24" t="n">
        <x:v>894.06</x:v>
      </x:c>
      <x:c r="G4527" t="str">
        <x:v>Winter</x:v>
      </x:c>
      <x:c r="H4527" t="str">
        <x:v>Card</x:v>
      </x:c>
      <x:c r="I4527" t="n">
        <x:v>3.9</x:v>
      </x:c>
      <x:c r="J4527" t="n">
        <x:v>10</x:v>
      </x:c>
      <x:c r="K4527" t="n">
        <x:v>5</x:v>
      </x:c>
      <x:c r="L4527" t="str">
        <x:v>STORE-001</x:v>
      </x:c>
      <x:c r="M4527" s="22" t="n">
        <x:v>46202</x:v>
      </x:c>
      <x:c r="N4527" t="str">
        <x:v>SKU-009</x:v>
      </x:c>
      <x:c r="O4527" t="n">
        <x:v>2</x:v>
      </x:c>
      <x:c r="P4527" s="26" t="n">
        <x:f>F4527/O4527</x:f>
        <x:v>447.03</x:v>
      </x:c>
    </x:row>
    <x:row r="4528">
      <x:c r="A4528" t="n">
        <x:v>4527</x:v>
      </x:c>
      <x:c r="B4528" t="n">
        <x:v>45</x:v>
      </x:c>
      <x:c r="C4528" t="str">
        <x:v>Female</x:v>
      </x:c>
      <x:c r="D4528" t="str">
        <x:v>Footwear</x:v>
      </x:c>
      <x:c r="E4528" t="str">
        <x:v>Formal Shoes</x:v>
      </x:c>
      <x:c r="F4528" s="24" t="n">
        <x:v>232.18</x:v>
      </x:c>
      <x:c r="G4528" t="str">
        <x:v>Winter</x:v>
      </x:c>
      <x:c r="H4528" t="str">
        <x:v>Card</x:v>
      </x:c>
      <x:c r="I4528" t="n">
        <x:v>4.5</x:v>
      </x:c>
      <x:c r="J4528" t="n">
        <x:v>20</x:v>
      </x:c>
      <x:c r="K4528" t="n">
        <x:v>5</x:v>
      </x:c>
      <x:c r="L4528" t="str">
        <x:v>STORE-001</x:v>
      </x:c>
      <x:c r="M4528" s="22" t="n">
        <x:v>46229</x:v>
      </x:c>
      <x:c r="N4528" t="str">
        <x:v>SKU-007</x:v>
      </x:c>
      <x:c r="O4528" t="n">
        <x:v>1</x:v>
      </x:c>
      <x:c r="P4528" s="26" t="n">
        <x:f>F4528/O4528</x:f>
        <x:v>232.18</x:v>
      </x:c>
    </x:row>
    <x:row r="4529">
      <x:c r="A4529" t="n">
        <x:v>4528</x:v>
      </x:c>
      <x:c r="B4529" t="n">
        <x:v>35</x:v>
      </x:c>
      <x:c r="C4529" t="str">
        <x:v>Female</x:v>
      </x:c>
      <x:c r="D4529" t="str">
        <x:v>Footwear</x:v>
      </x:c>
      <x:c r="E4529" t="str">
        <x:v>Sneakers</x:v>
      </x:c>
      <x:c r="F4529" s="24" t="n">
        <x:v>185.34</x:v>
      </x:c>
      <x:c r="G4529" t="str">
        <x:v>Summer</x:v>
      </x:c>
      <x:c r="H4529" t="str">
        <x:v>Card</x:v>
      </x:c>
      <x:c r="I4529" t="n">
        <x:v>3.6</x:v>
      </x:c>
      <x:c r="J4529" t="n">
        <x:v>13</x:v>
      </x:c>
      <x:c r="K4529" t="n">
        <x:v>4</x:v>
      </x:c>
      <x:c r="L4529" t="str">
        <x:v>STORE-001</x:v>
      </x:c>
      <x:c r="M4529" s="22" t="n">
        <x:v>46069</x:v>
      </x:c>
      <x:c r="N4529" t="str">
        <x:v>SKU-025</x:v>
      </x:c>
      <x:c r="O4529" t="n">
        <x:v>1</x:v>
      </x:c>
      <x:c r="P4529" s="26" t="n">
        <x:f>F4529/O4529</x:f>
        <x:v>185.34</x:v>
      </x:c>
    </x:row>
    <x:row r="4530">
      <x:c r="A4530" t="n">
        <x:v>4529</x:v>
      </x:c>
      <x:c r="B4530" t="n">
        <x:v>54</x:v>
      </x:c>
      <x:c r="C4530" t="str">
        <x:v>Male</x:v>
      </x:c>
      <x:c r="D4530" t="str">
        <x:v>Sports</x:v>
      </x:c>
      <x:c r="E4530" t="str">
        <x:v>Dumbbells</x:v>
      </x:c>
      <x:c r="F4530" s="24" t="n">
        <x:v>245.45</x:v>
      </x:c>
      <x:c r="G4530" t="str">
        <x:v>Summer</x:v>
      </x:c>
      <x:c r="H4530" t="str">
        <x:v>Card</x:v>
      </x:c>
      <x:c r="I4530" t="n">
        <x:v>3.6</x:v>
      </x:c>
      <x:c r="J4530" t="n">
        <x:v>8</x:v>
      </x:c>
      <x:c r="K4530" t="n">
        <x:v>4</x:v>
      </x:c>
      <x:c r="L4530" t="str">
        <x:v>STORE-001</x:v>
      </x:c>
      <x:c r="M4530" s="22" t="n">
        <x:v>46002</x:v>
      </x:c>
      <x:c r="N4530" t="str">
        <x:v>SKU-005</x:v>
      </x:c>
      <x:c r="O4530" t="n">
        <x:v>1</x:v>
      </x:c>
      <x:c r="P4530" s="26" t="n">
        <x:f>F4530/O4530</x:f>
        <x:v>245.45</x:v>
      </x:c>
    </x:row>
    <x:row r="4531">
      <x:c r="A4531" t="n">
        <x:v>4530</x:v>
      </x:c>
      <x:c r="B4531" t="n">
        <x:v>53</x:v>
      </x:c>
      <x:c r="C4531" t="str">
        <x:v>Female</x:v>
      </x:c>
      <x:c r="D4531" t="str">
        <x:v>Beauty</x:v>
      </x:c>
      <x:c r="E4531" t="str">
        <x:v>Skincare Kit</x:v>
      </x:c>
      <x:c r="F4531" s="24" t="n">
        <x:v>30.54</x:v>
      </x:c>
      <x:c r="G4531" t="str">
        <x:v>Autumn</x:v>
      </x:c>
      <x:c r="H4531" t="str">
        <x:v>Card</x:v>
      </x:c>
      <x:c r="I4531" t="n">
        <x:v>4</x:v>
      </x:c>
      <x:c r="J4531" t="n">
        <x:v>7</x:v>
      </x:c>
      <x:c r="K4531" t="n">
        <x:v>1</x:v>
      </x:c>
      <x:c r="L4531" t="str">
        <x:v>STORE-001</x:v>
      </x:c>
      <x:c r="M4531" s="22" t="n">
        <x:v>46165</x:v>
      </x:c>
      <x:c r="N4531" t="str">
        <x:v>SKU-021</x:v>
      </x:c>
      <x:c r="O4531" t="n">
        <x:v>2</x:v>
      </x:c>
      <x:c r="P4531" s="26" t="n">
        <x:f>F4531/O4531</x:f>
        <x:v>15.27</x:v>
      </x:c>
    </x:row>
    <x:row r="4532">
      <x:c r="A4532" t="n">
        <x:v>4531</x:v>
      </x:c>
      <x:c r="B4532" t="n">
        <x:v>30</x:v>
      </x:c>
      <x:c r="C4532" t="str">
        <x:v>Female</x:v>
      </x:c>
      <x:c r="D4532" t="str">
        <x:v>Womens Clothing</x:v>
      </x:c>
      <x:c r="E4532" t="str">
        <x:v>Top</x:v>
      </x:c>
      <x:c r="F4532" s="24" t="n">
        <x:v>95.64</x:v>
      </x:c>
      <x:c r="G4532" t="str">
        <x:v>Winter</x:v>
      </x:c>
      <x:c r="H4532" t="str">
        <x:v>Cash on Delivery</x:v>
      </x:c>
      <x:c r="I4532" t="n">
        <x:v>4.5</x:v>
      </x:c>
      <x:c r="J4532" t="n">
        <x:v>17</x:v>
      </x:c>
      <x:c r="K4532" t="n">
        <x:v>6</x:v>
      </x:c>
      <x:c r="L4532" t="str">
        <x:v>STORE-001</x:v>
      </x:c>
      <x:c r="M4532" s="22" t="n">
        <x:v>46196</x:v>
      </x:c>
      <x:c r="N4532" t="str">
        <x:v>SKU-028</x:v>
      </x:c>
      <x:c r="O4532" t="n">
        <x:v>1</x:v>
      </x:c>
      <x:c r="P4532" s="26" t="n">
        <x:f>F4532/O4532</x:f>
        <x:v>95.64</x:v>
      </x:c>
    </x:row>
    <x:row r="4533">
      <x:c r="A4533" t="n">
        <x:v>4532</x:v>
      </x:c>
      <x:c r="B4533" t="n">
        <x:v>52</x:v>
      </x:c>
      <x:c r="C4533" t="str">
        <x:v>Male</x:v>
      </x:c>
      <x:c r="D4533" t="str">
        <x:v>Mens Clothing</x:v>
      </x:c>
      <x:c r="E4533" t="str">
        <x:v>Shirt</x:v>
      </x:c>
      <x:c r="F4533" s="24" t="n">
        <x:v>134.28</x:v>
      </x:c>
      <x:c r="G4533" t="str">
        <x:v>Winter</x:v>
      </x:c>
      <x:c r="H4533" t="str">
        <x:v>Card</x:v>
      </x:c>
      <x:c r="I4533" t="n">
        <x:v>3.1</x:v>
      </x:c>
      <x:c r="J4533" t="n">
        <x:v>8</x:v>
      </x:c>
      <x:c r="K4533" t="n">
        <x:v>4</x:v>
      </x:c>
      <x:c r="L4533" t="str">
        <x:v>STORE-001</x:v>
      </x:c>
      <x:c r="M4533" s="22" t="n">
        <x:v>46257</x:v>
      </x:c>
      <x:c r="N4533" t="str">
        <x:v>SKU-020</x:v>
      </x:c>
      <x:c r="O4533" t="n">
        <x:v>2</x:v>
      </x:c>
      <x:c r="P4533" s="26" t="n">
        <x:f>F4533/O4533</x:f>
        <x:v>67.14</x:v>
      </x:c>
    </x:row>
    <x:row r="4534">
      <x:c r="A4534" t="n">
        <x:v>4533</x:v>
      </x:c>
      <x:c r="B4534" t="n">
        <x:v>42</x:v>
      </x:c>
      <x:c r="C4534" t="str">
        <x:v>Male</x:v>
      </x:c>
      <x:c r="D4534" t="str">
        <x:v>Sports</x:v>
      </x:c>
      <x:c r="E4534" t="str">
        <x:v>Football</x:v>
      </x:c>
      <x:c r="F4534" s="24" t="n">
        <x:v>249.3</x:v>
      </x:c>
      <x:c r="G4534" t="str">
        <x:v>Summer</x:v>
      </x:c>
      <x:c r="H4534" t="str">
        <x:v>Card</x:v>
      </x:c>
      <x:c r="I4534" t="n">
        <x:v>5</x:v>
      </x:c>
      <x:c r="J4534" t="n">
        <x:v>18</x:v>
      </x:c>
      <x:c r="K4534" t="n">
        <x:v>4</x:v>
      </x:c>
      <x:c r="L4534" t="str">
        <x:v>STORE-001</x:v>
      </x:c>
      <x:c r="M4534" s="22" t="n">
        <x:v>46070</x:v>
      </x:c>
      <x:c r="N4534" t="str">
        <x:v>SKU-006</x:v>
      </x:c>
      <x:c r="O4534" t="n">
        <x:v>1</x:v>
      </x:c>
      <x:c r="P4534" s="26" t="n">
        <x:f>F4534/O4534</x:f>
        <x:v>249.3</x:v>
      </x:c>
    </x:row>
    <x:row r="4535">
      <x:c r="A4535" t="n">
        <x:v>4534</x:v>
      </x:c>
      <x:c r="B4535" t="n">
        <x:v>44</x:v>
      </x:c>
      <x:c r="C4535" t="str">
        <x:v>Male</x:v>
      </x:c>
      <x:c r="D4535" t="str">
        <x:v>Footwear</x:v>
      </x:c>
      <x:c r="E4535" t="str">
        <x:v>Sneakers</x:v>
      </x:c>
      <x:c r="F4535" s="24" t="n">
        <x:v>55.33</x:v>
      </x:c>
      <x:c r="G4535" t="str">
        <x:v>Summer</x:v>
      </x:c>
      <x:c r="H4535" t="str">
        <x:v>Card</x:v>
      </x:c>
      <x:c r="I4535" t="n">
        <x:v>4.5</x:v>
      </x:c>
      <x:c r="J4535" t="n">
        <x:v>28</x:v>
      </x:c>
      <x:c r="K4535" t="n">
        <x:v>9</x:v>
      </x:c>
      <x:c r="L4535" t="str">
        <x:v>STORE-001</x:v>
      </x:c>
      <x:c r="M4535" s="22" t="n">
        <x:v>46068</x:v>
      </x:c>
      <x:c r="N4535" t="str">
        <x:v>SKU-025</x:v>
      </x:c>
      <x:c r="O4535" t="n">
        <x:v>2</x:v>
      </x:c>
      <x:c r="P4535" s="26" t="n">
        <x:f>F4535/O4535</x:f>
        <x:v>27.665</x:v>
      </x:c>
    </x:row>
    <x:row r="4536">
      <x:c r="A4536" t="n">
        <x:v>4535</x:v>
      </x:c>
      <x:c r="B4536" t="n">
        <x:v>60</x:v>
      </x:c>
      <x:c r="C4536" t="str">
        <x:v>Male</x:v>
      </x:c>
      <x:c r="D4536" t="str">
        <x:v>Groceries</x:v>
      </x:c>
      <x:c r="E4536" t="str">
        <x:v>Snacks</x:v>
      </x:c>
      <x:c r="F4536" s="24" t="n">
        <x:v>10.3</x:v>
      </x:c>
      <x:c r="G4536" t="str">
        <x:v>Spring</x:v>
      </x:c>
      <x:c r="H4536" t="str">
        <x:v>Cash on Delivery</x:v>
      </x:c>
      <x:c r="I4536" t="n">
        <x:v>3.9</x:v>
      </x:c>
      <x:c r="J4536" t="n">
        <x:v>17</x:v>
      </x:c>
      <x:c r="K4536" t="n">
        <x:v>6</x:v>
      </x:c>
      <x:c r="L4536" t="str">
        <x:v>STORE-001</x:v>
      </x:c>
      <x:c r="M4536" s="22" t="n">
        <x:v>46275</x:v>
      </x:c>
      <x:c r="N4536" t="str">
        <x:v>SKU-024</x:v>
      </x:c>
      <x:c r="O4536" t="n">
        <x:v>5</x:v>
      </x:c>
      <x:c r="P4536" s="26" t="n">
        <x:f>F4536/O4536</x:f>
        <x:v>2.06</x:v>
      </x:c>
    </x:row>
    <x:row r="4537">
      <x:c r="A4537" t="n">
        <x:v>4536</x:v>
      </x:c>
      <x:c r="B4537" t="n">
        <x:v>22</x:v>
      </x:c>
      <x:c r="C4537" t="str">
        <x:v>Female</x:v>
      </x:c>
      <x:c r="D4537" t="str">
        <x:v>Footwear</x:v>
      </x:c>
      <x:c r="E4537" t="str">
        <x:v>Formal Shoes</x:v>
      </x:c>
      <x:c r="F4537" s="24" t="n">
        <x:v>109.51</x:v>
      </x:c>
      <x:c r="G4537" t="str">
        <x:v>Spring</x:v>
      </x:c>
      <x:c r="H4537" t="str">
        <x:v>Card</x:v>
      </x:c>
      <x:c r="I4537" t="n">
        <x:v>4.8</x:v>
      </x:c>
      <x:c r="J4537" t="n">
        <x:v>10</x:v>
      </x:c>
      <x:c r="K4537" t="n">
        <x:v>5</x:v>
      </x:c>
      <x:c r="L4537" t="str">
        <x:v>STORE-001</x:v>
      </x:c>
      <x:c r="M4537" s="22" t="n">
        <x:v>46277</x:v>
      </x:c>
      <x:c r="N4537" t="str">
        <x:v>SKU-007</x:v>
      </x:c>
      <x:c r="O4537" t="n">
        <x:v>1</x:v>
      </x:c>
      <x:c r="P4537" s="26" t="n">
        <x:f>F4537/O4537</x:f>
        <x:v>109.51</x:v>
      </x:c>
    </x:row>
    <x:row r="4538">
      <x:c r="A4538" t="n">
        <x:v>4537</x:v>
      </x:c>
      <x:c r="B4538" t="n">
        <x:v>31</x:v>
      </x:c>
      <x:c r="C4538" t="str">
        <x:v>Male</x:v>
      </x:c>
      <x:c r="D4538" t="str">
        <x:v>Electronics</x:v>
      </x:c>
      <x:c r="E4538" t="str">
        <x:v>Smart Watch</x:v>
      </x:c>
      <x:c r="F4538" s="24" t="n">
        <x:v>1550.91</x:v>
      </x:c>
      <x:c r="G4538" t="str">
        <x:v>Spring</x:v>
      </x:c>
      <x:c r="H4538" t="str">
        <x:v>Card</x:v>
      </x:c>
      <x:c r="I4538" t="n">
        <x:v>2.1</x:v>
      </x:c>
      <x:c r="J4538" t="n">
        <x:v>9</x:v>
      </x:c>
      <x:c r="K4538" t="n">
        <x:v>2</x:v>
      </x:c>
      <x:c r="L4538" t="str">
        <x:v>STORE-001</x:v>
      </x:c>
      <x:c r="M4538" s="22" t="n">
        <x:v>46266</x:v>
      </x:c>
      <x:c r="N4538" t="str">
        <x:v>SKU-023</x:v>
      </x:c>
      <x:c r="O4538" t="n">
        <x:v>1</x:v>
      </x:c>
      <x:c r="P4538" s="26" t="n">
        <x:f>F4538/O4538</x:f>
        <x:v>1550.91</x:v>
      </x:c>
    </x:row>
    <x:row r="4539">
      <x:c r="A4539" t="n">
        <x:v>4538</x:v>
      </x:c>
      <x:c r="B4539" t="n">
        <x:v>38</x:v>
      </x:c>
      <x:c r="C4539" t="str">
        <x:v>Male</x:v>
      </x:c>
      <x:c r="D4539" t="str">
        <x:v>Footwear</x:v>
      </x:c>
      <x:c r="E4539" t="str">
        <x:v>Sneakers</x:v>
      </x:c>
      <x:c r="F4539" s="24" t="n">
        <x:v>192.19</x:v>
      </x:c>
      <x:c r="G4539" t="str">
        <x:v>Autumn</x:v>
      </x:c>
      <x:c r="H4539" t="str">
        <x:v>Card</x:v>
      </x:c>
      <x:c r="I4539" t="n">
        <x:v>3.5</x:v>
      </x:c>
      <x:c r="J4539" t="n">
        <x:v>11</x:v>
      </x:c>
      <x:c r="K4539" t="n">
        <x:v>3</x:v>
      </x:c>
      <x:c r="L4539" t="str">
        <x:v>STORE-001</x:v>
      </x:c>
      <x:c r="M4539" s="22" t="n">
        <x:v>46172</x:v>
      </x:c>
      <x:c r="N4539" t="str">
        <x:v>SKU-025</x:v>
      </x:c>
      <x:c r="O4539" t="n">
        <x:v>1</x:v>
      </x:c>
      <x:c r="P4539" s="26" t="n">
        <x:f>F4539/O4539</x:f>
        <x:v>192.19</x:v>
      </x:c>
    </x:row>
    <x:row r="4540">
      <x:c r="A4540" t="n">
        <x:v>4539</x:v>
      </x:c>
      <x:c r="B4540" t="n">
        <x:v>49</x:v>
      </x:c>
      <x:c r="C4540" t="str">
        <x:v>Male</x:v>
      </x:c>
      <x:c r="D4540" t="str">
        <x:v>Electronics</x:v>
      </x:c>
      <x:c r="E4540" t="str">
        <x:v>Smart Watch</x:v>
      </x:c>
      <x:c r="F4540" s="24" t="n">
        <x:v>2208.22</x:v>
      </x:c>
      <x:c r="G4540" t="str">
        <x:v>Summer</x:v>
      </x:c>
      <x:c r="H4540" t="str">
        <x:v>Card</x:v>
      </x:c>
      <x:c r="I4540" t="n">
        <x:v>3.8</x:v>
      </x:c>
      <x:c r="J4540" t="n">
        <x:v>8</x:v>
      </x:c>
      <x:c r="K4540" t="n">
        <x:v>4</x:v>
      </x:c>
      <x:c r="L4540" t="str">
        <x:v>STORE-001</x:v>
      </x:c>
      <x:c r="M4540" s="22" t="n">
        <x:v>46026</x:v>
      </x:c>
      <x:c r="N4540" t="str">
        <x:v>SKU-023</x:v>
      </x:c>
      <x:c r="O4540" t="n">
        <x:v>1</x:v>
      </x:c>
      <x:c r="P4540" s="26" t="n">
        <x:f>F4540/O4540</x:f>
        <x:v>2208.22</x:v>
      </x:c>
    </x:row>
    <x:row r="4541">
      <x:c r="A4541" t="n">
        <x:v>4540</x:v>
      </x:c>
      <x:c r="B4541" t="n">
        <x:v>23</x:v>
      </x:c>
      <x:c r="C4541" t="str">
        <x:v>Female</x:v>
      </x:c>
      <x:c r="D4541" t="str">
        <x:v>Sports</x:v>
      </x:c>
      <x:c r="E4541" t="str">
        <x:v>Dumbbells</x:v>
      </x:c>
      <x:c r="F4541" s="24" t="n">
        <x:v>37.85</x:v>
      </x:c>
      <x:c r="G4541" t="str">
        <x:v>Winter</x:v>
      </x:c>
      <x:c r="H4541" t="str">
        <x:v>Card</x:v>
      </x:c>
      <x:c r="I4541" t="n">
        <x:v>3.1</x:v>
      </x:c>
      <x:c r="J4541" t="n">
        <x:v>19</x:v>
      </x:c>
      <x:c r="K4541" t="n">
        <x:v>7</x:v>
      </x:c>
      <x:c r="L4541" t="str">
        <x:v>STORE-001</x:v>
      </x:c>
      <x:c r="M4541" s="22" t="n">
        <x:v>46237</x:v>
      </x:c>
      <x:c r="N4541" t="str">
        <x:v>SKU-005</x:v>
      </x:c>
      <x:c r="O4541" t="n">
        <x:v>2</x:v>
      </x:c>
      <x:c r="P4541" s="26" t="n">
        <x:f>F4541/O4541</x:f>
        <x:v>18.925</x:v>
      </x:c>
    </x:row>
    <x:row r="4542">
      <x:c r="A4542" t="n">
        <x:v>4541</x:v>
      </x:c>
      <x:c r="B4542" t="n">
        <x:v>40</x:v>
      </x:c>
      <x:c r="C4542" t="str">
        <x:v>Female</x:v>
      </x:c>
      <x:c r="D4542" t="str">
        <x:v>Footwear</x:v>
      </x:c>
      <x:c r="E4542" t="str">
        <x:v>Sneakers</x:v>
      </x:c>
      <x:c r="F4542" s="24" t="n">
        <x:v>96.16</x:v>
      </x:c>
      <x:c r="G4542" t="str">
        <x:v>Summer</x:v>
      </x:c>
      <x:c r="H4542" t="str">
        <x:v>Cash on Delivery</x:v>
      </x:c>
      <x:c r="I4542" t="n">
        <x:v>4.1</x:v>
      </x:c>
      <x:c r="J4542" t="n">
        <x:v>14</x:v>
      </x:c>
      <x:c r="K4542" t="n">
        <x:v>2</x:v>
      </x:c>
      <x:c r="L4542" t="str">
        <x:v>STORE-001</x:v>
      </x:c>
      <x:c r="M4542" s="22" t="n">
        <x:v>46065</x:v>
      </x:c>
      <x:c r="N4542" t="str">
        <x:v>SKU-025</x:v>
      </x:c>
      <x:c r="O4542" t="n">
        <x:v>1</x:v>
      </x:c>
      <x:c r="P4542" s="26" t="n">
        <x:f>F4542/O4542</x:f>
        <x:v>96.16</x:v>
      </x:c>
    </x:row>
    <x:row r="4543">
      <x:c r="A4543" t="n">
        <x:v>4542</x:v>
      </x:c>
      <x:c r="B4543" t="n">
        <x:v>62</x:v>
      </x:c>
      <x:c r="C4543" t="str">
        <x:v>Male</x:v>
      </x:c>
      <x:c r="D4543" t="str">
        <x:v>Footwear</x:v>
      </x:c>
      <x:c r="E4543" t="str">
        <x:v>Formal Shoes</x:v>
      </x:c>
      <x:c r="F4543" s="24" t="n">
        <x:v>73.58</x:v>
      </x:c>
      <x:c r="G4543" t="str">
        <x:v>Spring</x:v>
      </x:c>
      <x:c r="H4543" t="str">
        <x:v>Card</x:v>
      </x:c>
      <x:c r="I4543" t="n">
        <x:v>3.2</x:v>
      </x:c>
      <x:c r="J4543" t="n">
        <x:v>10</x:v>
      </x:c>
      <x:c r="K4543" t="n">
        <x:v>5</x:v>
      </x:c>
      <x:c r="L4543" t="str">
        <x:v>STORE-001</x:v>
      </x:c>
      <x:c r="M4543" s="22" t="n">
        <x:v>46289</x:v>
      </x:c>
      <x:c r="N4543" t="str">
        <x:v>SKU-007</x:v>
      </x:c>
      <x:c r="O4543" t="n">
        <x:v>1</x:v>
      </x:c>
      <x:c r="P4543" s="26" t="n">
        <x:f>F4543/O4543</x:f>
        <x:v>73.58</x:v>
      </x:c>
    </x:row>
    <x:row r="4544">
      <x:c r="A4544" t="n">
        <x:v>4543</x:v>
      </x:c>
      <x:c r="B4544" t="n">
        <x:v>27</x:v>
      </x:c>
      <x:c r="C4544" t="str">
        <x:v>Female</x:v>
      </x:c>
      <x:c r="D4544" t="str">
        <x:v>Footwear</x:v>
      </x:c>
      <x:c r="E4544" t="str">
        <x:v>Formal Shoes</x:v>
      </x:c>
      <x:c r="F4544" s="24" t="n">
        <x:v>108.25</x:v>
      </x:c>
      <x:c r="G4544" t="str">
        <x:v>Winter</x:v>
      </x:c>
      <x:c r="H4544" t="str">
        <x:v>Card</x:v>
      </x:c>
      <x:c r="I4544" t="n">
        <x:v>4.4</x:v>
      </x:c>
      <x:c r="J4544" t="n">
        <x:v>15</x:v>
      </x:c>
      <x:c r="K4544" t="n">
        <x:v>5</x:v>
      </x:c>
      <x:c r="L4544" t="str">
        <x:v>STORE-001</x:v>
      </x:c>
      <x:c r="M4544" s="22" t="n">
        <x:v>46194</x:v>
      </x:c>
      <x:c r="N4544" t="str">
        <x:v>SKU-007</x:v>
      </x:c>
      <x:c r="O4544" t="n">
        <x:v>2</x:v>
      </x:c>
      <x:c r="P4544" s="26" t="n">
        <x:f>F4544/O4544</x:f>
        <x:v>54.125</x:v>
      </x:c>
    </x:row>
    <x:row r="4545">
      <x:c r="A4545" t="n">
        <x:v>4544</x:v>
      </x:c>
      <x:c r="B4545" t="n">
        <x:v>35</x:v>
      </x:c>
      <x:c r="C4545" t="str">
        <x:v>Female</x:v>
      </x:c>
      <x:c r="D4545" t="str">
        <x:v>Sports</x:v>
      </x:c>
      <x:c r="E4545" t="str">
        <x:v>Football</x:v>
      </x:c>
      <x:c r="F4545" s="24" t="n">
        <x:v>84.39</x:v>
      </x:c>
      <x:c r="G4545" t="str">
        <x:v>Summer</x:v>
      </x:c>
      <x:c r="H4545" t="str">
        <x:v>Card</x:v>
      </x:c>
      <x:c r="I4545" t="n">
        <x:v>4.8</x:v>
      </x:c>
      <x:c r="J4545" t="n">
        <x:v>19</x:v>
      </x:c>
      <x:c r="K4545" t="n">
        <x:v>7</x:v>
      </x:c>
      <x:c r="L4545" t="str">
        <x:v>STORE-001</x:v>
      </x:c>
      <x:c r="M4545" s="22" t="n">
        <x:v>46021</x:v>
      </x:c>
      <x:c r="N4545" t="str">
        <x:v>SKU-006</x:v>
      </x:c>
      <x:c r="O4545" t="n">
        <x:v>1</x:v>
      </x:c>
      <x:c r="P4545" s="26" t="n">
        <x:f>F4545/O4545</x:f>
        <x:v>84.39</x:v>
      </x:c>
    </x:row>
    <x:row r="4546">
      <x:c r="A4546" t="n">
        <x:v>4545</x:v>
      </x:c>
      <x:c r="B4546" t="n">
        <x:v>21</x:v>
      </x:c>
      <x:c r="C4546" t="str">
        <x:v>Male</x:v>
      </x:c>
      <x:c r="D4546" t="str">
        <x:v>Electronics</x:v>
      </x:c>
      <x:c r="E4546" t="str">
        <x:v>Laptop</x:v>
      </x:c>
      <x:c r="F4546" s="24" t="n">
        <x:v>2196.35</x:v>
      </x:c>
      <x:c r="G4546" t="str">
        <x:v>Winter</x:v>
      </x:c>
      <x:c r="H4546" t="str">
        <x:v>Card</x:v>
      </x:c>
      <x:c r="I4546" t="n">
        <x:v>3.8</x:v>
      </x:c>
      <x:c r="J4546" t="n">
        <x:v>10</x:v>
      </x:c>
      <x:c r="K4546" t="n">
        <x:v>5</x:v>
      </x:c>
      <x:c r="L4546" t="str">
        <x:v>STORE-001</x:v>
      </x:c>
      <x:c r="M4546" s="22" t="n">
        <x:v>46210</x:v>
      </x:c>
      <x:c r="N4546" t="str">
        <x:v>SKU-014</x:v>
      </x:c>
      <x:c r="O4546" t="n">
        <x:v>1</x:v>
      </x:c>
      <x:c r="P4546" s="26" t="n">
        <x:f>F4546/O4546</x:f>
        <x:v>2196.35</x:v>
      </x:c>
    </x:row>
    <x:row r="4547">
      <x:c r="A4547" t="n">
        <x:v>4546</x:v>
      </x:c>
      <x:c r="B4547" t="n">
        <x:v>55</x:v>
      </x:c>
      <x:c r="C4547" t="str">
        <x:v>Male</x:v>
      </x:c>
      <x:c r="D4547" t="str">
        <x:v>Mens Clothing</x:v>
      </x:c>
      <x:c r="E4547" t="str">
        <x:v>T-Shirt</x:v>
      </x:c>
      <x:c r="F4547" s="24" t="n">
        <x:v>56.1</x:v>
      </x:c>
      <x:c r="G4547" t="str">
        <x:v>Winter</x:v>
      </x:c>
      <x:c r="H4547" t="str">
        <x:v>Card</x:v>
      </x:c>
      <x:c r="I4547" t="n">
        <x:v>5</x:v>
      </x:c>
      <x:c r="J4547" t="n">
        <x:v>12</x:v>
      </x:c>
      <x:c r="K4547" t="n">
        <x:v>6</x:v>
      </x:c>
      <x:c r="L4547" t="str">
        <x:v>STORE-001</x:v>
      </x:c>
      <x:c r="M4547" s="22" t="n">
        <x:v>46199</x:v>
      </x:c>
      <x:c r="N4547" t="str">
        <x:v>SKU-027</x:v>
      </x:c>
      <x:c r="O4547" t="n">
        <x:v>2</x:v>
      </x:c>
      <x:c r="P4547" s="26" t="n">
        <x:f>F4547/O4547</x:f>
        <x:v>28.05</x:v>
      </x:c>
    </x:row>
    <x:row r="4548">
      <x:c r="A4548" t="n">
        <x:v>4547</x:v>
      </x:c>
      <x:c r="B4548" t="n">
        <x:v>49</x:v>
      </x:c>
      <x:c r="C4548" t="str">
        <x:v>Male</x:v>
      </x:c>
      <x:c r="D4548" t="str">
        <x:v>Mens Clothing</x:v>
      </x:c>
      <x:c r="E4548" t="str">
        <x:v>Jacket</x:v>
      </x:c>
      <x:c r="F4548" s="24" t="n">
        <x:v>115.95</x:v>
      </x:c>
      <x:c r="G4548" t="str">
        <x:v>Spring</x:v>
      </x:c>
      <x:c r="H4548" t="str">
        <x:v>Card</x:v>
      </x:c>
      <x:c r="I4548" t="n">
        <x:v>3.7</x:v>
      </x:c>
      <x:c r="J4548" t="n">
        <x:v>15</x:v>
      </x:c>
      <x:c r="K4548" t="n">
        <x:v>5</x:v>
      </x:c>
      <x:c r="L4548" t="str">
        <x:v>STORE-001</x:v>
      </x:c>
      <x:c r="M4548" s="22" t="n">
        <x:v>46269</x:v>
      </x:c>
      <x:c r="N4548" t="str">
        <x:v>SKU-010</x:v>
      </x:c>
      <x:c r="O4548" t="n">
        <x:v>1</x:v>
      </x:c>
      <x:c r="P4548" s="26" t="n">
        <x:f>F4548/O4548</x:f>
        <x:v>115.95</x:v>
      </x:c>
    </x:row>
    <x:row r="4549">
      <x:c r="A4549" t="n">
        <x:v>4548</x:v>
      </x:c>
      <x:c r="B4549" t="n">
        <x:v>60</x:v>
      </x:c>
      <x:c r="C4549" t="str">
        <x:v>Male</x:v>
      </x:c>
      <x:c r="D4549" t="str">
        <x:v>Sports</x:v>
      </x:c>
      <x:c r="E4549" t="str">
        <x:v>Football</x:v>
      </x:c>
      <x:c r="F4549" s="24" t="n">
        <x:v>122.97</x:v>
      </x:c>
      <x:c r="G4549" t="str">
        <x:v>Autumn</x:v>
      </x:c>
      <x:c r="H4549" t="str">
        <x:v>Card</x:v>
      </x:c>
      <x:c r="I4549" t="n">
        <x:v>3.8</x:v>
      </x:c>
      <x:c r="J4549" t="n">
        <x:v>9</x:v>
      </x:c>
      <x:c r="K4549" t="n">
        <x:v>2</x:v>
      </x:c>
      <x:c r="L4549" t="str">
        <x:v>STORE-001</x:v>
      </x:c>
      <x:c r="M4549" s="22" t="n">
        <x:v>46158</x:v>
      </x:c>
      <x:c r="N4549" t="str">
        <x:v>SKU-006</x:v>
      </x:c>
      <x:c r="O4549" t="n">
        <x:v>3</x:v>
      </x:c>
      <x:c r="P4549" s="26" t="n">
        <x:f>F4549/O4549</x:f>
        <x:v>40.99</x:v>
      </x:c>
    </x:row>
    <x:row r="4550">
      <x:c r="A4550" t="n">
        <x:v>4549</x:v>
      </x:c>
      <x:c r="B4550" t="n">
        <x:v>46</x:v>
      </x:c>
      <x:c r="C4550" t="str">
        <x:v>Male</x:v>
      </x:c>
      <x:c r="D4550" t="str">
        <x:v>Electronics</x:v>
      </x:c>
      <x:c r="E4550" t="str">
        <x:v>Mobile Phone</x:v>
      </x:c>
      <x:c r="F4550" s="24" t="n">
        <x:v>561.66</x:v>
      </x:c>
      <x:c r="G4550" t="str">
        <x:v>Summer</x:v>
      </x:c>
      <x:c r="H4550" t="str">
        <x:v>Card</x:v>
      </x:c>
      <x:c r="I4550" t="n">
        <x:v>3.8</x:v>
      </x:c>
      <x:c r="J4550" t="n">
        <x:v>12</x:v>
      </x:c>
      <x:c r="K4550" t="n">
        <x:v>6</x:v>
      </x:c>
      <x:c r="L4550" t="str">
        <x:v>STORE-001</x:v>
      </x:c>
      <x:c r="M4550" s="22" t="n">
        <x:v>46008</x:v>
      </x:c>
      <x:c r="N4550" t="str">
        <x:v>SKU-016</x:v>
      </x:c>
      <x:c r="O4550" t="n">
        <x:v>1</x:v>
      </x:c>
      <x:c r="P4550" s="26" t="n">
        <x:f>F4550/O4550</x:f>
        <x:v>561.66</x:v>
      </x:c>
    </x:row>
    <x:row r="4551">
      <x:c r="A4551" t="n">
        <x:v>4550</x:v>
      </x:c>
      <x:c r="B4551" t="n">
        <x:v>69</x:v>
      </x:c>
      <x:c r="C4551" t="str">
        <x:v>Female</x:v>
      </x:c>
      <x:c r="D4551" t="str">
        <x:v>Womens Clothing</x:v>
      </x:c>
      <x:c r="E4551" t="str">
        <x:v>Top</x:v>
      </x:c>
      <x:c r="F4551" s="24" t="n">
        <x:v>73.88</x:v>
      </x:c>
      <x:c r="G4551" t="str">
        <x:v>Summer</x:v>
      </x:c>
      <x:c r="H4551" t="str">
        <x:v>Card</x:v>
      </x:c>
      <x:c r="I4551" t="n">
        <x:v>4.3</x:v>
      </x:c>
      <x:c r="J4551" t="n">
        <x:v>17</x:v>
      </x:c>
      <x:c r="K4551" t="n">
        <x:v>6</x:v>
      </x:c>
      <x:c r="L4551" t="str">
        <x:v>STORE-001</x:v>
      </x:c>
      <x:c r="M4551" s="22" t="n">
        <x:v>46041</x:v>
      </x:c>
      <x:c r="N4551" t="str">
        <x:v>SKU-028</x:v>
      </x:c>
      <x:c r="O4551" t="n">
        <x:v>1</x:v>
      </x:c>
      <x:c r="P4551" s="26" t="n">
        <x:f>F4551/O4551</x:f>
        <x:v>73.88</x:v>
      </x:c>
    </x:row>
    <x:row r="4552">
      <x:c r="A4552" t="n">
        <x:v>4551</x:v>
      </x:c>
      <x:c r="B4552" t="n">
        <x:v>49</x:v>
      </x:c>
      <x:c r="C4552" t="str">
        <x:v>Female</x:v>
      </x:c>
      <x:c r="D4552" t="str">
        <x:v>Footwear</x:v>
      </x:c>
      <x:c r="E4552" t="str">
        <x:v>Sandals</x:v>
      </x:c>
      <x:c r="F4552" s="24" t="n">
        <x:v>96.13</x:v>
      </x:c>
      <x:c r="G4552" t="str">
        <x:v>Spring</x:v>
      </x:c>
      <x:c r="H4552" t="str">
        <x:v>Cash on Delivery</x:v>
      </x:c>
      <x:c r="I4552" t="n">
        <x:v>4</x:v>
      </x:c>
      <x:c r="J4552" t="n">
        <x:v>15</x:v>
      </x:c>
      <x:c r="K4552" t="n">
        <x:v>5</x:v>
      </x:c>
      <x:c r="L4552" t="str">
        <x:v>STORE-001</x:v>
      </x:c>
      <x:c r="M4552" s="22" t="n">
        <x:v>46286</x:v>
      </x:c>
      <x:c r="N4552" t="str">
        <x:v>SKU-019</x:v>
      </x:c>
      <x:c r="O4552" t="n">
        <x:v>2</x:v>
      </x:c>
      <x:c r="P4552" s="26" t="n">
        <x:f>F4552/O4552</x:f>
        <x:v>48.065</x:v>
      </x:c>
    </x:row>
    <x:row r="4553">
      <x:c r="A4553" t="n">
        <x:v>4552</x:v>
      </x:c>
      <x:c r="B4553" t="n">
        <x:v>58</x:v>
      </x:c>
      <x:c r="C4553" t="str">
        <x:v>Male</x:v>
      </x:c>
      <x:c r="D4553" t="str">
        <x:v>Mens Clothing</x:v>
      </x:c>
      <x:c r="E4553" t="str">
        <x:v>T-Shirt</x:v>
      </x:c>
      <x:c r="F4553" s="24" t="n">
        <x:v>128.34</x:v>
      </x:c>
      <x:c r="G4553" t="str">
        <x:v>Spring</x:v>
      </x:c>
      <x:c r="H4553" t="str">
        <x:v>Card</x:v>
      </x:c>
      <x:c r="I4553" t="n">
        <x:v>3.6</x:v>
      </x:c>
      <x:c r="J4553" t="n">
        <x:v>22</x:v>
      </x:c>
      <x:c r="K4553" t="n">
        <x:v>6</x:v>
      </x:c>
      <x:c r="L4553" t="str">
        <x:v>STORE-001</x:v>
      </x:c>
      <x:c r="M4553" s="22" t="n">
        <x:v>46269</x:v>
      </x:c>
      <x:c r="N4553" t="str">
        <x:v>SKU-027</x:v>
      </x:c>
      <x:c r="O4553" t="n">
        <x:v>1</x:v>
      </x:c>
      <x:c r="P4553" s="26" t="n">
        <x:f>F4553/O4553</x:f>
        <x:v>128.34</x:v>
      </x:c>
    </x:row>
    <x:row r="4554">
      <x:c r="A4554" t="n">
        <x:v>4553</x:v>
      </x:c>
      <x:c r="B4554" t="n">
        <x:v>22</x:v>
      </x:c>
      <x:c r="C4554" t="str">
        <x:v>Male</x:v>
      </x:c>
      <x:c r="D4554" t="str">
        <x:v>Groceries</x:v>
      </x:c>
      <x:c r="E4554" t="str">
        <x:v>Cooking Oil</x:v>
      </x:c>
      <x:c r="F4554" s="24" t="n">
        <x:v>36.2</x:v>
      </x:c>
      <x:c r="G4554" t="str">
        <x:v>Autumn</x:v>
      </x:c>
      <x:c r="H4554" t="str">
        <x:v>Cash on Delivery</x:v>
      </x:c>
      <x:c r="I4554" t="n">
        <x:v>5</x:v>
      </x:c>
      <x:c r="J4554" t="n">
        <x:v>20</x:v>
      </x:c>
      <x:c r="K4554" t="n">
        <x:v>5</x:v>
      </x:c>
      <x:c r="L4554" t="str">
        <x:v>STORE-001</x:v>
      </x:c>
      <x:c r="M4554" s="22" t="n">
        <x:v>46131</x:v>
      </x:c>
      <x:c r="N4554" t="str">
        <x:v>SKU-002</x:v>
      </x:c>
      <x:c r="O4554" t="n">
        <x:v>1</x:v>
      </x:c>
      <x:c r="P4554" s="26" t="n">
        <x:f>F4554/O4554</x:f>
        <x:v>36.2</x:v>
      </x:c>
    </x:row>
    <x:row r="4555">
      <x:c r="A4555" t="n">
        <x:v>4554</x:v>
      </x:c>
      <x:c r="B4555" t="n">
        <x:v>50</x:v>
      </x:c>
      <x:c r="C4555" t="str">
        <x:v>Female</x:v>
      </x:c>
      <x:c r="D4555" t="str">
        <x:v>Beauty</x:v>
      </x:c>
      <x:c r="E4555" t="str">
        <x:v>Skincare Kit</x:v>
      </x:c>
      <x:c r="F4555" s="24" t="n">
        <x:v>22.59</x:v>
      </x:c>
      <x:c r="G4555" t="str">
        <x:v>Spring</x:v>
      </x:c>
      <x:c r="H4555" t="str">
        <x:v>Cash on Delivery</x:v>
      </x:c>
      <x:c r="I4555" t="n">
        <x:v>3.9</x:v>
      </x:c>
      <x:c r="J4555" t="n">
        <x:v>20</x:v>
      </x:c>
      <x:c r="K4555" t="n">
        <x:v>5</x:v>
      </x:c>
      <x:c r="L4555" t="str">
        <x:v>STORE-001</x:v>
      </x:c>
      <x:c r="M4555" s="22" t="n">
        <x:v>46266</x:v>
      </x:c>
      <x:c r="N4555" t="str">
        <x:v>SKU-021</x:v>
      </x:c>
      <x:c r="O4555" t="n">
        <x:v>2</x:v>
      </x:c>
      <x:c r="P4555" s="26" t="n">
        <x:f>F4555/O4555</x:f>
        <x:v>11.295</x:v>
      </x:c>
    </x:row>
    <x:row r="4556">
      <x:c r="A4556" t="n">
        <x:v>4555</x:v>
      </x:c>
      <x:c r="B4556" t="n">
        <x:v>41</x:v>
      </x:c>
      <x:c r="C4556" t="str">
        <x:v>Female</x:v>
      </x:c>
      <x:c r="D4556" t="str">
        <x:v>Footwear</x:v>
      </x:c>
      <x:c r="E4556" t="str">
        <x:v>Sandals</x:v>
      </x:c>
      <x:c r="F4556" s="24" t="n">
        <x:v>55.08</x:v>
      </x:c>
      <x:c r="G4556" t="str">
        <x:v>Spring</x:v>
      </x:c>
      <x:c r="H4556" t="str">
        <x:v>Cash on Delivery</x:v>
      </x:c>
      <x:c r="I4556" t="n">
        <x:v>4</x:v>
      </x:c>
      <x:c r="J4556" t="n">
        <x:v>26</x:v>
      </x:c>
      <x:c r="K4556" t="n">
        <x:v>8</x:v>
      </x:c>
      <x:c r="L4556" t="str">
        <x:v>STORE-001</x:v>
      </x:c>
      <x:c r="M4556" s="22" t="n">
        <x:v>46277</x:v>
      </x:c>
      <x:c r="N4556" t="str">
        <x:v>SKU-019</x:v>
      </x:c>
      <x:c r="O4556" t="n">
        <x:v>1</x:v>
      </x:c>
      <x:c r="P4556" s="26" t="n">
        <x:f>F4556/O4556</x:f>
        <x:v>55.08</x:v>
      </x:c>
    </x:row>
    <x:row r="4557">
      <x:c r="A4557" t="n">
        <x:v>4556</x:v>
      </x:c>
      <x:c r="B4557" t="n">
        <x:v>68</x:v>
      </x:c>
      <x:c r="C4557" t="str">
        <x:v>Female</x:v>
      </x:c>
      <x:c r="D4557" t="str">
        <x:v>Accessories</x:v>
      </x:c>
      <x:c r="E4557" t="str">
        <x:v>Wallet</x:v>
      </x:c>
      <x:c r="F4557" s="24" t="n">
        <x:v>121.36</x:v>
      </x:c>
      <x:c r="G4557" t="str">
        <x:v>Winter</x:v>
      </x:c>
      <x:c r="H4557" t="str">
        <x:v>Card</x:v>
      </x:c>
      <x:c r="I4557" t="n">
        <x:v>2.7</x:v>
      </x:c>
      <x:c r="J4557" t="n">
        <x:v>15</x:v>
      </x:c>
      <x:c r="K4557" t="n">
        <x:v>5</x:v>
      </x:c>
      <x:c r="L4557" t="str">
        <x:v>STORE-001</x:v>
      </x:c>
      <x:c r="M4557" s="22" t="n">
        <x:v>46235</x:v>
      </x:c>
      <x:c r="N4557" t="str">
        <x:v>SKU-029</x:v>
      </x:c>
      <x:c r="O4557" t="n">
        <x:v>3</x:v>
      </x:c>
      <x:c r="P4557" s="26" t="n">
        <x:f>F4557/O4557</x:f>
        <x:v>40.45333333333333</x:v>
      </x:c>
    </x:row>
    <x:row r="4558">
      <x:c r="A4558" t="n">
        <x:v>4557</x:v>
      </x:c>
      <x:c r="B4558" t="n">
        <x:v>67</x:v>
      </x:c>
      <x:c r="C4558" t="str">
        <x:v>Male</x:v>
      </x:c>
      <x:c r="D4558" t="str">
        <x:v>Footwear</x:v>
      </x:c>
      <x:c r="E4558" t="str">
        <x:v>Formal Shoes</x:v>
      </x:c>
      <x:c r="F4558" s="24" t="n">
        <x:v>202.9</x:v>
      </x:c>
      <x:c r="G4558" t="str">
        <x:v>Autumn</x:v>
      </x:c>
      <x:c r="H4558" t="str">
        <x:v>Card</x:v>
      </x:c>
      <x:c r="I4558" t="n">
        <x:v>3.7</x:v>
      </x:c>
      <x:c r="J4558" t="n">
        <x:v>20</x:v>
      </x:c>
      <x:c r="K4558" t="n">
        <x:v>5</x:v>
      </x:c>
      <x:c r="L4558" t="str">
        <x:v>STORE-001</x:v>
      </x:c>
      <x:c r="M4558" s="22" t="n">
        <x:v>46149</x:v>
      </x:c>
      <x:c r="N4558" t="str">
        <x:v>SKU-007</x:v>
      </x:c>
      <x:c r="O4558" t="n">
        <x:v>2</x:v>
      </x:c>
      <x:c r="P4558" s="26" t="n">
        <x:f>F4558/O4558</x:f>
        <x:v>101.45</x:v>
      </x:c>
    </x:row>
    <x:row r="4559">
      <x:c r="A4559" t="n">
        <x:v>4558</x:v>
      </x:c>
      <x:c r="B4559" t="n">
        <x:v>67</x:v>
      </x:c>
      <x:c r="C4559" t="str">
        <x:v>Male</x:v>
      </x:c>
      <x:c r="D4559" t="str">
        <x:v>Mens Clothing</x:v>
      </x:c>
      <x:c r="E4559" t="str">
        <x:v>Jeans</x:v>
      </x:c>
      <x:c r="F4559" s="24" t="n">
        <x:v>185.7</x:v>
      </x:c>
      <x:c r="G4559" t="str">
        <x:v>Autumn</x:v>
      </x:c>
      <x:c r="H4559" t="str">
        <x:v>Card</x:v>
      </x:c>
      <x:c r="I4559" t="n">
        <x:v>3.1</x:v>
      </x:c>
      <x:c r="J4559" t="n">
        <x:v>2</x:v>
      </x:c>
      <x:c r="K4559" t="n">
        <x:v>1</x:v>
      </x:c>
      <x:c r="L4559" t="str">
        <x:v>STORE-001</x:v>
      </x:c>
      <x:c r="M4559" s="22" t="n">
        <x:v>46146</x:v>
      </x:c>
      <x:c r="N4559" t="str">
        <x:v>SKU-011</x:v>
      </x:c>
      <x:c r="O4559" t="n">
        <x:v>1</x:v>
      </x:c>
      <x:c r="P4559" s="26" t="n">
        <x:f>F4559/O4559</x:f>
        <x:v>185.7</x:v>
      </x:c>
    </x:row>
    <x:row r="4560">
      <x:c r="A4560" t="n">
        <x:v>4559</x:v>
      </x:c>
      <x:c r="B4560" t="n">
        <x:v>24</x:v>
      </x:c>
      <x:c r="C4560" t="str">
        <x:v>Male</x:v>
      </x:c>
      <x:c r="D4560" t="str">
        <x:v>Mens Clothing</x:v>
      </x:c>
      <x:c r="E4560" t="str">
        <x:v>Jeans</x:v>
      </x:c>
      <x:c r="F4560" s="24" t="n">
        <x:v>156.17</x:v>
      </x:c>
      <x:c r="G4560" t="str">
        <x:v>Spring</x:v>
      </x:c>
      <x:c r="H4560" t="str">
        <x:v>Card</x:v>
      </x:c>
      <x:c r="I4560" t="n">
        <x:v>4.1</x:v>
      </x:c>
      <x:c r="J4560" t="n">
        <x:v>11</x:v>
      </x:c>
      <x:c r="K4560" t="n">
        <x:v>3</x:v>
      </x:c>
      <x:c r="L4560" t="str">
        <x:v>STORE-001</x:v>
      </x:c>
      <x:c r="M4560" s="22" t="n">
        <x:v>45957</x:v>
      </x:c>
      <x:c r="N4560" t="str">
        <x:v>SKU-011</x:v>
      </x:c>
      <x:c r="O4560" t="n">
        <x:v>2</x:v>
      </x:c>
      <x:c r="P4560" s="26" t="n">
        <x:f>F4560/O4560</x:f>
        <x:v>78.085</x:v>
      </x:c>
    </x:row>
    <x:row r="4561">
      <x:c r="A4561" t="n">
        <x:v>4560</x:v>
      </x:c>
      <x:c r="B4561" t="n">
        <x:v>56</x:v>
      </x:c>
      <x:c r="C4561" t="str">
        <x:v>Female</x:v>
      </x:c>
      <x:c r="D4561" t="str">
        <x:v>Beauty</x:v>
      </x:c>
      <x:c r="E4561" t="str">
        <x:v>Perfume</x:v>
      </x:c>
      <x:c r="F4561" s="24" t="n">
        <x:v>32.07</x:v>
      </x:c>
      <x:c r="G4561" t="str">
        <x:v>Summer</x:v>
      </x:c>
      <x:c r="H4561" t="str">
        <x:v>Card</x:v>
      </x:c>
      <x:c r="I4561" t="n">
        <x:v>3.7</x:v>
      </x:c>
      <x:c r="J4561" t="n">
        <x:v>34</x:v>
      </x:c>
      <x:c r="K4561" t="n">
        <x:v>12</x:v>
      </x:c>
      <x:c r="L4561" t="str">
        <x:v>STORE-001</x:v>
      </x:c>
      <x:c r="M4561" s="22" t="n">
        <x:v>46025</x:v>
      </x:c>
      <x:c r="N4561" t="str">
        <x:v>SKU-017</x:v>
      </x:c>
      <x:c r="O4561" t="n">
        <x:v>1</x:v>
      </x:c>
      <x:c r="P4561" s="26" t="n">
        <x:f>F4561/O4561</x:f>
        <x:v>32.07</x:v>
      </x:c>
    </x:row>
    <x:row r="4562">
      <x:c r="A4562" t="n">
        <x:v>4561</x:v>
      </x:c>
      <x:c r="B4562" t="n">
        <x:v>70</x:v>
      </x:c>
      <x:c r="C4562" t="str">
        <x:v>Female</x:v>
      </x:c>
      <x:c r="D4562" t="str">
        <x:v>Groceries</x:v>
      </x:c>
      <x:c r="E4562" t="str">
        <x:v>Rice Pack</x:v>
      </x:c>
      <x:c r="F4562" s="24" t="n">
        <x:v>65.38</x:v>
      </x:c>
      <x:c r="G4562" t="str">
        <x:v>Summer</x:v>
      </x:c>
      <x:c r="H4562" t="str">
        <x:v>Cash on Delivery</x:v>
      </x:c>
      <x:c r="I4562" t="n">
        <x:v>3.7</x:v>
      </x:c>
      <x:c r="J4562" t="n">
        <x:v>20</x:v>
      </x:c>
      <x:c r="K4562" t="n">
        <x:v>5</x:v>
      </x:c>
      <x:c r="L4562" t="str">
        <x:v>STORE-001</x:v>
      </x:c>
      <x:c r="M4562" s="22" t="n">
        <x:v>46023</x:v>
      </x:c>
      <x:c r="N4562" t="str">
        <x:v>SKU-018</x:v>
      </x:c>
      <x:c r="O4562" t="n">
        <x:v>2</x:v>
      </x:c>
      <x:c r="P4562" s="26" t="n">
        <x:f>F4562/O4562</x:f>
        <x:v>32.69</x:v>
      </x:c>
    </x:row>
    <x:row r="4563">
      <x:c r="A4563" t="n">
        <x:v>4562</x:v>
      </x:c>
      <x:c r="B4563" t="n">
        <x:v>62</x:v>
      </x:c>
      <x:c r="C4563" t="str">
        <x:v>Female</x:v>
      </x:c>
      <x:c r="D4563" t="str">
        <x:v>Footwear</x:v>
      </x:c>
      <x:c r="E4563" t="str">
        <x:v>Formal Shoes</x:v>
      </x:c>
      <x:c r="F4563" s="24" t="n">
        <x:v>48.76</x:v>
      </x:c>
      <x:c r="G4563" t="str">
        <x:v>Autumn</x:v>
      </x:c>
      <x:c r="H4563" t="str">
        <x:v>Card</x:v>
      </x:c>
      <x:c r="I4563" t="n">
        <x:v>3.4</x:v>
      </x:c>
      <x:c r="J4563" t="n">
        <x:v>10</x:v>
      </x:c>
      <x:c r="K4563" t="n">
        <x:v>5</x:v>
      </x:c>
      <x:c r="L4563" t="str">
        <x:v>STORE-001</x:v>
      </x:c>
      <x:c r="M4563" s="22" t="n">
        <x:v>46116</x:v>
      </x:c>
      <x:c r="N4563" t="str">
        <x:v>SKU-007</x:v>
      </x:c>
      <x:c r="O4563" t="n">
        <x:v>1</x:v>
      </x:c>
      <x:c r="P4563" s="26" t="n">
        <x:f>F4563/O4563</x:f>
        <x:v>48.76</x:v>
      </x:c>
    </x:row>
    <x:row r="4564">
      <x:c r="A4564" t="n">
        <x:v>4563</x:v>
      </x:c>
      <x:c r="B4564" t="n">
        <x:v>55</x:v>
      </x:c>
      <x:c r="C4564" t="str">
        <x:v>Female</x:v>
      </x:c>
      <x:c r="D4564" t="str">
        <x:v>Footwear</x:v>
      </x:c>
      <x:c r="E4564" t="str">
        <x:v>Sandals</x:v>
      </x:c>
      <x:c r="F4564" s="24" t="n">
        <x:v>133.82</x:v>
      </x:c>
      <x:c r="G4564" t="str">
        <x:v>Spring</x:v>
      </x:c>
      <x:c r="H4564" t="str">
        <x:v>Card</x:v>
      </x:c>
      <x:c r="I4564" t="n">
        <x:v>4.5</x:v>
      </x:c>
      <x:c r="J4564" t="n">
        <x:v>17</x:v>
      </x:c>
      <x:c r="K4564" t="n">
        <x:v>6</x:v>
      </x:c>
      <x:c r="L4564" t="str">
        <x:v>STORE-001</x:v>
      </x:c>
      <x:c r="M4564" s="22" t="n">
        <x:v>45973</x:v>
      </x:c>
      <x:c r="N4564" t="str">
        <x:v>SKU-019</x:v>
      </x:c>
      <x:c r="O4564" t="n">
        <x:v>1</x:v>
      </x:c>
      <x:c r="P4564" s="26" t="n">
        <x:f>F4564/O4564</x:f>
        <x:v>133.82</x:v>
      </x:c>
    </x:row>
    <x:row r="4565">
      <x:c r="A4565" t="n">
        <x:v>4564</x:v>
      </x:c>
      <x:c r="B4565" t="n">
        <x:v>41</x:v>
      </x:c>
      <x:c r="C4565" t="str">
        <x:v>Female</x:v>
      </x:c>
      <x:c r="D4565" t="str">
        <x:v>Sports</x:v>
      </x:c>
      <x:c r="E4565" t="str">
        <x:v>Yoga Mat</x:v>
      </x:c>
      <x:c r="F4565" s="24" t="n">
        <x:v>189.59</x:v>
      </x:c>
      <x:c r="G4565" t="str">
        <x:v>Autumn</x:v>
      </x:c>
      <x:c r="H4565" t="str">
        <x:v>Card</x:v>
      </x:c>
      <x:c r="I4565" t="n">
        <x:v>3</x:v>
      </x:c>
      <x:c r="J4565" t="n">
        <x:v>10</x:v>
      </x:c>
      <x:c r="K4565" t="n">
        <x:v>5</x:v>
      </x:c>
      <x:c r="L4565" t="str">
        <x:v>STORE-001</x:v>
      </x:c>
      <x:c r="M4565" s="22" t="n">
        <x:v>46095</x:v>
      </x:c>
      <x:c r="N4565" t="str">
        <x:v>SKU-030</x:v>
      </x:c>
      <x:c r="O4565" t="n">
        <x:v>4</x:v>
      </x:c>
      <x:c r="P4565" s="26" t="n">
        <x:f>F4565/O4565</x:f>
        <x:v>47.3975</x:v>
      </x:c>
    </x:row>
    <x:row r="4566">
      <x:c r="A4566" t="n">
        <x:v>4565</x:v>
      </x:c>
      <x:c r="B4566" t="n">
        <x:v>64</x:v>
      </x:c>
      <x:c r="C4566" t="str">
        <x:v>Female</x:v>
      </x:c>
      <x:c r="D4566" t="str">
        <x:v>Accessories</x:v>
      </x:c>
      <x:c r="E4566" t="str">
        <x:v>Handbag</x:v>
      </x:c>
      <x:c r="F4566" s="24" t="n">
        <x:v>129.45</x:v>
      </x:c>
      <x:c r="G4566" t="str">
        <x:v>Autumn</x:v>
      </x:c>
      <x:c r="H4566" t="str">
        <x:v>Card</x:v>
      </x:c>
      <x:c r="I4566" t="n">
        <x:v>3.9</x:v>
      </x:c>
      <x:c r="J4566" t="n">
        <x:v>13</x:v>
      </x:c>
      <x:c r="K4566" t="n">
        <x:v>4</x:v>
      </x:c>
      <x:c r="L4566" t="str">
        <x:v>STORE-001</x:v>
      </x:c>
      <x:c r="M4566" s="22" t="n">
        <x:v>46082</x:v>
      </x:c>
      <x:c r="N4566" t="str">
        <x:v>SKU-008</x:v>
      </x:c>
      <x:c r="O4566" t="n">
        <x:v>2</x:v>
      </x:c>
      <x:c r="P4566" s="26" t="n">
        <x:f>F4566/O4566</x:f>
        <x:v>64.725</x:v>
      </x:c>
    </x:row>
    <x:row r="4567">
      <x:c r="A4567" t="n">
        <x:v>4566</x:v>
      </x:c>
      <x:c r="B4567" t="n">
        <x:v>67</x:v>
      </x:c>
      <x:c r="C4567" t="str">
        <x:v>Male</x:v>
      </x:c>
      <x:c r="D4567" t="str">
        <x:v>Footwear</x:v>
      </x:c>
      <x:c r="E4567" t="str">
        <x:v>Sandals</x:v>
      </x:c>
      <x:c r="F4567" s="24" t="n">
        <x:v>151.13</x:v>
      </x:c>
      <x:c r="G4567" t="str">
        <x:v>Autumn</x:v>
      </x:c>
      <x:c r="H4567" t="str">
        <x:v>Card</x:v>
      </x:c>
      <x:c r="I4567" t="n">
        <x:v>3.6</x:v>
      </x:c>
      <x:c r="J4567" t="n">
        <x:v>4</x:v>
      </x:c>
      <x:c r="K4567" t="n">
        <x:v>2</x:v>
      </x:c>
      <x:c r="L4567" t="str">
        <x:v>STORE-001</x:v>
      </x:c>
      <x:c r="M4567" s="22" t="n">
        <x:v>46134</x:v>
      </x:c>
      <x:c r="N4567" t="str">
        <x:v>SKU-019</x:v>
      </x:c>
      <x:c r="O4567" t="n">
        <x:v>2</x:v>
      </x:c>
      <x:c r="P4567" s="26" t="n">
        <x:f>F4567/O4567</x:f>
        <x:v>75.565</x:v>
      </x:c>
    </x:row>
    <x:row r="4568">
      <x:c r="A4568" t="n">
        <x:v>4567</x:v>
      </x:c>
      <x:c r="B4568" t="n">
        <x:v>30</x:v>
      </x:c>
      <x:c r="C4568" t="str">
        <x:v>Male</x:v>
      </x:c>
      <x:c r="D4568" t="str">
        <x:v>Footwear</x:v>
      </x:c>
      <x:c r="E4568" t="str">
        <x:v>Sneakers</x:v>
      </x:c>
      <x:c r="F4568" s="24" t="n">
        <x:v>122.89</x:v>
      </x:c>
      <x:c r="G4568" t="str">
        <x:v>Winter</x:v>
      </x:c>
      <x:c r="H4568" t="str">
        <x:v>Card</x:v>
      </x:c>
      <x:c r="I4568" t="n">
        <x:v>5</x:v>
      </x:c>
      <x:c r="J4568" t="n">
        <x:v>13</x:v>
      </x:c>
      <x:c r="K4568" t="n">
        <x:v>4</x:v>
      </x:c>
      <x:c r="L4568" t="str">
        <x:v>STORE-001</x:v>
      </x:c>
      <x:c r="M4568" s="22" t="n">
        <x:v>46264</x:v>
      </x:c>
      <x:c r="N4568" t="str">
        <x:v>SKU-025</x:v>
      </x:c>
      <x:c r="O4568" t="n">
        <x:v>1</x:v>
      </x:c>
      <x:c r="P4568" s="26" t="n">
        <x:f>F4568/O4568</x:f>
        <x:v>122.89</x:v>
      </x:c>
    </x:row>
    <x:row r="4569">
      <x:c r="A4569" t="n">
        <x:v>4568</x:v>
      </x:c>
      <x:c r="B4569" t="n">
        <x:v>70</x:v>
      </x:c>
      <x:c r="C4569" t="str">
        <x:v>Male</x:v>
      </x:c>
      <x:c r="D4569" t="str">
        <x:v>Footwear</x:v>
      </x:c>
      <x:c r="E4569" t="str">
        <x:v>Sandals</x:v>
      </x:c>
      <x:c r="F4569" s="24" t="n">
        <x:v>112.06</x:v>
      </x:c>
      <x:c r="G4569" t="str">
        <x:v>Spring</x:v>
      </x:c>
      <x:c r="H4569" t="str">
        <x:v>Card</x:v>
      </x:c>
      <x:c r="I4569" t="n">
        <x:v>5</x:v>
      </x:c>
      <x:c r="J4569" t="n">
        <x:v>25</x:v>
      </x:c>
      <x:c r="K4569" t="n">
        <x:v>10</x:v>
      </x:c>
      <x:c r="L4569" t="str">
        <x:v>STORE-001</x:v>
      </x:c>
      <x:c r="M4569" s="22" t="n">
        <x:v>46289</x:v>
      </x:c>
      <x:c r="N4569" t="str">
        <x:v>SKU-019</x:v>
      </x:c>
      <x:c r="O4569" t="n">
        <x:v>2</x:v>
      </x:c>
      <x:c r="P4569" s="26" t="n">
        <x:f>F4569/O4569</x:f>
        <x:v>56.03</x:v>
      </x:c>
    </x:row>
    <x:row r="4570">
      <x:c r="A4570" t="n">
        <x:v>4569</x:v>
      </x:c>
      <x:c r="B4570" t="n">
        <x:v>66</x:v>
      </x:c>
      <x:c r="C4570" t="str">
        <x:v>Female</x:v>
      </x:c>
      <x:c r="D4570" t="str">
        <x:v>Sports</x:v>
      </x:c>
      <x:c r="E4570" t="str">
        <x:v>Dumbbells</x:v>
      </x:c>
      <x:c r="F4570" s="24" t="n">
        <x:v>115.8</x:v>
      </x:c>
      <x:c r="G4570" t="str">
        <x:v>Winter</x:v>
      </x:c>
      <x:c r="H4570" t="str">
        <x:v>Card</x:v>
      </x:c>
      <x:c r="I4570" t="n">
        <x:v>3.2</x:v>
      </x:c>
      <x:c r="J4570" t="n">
        <x:v>12</x:v>
      </x:c>
      <x:c r="K4570" t="n">
        <x:v>1</x:v>
      </x:c>
      <x:c r="L4570" t="str">
        <x:v>STORE-001</x:v>
      </x:c>
      <x:c r="M4570" s="22" t="n">
        <x:v>46227</x:v>
      </x:c>
      <x:c r="N4570" t="str">
        <x:v>SKU-005</x:v>
      </x:c>
      <x:c r="O4570" t="n">
        <x:v>1</x:v>
      </x:c>
      <x:c r="P4570" s="26" t="n">
        <x:f>F4570/O4570</x:f>
        <x:v>115.8</x:v>
      </x:c>
    </x:row>
    <x:row r="4571">
      <x:c r="A4571" t="n">
        <x:v>4570</x:v>
      </x:c>
      <x:c r="B4571" t="n">
        <x:v>55</x:v>
      </x:c>
      <x:c r="C4571" t="str">
        <x:v>Female</x:v>
      </x:c>
      <x:c r="D4571" t="str">
        <x:v>Groceries</x:v>
      </x:c>
      <x:c r="E4571" t="str">
        <x:v>Rice Pack</x:v>
      </x:c>
      <x:c r="F4571" s="24" t="n">
        <x:v>68.87</x:v>
      </x:c>
      <x:c r="G4571" t="str">
        <x:v>Autumn</x:v>
      </x:c>
      <x:c r="H4571" t="str">
        <x:v>Cash on Delivery</x:v>
      </x:c>
      <x:c r="I4571" t="n">
        <x:v>4</x:v>
      </x:c>
      <x:c r="J4571" t="n">
        <x:v>6</x:v>
      </x:c>
      <x:c r="K4571" t="n">
        <x:v>3</x:v>
      </x:c>
      <x:c r="L4571" t="str">
        <x:v>STORE-001</x:v>
      </x:c>
      <x:c r="M4571" s="22" t="n">
        <x:v>46100</x:v>
      </x:c>
      <x:c r="N4571" t="str">
        <x:v>SKU-018</x:v>
      </x:c>
      <x:c r="O4571" t="n">
        <x:v>5</x:v>
      </x:c>
      <x:c r="P4571" s="26" t="n">
        <x:f>F4571/O4571</x:f>
        <x:v>13.774000000000001</x:v>
      </x:c>
    </x:row>
    <x:row r="4572">
      <x:c r="A4572" t="n">
        <x:v>4571</x:v>
      </x:c>
      <x:c r="B4572" t="n">
        <x:v>63</x:v>
      </x:c>
      <x:c r="C4572" t="str">
        <x:v>Male</x:v>
      </x:c>
      <x:c r="D4572" t="str">
        <x:v>Mens Clothing</x:v>
      </x:c>
      <x:c r="E4572" t="str">
        <x:v>Jeans</x:v>
      </x:c>
      <x:c r="F4572" s="24" t="n">
        <x:v>99.6</x:v>
      </x:c>
      <x:c r="G4572" t="str">
        <x:v>Autumn</x:v>
      </x:c>
      <x:c r="H4572" t="str">
        <x:v>Cash on Delivery</x:v>
      </x:c>
      <x:c r="I4572" t="n">
        <x:v>4.6</x:v>
      </x:c>
      <x:c r="J4572" t="n">
        <x:v>14</x:v>
      </x:c>
      <x:c r="K4572" t="n">
        <x:v>2</x:v>
      </x:c>
      <x:c r="L4572" t="str">
        <x:v>STORE-001</x:v>
      </x:c>
      <x:c r="M4572" s="22" t="n">
        <x:v>46103</x:v>
      </x:c>
      <x:c r="N4572" t="str">
        <x:v>SKU-011</x:v>
      </x:c>
      <x:c r="O4572" t="n">
        <x:v>1</x:v>
      </x:c>
      <x:c r="P4572" s="26" t="n">
        <x:f>F4572/O4572</x:f>
        <x:v>99.6</x:v>
      </x:c>
    </x:row>
    <x:row r="4573">
      <x:c r="A4573" t="n">
        <x:v>4572</x:v>
      </x:c>
      <x:c r="B4573" t="n">
        <x:v>65</x:v>
      </x:c>
      <x:c r="C4573" t="str">
        <x:v>Male</x:v>
      </x:c>
      <x:c r="D4573" t="str">
        <x:v>Sports</x:v>
      </x:c>
      <x:c r="E4573" t="str">
        <x:v>Yoga Mat</x:v>
      </x:c>
      <x:c r="F4573" s="24" t="n">
        <x:v>112.71</x:v>
      </x:c>
      <x:c r="G4573" t="str">
        <x:v>Winter</x:v>
      </x:c>
      <x:c r="H4573" t="str">
        <x:v>Card</x:v>
      </x:c>
      <x:c r="I4573" t="n">
        <x:v>4.7</x:v>
      </x:c>
      <x:c r="J4573" t="n">
        <x:v>25</x:v>
      </x:c>
      <x:c r="K4573" t="n">
        <x:v>10</x:v>
      </x:c>
      <x:c r="L4573" t="str">
        <x:v>STORE-001</x:v>
      </x:c>
      <x:c r="M4573" s="22" t="n">
        <x:v>46257</x:v>
      </x:c>
      <x:c r="N4573" t="str">
        <x:v>SKU-030</x:v>
      </x:c>
      <x:c r="O4573" t="n">
        <x:v>2</x:v>
      </x:c>
      <x:c r="P4573" s="26" t="n">
        <x:f>F4573/O4573</x:f>
        <x:v>56.355</x:v>
      </x:c>
    </x:row>
    <x:row r="4574">
      <x:c r="A4574" t="n">
        <x:v>4573</x:v>
      </x:c>
      <x:c r="B4574" t="n">
        <x:v>42</x:v>
      </x:c>
      <x:c r="C4574" t="str">
        <x:v>Male</x:v>
      </x:c>
      <x:c r="D4574" t="str">
        <x:v>Footwear</x:v>
      </x:c>
      <x:c r="E4574" t="str">
        <x:v>Formal Shoes</x:v>
      </x:c>
      <x:c r="F4574" s="24" t="n">
        <x:v>176.05</x:v>
      </x:c>
      <x:c r="G4574" t="str">
        <x:v>Summer</x:v>
      </x:c>
      <x:c r="H4574" t="str">
        <x:v>Card</x:v>
      </x:c>
      <x:c r="I4574" t="n">
        <x:v>4.3</x:v>
      </x:c>
      <x:c r="J4574" t="n">
        <x:v>10</x:v>
      </x:c>
      <x:c r="K4574" t="n">
        <x:v>5</x:v>
      </x:c>
      <x:c r="L4574" t="str">
        <x:v>STORE-001</x:v>
      </x:c>
      <x:c r="M4574" s="22" t="n">
        <x:v>46051</x:v>
      </x:c>
      <x:c r="N4574" t="str">
        <x:v>SKU-007</x:v>
      </x:c>
      <x:c r="O4574" t="n">
        <x:v>1</x:v>
      </x:c>
      <x:c r="P4574" s="26" t="n">
        <x:f>F4574/O4574</x:f>
        <x:v>176.05</x:v>
      </x:c>
    </x:row>
    <x:row r="4575">
      <x:c r="A4575" t="n">
        <x:v>4574</x:v>
      </x:c>
      <x:c r="B4575" t="n">
        <x:v>53</x:v>
      </x:c>
      <x:c r="C4575" t="str">
        <x:v>Male</x:v>
      </x:c>
      <x:c r="D4575" t="str">
        <x:v>Sports</x:v>
      </x:c>
      <x:c r="E4575" t="str">
        <x:v>Football</x:v>
      </x:c>
      <x:c r="F4575" s="24" t="n">
        <x:v>122.14</x:v>
      </x:c>
      <x:c r="G4575" t="str">
        <x:v>Summer</x:v>
      </x:c>
      <x:c r="H4575" t="str">
        <x:v>Card</x:v>
      </x:c>
      <x:c r="I4575" t="n">
        <x:v>4.7</x:v>
      </x:c>
      <x:c r="J4575" t="n">
        <x:v>17</x:v>
      </x:c>
      <x:c r="K4575" t="n">
        <x:v>6</x:v>
      </x:c>
      <x:c r="L4575" t="str">
        <x:v>STORE-001</x:v>
      </x:c>
      <x:c r="M4575" s="22" t="n">
        <x:v>46024</x:v>
      </x:c>
      <x:c r="N4575" t="str">
        <x:v>SKU-006</x:v>
      </x:c>
      <x:c r="O4575" t="n">
        <x:v>2</x:v>
      </x:c>
      <x:c r="P4575" s="26" t="n">
        <x:f>F4575/O4575</x:f>
        <x:v>61.07</x:v>
      </x:c>
    </x:row>
    <x:row r="4576">
      <x:c r="A4576" t="n">
        <x:v>4575</x:v>
      </x:c>
      <x:c r="B4576" t="n">
        <x:v>29</x:v>
      </x:c>
      <x:c r="C4576" t="str">
        <x:v>Female</x:v>
      </x:c>
      <x:c r="D4576" t="str">
        <x:v>Womens Clothing</x:v>
      </x:c>
      <x:c r="E4576" t="str">
        <x:v>Skirt</x:v>
      </x:c>
      <x:c r="F4576" s="24" t="n">
        <x:v>70.08</x:v>
      </x:c>
      <x:c r="G4576" t="str">
        <x:v>Winter</x:v>
      </x:c>
      <x:c r="H4576" t="str">
        <x:v>Card</x:v>
      </x:c>
      <x:c r="I4576" t="n">
        <x:v>3.1</x:v>
      </x:c>
      <x:c r="J4576" t="n">
        <x:v>8</x:v>
      </x:c>
      <x:c r="K4576" t="n">
        <x:v>4</x:v>
      </x:c>
      <x:c r="L4576" t="str">
        <x:v>STORE-001</x:v>
      </x:c>
      <x:c r="M4576" s="22" t="n">
        <x:v>46248</x:v>
      </x:c>
      <x:c r="N4576" t="str">
        <x:v>SKU-022</x:v>
      </x:c>
      <x:c r="O4576" t="n">
        <x:v>2</x:v>
      </x:c>
      <x:c r="P4576" s="26" t="n">
        <x:f>F4576/O4576</x:f>
        <x:v>35.04</x:v>
      </x:c>
    </x:row>
    <x:row r="4577">
      <x:c r="A4577" t="n">
        <x:v>4576</x:v>
      </x:c>
      <x:c r="B4577" t="n">
        <x:v>31</x:v>
      </x:c>
      <x:c r="C4577" t="str">
        <x:v>Female</x:v>
      </x:c>
      <x:c r="D4577" t="str">
        <x:v>Home</x:v>
      </x:c>
      <x:c r="E4577" t="str">
        <x:v>Lamp</x:v>
      </x:c>
      <x:c r="F4577" s="24" t="n">
        <x:v>212.12</x:v>
      </x:c>
      <x:c r="G4577" t="str">
        <x:v>Spring</x:v>
      </x:c>
      <x:c r="H4577" t="str">
        <x:v>Card</x:v>
      </x:c>
      <x:c r="I4577" t="n">
        <x:v>3.6</x:v>
      </x:c>
      <x:c r="J4577" t="n">
        <x:v>8</x:v>
      </x:c>
      <x:c r="K4577" t="n">
        <x:v>4</x:v>
      </x:c>
      <x:c r="L4577" t="str">
        <x:v>STORE-001</x:v>
      </x:c>
      <x:c r="M4577" s="22" t="n">
        <x:v>45955</x:v>
      </x:c>
      <x:c r="N4577" t="str">
        <x:v>SKU-013</x:v>
      </x:c>
      <x:c r="O4577" t="n">
        <x:v>1</x:v>
      </x:c>
      <x:c r="P4577" s="26" t="n">
        <x:f>F4577/O4577</x:f>
        <x:v>212.12</x:v>
      </x:c>
    </x:row>
    <x:row r="4578">
      <x:c r="A4578" t="n">
        <x:v>4577</x:v>
      </x:c>
      <x:c r="B4578" t="n">
        <x:v>22</x:v>
      </x:c>
      <x:c r="C4578" t="str">
        <x:v>Male</x:v>
      </x:c>
      <x:c r="D4578" t="str">
        <x:v>Mens Clothing</x:v>
      </x:c>
      <x:c r="E4578" t="str">
        <x:v>T-Shirt</x:v>
      </x:c>
      <x:c r="F4578" s="24" t="n">
        <x:v>132.21</x:v>
      </x:c>
      <x:c r="G4578" t="str">
        <x:v>Spring</x:v>
      </x:c>
      <x:c r="H4578" t="str">
        <x:v>Card</x:v>
      </x:c>
      <x:c r="I4578" t="n">
        <x:v>4.2</x:v>
      </x:c>
      <x:c r="J4578" t="n">
        <x:v>12</x:v>
      </x:c>
      <x:c r="K4578" t="n">
        <x:v>6</x:v>
      </x:c>
      <x:c r="L4578" t="str">
        <x:v>STORE-001</x:v>
      </x:c>
      <x:c r="M4578" s="22" t="n">
        <x:v>46286</x:v>
      </x:c>
      <x:c r="N4578" t="str">
        <x:v>SKU-027</x:v>
      </x:c>
      <x:c r="O4578" t="n">
        <x:v>1</x:v>
      </x:c>
      <x:c r="P4578" s="26" t="n">
        <x:f>F4578/O4578</x:f>
        <x:v>132.21</x:v>
      </x:c>
    </x:row>
    <x:row r="4579">
      <x:c r="A4579" t="n">
        <x:v>4578</x:v>
      </x:c>
      <x:c r="B4579" t="n">
        <x:v>61</x:v>
      </x:c>
      <x:c r="C4579" t="str">
        <x:v>Male</x:v>
      </x:c>
      <x:c r="D4579" t="str">
        <x:v>Home</x:v>
      </x:c>
      <x:c r="E4579" t="str">
        <x:v>Lamp</x:v>
      </x:c>
      <x:c r="F4579" s="24" t="n">
        <x:v>30.41</x:v>
      </x:c>
      <x:c r="G4579" t="str">
        <x:v>Spring</x:v>
      </x:c>
      <x:c r="H4579" t="str">
        <x:v>Card</x:v>
      </x:c>
      <x:c r="I4579" t="n">
        <x:v>4.5</x:v>
      </x:c>
      <x:c r="J4579" t="n">
        <x:v>24</x:v>
      </x:c>
      <x:c r="K4579" t="n">
        <x:v>7</x:v>
      </x:c>
      <x:c r="L4579" t="str">
        <x:v>STORE-001</x:v>
      </x:c>
      <x:c r="M4579" s="22" t="n">
        <x:v>46291</x:v>
      </x:c>
      <x:c r="N4579" t="str">
        <x:v>SKU-013</x:v>
      </x:c>
      <x:c r="O4579" t="n">
        <x:v>1</x:v>
      </x:c>
      <x:c r="P4579" s="26" t="n">
        <x:f>F4579/O4579</x:f>
        <x:v>30.41</x:v>
      </x:c>
    </x:row>
    <x:row r="4580">
      <x:c r="A4580" t="n">
        <x:v>4579</x:v>
      </x:c>
      <x:c r="B4580" t="n">
        <x:v>70</x:v>
      </x:c>
      <x:c r="C4580" t="str">
        <x:v>Female</x:v>
      </x:c>
      <x:c r="D4580" t="str">
        <x:v>Womens Clothing</x:v>
      </x:c>
      <x:c r="E4580" t="str">
        <x:v>Skirt</x:v>
      </x:c>
      <x:c r="F4580" s="24" t="n">
        <x:v>155.75</x:v>
      </x:c>
      <x:c r="G4580" t="str">
        <x:v>Spring</x:v>
      </x:c>
      <x:c r="H4580" t="str">
        <x:v>Card</x:v>
      </x:c>
      <x:c r="I4580" t="n">
        <x:v>4.8</x:v>
      </x:c>
      <x:c r="J4580" t="n">
        <x:v>26</x:v>
      </x:c>
      <x:c r="K4580" t="n">
        <x:v>8</x:v>
      </x:c>
      <x:c r="L4580" t="str">
        <x:v>STORE-001</x:v>
      </x:c>
      <x:c r="M4580" s="22" t="n">
        <x:v>46289</x:v>
      </x:c>
      <x:c r="N4580" t="str">
        <x:v>SKU-022</x:v>
      </x:c>
      <x:c r="O4580" t="n">
        <x:v>1</x:v>
      </x:c>
      <x:c r="P4580" s="26" t="n">
        <x:f>F4580/O4580</x:f>
        <x:v>155.75</x:v>
      </x:c>
    </x:row>
    <x:row r="4581">
      <x:c r="A4581" t="n">
        <x:v>4580</x:v>
      </x:c>
      <x:c r="B4581" t="n">
        <x:v>23</x:v>
      </x:c>
      <x:c r="C4581" t="str">
        <x:v>Female</x:v>
      </x:c>
      <x:c r="D4581" t="str">
        <x:v>Womens Clothing</x:v>
      </x:c>
      <x:c r="E4581" t="str">
        <x:v>Top</x:v>
      </x:c>
      <x:c r="F4581" s="24" t="n">
        <x:v>139.64</x:v>
      </x:c>
      <x:c r="G4581" t="str">
        <x:v>Summer</x:v>
      </x:c>
      <x:c r="H4581" t="str">
        <x:v>Card</x:v>
      </x:c>
      <x:c r="I4581" t="n">
        <x:v>3.2</x:v>
      </x:c>
      <x:c r="J4581" t="n">
        <x:v>13</x:v>
      </x:c>
      <x:c r="K4581" t="n">
        <x:v>4</x:v>
      </x:c>
      <x:c r="L4581" t="str">
        <x:v>STORE-001</x:v>
      </x:c>
      <x:c r="M4581" s="22" t="n">
        <x:v>46048</x:v>
      </x:c>
      <x:c r="N4581" t="str">
        <x:v>SKU-028</x:v>
      </x:c>
      <x:c r="O4581" t="n">
        <x:v>2</x:v>
      </x:c>
      <x:c r="P4581" s="26" t="n">
        <x:f>F4581/O4581</x:f>
        <x:v>69.82</x:v>
      </x:c>
    </x:row>
    <x:row r="4582">
      <x:c r="A4582" t="n">
        <x:v>4581</x:v>
      </x:c>
      <x:c r="B4582" t="n">
        <x:v>37</x:v>
      </x:c>
      <x:c r="C4582" t="str">
        <x:v>Female</x:v>
      </x:c>
      <x:c r="D4582" t="str">
        <x:v>Womens Clothing</x:v>
      </x:c>
      <x:c r="E4582" t="str">
        <x:v>Skirt</x:v>
      </x:c>
      <x:c r="F4582" s="24" t="n">
        <x:v>68.14</x:v>
      </x:c>
      <x:c r="G4582" t="str">
        <x:v>Spring</x:v>
      </x:c>
      <x:c r="H4582" t="str">
        <x:v>Card</x:v>
      </x:c>
      <x:c r="I4582" t="n">
        <x:v>5</x:v>
      </x:c>
      <x:c r="J4582" t="n">
        <x:v>15</x:v>
      </x:c>
      <x:c r="K4582" t="n">
        <x:v>5</x:v>
      </x:c>
      <x:c r="L4582" t="str">
        <x:v>STORE-001</x:v>
      </x:c>
      <x:c r="M4582" s="22" t="n">
        <x:v>46289</x:v>
      </x:c>
      <x:c r="N4582" t="str">
        <x:v>SKU-022</x:v>
      </x:c>
      <x:c r="O4582" t="n">
        <x:v>2</x:v>
      </x:c>
      <x:c r="P4582" s="26" t="n">
        <x:f>F4582/O4582</x:f>
        <x:v>34.07</x:v>
      </x:c>
    </x:row>
    <x:row r="4583">
      <x:c r="A4583" t="n">
        <x:v>4582</x:v>
      </x:c>
      <x:c r="B4583" t="n">
        <x:v>46</x:v>
      </x:c>
      <x:c r="C4583" t="str">
        <x:v>Female</x:v>
      </x:c>
      <x:c r="D4583" t="str">
        <x:v>Beauty</x:v>
      </x:c>
      <x:c r="E4583" t="str">
        <x:v>Skincare Kit</x:v>
      </x:c>
      <x:c r="F4583" s="24" t="n">
        <x:v>90.16</x:v>
      </x:c>
      <x:c r="G4583" t="str">
        <x:v>Autumn</x:v>
      </x:c>
      <x:c r="H4583" t="str">
        <x:v>Cash on Delivery</x:v>
      </x:c>
      <x:c r="I4583" t="n">
        <x:v>3.4</x:v>
      </x:c>
      <x:c r="J4583" t="n">
        <x:v>8</x:v>
      </x:c>
      <x:c r="K4583" t="n">
        <x:v>4</x:v>
      </x:c>
      <x:c r="L4583" t="str">
        <x:v>STORE-001</x:v>
      </x:c>
      <x:c r="M4583" s="22" t="n">
        <x:v>46119</x:v>
      </x:c>
      <x:c r="N4583" t="str">
        <x:v>SKU-021</x:v>
      </x:c>
      <x:c r="O4583" t="n">
        <x:v>2</x:v>
      </x:c>
      <x:c r="P4583" s="26" t="n">
        <x:f>F4583/O4583</x:f>
        <x:v>45.08</x:v>
      </x:c>
    </x:row>
    <x:row r="4584">
      <x:c r="A4584" t="n">
        <x:v>4583</x:v>
      </x:c>
      <x:c r="B4584" t="n">
        <x:v>30</x:v>
      </x:c>
      <x:c r="C4584" t="str">
        <x:v>Male</x:v>
      </x:c>
      <x:c r="D4584" t="str">
        <x:v>Groceries</x:v>
      </x:c>
      <x:c r="E4584" t="str">
        <x:v>Beverages</x:v>
      </x:c>
      <x:c r="F4584" s="24" t="n">
        <x:v>31.14</x:v>
      </x:c>
      <x:c r="G4584" t="str">
        <x:v>Summer</x:v>
      </x:c>
      <x:c r="H4584" t="str">
        <x:v>Cash on Delivery</x:v>
      </x:c>
      <x:c r="I4584" t="n">
        <x:v>4.3</x:v>
      </x:c>
      <x:c r="J4584" t="n">
        <x:v>22</x:v>
      </x:c>
      <x:c r="K4584" t="n">
        <x:v>6</x:v>
      </x:c>
      <x:c r="L4584" t="str">
        <x:v>STORE-001</x:v>
      </x:c>
      <x:c r="M4584" s="22" t="n">
        <x:v>46043</x:v>
      </x:c>
      <x:c r="N4584" t="str">
        <x:v>SKU-001</x:v>
      </x:c>
      <x:c r="O4584" t="n">
        <x:v>2</x:v>
      </x:c>
      <x:c r="P4584" s="26" t="n">
        <x:f>F4584/O4584</x:f>
        <x:v>15.57</x:v>
      </x:c>
    </x:row>
    <x:row r="4585">
      <x:c r="A4585" t="n">
        <x:v>4584</x:v>
      </x:c>
      <x:c r="B4585" t="n">
        <x:v>40</x:v>
      </x:c>
      <x:c r="C4585" t="str">
        <x:v>Female</x:v>
      </x:c>
      <x:c r="D4585" t="str">
        <x:v>Beauty</x:v>
      </x:c>
      <x:c r="E4585" t="str">
        <x:v>Perfume</x:v>
      </x:c>
      <x:c r="F4585" s="24" t="n">
        <x:v>58.36</x:v>
      </x:c>
      <x:c r="G4585" t="str">
        <x:v>Winter</x:v>
      </x:c>
      <x:c r="H4585" t="str">
        <x:v>Cash on Delivery</x:v>
      </x:c>
      <x:c r="I4585" t="n">
        <x:v>3.4</x:v>
      </x:c>
      <x:c r="J4585" t="n">
        <x:v>16</x:v>
      </x:c>
      <x:c r="K4585" t="n">
        <x:v>3</x:v>
      </x:c>
      <x:c r="L4585" t="str">
        <x:v>STORE-001</x:v>
      </x:c>
      <x:c r="M4585" s="22" t="n">
        <x:v>46226</x:v>
      </x:c>
      <x:c r="N4585" t="str">
        <x:v>SKU-017</x:v>
      </x:c>
      <x:c r="O4585" t="n">
        <x:v>1</x:v>
      </x:c>
      <x:c r="P4585" s="26" t="n">
        <x:f>F4585/O4585</x:f>
        <x:v>58.36</x:v>
      </x:c>
    </x:row>
    <x:row r="4586">
      <x:c r="A4586" t="n">
        <x:v>4585</x:v>
      </x:c>
      <x:c r="B4586" t="n">
        <x:v>22</x:v>
      </x:c>
      <x:c r="C4586" t="str">
        <x:v>Female</x:v>
      </x:c>
      <x:c r="D4586" t="str">
        <x:v>Footwear</x:v>
      </x:c>
      <x:c r="E4586" t="str">
        <x:v>Sandals</x:v>
      </x:c>
      <x:c r="F4586" s="24" t="n">
        <x:v>185.34</x:v>
      </x:c>
      <x:c r="G4586" t="str">
        <x:v>Winter</x:v>
      </x:c>
      <x:c r="H4586" t="str">
        <x:v>Card</x:v>
      </x:c>
      <x:c r="I4586" t="n">
        <x:v>3.7</x:v>
      </x:c>
      <x:c r="J4586" t="n">
        <x:v>13</x:v>
      </x:c>
      <x:c r="K4586" t="n">
        <x:v>4</x:v>
      </x:c>
      <x:c r="L4586" t="str">
        <x:v>STORE-001</x:v>
      </x:c>
      <x:c r="M4586" s="22" t="n">
        <x:v>46176</x:v>
      </x:c>
      <x:c r="N4586" t="str">
        <x:v>SKU-019</x:v>
      </x:c>
      <x:c r="O4586" t="n">
        <x:v>2</x:v>
      </x:c>
      <x:c r="P4586" s="26" t="n">
        <x:f>F4586/O4586</x:f>
        <x:v>92.67</x:v>
      </x:c>
    </x:row>
    <x:row r="4587">
      <x:c r="A4587" t="n">
        <x:v>4586</x:v>
      </x:c>
      <x:c r="B4587" t="n">
        <x:v>36</x:v>
      </x:c>
      <x:c r="C4587" t="str">
        <x:v>Female</x:v>
      </x:c>
      <x:c r="D4587" t="str">
        <x:v>Footwear</x:v>
      </x:c>
      <x:c r="E4587" t="str">
        <x:v>Sneakers</x:v>
      </x:c>
      <x:c r="F4587" s="24" t="n">
        <x:v>195.92</x:v>
      </x:c>
      <x:c r="G4587" t="str">
        <x:v>Spring</x:v>
      </x:c>
      <x:c r="H4587" t="str">
        <x:v>Card</x:v>
      </x:c>
      <x:c r="I4587" t="n">
        <x:v>3.3</x:v>
      </x:c>
      <x:c r="J4587" t="n">
        <x:v>8</x:v>
      </x:c>
      <x:c r="K4587" t="n">
        <x:v>4</x:v>
      </x:c>
      <x:c r="L4587" t="str">
        <x:v>STORE-001</x:v>
      </x:c>
      <x:c r="M4587" s="22" t="n">
        <x:v>45991</x:v>
      </x:c>
      <x:c r="N4587" t="str">
        <x:v>SKU-025</x:v>
      </x:c>
      <x:c r="O4587" t="n">
        <x:v>1</x:v>
      </x:c>
      <x:c r="P4587" s="26" t="n">
        <x:f>F4587/O4587</x:f>
        <x:v>195.92</x:v>
      </x:c>
    </x:row>
    <x:row r="4588">
      <x:c r="A4588" t="n">
        <x:v>4587</x:v>
      </x:c>
      <x:c r="B4588" t="n">
        <x:v>37</x:v>
      </x:c>
      <x:c r="C4588" t="str">
        <x:v>Female</x:v>
      </x:c>
      <x:c r="D4588" t="str">
        <x:v>Beauty</x:v>
      </x:c>
      <x:c r="E4588" t="str">
        <x:v>Skincare Kit</x:v>
      </x:c>
      <x:c r="F4588" s="24" t="n">
        <x:v>126.73</x:v>
      </x:c>
      <x:c r="G4588" t="str">
        <x:v>Summer</x:v>
      </x:c>
      <x:c r="H4588" t="str">
        <x:v>Card</x:v>
      </x:c>
      <x:c r="I4588" t="n">
        <x:v>4.4</x:v>
      </x:c>
      <x:c r="J4588" t="n">
        <x:v>18</x:v>
      </x:c>
      <x:c r="K4588" t="n">
        <x:v>4</x:v>
      </x:c>
      <x:c r="L4588" t="str">
        <x:v>STORE-001</x:v>
      </x:c>
      <x:c r="M4588" s="22" t="n">
        <x:v>46046</x:v>
      </x:c>
      <x:c r="N4588" t="str">
        <x:v>SKU-021</x:v>
      </x:c>
      <x:c r="O4588" t="n">
        <x:v>1</x:v>
      </x:c>
      <x:c r="P4588" s="26" t="n">
        <x:f>F4588/O4588</x:f>
        <x:v>126.73</x:v>
      </x:c>
    </x:row>
    <x:row r="4589">
      <x:c r="A4589" t="n">
        <x:v>4588</x:v>
      </x:c>
      <x:c r="B4589" t="n">
        <x:v>36</x:v>
      </x:c>
      <x:c r="C4589" t="str">
        <x:v>Male</x:v>
      </x:c>
      <x:c r="D4589" t="str">
        <x:v>Sports</x:v>
      </x:c>
      <x:c r="E4589" t="str">
        <x:v>Dumbbells</x:v>
      </x:c>
      <x:c r="F4589" s="24" t="n">
        <x:v>57.52</x:v>
      </x:c>
      <x:c r="G4589" t="str">
        <x:v>Winter</x:v>
      </x:c>
      <x:c r="H4589" t="str">
        <x:v>Cash on Delivery</x:v>
      </x:c>
      <x:c r="I4589" t="n">
        <x:v>3.6</x:v>
      </x:c>
      <x:c r="J4589" t="n">
        <x:v>17</x:v>
      </x:c>
      <x:c r="K4589" t="n">
        <x:v>6</x:v>
      </x:c>
      <x:c r="L4589" t="str">
        <x:v>STORE-001</x:v>
      </x:c>
      <x:c r="M4589" s="22" t="n">
        <x:v>46239</x:v>
      </x:c>
      <x:c r="N4589" t="str">
        <x:v>SKU-005</x:v>
      </x:c>
      <x:c r="O4589" t="n">
        <x:v>1</x:v>
      </x:c>
      <x:c r="P4589" s="26" t="n">
        <x:f>F4589/O4589</x:f>
        <x:v>57.52</x:v>
      </x:c>
    </x:row>
    <x:row r="4590">
      <x:c r="A4590" t="n">
        <x:v>4589</x:v>
      </x:c>
      <x:c r="B4590" t="n">
        <x:v>63</x:v>
      </x:c>
      <x:c r="C4590" t="str">
        <x:v>Female</x:v>
      </x:c>
      <x:c r="D4590" t="str">
        <x:v>Sports</x:v>
      </x:c>
      <x:c r="E4590" t="str">
        <x:v>Yoga Mat</x:v>
      </x:c>
      <x:c r="F4590" s="24" t="n">
        <x:v>50.03</x:v>
      </x:c>
      <x:c r="G4590" t="str">
        <x:v>Summer</x:v>
      </x:c>
      <x:c r="H4590" t="str">
        <x:v>Cash on Delivery</x:v>
      </x:c>
      <x:c r="I4590" t="n">
        <x:v>4.9</x:v>
      </x:c>
      <x:c r="J4590" t="n">
        <x:v>13</x:v>
      </x:c>
      <x:c r="K4590" t="n">
        <x:v>4</x:v>
      </x:c>
      <x:c r="L4590" t="str">
        <x:v>STORE-001</x:v>
      </x:c>
      <x:c r="M4590" s="22" t="n">
        <x:v>46077</x:v>
      </x:c>
      <x:c r="N4590" t="str">
        <x:v>SKU-030</x:v>
      </x:c>
      <x:c r="O4590" t="n">
        <x:v>1</x:v>
      </x:c>
      <x:c r="P4590" s="26" t="n">
        <x:f>F4590/O4590</x:f>
        <x:v>50.03</x:v>
      </x:c>
    </x:row>
    <x:row r="4591">
      <x:c r="A4591" t="n">
        <x:v>4590</x:v>
      </x:c>
      <x:c r="B4591" t="n">
        <x:v>55</x:v>
      </x:c>
      <x:c r="C4591" t="str">
        <x:v>Male</x:v>
      </x:c>
      <x:c r="D4591" t="str">
        <x:v>Footwear</x:v>
      </x:c>
      <x:c r="E4591" t="str">
        <x:v>Formal Shoes</x:v>
      </x:c>
      <x:c r="F4591" s="24" t="n">
        <x:v>127.27</x:v>
      </x:c>
      <x:c r="G4591" t="str">
        <x:v>Spring</x:v>
      </x:c>
      <x:c r="H4591" t="str">
        <x:v>Card</x:v>
      </x:c>
      <x:c r="I4591" t="n">
        <x:v>3.8</x:v>
      </x:c>
      <x:c r="J4591" t="n">
        <x:v>17</x:v>
      </x:c>
      <x:c r="K4591" t="n">
        <x:v>6</x:v>
      </x:c>
      <x:c r="L4591" t="str">
        <x:v>STORE-001</x:v>
      </x:c>
      <x:c r="M4591" s="22" t="n">
        <x:v>46269</x:v>
      </x:c>
      <x:c r="N4591" t="str">
        <x:v>SKU-007</x:v>
      </x:c>
      <x:c r="O4591" t="n">
        <x:v>2</x:v>
      </x:c>
      <x:c r="P4591" s="26" t="n">
        <x:f>F4591/O4591</x:f>
        <x:v>63.635</x:v>
      </x:c>
    </x:row>
    <x:row r="4592">
      <x:c r="A4592" t="n">
        <x:v>4591</x:v>
      </x:c>
      <x:c r="B4592" t="n">
        <x:v>59</x:v>
      </x:c>
      <x:c r="C4592" t="str">
        <x:v>Male</x:v>
      </x:c>
      <x:c r="D4592" t="str">
        <x:v>Footwear</x:v>
      </x:c>
      <x:c r="E4592" t="str">
        <x:v>Sandals</x:v>
      </x:c>
      <x:c r="F4592" s="24" t="n">
        <x:v>146.82</x:v>
      </x:c>
      <x:c r="G4592" t="str">
        <x:v>Autumn</x:v>
      </x:c>
      <x:c r="H4592" t="str">
        <x:v>Card</x:v>
      </x:c>
      <x:c r="I4592" t="n">
        <x:v>2.8</x:v>
      </x:c>
      <x:c r="J4592" t="n">
        <x:v>9</x:v>
      </x:c>
      <x:c r="K4592" t="n">
        <x:v>2</x:v>
      </x:c>
      <x:c r="L4592" t="str">
        <x:v>STORE-001</x:v>
      </x:c>
      <x:c r="M4592" s="22" t="n">
        <x:v>46159</x:v>
      </x:c>
      <x:c r="N4592" t="str">
        <x:v>SKU-019</x:v>
      </x:c>
      <x:c r="O4592" t="n">
        <x:v>1</x:v>
      </x:c>
      <x:c r="P4592" s="26" t="n">
        <x:f>F4592/O4592</x:f>
        <x:v>146.82</x:v>
      </x:c>
    </x:row>
    <x:row r="4593">
      <x:c r="A4593" t="n">
        <x:v>4592</x:v>
      </x:c>
      <x:c r="B4593" t="n">
        <x:v>27</x:v>
      </x:c>
      <x:c r="C4593" t="str">
        <x:v>Male</x:v>
      </x:c>
      <x:c r="D4593" t="str">
        <x:v>Electronics</x:v>
      </x:c>
      <x:c r="E4593" t="str">
        <x:v>Headphones</x:v>
      </x:c>
      <x:c r="F4593" s="24" t="n">
        <x:v>1476.44</x:v>
      </x:c>
      <x:c r="G4593" t="str">
        <x:v>Autumn</x:v>
      </x:c>
      <x:c r="H4593" t="str">
        <x:v>Card</x:v>
      </x:c>
      <x:c r="I4593" t="n">
        <x:v>5</x:v>
      </x:c>
      <x:c r="J4593" t="n">
        <x:v>16</x:v>
      </x:c>
      <x:c r="K4593" t="n">
        <x:v>3</x:v>
      </x:c>
      <x:c r="L4593" t="str">
        <x:v>STORE-001</x:v>
      </x:c>
      <x:c r="M4593" s="22" t="n">
        <x:v>46084</x:v>
      </x:c>
      <x:c r="N4593" t="str">
        <x:v>SKU-009</x:v>
      </x:c>
      <x:c r="O4593" t="n">
        <x:v>1</x:v>
      </x:c>
      <x:c r="P4593" s="26" t="n">
        <x:f>F4593/O4593</x:f>
        <x:v>1476.44</x:v>
      </x:c>
    </x:row>
    <x:row r="4594">
      <x:c r="A4594" t="n">
        <x:v>4593</x:v>
      </x:c>
      <x:c r="B4594" t="n">
        <x:v>40</x:v>
      </x:c>
      <x:c r="C4594" t="str">
        <x:v>Female</x:v>
      </x:c>
      <x:c r="D4594" t="str">
        <x:v>Home</x:v>
      </x:c>
      <x:c r="E4594" t="str">
        <x:v>Kitchen Set</x:v>
      </x:c>
      <x:c r="F4594" s="24" t="n">
        <x:v>67.92</x:v>
      </x:c>
      <x:c r="G4594" t="str">
        <x:v>Spring</x:v>
      </x:c>
      <x:c r="H4594" t="str">
        <x:v>Card</x:v>
      </x:c>
      <x:c r="I4594" t="n">
        <x:v>4.6</x:v>
      </x:c>
      <x:c r="J4594" t="n">
        <x:v>12</x:v>
      </x:c>
      <x:c r="K4594" t="n">
        <x:v>6</x:v>
      </x:c>
      <x:c r="L4594" t="str">
        <x:v>STORE-001</x:v>
      </x:c>
      <x:c r="M4594" s="22" t="n">
        <x:v>45957</x:v>
      </x:c>
      <x:c r="N4594" t="str">
        <x:v>SKU-012</x:v>
      </x:c>
      <x:c r="O4594" t="n">
        <x:v>1</x:v>
      </x:c>
      <x:c r="P4594" s="26" t="n">
        <x:f>F4594/O4594</x:f>
        <x:v>67.92</x:v>
      </x:c>
    </x:row>
    <x:row r="4595">
      <x:c r="A4595" t="n">
        <x:v>4594</x:v>
      </x:c>
      <x:c r="B4595" t="n">
        <x:v>45</x:v>
      </x:c>
      <x:c r="C4595" t="str">
        <x:v>Female</x:v>
      </x:c>
      <x:c r="D4595" t="str">
        <x:v>Beauty</x:v>
      </x:c>
      <x:c r="E4595" t="str">
        <x:v>Skincare Kit</x:v>
      </x:c>
      <x:c r="F4595" s="24" t="n">
        <x:v>78.65</x:v>
      </x:c>
      <x:c r="G4595" t="str">
        <x:v>Winter</x:v>
      </x:c>
      <x:c r="H4595" t="str">
        <x:v>Cash on Delivery</x:v>
      </x:c>
      <x:c r="I4595" t="n">
        <x:v>3.6</x:v>
      </x:c>
      <x:c r="J4595" t="n">
        <x:v>18</x:v>
      </x:c>
      <x:c r="K4595" t="n">
        <x:v>4</x:v>
      </x:c>
      <x:c r="L4595" t="str">
        <x:v>STORE-001</x:v>
      </x:c>
      <x:c r="M4595" s="22" t="n">
        <x:v>46180</x:v>
      </x:c>
      <x:c r="N4595" t="str">
        <x:v>SKU-021</x:v>
      </x:c>
      <x:c r="O4595" t="n">
        <x:v>1</x:v>
      </x:c>
      <x:c r="P4595" s="26" t="n">
        <x:f>F4595/O4595</x:f>
        <x:v>78.65</x:v>
      </x:c>
    </x:row>
    <x:row r="4596">
      <x:c r="A4596" t="n">
        <x:v>4595</x:v>
      </x:c>
      <x:c r="B4596" t="n">
        <x:v>64</x:v>
      </x:c>
      <x:c r="C4596" t="str">
        <x:v>Male</x:v>
      </x:c>
      <x:c r="D4596" t="str">
        <x:v>Mens Clothing</x:v>
      </x:c>
      <x:c r="E4596" t="str">
        <x:v>Jacket</x:v>
      </x:c>
      <x:c r="F4596" s="24" t="n">
        <x:v>158.12</x:v>
      </x:c>
      <x:c r="G4596" t="str">
        <x:v>Summer</x:v>
      </x:c>
      <x:c r="H4596" t="str">
        <x:v>Card</x:v>
      </x:c>
      <x:c r="I4596" t="n">
        <x:v>3.9</x:v>
      </x:c>
      <x:c r="J4596" t="n">
        <x:v>4</x:v>
      </x:c>
      <x:c r="K4596" t="n">
        <x:v>2</x:v>
      </x:c>
      <x:c r="L4596" t="str">
        <x:v>STORE-001</x:v>
      </x:c>
      <x:c r="M4596" s="22" t="n">
        <x:v>46049</x:v>
      </x:c>
      <x:c r="N4596" t="str">
        <x:v>SKU-010</x:v>
      </x:c>
      <x:c r="O4596" t="n">
        <x:v>1</x:v>
      </x:c>
      <x:c r="P4596" s="26" t="n">
        <x:f>F4596/O4596</x:f>
        <x:v>158.12</x:v>
      </x:c>
    </x:row>
    <x:row r="4597">
      <x:c r="A4597" t="n">
        <x:v>4596</x:v>
      </x:c>
      <x:c r="B4597" t="n">
        <x:v>44</x:v>
      </x:c>
      <x:c r="C4597" t="str">
        <x:v>Female</x:v>
      </x:c>
      <x:c r="D4597" t="str">
        <x:v>Accessories</x:v>
      </x:c>
      <x:c r="E4597" t="str">
        <x:v>Sunglasses</x:v>
      </x:c>
      <x:c r="F4597" s="24" t="n">
        <x:v>92.21</x:v>
      </x:c>
      <x:c r="G4597" t="str">
        <x:v>Spring</x:v>
      </x:c>
      <x:c r="H4597" t="str">
        <x:v>Card</x:v>
      </x:c>
      <x:c r="I4597" t="n">
        <x:v>2.9</x:v>
      </x:c>
      <x:c r="J4597" t="n">
        <x:v>15</x:v>
      </x:c>
      <x:c r="K4597" t="n">
        <x:v>5</x:v>
      </x:c>
      <x:c r="L4597" t="str">
        <x:v>STORE-001</x:v>
      </x:c>
      <x:c r="M4597" s="22" t="n">
        <x:v>46267</x:v>
      </x:c>
      <x:c r="N4597" t="str">
        <x:v>SKU-026</x:v>
      </x:c>
      <x:c r="O4597" t="n">
        <x:v>1</x:v>
      </x:c>
      <x:c r="P4597" s="26" t="n">
        <x:f>F4597/O4597</x:f>
        <x:v>92.21</x:v>
      </x:c>
    </x:row>
    <x:row r="4598">
      <x:c r="A4598" t="n">
        <x:v>4597</x:v>
      </x:c>
      <x:c r="B4598" t="n">
        <x:v>27</x:v>
      </x:c>
      <x:c r="C4598" t="str">
        <x:v>Male</x:v>
      </x:c>
      <x:c r="D4598" t="str">
        <x:v>Mens Clothing</x:v>
      </x:c>
      <x:c r="E4598" t="str">
        <x:v>Shirt</x:v>
      </x:c>
      <x:c r="F4598" s="24" t="n">
        <x:v>86.53</x:v>
      </x:c>
      <x:c r="G4598" t="str">
        <x:v>Winter</x:v>
      </x:c>
      <x:c r="H4598" t="str">
        <x:v>Card</x:v>
      </x:c>
      <x:c r="I4598" t="n">
        <x:v>4.1</x:v>
      </x:c>
      <x:c r="J4598" t="n">
        <x:v>5</x:v>
      </x:c>
      <x:c r="K4598" t="n">
        <x:v>0</x:v>
      </x:c>
      <x:c r="L4598" t="str">
        <x:v>STORE-001</x:v>
      </x:c>
      <x:c r="M4598" s="22" t="n">
        <x:v>46224</x:v>
      </x:c>
      <x:c r="N4598" t="str">
        <x:v>SKU-020</x:v>
      </x:c>
      <x:c r="O4598" t="n">
        <x:v>2</x:v>
      </x:c>
      <x:c r="P4598" s="26" t="n">
        <x:f>F4598/O4598</x:f>
        <x:v>43.265</x:v>
      </x:c>
    </x:row>
    <x:row r="4599">
      <x:c r="A4599" t="n">
        <x:v>4598</x:v>
      </x:c>
      <x:c r="B4599" t="n">
        <x:v>64</x:v>
      </x:c>
      <x:c r="C4599" t="str">
        <x:v>Female</x:v>
      </x:c>
      <x:c r="D4599" t="str">
        <x:v>Footwear</x:v>
      </x:c>
      <x:c r="E4599" t="str">
        <x:v>Formal Shoes</x:v>
      </x:c>
      <x:c r="F4599" s="24" t="n">
        <x:v>233.47</x:v>
      </x:c>
      <x:c r="G4599" t="str">
        <x:v>Autumn</x:v>
      </x:c>
      <x:c r="H4599" t="str">
        <x:v>Card</x:v>
      </x:c>
      <x:c r="I4599" t="n">
        <x:v>4.8</x:v>
      </x:c>
      <x:c r="J4599" t="n">
        <x:v>6</x:v>
      </x:c>
      <x:c r="K4599" t="n">
        <x:v>3</x:v>
      </x:c>
      <x:c r="L4599" t="str">
        <x:v>STORE-001</x:v>
      </x:c>
      <x:c r="M4599" s="22" t="n">
        <x:v>46104</x:v>
      </x:c>
      <x:c r="N4599" t="str">
        <x:v>SKU-007</x:v>
      </x:c>
      <x:c r="O4599" t="n">
        <x:v>1</x:v>
      </x:c>
      <x:c r="P4599" s="26" t="n">
        <x:f>F4599/O4599</x:f>
        <x:v>233.47</x:v>
      </x:c>
    </x:row>
    <x:row r="4600">
      <x:c r="A4600" t="n">
        <x:v>4599</x:v>
      </x:c>
      <x:c r="B4600" t="n">
        <x:v>60</x:v>
      </x:c>
      <x:c r="C4600" t="str">
        <x:v>Male</x:v>
      </x:c>
      <x:c r="D4600" t="str">
        <x:v>Home</x:v>
      </x:c>
      <x:c r="E4600" t="str">
        <x:v>Lamp</x:v>
      </x:c>
      <x:c r="F4600" s="24" t="n">
        <x:v>82.83</x:v>
      </x:c>
      <x:c r="G4600" t="str">
        <x:v>Spring</x:v>
      </x:c>
      <x:c r="H4600" t="str">
        <x:v>Cash on Delivery</x:v>
      </x:c>
      <x:c r="I4600" t="n">
        <x:v>3.6</x:v>
      </x:c>
      <x:c r="J4600" t="n">
        <x:v>21</x:v>
      </x:c>
      <x:c r="K4600" t="n">
        <x:v>8</x:v>
      </x:c>
      <x:c r="L4600" t="str">
        <x:v>STORE-001</x:v>
      </x:c>
      <x:c r="M4600" s="22" t="n">
        <x:v>46285</x:v>
      </x:c>
      <x:c r="N4600" t="str">
        <x:v>SKU-013</x:v>
      </x:c>
      <x:c r="O4600" t="n">
        <x:v>1</x:v>
      </x:c>
      <x:c r="P4600" s="26" t="n">
        <x:f>F4600/O4600</x:f>
        <x:v>82.83</x:v>
      </x:c>
    </x:row>
    <x:row r="4601">
      <x:c r="A4601" t="n">
        <x:v>4600</x:v>
      </x:c>
      <x:c r="B4601" t="n">
        <x:v>60</x:v>
      </x:c>
      <x:c r="C4601" t="str">
        <x:v>Female</x:v>
      </x:c>
      <x:c r="D4601" t="str">
        <x:v>Sports</x:v>
      </x:c>
      <x:c r="E4601" t="str">
        <x:v>Football</x:v>
      </x:c>
      <x:c r="F4601" s="24" t="n">
        <x:v>217.78</x:v>
      </x:c>
      <x:c r="G4601" t="str">
        <x:v>Winter</x:v>
      </x:c>
      <x:c r="H4601" t="str">
        <x:v>Card</x:v>
      </x:c>
      <x:c r="I4601" t="n">
        <x:v>4.8</x:v>
      </x:c>
      <x:c r="J4601" t="n">
        <x:v>18</x:v>
      </x:c>
      <x:c r="K4601" t="n">
        <x:v>4</x:v>
      </x:c>
      <x:c r="L4601" t="str">
        <x:v>STORE-001</x:v>
      </x:c>
      <x:c r="M4601" s="22" t="n">
        <x:v>46226</x:v>
      </x:c>
      <x:c r="N4601" t="str">
        <x:v>SKU-006</x:v>
      </x:c>
      <x:c r="O4601" t="n">
        <x:v>1</x:v>
      </x:c>
      <x:c r="P4601" s="26" t="n">
        <x:f>F4601/O4601</x:f>
        <x:v>217.78</x:v>
      </x:c>
    </x:row>
    <x:row r="4602">
      <x:c r="A4602" t="n">
        <x:v>4601</x:v>
      </x:c>
      <x:c r="B4602" t="n">
        <x:v>68</x:v>
      </x:c>
      <x:c r="C4602" t="str">
        <x:v>Female</x:v>
      </x:c>
      <x:c r="D4602" t="str">
        <x:v>Footwear</x:v>
      </x:c>
      <x:c r="E4602" t="str">
        <x:v>Sneakers</x:v>
      </x:c>
      <x:c r="F4602" s="24" t="n">
        <x:v>69.89</x:v>
      </x:c>
      <x:c r="G4602" t="str">
        <x:v>Autumn</x:v>
      </x:c>
      <x:c r="H4602" t="str">
        <x:v>Cash on Delivery</x:v>
      </x:c>
      <x:c r="I4602" t="n">
        <x:v>3.9</x:v>
      </x:c>
      <x:c r="J4602" t="n">
        <x:v>9</x:v>
      </x:c>
      <x:c r="K4602" t="n">
        <x:v>2</x:v>
      </x:c>
      <x:c r="L4602" t="str">
        <x:v>STORE-001</x:v>
      </x:c>
      <x:c r="M4602" s="22" t="n">
        <x:v>46138</x:v>
      </x:c>
      <x:c r="N4602" t="str">
        <x:v>SKU-025</x:v>
      </x:c>
      <x:c r="O4602" t="n">
        <x:v>1</x:v>
      </x:c>
      <x:c r="P4602" s="26" t="n">
        <x:f>F4602/O4602</x:f>
        <x:v>69.89</x:v>
      </x:c>
    </x:row>
    <x:row r="4603">
      <x:c r="A4603" t="n">
        <x:v>4602</x:v>
      </x:c>
      <x:c r="B4603" t="n">
        <x:v>23</x:v>
      </x:c>
      <x:c r="C4603" t="str">
        <x:v>Female</x:v>
      </x:c>
      <x:c r="D4603" t="str">
        <x:v>Beauty</x:v>
      </x:c>
      <x:c r="E4603" t="str">
        <x:v>Perfume</x:v>
      </x:c>
      <x:c r="F4603" s="24" t="n">
        <x:v>86.48</x:v>
      </x:c>
      <x:c r="G4603" t="str">
        <x:v>Winter</x:v>
      </x:c>
      <x:c r="H4603" t="str">
        <x:v>Card</x:v>
      </x:c>
      <x:c r="I4603" t="n">
        <x:v>4.3</x:v>
      </x:c>
      <x:c r="J4603" t="n">
        <x:v>13</x:v>
      </x:c>
      <x:c r="K4603" t="n">
        <x:v>4</x:v>
      </x:c>
      <x:c r="L4603" t="str">
        <x:v>STORE-001</x:v>
      </x:c>
      <x:c r="M4603" s="22" t="n">
        <x:v>46196</x:v>
      </x:c>
      <x:c r="N4603" t="str">
        <x:v>SKU-017</x:v>
      </x:c>
      <x:c r="O4603" t="n">
        <x:v>1</x:v>
      </x:c>
      <x:c r="P4603" s="26" t="n">
        <x:f>F4603/O4603</x:f>
        <x:v>86.48</x:v>
      </x:c>
    </x:row>
    <x:row r="4604">
      <x:c r="A4604" t="n">
        <x:v>4603</x:v>
      </x:c>
      <x:c r="B4604" t="n">
        <x:v>63</x:v>
      </x:c>
      <x:c r="C4604" t="str">
        <x:v>Male</x:v>
      </x:c>
      <x:c r="D4604" t="str">
        <x:v>Sports</x:v>
      </x:c>
      <x:c r="E4604" t="str">
        <x:v>Yoga Mat</x:v>
      </x:c>
      <x:c r="F4604" s="24" t="n">
        <x:v>29.89</x:v>
      </x:c>
      <x:c r="G4604" t="str">
        <x:v>Autumn</x:v>
      </x:c>
      <x:c r="H4604" t="str">
        <x:v>Cash on Delivery</x:v>
      </x:c>
      <x:c r="I4604" t="n">
        <x:v>3.9</x:v>
      </x:c>
      <x:c r="J4604" t="n">
        <x:v>14</x:v>
      </x:c>
      <x:c r="K4604" t="n">
        <x:v>7</x:v>
      </x:c>
      <x:c r="L4604" t="str">
        <x:v>STORE-001</x:v>
      </x:c>
      <x:c r="M4604" s="22" t="n">
        <x:v>46118</x:v>
      </x:c>
      <x:c r="N4604" t="str">
        <x:v>SKU-030</x:v>
      </x:c>
      <x:c r="O4604" t="n">
        <x:v>2</x:v>
      </x:c>
      <x:c r="P4604" s="26" t="n">
        <x:f>F4604/O4604</x:f>
        <x:v>14.945</x:v>
      </x:c>
    </x:row>
    <x:row r="4605">
      <x:c r="A4605" t="n">
        <x:v>4604</x:v>
      </x:c>
      <x:c r="B4605" t="n">
        <x:v>25</x:v>
      </x:c>
      <x:c r="C4605" t="str">
        <x:v>Male</x:v>
      </x:c>
      <x:c r="D4605" t="str">
        <x:v>Sports</x:v>
      </x:c>
      <x:c r="E4605" t="str">
        <x:v>Dumbbells</x:v>
      </x:c>
      <x:c r="F4605" s="24" t="n">
        <x:v>30.91</x:v>
      </x:c>
      <x:c r="G4605" t="str">
        <x:v>Autumn</x:v>
      </x:c>
      <x:c r="H4605" t="str">
        <x:v>Cash on Delivery</x:v>
      </x:c>
      <x:c r="I4605" t="n">
        <x:v>3.9</x:v>
      </x:c>
      <x:c r="J4605" t="n">
        <x:v>22</x:v>
      </x:c>
      <x:c r="K4605" t="n">
        <x:v>6</x:v>
      </x:c>
      <x:c r="L4605" t="str">
        <x:v>STORE-001</x:v>
      </x:c>
      <x:c r="M4605" s="22" t="n">
        <x:v>46086</x:v>
      </x:c>
      <x:c r="N4605" t="str">
        <x:v>SKU-005</x:v>
      </x:c>
      <x:c r="O4605" t="n">
        <x:v>2</x:v>
      </x:c>
      <x:c r="P4605" s="26" t="n">
        <x:f>F4605/O4605</x:f>
        <x:v>15.455</x:v>
      </x:c>
    </x:row>
    <x:row r="4606">
      <x:c r="A4606" t="n">
        <x:v>4605</x:v>
      </x:c>
      <x:c r="B4606" t="n">
        <x:v>44</x:v>
      </x:c>
      <x:c r="C4606" t="str">
        <x:v>Female</x:v>
      </x:c>
      <x:c r="D4606" t="str">
        <x:v>Beauty</x:v>
      </x:c>
      <x:c r="E4606" t="str">
        <x:v>Skincare Kit</x:v>
      </x:c>
      <x:c r="F4606" s="24" t="n">
        <x:v>138.36</x:v>
      </x:c>
      <x:c r="G4606" t="str">
        <x:v>Winter</x:v>
      </x:c>
      <x:c r="H4606" t="str">
        <x:v>Card</x:v>
      </x:c>
      <x:c r="I4606" t="n">
        <x:v>4.4</x:v>
      </x:c>
      <x:c r="J4606" t="n">
        <x:v>16</x:v>
      </x:c>
      <x:c r="K4606" t="n">
        <x:v>3</x:v>
      </x:c>
      <x:c r="L4606" t="str">
        <x:v>STORE-001</x:v>
      </x:c>
      <x:c r="M4606" s="22" t="n">
        <x:v>46224</x:v>
      </x:c>
      <x:c r="N4606" t="str">
        <x:v>SKU-021</x:v>
      </x:c>
      <x:c r="O4606" t="n">
        <x:v>2</x:v>
      </x:c>
      <x:c r="P4606" s="26" t="n">
        <x:f>F4606/O4606</x:f>
        <x:v>69.18</x:v>
      </x:c>
    </x:row>
    <x:row r="4607">
      <x:c r="A4607" t="n">
        <x:v>4606</x:v>
      </x:c>
      <x:c r="B4607" t="n">
        <x:v>48</x:v>
      </x:c>
      <x:c r="C4607" t="str">
        <x:v>Female</x:v>
      </x:c>
      <x:c r="D4607" t="str">
        <x:v>Womens Clothing</x:v>
      </x:c>
      <x:c r="E4607" t="str">
        <x:v>Dress</x:v>
      </x:c>
      <x:c r="F4607" s="24" t="n">
        <x:v>42.2</x:v>
      </x:c>
      <x:c r="G4607" t="str">
        <x:v>Winter</x:v>
      </x:c>
      <x:c r="H4607" t="str">
        <x:v>Cash on Delivery</x:v>
      </x:c>
      <x:c r="I4607" t="n">
        <x:v>3.1</x:v>
      </x:c>
      <x:c r="J4607" t="n">
        <x:v>16</x:v>
      </x:c>
      <x:c r="K4607" t="n">
        <x:v>3</x:v>
      </x:c>
      <x:c r="L4607" t="str">
        <x:v>STORE-001</x:v>
      </x:c>
      <x:c r="M4607" s="22" t="n">
        <x:v>46193</x:v>
      </x:c>
      <x:c r="N4607" t="str">
        <x:v>SKU-004</x:v>
      </x:c>
      <x:c r="O4607" t="n">
        <x:v>2</x:v>
      </x:c>
      <x:c r="P4607" s="26" t="n">
        <x:f>F4607/O4607</x:f>
        <x:v>21.1</x:v>
      </x:c>
    </x:row>
    <x:row r="4608">
      <x:c r="A4608" t="n">
        <x:v>4607</x:v>
      </x:c>
      <x:c r="B4608" t="n">
        <x:v>30</x:v>
      </x:c>
      <x:c r="C4608" t="str">
        <x:v>Female</x:v>
      </x:c>
      <x:c r="D4608" t="str">
        <x:v>Womens Clothing</x:v>
      </x:c>
      <x:c r="E4608" t="str">
        <x:v>Dress</x:v>
      </x:c>
      <x:c r="F4608" s="24" t="n">
        <x:v>137.13</x:v>
      </x:c>
      <x:c r="G4608" t="str">
        <x:v>Summer</x:v>
      </x:c>
      <x:c r="H4608" t="str">
        <x:v>Card</x:v>
      </x:c>
      <x:c r="I4608" t="n">
        <x:v>4.4</x:v>
      </x:c>
      <x:c r="J4608" t="n">
        <x:v>16</x:v>
      </x:c>
      <x:c r="K4608" t="n">
        <x:v>3</x:v>
      </x:c>
      <x:c r="L4608" t="str">
        <x:v>STORE-001</x:v>
      </x:c>
      <x:c r="M4608" s="22" t="n">
        <x:v>46050</x:v>
      </x:c>
      <x:c r="N4608" t="str">
        <x:v>SKU-004</x:v>
      </x:c>
      <x:c r="O4608" t="n">
        <x:v>1</x:v>
      </x:c>
      <x:c r="P4608" s="26" t="n">
        <x:f>F4608/O4608</x:f>
        <x:v>137.13</x:v>
      </x:c>
    </x:row>
    <x:row r="4609">
      <x:c r="A4609" t="n">
        <x:v>4608</x:v>
      </x:c>
      <x:c r="B4609" t="n">
        <x:v>24</x:v>
      </x:c>
      <x:c r="C4609" t="str">
        <x:v>Male</x:v>
      </x:c>
      <x:c r="D4609" t="str">
        <x:v>Home</x:v>
      </x:c>
      <x:c r="E4609" t="str">
        <x:v>Curtains</x:v>
      </x:c>
      <x:c r="F4609" s="24" t="n">
        <x:v>232.57</x:v>
      </x:c>
      <x:c r="G4609" t="str">
        <x:v>Summer</x:v>
      </x:c>
      <x:c r="H4609" t="str">
        <x:v>Card</x:v>
      </x:c>
      <x:c r="I4609" t="n">
        <x:v>3.6</x:v>
      </x:c>
      <x:c r="J4609" t="n">
        <x:v>26</x:v>
      </x:c>
      <x:c r="K4609" t="n">
        <x:v>8</x:v>
      </x:c>
      <x:c r="L4609" t="str">
        <x:v>STORE-001</x:v>
      </x:c>
      <x:c r="M4609" s="22" t="n">
        <x:v>45995</x:v>
      </x:c>
      <x:c r="N4609" t="str">
        <x:v>SKU-003</x:v>
      </x:c>
      <x:c r="O4609" t="n">
        <x:v>1</x:v>
      </x:c>
      <x:c r="P4609" s="26" t="n">
        <x:f>F4609/O4609</x:f>
        <x:v>232.57</x:v>
      </x:c>
    </x:row>
    <x:row r="4610">
      <x:c r="A4610" t="n">
        <x:v>4609</x:v>
      </x:c>
      <x:c r="B4610" t="n">
        <x:v>25</x:v>
      </x:c>
      <x:c r="C4610" t="str">
        <x:v>Female</x:v>
      </x:c>
      <x:c r="D4610" t="str">
        <x:v>Accessories</x:v>
      </x:c>
      <x:c r="E4610" t="str">
        <x:v>Handbag</x:v>
      </x:c>
      <x:c r="F4610" s="24" t="n">
        <x:v>22.59</x:v>
      </x:c>
      <x:c r="G4610" t="str">
        <x:v>Winter</x:v>
      </x:c>
      <x:c r="H4610" t="str">
        <x:v>Cash on Delivery</x:v>
      </x:c>
      <x:c r="I4610" t="n">
        <x:v>2.9</x:v>
      </x:c>
      <x:c r="J4610" t="n">
        <x:v>12</x:v>
      </x:c>
      <x:c r="K4610" t="n">
        <x:v>6</x:v>
      </x:c>
      <x:c r="L4610" t="str">
        <x:v>STORE-001</x:v>
      </x:c>
      <x:c r="M4610" s="22" t="n">
        <x:v>46181</x:v>
      </x:c>
      <x:c r="N4610" t="str">
        <x:v>SKU-008</x:v>
      </x:c>
      <x:c r="O4610" t="n">
        <x:v>1</x:v>
      </x:c>
      <x:c r="P4610" s="26" t="n">
        <x:f>F4610/O4610</x:f>
        <x:v>22.59</x:v>
      </x:c>
    </x:row>
    <x:row r="4611">
      <x:c r="A4611" t="n">
        <x:v>4610</x:v>
      </x:c>
      <x:c r="B4611" t="n">
        <x:v>50</x:v>
      </x:c>
      <x:c r="C4611" t="str">
        <x:v>Male</x:v>
      </x:c>
      <x:c r="D4611" t="str">
        <x:v>Electronics</x:v>
      </x:c>
      <x:c r="E4611" t="str">
        <x:v>Smart Watch</x:v>
      </x:c>
      <x:c r="F4611" s="24" t="n">
        <x:v>2642.49</x:v>
      </x:c>
      <x:c r="G4611" t="str">
        <x:v>Winter</x:v>
      </x:c>
      <x:c r="H4611" t="str">
        <x:v>Card</x:v>
      </x:c>
      <x:c r="I4611" t="n">
        <x:v>3.5</x:v>
      </x:c>
      <x:c r="J4611" t="n">
        <x:v>20</x:v>
      </x:c>
      <x:c r="K4611" t="n">
        <x:v>5</x:v>
      </x:c>
      <x:c r="L4611" t="str">
        <x:v>STORE-001</x:v>
      </x:c>
      <x:c r="M4611" s="22" t="n">
        <x:v>46259</x:v>
      </x:c>
      <x:c r="N4611" t="str">
        <x:v>SKU-023</x:v>
      </x:c>
      <x:c r="O4611" t="n">
        <x:v>1</x:v>
      </x:c>
      <x:c r="P4611" s="26" t="n">
        <x:f>F4611/O4611</x:f>
        <x:v>2642.49</x:v>
      </x:c>
    </x:row>
    <x:row r="4612">
      <x:c r="A4612" t="n">
        <x:v>4611</x:v>
      </x:c>
      <x:c r="B4612" t="n">
        <x:v>64</x:v>
      </x:c>
      <x:c r="C4612" t="str">
        <x:v>Female</x:v>
      </x:c>
      <x:c r="D4612" t="str">
        <x:v>Beauty</x:v>
      </x:c>
      <x:c r="E4612" t="str">
        <x:v>Skincare Kit</x:v>
      </x:c>
      <x:c r="F4612" s="24" t="n">
        <x:v>103.84</x:v>
      </x:c>
      <x:c r="G4612" t="str">
        <x:v>Spring</x:v>
      </x:c>
      <x:c r="H4612" t="str">
        <x:v>Card</x:v>
      </x:c>
      <x:c r="I4612" t="n">
        <x:v>4.3</x:v>
      </x:c>
      <x:c r="J4612" t="n">
        <x:v>14</x:v>
      </x:c>
      <x:c r="K4612" t="n">
        <x:v>7</x:v>
      </x:c>
      <x:c r="L4612" t="str">
        <x:v>STORE-001</x:v>
      </x:c>
      <x:c r="M4612" s="22" t="n">
        <x:v>46278</x:v>
      </x:c>
      <x:c r="N4612" t="str">
        <x:v>SKU-021</x:v>
      </x:c>
      <x:c r="O4612" t="n">
        <x:v>2</x:v>
      </x:c>
      <x:c r="P4612" s="26" t="n">
        <x:f>F4612/O4612</x:f>
        <x:v>51.92</x:v>
      </x:c>
    </x:row>
    <x:row r="4613">
      <x:c r="A4613" t="n">
        <x:v>4612</x:v>
      </x:c>
      <x:c r="B4613" t="n">
        <x:v>28</x:v>
      </x:c>
      <x:c r="C4613" t="str">
        <x:v>Female</x:v>
      </x:c>
      <x:c r="D4613" t="str">
        <x:v>Beauty</x:v>
      </x:c>
      <x:c r="E4613" t="str">
        <x:v>Perfume</x:v>
      </x:c>
      <x:c r="F4613" s="24" t="n">
        <x:v>107.9</x:v>
      </x:c>
      <x:c r="G4613" t="str">
        <x:v>Summer</x:v>
      </x:c>
      <x:c r="H4613" t="str">
        <x:v>Card</x:v>
      </x:c>
      <x:c r="I4613" t="n">
        <x:v>3.2</x:v>
      </x:c>
      <x:c r="J4613" t="n">
        <x:v>11</x:v>
      </x:c>
      <x:c r="K4613" t="n">
        <x:v>3</x:v>
      </x:c>
      <x:c r="L4613" t="str">
        <x:v>STORE-001</x:v>
      </x:c>
      <x:c r="M4613" s="22" t="n">
        <x:v>46015</x:v>
      </x:c>
      <x:c r="N4613" t="str">
        <x:v>SKU-017</x:v>
      </x:c>
      <x:c r="O4613" t="n">
        <x:v>1</x:v>
      </x:c>
      <x:c r="P4613" s="26" t="n">
        <x:f>F4613/O4613</x:f>
        <x:v>107.9</x:v>
      </x:c>
    </x:row>
    <x:row r="4614">
      <x:c r="A4614" t="n">
        <x:v>4613</x:v>
      </x:c>
      <x:c r="B4614" t="n">
        <x:v>55</x:v>
      </x:c>
      <x:c r="C4614" t="str">
        <x:v>Male</x:v>
      </x:c>
      <x:c r="D4614" t="str">
        <x:v>Sports</x:v>
      </x:c>
      <x:c r="E4614" t="str">
        <x:v>Dumbbells</x:v>
      </x:c>
      <x:c r="F4614" s="24" t="n">
        <x:v>175.64</x:v>
      </x:c>
      <x:c r="G4614" t="str">
        <x:v>Summer</x:v>
      </x:c>
      <x:c r="H4614" t="str">
        <x:v>Card</x:v>
      </x:c>
      <x:c r="I4614" t="n">
        <x:v>4.4</x:v>
      </x:c>
      <x:c r="J4614" t="n">
        <x:v>18</x:v>
      </x:c>
      <x:c r="K4614" t="n">
        <x:v>9</x:v>
      </x:c>
      <x:c r="L4614" t="str">
        <x:v>STORE-001</x:v>
      </x:c>
      <x:c r="M4614" s="22" t="n">
        <x:v>46068</x:v>
      </x:c>
      <x:c r="N4614" t="str">
        <x:v>SKU-005</x:v>
      </x:c>
      <x:c r="O4614" t="n">
        <x:v>1</x:v>
      </x:c>
      <x:c r="P4614" s="26" t="n">
        <x:f>F4614/O4614</x:f>
        <x:v>175.64</x:v>
      </x:c>
    </x:row>
    <x:row r="4615">
      <x:c r="A4615" t="n">
        <x:v>4614</x:v>
      </x:c>
      <x:c r="B4615" t="n">
        <x:v>42</x:v>
      </x:c>
      <x:c r="C4615" t="str">
        <x:v>Male</x:v>
      </x:c>
      <x:c r="D4615" t="str">
        <x:v>Electronics</x:v>
      </x:c>
      <x:c r="E4615" t="str">
        <x:v>Mobile Phone</x:v>
      </x:c>
      <x:c r="F4615" s="24" t="n">
        <x:v>909.94</x:v>
      </x:c>
      <x:c r="G4615" t="str">
        <x:v>Autumn</x:v>
      </x:c>
      <x:c r="H4615" t="str">
        <x:v>Card</x:v>
      </x:c>
      <x:c r="I4615" t="n">
        <x:v>3.5</x:v>
      </x:c>
      <x:c r="J4615" t="n">
        <x:v>19</x:v>
      </x:c>
      <x:c r="K4615" t="n">
        <x:v>7</x:v>
      </x:c>
      <x:c r="L4615" t="str">
        <x:v>STORE-001</x:v>
      </x:c>
      <x:c r="M4615" s="22" t="n">
        <x:v>46096</x:v>
      </x:c>
      <x:c r="N4615" t="str">
        <x:v>SKU-016</x:v>
      </x:c>
      <x:c r="O4615" t="n">
        <x:v>1</x:v>
      </x:c>
      <x:c r="P4615" s="26" t="n">
        <x:f>F4615/O4615</x:f>
        <x:v>909.94</x:v>
      </x:c>
    </x:row>
    <x:row r="4616">
      <x:c r="A4616" t="n">
        <x:v>4615</x:v>
      </x:c>
      <x:c r="B4616" t="n">
        <x:v>37</x:v>
      </x:c>
      <x:c r="C4616" t="str">
        <x:v>Male</x:v>
      </x:c>
      <x:c r="D4616" t="str">
        <x:v>Sports</x:v>
      </x:c>
      <x:c r="E4616" t="str">
        <x:v>Dumbbells</x:v>
      </x:c>
      <x:c r="F4616" s="24" t="n">
        <x:v>72.13</x:v>
      </x:c>
      <x:c r="G4616" t="str">
        <x:v>Autumn</x:v>
      </x:c>
      <x:c r="H4616" t="str">
        <x:v>Cash on Delivery</x:v>
      </x:c>
      <x:c r="I4616" t="n">
        <x:v>3.6</x:v>
      </x:c>
      <x:c r="J4616" t="n">
        <x:v>12</x:v>
      </x:c>
      <x:c r="K4616" t="n">
        <x:v>6</x:v>
      </x:c>
      <x:c r="L4616" t="str">
        <x:v>STORE-001</x:v>
      </x:c>
      <x:c r="M4616" s="22" t="n">
        <x:v>46118</x:v>
      </x:c>
      <x:c r="N4616" t="str">
        <x:v>SKU-005</x:v>
      </x:c>
      <x:c r="O4616" t="n">
        <x:v>1</x:v>
      </x:c>
      <x:c r="P4616" s="26" t="n">
        <x:f>F4616/O4616</x:f>
        <x:v>72.13</x:v>
      </x:c>
    </x:row>
    <x:row r="4617">
      <x:c r="A4617" t="n">
        <x:v>4616</x:v>
      </x:c>
      <x:c r="B4617" t="n">
        <x:v>60</x:v>
      </x:c>
      <x:c r="C4617" t="str">
        <x:v>Female</x:v>
      </x:c>
      <x:c r="D4617" t="str">
        <x:v>Footwear</x:v>
      </x:c>
      <x:c r="E4617" t="str">
        <x:v>Formal Shoes</x:v>
      </x:c>
      <x:c r="F4617" s="24" t="n">
        <x:v>150.3</x:v>
      </x:c>
      <x:c r="G4617" t="str">
        <x:v>Summer</x:v>
      </x:c>
      <x:c r="H4617" t="str">
        <x:v>Card</x:v>
      </x:c>
      <x:c r="I4617" t="n">
        <x:v>4.2</x:v>
      </x:c>
      <x:c r="J4617" t="n">
        <x:v>22</x:v>
      </x:c>
      <x:c r="K4617" t="n">
        <x:v>6</x:v>
      </x:c>
      <x:c r="L4617" t="str">
        <x:v>STORE-001</x:v>
      </x:c>
      <x:c r="M4617" s="22" t="n">
        <x:v>46014</x:v>
      </x:c>
      <x:c r="N4617" t="str">
        <x:v>SKU-007</x:v>
      </x:c>
      <x:c r="O4617" t="n">
        <x:v>1</x:v>
      </x:c>
      <x:c r="P4617" s="26" t="n">
        <x:f>F4617/O4617</x:f>
        <x:v>150.3</x:v>
      </x:c>
    </x:row>
    <x:row r="4618">
      <x:c r="A4618" t="n">
        <x:v>4617</x:v>
      </x:c>
      <x:c r="B4618" t="n">
        <x:v>32</x:v>
      </x:c>
      <x:c r="C4618" t="str">
        <x:v>Male</x:v>
      </x:c>
      <x:c r="D4618" t="str">
        <x:v>Sports</x:v>
      </x:c>
      <x:c r="E4618" t="str">
        <x:v>Football</x:v>
      </x:c>
      <x:c r="F4618" s="24" t="n">
        <x:v>59.98</x:v>
      </x:c>
      <x:c r="G4618" t="str">
        <x:v>Autumn</x:v>
      </x:c>
      <x:c r="H4618" t="str">
        <x:v>Cash on Delivery</x:v>
      </x:c>
      <x:c r="I4618" t="n">
        <x:v>4.4</x:v>
      </x:c>
      <x:c r="J4618" t="n">
        <x:v>11</x:v>
      </x:c>
      <x:c r="K4618" t="n">
        <x:v>3</x:v>
      </x:c>
      <x:c r="L4618" t="str">
        <x:v>STORE-001</x:v>
      </x:c>
      <x:c r="M4618" s="22" t="n">
        <x:v>46173</x:v>
      </x:c>
      <x:c r="N4618" t="str">
        <x:v>SKU-006</x:v>
      </x:c>
      <x:c r="O4618" t="n">
        <x:v>1</x:v>
      </x:c>
      <x:c r="P4618" s="26" t="n">
        <x:f>F4618/O4618</x:f>
        <x:v>59.98</x:v>
      </x:c>
    </x:row>
    <x:row r="4619">
      <x:c r="A4619" t="n">
        <x:v>4618</x:v>
      </x:c>
      <x:c r="B4619" t="n">
        <x:v>38</x:v>
      </x:c>
      <x:c r="C4619" t="str">
        <x:v>Female</x:v>
      </x:c>
      <x:c r="D4619" t="str">
        <x:v>Womens Clothing</x:v>
      </x:c>
      <x:c r="E4619" t="str">
        <x:v>Jeans</x:v>
      </x:c>
      <x:c r="F4619" s="24" t="n">
        <x:v>55.88</x:v>
      </x:c>
      <x:c r="G4619" t="str">
        <x:v>Winter</x:v>
      </x:c>
      <x:c r="H4619" t="str">
        <x:v>Card</x:v>
      </x:c>
      <x:c r="I4619" t="n">
        <x:v>4.9</x:v>
      </x:c>
      <x:c r="J4619" t="n">
        <x:v>18</x:v>
      </x:c>
      <x:c r="K4619" t="n">
        <x:v>9</x:v>
      </x:c>
      <x:c r="L4619" t="str">
        <x:v>STORE-001</x:v>
      </x:c>
      <x:c r="M4619" s="22" t="n">
        <x:v>46224</x:v>
      </x:c>
      <x:c r="N4619" t="str">
        <x:v>SKU-011</x:v>
      </x:c>
      <x:c r="O4619" t="n">
        <x:v>1</x:v>
      </x:c>
      <x:c r="P4619" s="26" t="n">
        <x:f>F4619/O4619</x:f>
        <x:v>55.88</x:v>
      </x:c>
    </x:row>
    <x:row r="4620">
      <x:c r="A4620" t="n">
        <x:v>4619</x:v>
      </x:c>
      <x:c r="B4620" t="n">
        <x:v>62</x:v>
      </x:c>
      <x:c r="C4620" t="str">
        <x:v>Male</x:v>
      </x:c>
      <x:c r="D4620" t="str">
        <x:v>Mens Clothing</x:v>
      </x:c>
      <x:c r="E4620" t="str">
        <x:v>Jeans</x:v>
      </x:c>
      <x:c r="F4620" s="24" t="n">
        <x:v>86.82</x:v>
      </x:c>
      <x:c r="G4620" t="str">
        <x:v>Summer</x:v>
      </x:c>
      <x:c r="H4620" t="str">
        <x:v>Cash on Delivery</x:v>
      </x:c>
      <x:c r="I4620" t="n">
        <x:v>3</x:v>
      </x:c>
      <x:c r="J4620" t="n">
        <x:v>11</x:v>
      </x:c>
      <x:c r="K4620" t="n">
        <x:v>3</x:v>
      </x:c>
      <x:c r="L4620" t="str">
        <x:v>STORE-001</x:v>
      </x:c>
      <x:c r="M4620" s="22" t="n">
        <x:v>46001</x:v>
      </x:c>
      <x:c r="N4620" t="str">
        <x:v>SKU-011</x:v>
      </x:c>
      <x:c r="O4620" t="n">
        <x:v>1</x:v>
      </x:c>
      <x:c r="P4620" s="26" t="n">
        <x:f>F4620/O4620</x:f>
        <x:v>86.82</x:v>
      </x:c>
    </x:row>
    <x:row r="4621">
      <x:c r="A4621" t="n">
        <x:v>4620</x:v>
      </x:c>
      <x:c r="B4621" t="n">
        <x:v>58</x:v>
      </x:c>
      <x:c r="C4621" t="str">
        <x:v>Male</x:v>
      </x:c>
      <x:c r="D4621" t="str">
        <x:v>Sports</x:v>
      </x:c>
      <x:c r="E4621" t="str">
        <x:v>Football</x:v>
      </x:c>
      <x:c r="F4621" s="24" t="n">
        <x:v>88.53</x:v>
      </x:c>
      <x:c r="G4621" t="str">
        <x:v>Winter</x:v>
      </x:c>
      <x:c r="H4621" t="str">
        <x:v>Card</x:v>
      </x:c>
      <x:c r="I4621" t="n">
        <x:v>3.5</x:v>
      </x:c>
      <x:c r="J4621" t="n">
        <x:v>13</x:v>
      </x:c>
      <x:c r="K4621" t="n">
        <x:v>4</x:v>
      </x:c>
      <x:c r="L4621" t="str">
        <x:v>STORE-001</x:v>
      </x:c>
      <x:c r="M4621" s="22" t="n">
        <x:v>46265</x:v>
      </x:c>
      <x:c r="N4621" t="str">
        <x:v>SKU-006</x:v>
      </x:c>
      <x:c r="O4621" t="n">
        <x:v>2</x:v>
      </x:c>
      <x:c r="P4621" s="26" t="n">
        <x:f>F4621/O4621</x:f>
        <x:v>44.265</x:v>
      </x:c>
    </x:row>
    <x:row r="4622">
      <x:c r="A4622" t="n">
        <x:v>4621</x:v>
      </x:c>
      <x:c r="B4622" t="n">
        <x:v>20</x:v>
      </x:c>
      <x:c r="C4622" t="str">
        <x:v>Male</x:v>
      </x:c>
      <x:c r="D4622" t="str">
        <x:v>Footwear</x:v>
      </x:c>
      <x:c r="E4622" t="str">
        <x:v>Sneakers</x:v>
      </x:c>
      <x:c r="F4622" s="24" t="n">
        <x:v>155.1</x:v>
      </x:c>
      <x:c r="G4622" t="str">
        <x:v>Autumn</x:v>
      </x:c>
      <x:c r="H4622" t="str">
        <x:v>Card</x:v>
      </x:c>
      <x:c r="I4622" t="n">
        <x:v>3.8</x:v>
      </x:c>
      <x:c r="J4622" t="n">
        <x:v>7</x:v>
      </x:c>
      <x:c r="K4622" t="n">
        <x:v>1</x:v>
      </x:c>
      <x:c r="L4622" t="str">
        <x:v>STORE-001</x:v>
      </x:c>
      <x:c r="M4622" s="22" t="n">
        <x:v>46145</x:v>
      </x:c>
      <x:c r="N4622" t="str">
        <x:v>SKU-025</x:v>
      </x:c>
      <x:c r="O4622" t="n">
        <x:v>1</x:v>
      </x:c>
      <x:c r="P4622" s="26" t="n">
        <x:f>F4622/O4622</x:f>
        <x:v>155.1</x:v>
      </x:c>
    </x:row>
    <x:row r="4623">
      <x:c r="A4623" t="n">
        <x:v>4622</x:v>
      </x:c>
      <x:c r="B4623" t="n">
        <x:v>43</x:v>
      </x:c>
      <x:c r="C4623" t="str">
        <x:v>Female</x:v>
      </x:c>
      <x:c r="D4623" t="str">
        <x:v>Beauty</x:v>
      </x:c>
      <x:c r="E4623" t="str">
        <x:v>Perfume</x:v>
      </x:c>
      <x:c r="F4623" s="24" t="n">
        <x:v>79.4</x:v>
      </x:c>
      <x:c r="G4623" t="str">
        <x:v>Winter</x:v>
      </x:c>
      <x:c r="H4623" t="str">
        <x:v>Cash on Delivery</x:v>
      </x:c>
      <x:c r="I4623" t="n">
        <x:v>4.3</x:v>
      </x:c>
      <x:c r="J4623" t="n">
        <x:v>21</x:v>
      </x:c>
      <x:c r="K4623" t="n">
        <x:v>8</x:v>
      </x:c>
      <x:c r="L4623" t="str">
        <x:v>STORE-001</x:v>
      </x:c>
      <x:c r="M4623" s="22" t="n">
        <x:v>46196</x:v>
      </x:c>
      <x:c r="N4623" t="str">
        <x:v>SKU-017</x:v>
      </x:c>
      <x:c r="O4623" t="n">
        <x:v>1</x:v>
      </x:c>
      <x:c r="P4623" s="26" t="n">
        <x:f>F4623/O4623</x:f>
        <x:v>79.4</x:v>
      </x:c>
    </x:row>
    <x:row r="4624">
      <x:c r="A4624" t="n">
        <x:v>4623</x:v>
      </x:c>
      <x:c r="B4624" t="n">
        <x:v>23</x:v>
      </x:c>
      <x:c r="C4624" t="str">
        <x:v>Male</x:v>
      </x:c>
      <x:c r="D4624" t="str">
        <x:v>Electronics</x:v>
      </x:c>
      <x:c r="E4624" t="str">
        <x:v>Mobile Phone</x:v>
      </x:c>
      <x:c r="F4624" s="24" t="n">
        <x:v>1000.65</x:v>
      </x:c>
      <x:c r="G4624" t="str">
        <x:v>Spring</x:v>
      </x:c>
      <x:c r="H4624" t="str">
        <x:v>Card</x:v>
      </x:c>
      <x:c r="I4624" t="n">
        <x:v>3.6</x:v>
      </x:c>
      <x:c r="J4624" t="n">
        <x:v>19</x:v>
      </x:c>
      <x:c r="K4624" t="n">
        <x:v>7</x:v>
      </x:c>
      <x:c r="L4624" t="str">
        <x:v>STORE-001</x:v>
      </x:c>
      <x:c r="M4624" s="22" t="n">
        <x:v>45940</x:v>
      </x:c>
      <x:c r="N4624" t="str">
        <x:v>SKU-016</x:v>
      </x:c>
      <x:c r="O4624" t="n">
        <x:v>1</x:v>
      </x:c>
      <x:c r="P4624" s="26" t="n">
        <x:f>F4624/O4624</x:f>
        <x:v>1000.65</x:v>
      </x:c>
    </x:row>
    <x:row r="4625">
      <x:c r="A4625" t="n">
        <x:v>4624</x:v>
      </x:c>
      <x:c r="B4625" t="n">
        <x:v>34</x:v>
      </x:c>
      <x:c r="C4625" t="str">
        <x:v>Male</x:v>
      </x:c>
      <x:c r="D4625" t="str">
        <x:v>Electronics</x:v>
      </x:c>
      <x:c r="E4625" t="str">
        <x:v>Mobile Phone</x:v>
      </x:c>
      <x:c r="F4625" s="24" t="n">
        <x:v>654.42</x:v>
      </x:c>
      <x:c r="G4625" t="str">
        <x:v>Summer</x:v>
      </x:c>
      <x:c r="H4625" t="str">
        <x:v>Card</x:v>
      </x:c>
      <x:c r="I4625" t="n">
        <x:v>5</x:v>
      </x:c>
      <x:c r="J4625" t="n">
        <x:v>13</x:v>
      </x:c>
      <x:c r="K4625" t="n">
        <x:v>4</x:v>
      </x:c>
      <x:c r="L4625" t="str">
        <x:v>STORE-001</x:v>
      </x:c>
      <x:c r="M4625" s="22" t="n">
        <x:v>46011</x:v>
      </x:c>
      <x:c r="N4625" t="str">
        <x:v>SKU-016</x:v>
      </x:c>
      <x:c r="O4625" t="n">
        <x:v>1</x:v>
      </x:c>
      <x:c r="P4625" s="26" t="n">
        <x:f>F4625/O4625</x:f>
        <x:v>654.42</x:v>
      </x:c>
    </x:row>
    <x:row r="4626">
      <x:c r="A4626" t="n">
        <x:v>4625</x:v>
      </x:c>
      <x:c r="B4626" t="n">
        <x:v>31</x:v>
      </x:c>
      <x:c r="C4626" t="str">
        <x:v>Male</x:v>
      </x:c>
      <x:c r="D4626" t="str">
        <x:v>Sports</x:v>
      </x:c>
      <x:c r="E4626" t="str">
        <x:v>Dumbbells</x:v>
      </x:c>
      <x:c r="F4626" s="24" t="n">
        <x:v>226.81</x:v>
      </x:c>
      <x:c r="G4626" t="str">
        <x:v>Spring</x:v>
      </x:c>
      <x:c r="H4626" t="str">
        <x:v>Card</x:v>
      </x:c>
      <x:c r="I4626" t="n">
        <x:v>4.5</x:v>
      </x:c>
      <x:c r="J4626" t="n">
        <x:v>4</x:v>
      </x:c>
      <x:c r="K4626" t="n">
        <x:v>2</x:v>
      </x:c>
      <x:c r="L4626" t="str">
        <x:v>STORE-001</x:v>
      </x:c>
      <x:c r="M4626" s="22" t="n">
        <x:v>46288</x:v>
      </x:c>
      <x:c r="N4626" t="str">
        <x:v>SKU-005</x:v>
      </x:c>
      <x:c r="O4626" t="n">
        <x:v>1</x:v>
      </x:c>
      <x:c r="P4626" s="26" t="n">
        <x:f>F4626/O4626</x:f>
        <x:v>226.81</x:v>
      </x:c>
    </x:row>
    <x:row r="4627">
      <x:c r="A4627" t="n">
        <x:v>4626</x:v>
      </x:c>
      <x:c r="B4627" t="n">
        <x:v>32</x:v>
      </x:c>
      <x:c r="C4627" t="str">
        <x:v>Female</x:v>
      </x:c>
      <x:c r="D4627" t="str">
        <x:v>Accessories</x:v>
      </x:c>
      <x:c r="E4627" t="str">
        <x:v>Sunglasses</x:v>
      </x:c>
      <x:c r="F4627" s="24" t="n">
        <x:v>40.26</x:v>
      </x:c>
      <x:c r="G4627" t="str">
        <x:v>Summer</x:v>
      </x:c>
      <x:c r="H4627" t="str">
        <x:v>Card</x:v>
      </x:c>
      <x:c r="I4627" t="n">
        <x:v>5</x:v>
      </x:c>
      <x:c r="J4627" t="n">
        <x:v>18</x:v>
      </x:c>
      <x:c r="K4627" t="n">
        <x:v>4</x:v>
      </x:c>
      <x:c r="L4627" t="str">
        <x:v>STORE-001</x:v>
      </x:c>
      <x:c r="M4627" s="22" t="n">
        <x:v>46034</x:v>
      </x:c>
      <x:c r="N4627" t="str">
        <x:v>SKU-026</x:v>
      </x:c>
      <x:c r="O4627" t="n">
        <x:v>2</x:v>
      </x:c>
      <x:c r="P4627" s="26" t="n">
        <x:f>F4627/O4627</x:f>
        <x:v>20.13</x:v>
      </x:c>
    </x:row>
    <x:row r="4628">
      <x:c r="A4628" t="n">
        <x:v>4627</x:v>
      </x:c>
      <x:c r="B4628" t="n">
        <x:v>55</x:v>
      </x:c>
      <x:c r="C4628" t="str">
        <x:v>Male</x:v>
      </x:c>
      <x:c r="D4628" t="str">
        <x:v>Electronics</x:v>
      </x:c>
      <x:c r="E4628" t="str">
        <x:v>Smart Watch</x:v>
      </x:c>
      <x:c r="F4628" s="24" t="n">
        <x:v>556.03</x:v>
      </x:c>
      <x:c r="G4628" t="str">
        <x:v>Autumn</x:v>
      </x:c>
      <x:c r="H4628" t="str">
        <x:v>Card</x:v>
      </x:c>
      <x:c r="I4628" t="n">
        <x:v>4.1</x:v>
      </x:c>
      <x:c r="J4628" t="n">
        <x:v>12</x:v>
      </x:c>
      <x:c r="K4628" t="n">
        <x:v>6</x:v>
      </x:c>
      <x:c r="L4628" t="str">
        <x:v>STORE-001</x:v>
      </x:c>
      <x:c r="M4628" s="22" t="n">
        <x:v>46141</x:v>
      </x:c>
      <x:c r="N4628" t="str">
        <x:v>SKU-023</x:v>
      </x:c>
      <x:c r="O4628" t="n">
        <x:v>2</x:v>
      </x:c>
      <x:c r="P4628" s="26" t="n">
        <x:f>F4628/O4628</x:f>
        <x:v>278.015</x:v>
      </x:c>
    </x:row>
    <x:row r="4629">
      <x:c r="A4629" t="n">
        <x:v>4628</x:v>
      </x:c>
      <x:c r="B4629" t="n">
        <x:v>35</x:v>
      </x:c>
      <x:c r="C4629" t="str">
        <x:v>Female</x:v>
      </x:c>
      <x:c r="D4629" t="str">
        <x:v>Beauty</x:v>
      </x:c>
      <x:c r="E4629" t="str">
        <x:v>Skincare Kit</x:v>
      </x:c>
      <x:c r="F4629" s="24" t="n">
        <x:v>108.74</x:v>
      </x:c>
      <x:c r="G4629" t="str">
        <x:v>Winter</x:v>
      </x:c>
      <x:c r="H4629" t="str">
        <x:v>Card</x:v>
      </x:c>
      <x:c r="I4629" t="n">
        <x:v>3.8</x:v>
      </x:c>
      <x:c r="J4629" t="n">
        <x:v>4</x:v>
      </x:c>
      <x:c r="K4629" t="n">
        <x:v>2</x:v>
      </x:c>
      <x:c r="L4629" t="str">
        <x:v>STORE-001</x:v>
      </x:c>
      <x:c r="M4629" s="22" t="n">
        <x:v>46200</x:v>
      </x:c>
      <x:c r="N4629" t="str">
        <x:v>SKU-021</x:v>
      </x:c>
      <x:c r="O4629" t="n">
        <x:v>2</x:v>
      </x:c>
      <x:c r="P4629" s="26" t="n">
        <x:f>F4629/O4629</x:f>
        <x:v>54.37</x:v>
      </x:c>
    </x:row>
    <x:row r="4630">
      <x:c r="A4630" t="n">
        <x:v>4629</x:v>
      </x:c>
      <x:c r="B4630" t="n">
        <x:v>27</x:v>
      </x:c>
      <x:c r="C4630" t="str">
        <x:v>Female</x:v>
      </x:c>
      <x:c r="D4630" t="str">
        <x:v>Home</x:v>
      </x:c>
      <x:c r="E4630" t="str">
        <x:v>Curtains</x:v>
      </x:c>
      <x:c r="F4630" s="24" t="n">
        <x:v>176.23</x:v>
      </x:c>
      <x:c r="G4630" t="str">
        <x:v>Autumn</x:v>
      </x:c>
      <x:c r="H4630" t="str">
        <x:v>Card</x:v>
      </x:c>
      <x:c r="I4630" t="n">
        <x:v>4.1</x:v>
      </x:c>
      <x:c r="J4630" t="n">
        <x:v>20</x:v>
      </x:c>
      <x:c r="K4630" t="n">
        <x:v>5</x:v>
      </x:c>
      <x:c r="L4630" t="str">
        <x:v>STORE-001</x:v>
      </x:c>
      <x:c r="M4630" s="22" t="n">
        <x:v>46125</x:v>
      </x:c>
      <x:c r="N4630" t="str">
        <x:v>SKU-003</x:v>
      </x:c>
      <x:c r="O4630" t="n">
        <x:v>1</x:v>
      </x:c>
      <x:c r="P4630" s="26" t="n">
        <x:f>F4630/O4630</x:f>
        <x:v>176.23</x:v>
      </x:c>
    </x:row>
    <x:row r="4631">
      <x:c r="A4631" t="n">
        <x:v>4630</x:v>
      </x:c>
      <x:c r="B4631" t="n">
        <x:v>30</x:v>
      </x:c>
      <x:c r="C4631" t="str">
        <x:v>Female</x:v>
      </x:c>
      <x:c r="D4631" t="str">
        <x:v>Footwear</x:v>
      </x:c>
      <x:c r="E4631" t="str">
        <x:v>Formal Shoes</x:v>
      </x:c>
      <x:c r="F4631" s="24" t="n">
        <x:v>189.68</x:v>
      </x:c>
      <x:c r="G4631" t="str">
        <x:v>Summer</x:v>
      </x:c>
      <x:c r="H4631" t="str">
        <x:v>Card</x:v>
      </x:c>
      <x:c r="I4631" t="n">
        <x:v>4</x:v>
      </x:c>
      <x:c r="J4631" t="n">
        <x:v>13</x:v>
      </x:c>
      <x:c r="K4631" t="n">
        <x:v>4</x:v>
      </x:c>
      <x:c r="L4631" t="str">
        <x:v>STORE-001</x:v>
      </x:c>
      <x:c r="M4631" s="22" t="n">
        <x:v>46036</x:v>
      </x:c>
      <x:c r="N4631" t="str">
        <x:v>SKU-007</x:v>
      </x:c>
      <x:c r="O4631" t="n">
        <x:v>2</x:v>
      </x:c>
      <x:c r="P4631" s="26" t="n">
        <x:f>F4631/O4631</x:f>
        <x:v>94.84</x:v>
      </x:c>
    </x:row>
    <x:row r="4632">
      <x:c r="A4632" t="n">
        <x:v>4631</x:v>
      </x:c>
      <x:c r="B4632" t="n">
        <x:v>34</x:v>
      </x:c>
      <x:c r="C4632" t="str">
        <x:v>Female</x:v>
      </x:c>
      <x:c r="D4632" t="str">
        <x:v>Sports</x:v>
      </x:c>
      <x:c r="E4632" t="str">
        <x:v>Yoga Mat</x:v>
      </x:c>
      <x:c r="F4632" s="24" t="n">
        <x:v>196.56</x:v>
      </x:c>
      <x:c r="G4632" t="str">
        <x:v>Summer</x:v>
      </x:c>
      <x:c r="H4632" t="str">
        <x:v>Card</x:v>
      </x:c>
      <x:c r="I4632" t="n">
        <x:v>3.8</x:v>
      </x:c>
      <x:c r="J4632" t="n">
        <x:v>14</x:v>
      </x:c>
      <x:c r="K4632" t="n">
        <x:v>7</x:v>
      </x:c>
      <x:c r="L4632" t="str">
        <x:v>STORE-001</x:v>
      </x:c>
      <x:c r="M4632" s="22" t="n">
        <x:v>46059</x:v>
      </x:c>
      <x:c r="N4632" t="str">
        <x:v>SKU-030</x:v>
      </x:c>
      <x:c r="O4632" t="n">
        <x:v>1</x:v>
      </x:c>
      <x:c r="P4632" s="26" t="n">
        <x:f>F4632/O4632</x:f>
        <x:v>196.56</x:v>
      </x:c>
    </x:row>
    <x:row r="4633">
      <x:c r="A4633" t="n">
        <x:v>4632</x:v>
      </x:c>
      <x:c r="B4633" t="n">
        <x:v>52</x:v>
      </x:c>
      <x:c r="C4633" t="str">
        <x:v>Male</x:v>
      </x:c>
      <x:c r="D4633" t="str">
        <x:v>Sports</x:v>
      </x:c>
      <x:c r="E4633" t="str">
        <x:v>Football</x:v>
      </x:c>
      <x:c r="F4633" s="24" t="n">
        <x:v>42.78</x:v>
      </x:c>
      <x:c r="G4633" t="str">
        <x:v>Winter</x:v>
      </x:c>
      <x:c r="H4633" t="str">
        <x:v>Cash on Delivery</x:v>
      </x:c>
      <x:c r="I4633" t="n">
        <x:v>2.5</x:v>
      </x:c>
      <x:c r="J4633" t="n">
        <x:v>10</x:v>
      </x:c>
      <x:c r="K4633" t="n">
        <x:v>5</x:v>
      </x:c>
      <x:c r="L4633" t="str">
        <x:v>STORE-001</x:v>
      </x:c>
      <x:c r="M4633" s="22" t="n">
        <x:v>46192</x:v>
      </x:c>
      <x:c r="N4633" t="str">
        <x:v>SKU-006</x:v>
      </x:c>
      <x:c r="O4633" t="n">
        <x:v>2</x:v>
      </x:c>
      <x:c r="P4633" s="26" t="n">
        <x:f>F4633/O4633</x:f>
        <x:v>21.39</x:v>
      </x:c>
    </x:row>
    <x:row r="4634">
      <x:c r="A4634" t="n">
        <x:v>4633</x:v>
      </x:c>
      <x:c r="B4634" t="n">
        <x:v>70</x:v>
      </x:c>
      <x:c r="C4634" t="str">
        <x:v>Male</x:v>
      </x:c>
      <x:c r="D4634" t="str">
        <x:v>Mens Clothing</x:v>
      </x:c>
      <x:c r="E4634" t="str">
        <x:v>Jeans</x:v>
      </x:c>
      <x:c r="F4634" s="24" t="n">
        <x:v>79.5</x:v>
      </x:c>
      <x:c r="G4634" t="str">
        <x:v>Autumn</x:v>
      </x:c>
      <x:c r="H4634" t="str">
        <x:v>Card</x:v>
      </x:c>
      <x:c r="I4634" t="n">
        <x:v>4.4</x:v>
      </x:c>
      <x:c r="J4634" t="n">
        <x:v>13</x:v>
      </x:c>
      <x:c r="K4634" t="n">
        <x:v>4</x:v>
      </x:c>
      <x:c r="L4634" t="str">
        <x:v>STORE-001</x:v>
      </x:c>
      <x:c r="M4634" s="22" t="n">
        <x:v>46149</x:v>
      </x:c>
      <x:c r="N4634" t="str">
        <x:v>SKU-011</x:v>
      </x:c>
      <x:c r="O4634" t="n">
        <x:v>1</x:v>
      </x:c>
      <x:c r="P4634" s="26" t="n">
        <x:f>F4634/O4634</x:f>
        <x:v>79.5</x:v>
      </x:c>
    </x:row>
    <x:row r="4635">
      <x:c r="A4635" t="n">
        <x:v>4634</x:v>
      </x:c>
      <x:c r="B4635" t="n">
        <x:v>42</x:v>
      </x:c>
      <x:c r="C4635" t="str">
        <x:v>Female</x:v>
      </x:c>
      <x:c r="D4635" t="str">
        <x:v>Footwear</x:v>
      </x:c>
      <x:c r="E4635" t="str">
        <x:v>Sneakers</x:v>
      </x:c>
      <x:c r="F4635" s="24" t="n">
        <x:v>145.34</x:v>
      </x:c>
      <x:c r="G4635" t="str">
        <x:v>Summer</x:v>
      </x:c>
      <x:c r="H4635" t="str">
        <x:v>Card</x:v>
      </x:c>
      <x:c r="I4635" t="n">
        <x:v>4.1</x:v>
      </x:c>
      <x:c r="J4635" t="n">
        <x:v>6</x:v>
      </x:c>
      <x:c r="K4635" t="n">
        <x:v>3</x:v>
      </x:c>
      <x:c r="L4635" t="str">
        <x:v>STORE-001</x:v>
      </x:c>
      <x:c r="M4635" s="22" t="n">
        <x:v>46076</x:v>
      </x:c>
      <x:c r="N4635" t="str">
        <x:v>SKU-025</x:v>
      </x:c>
      <x:c r="O4635" t="n">
        <x:v>1</x:v>
      </x:c>
      <x:c r="P4635" s="26" t="n">
        <x:f>F4635/O4635</x:f>
        <x:v>145.34</x:v>
      </x:c>
    </x:row>
    <x:row r="4636">
      <x:c r="A4636" t="n">
        <x:v>4635</x:v>
      </x:c>
      <x:c r="B4636" t="n">
        <x:v>29</x:v>
      </x:c>
      <x:c r="C4636" t="str">
        <x:v>Male</x:v>
      </x:c>
      <x:c r="D4636" t="str">
        <x:v>Electronics</x:v>
      </x:c>
      <x:c r="E4636" t="str">
        <x:v>Laptop</x:v>
      </x:c>
      <x:c r="F4636" s="24" t="n">
        <x:v>1135.48</x:v>
      </x:c>
      <x:c r="G4636" t="str">
        <x:v>Autumn</x:v>
      </x:c>
      <x:c r="H4636" t="str">
        <x:v>Card</x:v>
      </x:c>
      <x:c r="I4636" t="n">
        <x:v>4.2</x:v>
      </x:c>
      <x:c r="J4636" t="n">
        <x:v>8</x:v>
      </x:c>
      <x:c r="K4636" t="n">
        <x:v>4</x:v>
      </x:c>
      <x:c r="L4636" t="str">
        <x:v>STORE-001</x:v>
      </x:c>
      <x:c r="M4636" s="22" t="n">
        <x:v>46082</x:v>
      </x:c>
      <x:c r="N4636" t="str">
        <x:v>SKU-014</x:v>
      </x:c>
      <x:c r="O4636" t="n">
        <x:v>2</x:v>
      </x:c>
      <x:c r="P4636" s="26" t="n">
        <x:f>F4636/O4636</x:f>
        <x:v>567.74</x:v>
      </x:c>
    </x:row>
    <x:row r="4637">
      <x:c r="A4637" t="n">
        <x:v>4636</x:v>
      </x:c>
      <x:c r="B4637" t="n">
        <x:v>33</x:v>
      </x:c>
      <x:c r="C4637" t="str">
        <x:v>Female</x:v>
      </x:c>
      <x:c r="D4637" t="str">
        <x:v>Footwear</x:v>
      </x:c>
      <x:c r="E4637" t="str">
        <x:v>Sandals</x:v>
      </x:c>
      <x:c r="F4637" s="24" t="n">
        <x:v>156.04</x:v>
      </x:c>
      <x:c r="G4637" t="str">
        <x:v>Summer</x:v>
      </x:c>
      <x:c r="H4637" t="str">
        <x:v>Card</x:v>
      </x:c>
      <x:c r="I4637" t="n">
        <x:v>4.4</x:v>
      </x:c>
      <x:c r="J4637" t="n">
        <x:v>20</x:v>
      </x:c>
      <x:c r="K4637" t="n">
        <x:v>5</x:v>
      </x:c>
      <x:c r="L4637" t="str">
        <x:v>STORE-001</x:v>
      </x:c>
      <x:c r="M4637" s="22" t="n">
        <x:v>46030</x:v>
      </x:c>
      <x:c r="N4637" t="str">
        <x:v>SKU-019</x:v>
      </x:c>
      <x:c r="O4637" t="n">
        <x:v>2</x:v>
      </x:c>
      <x:c r="P4637" s="26" t="n">
        <x:f>F4637/O4637</x:f>
        <x:v>78.02</x:v>
      </x:c>
    </x:row>
    <x:row r="4638">
      <x:c r="A4638" t="n">
        <x:v>4637</x:v>
      </x:c>
      <x:c r="B4638" t="n">
        <x:v>68</x:v>
      </x:c>
      <x:c r="C4638" t="str">
        <x:v>Female</x:v>
      </x:c>
      <x:c r="D4638" t="str">
        <x:v>Beauty</x:v>
      </x:c>
      <x:c r="E4638" t="str">
        <x:v>Skincare Kit</x:v>
      </x:c>
      <x:c r="F4638" s="24" t="n">
        <x:v>91.12</x:v>
      </x:c>
      <x:c r="G4638" t="str">
        <x:v>Autumn</x:v>
      </x:c>
      <x:c r="H4638" t="str">
        <x:v>Card</x:v>
      </x:c>
      <x:c r="I4638" t="n">
        <x:v>3.7</x:v>
      </x:c>
      <x:c r="J4638" t="n">
        <x:v>20</x:v>
      </x:c>
      <x:c r="K4638" t="n">
        <x:v>5</x:v>
      </x:c>
      <x:c r="L4638" t="str">
        <x:v>STORE-001</x:v>
      </x:c>
      <x:c r="M4638" s="22" t="n">
        <x:v>46154</x:v>
      </x:c>
      <x:c r="N4638" t="str">
        <x:v>SKU-021</x:v>
      </x:c>
      <x:c r="O4638" t="n">
        <x:v>3</x:v>
      </x:c>
      <x:c r="P4638" s="26" t="n">
        <x:f>F4638/O4638</x:f>
        <x:v>30.373333333333335</x:v>
      </x:c>
    </x:row>
    <x:row r="4639">
      <x:c r="A4639" t="n">
        <x:v>4638</x:v>
      </x:c>
      <x:c r="B4639" t="n">
        <x:v>47</x:v>
      </x:c>
      <x:c r="C4639" t="str">
        <x:v>Female</x:v>
      </x:c>
      <x:c r="D4639" t="str">
        <x:v>Beauty</x:v>
      </x:c>
      <x:c r="E4639" t="str">
        <x:v>Makeup Set</x:v>
      </x:c>
      <x:c r="F4639" s="24" t="n">
        <x:v>125.68</x:v>
      </x:c>
      <x:c r="G4639" t="str">
        <x:v>Summer</x:v>
      </x:c>
      <x:c r="H4639" t="str">
        <x:v>Card</x:v>
      </x:c>
      <x:c r="I4639" t="n">
        <x:v>4.9</x:v>
      </x:c>
      <x:c r="J4639" t="n">
        <x:v>18</x:v>
      </x:c>
      <x:c r="K4639" t="n">
        <x:v>4</x:v>
      </x:c>
      <x:c r="L4639" t="str">
        <x:v>STORE-001</x:v>
      </x:c>
      <x:c r="M4639" s="22" t="n">
        <x:v>46059</x:v>
      </x:c>
      <x:c r="N4639" t="str">
        <x:v>SKU-015</x:v>
      </x:c>
      <x:c r="O4639" t="n">
        <x:v>2</x:v>
      </x:c>
      <x:c r="P4639" s="26" t="n">
        <x:f>F4639/O4639</x:f>
        <x:v>62.84</x:v>
      </x:c>
    </x:row>
    <x:row r="4640">
      <x:c r="A4640" t="n">
        <x:v>4639</x:v>
      </x:c>
      <x:c r="B4640" t="n">
        <x:v>59</x:v>
      </x:c>
      <x:c r="C4640" t="str">
        <x:v>Male</x:v>
      </x:c>
      <x:c r="D4640" t="str">
        <x:v>Footwear</x:v>
      </x:c>
      <x:c r="E4640" t="str">
        <x:v>Sneakers</x:v>
      </x:c>
      <x:c r="F4640" s="24" t="n">
        <x:v>118.38</x:v>
      </x:c>
      <x:c r="G4640" t="str">
        <x:v>Autumn</x:v>
      </x:c>
      <x:c r="H4640" t="str">
        <x:v>Card</x:v>
      </x:c>
      <x:c r="I4640" t="n">
        <x:v>4.3</x:v>
      </x:c>
      <x:c r="J4640" t="n">
        <x:v>17</x:v>
      </x:c>
      <x:c r="K4640" t="n">
        <x:v>6</x:v>
      </x:c>
      <x:c r="L4640" t="str">
        <x:v>STORE-001</x:v>
      </x:c>
      <x:c r="M4640" s="22" t="n">
        <x:v>46091</x:v>
      </x:c>
      <x:c r="N4640" t="str">
        <x:v>SKU-025</x:v>
      </x:c>
      <x:c r="O4640" t="n">
        <x:v>1</x:v>
      </x:c>
      <x:c r="P4640" s="26" t="n">
        <x:f>F4640/O4640</x:f>
        <x:v>118.38</x:v>
      </x:c>
    </x:row>
    <x:row r="4641">
      <x:c r="A4641" t="n">
        <x:v>4640</x:v>
      </x:c>
      <x:c r="B4641" t="n">
        <x:v>41</x:v>
      </x:c>
      <x:c r="C4641" t="str">
        <x:v>Male</x:v>
      </x:c>
      <x:c r="D4641" t="str">
        <x:v>Electronics</x:v>
      </x:c>
      <x:c r="E4641" t="str">
        <x:v>Smart Watch</x:v>
      </x:c>
      <x:c r="F4641" s="24" t="n">
        <x:v>2452.55</x:v>
      </x:c>
      <x:c r="G4641" t="str">
        <x:v>Winter</x:v>
      </x:c>
      <x:c r="H4641" t="str">
        <x:v>Card</x:v>
      </x:c>
      <x:c r="I4641" t="n">
        <x:v>4.4</x:v>
      </x:c>
      <x:c r="J4641" t="n">
        <x:v>18</x:v>
      </x:c>
      <x:c r="K4641" t="n">
        <x:v>4</x:v>
      </x:c>
      <x:c r="L4641" t="str">
        <x:v>STORE-001</x:v>
      </x:c>
      <x:c r="M4641" s="22" t="n">
        <x:v>46205</x:v>
      </x:c>
      <x:c r="N4641" t="str">
        <x:v>SKU-023</x:v>
      </x:c>
      <x:c r="O4641" t="n">
        <x:v>1</x:v>
      </x:c>
      <x:c r="P4641" s="26" t="n">
        <x:f>F4641/O4641</x:f>
        <x:v>2452.55</x:v>
      </x:c>
    </x:row>
    <x:row r="4642">
      <x:c r="A4642" t="n">
        <x:v>4641</x:v>
      </x:c>
      <x:c r="B4642" t="n">
        <x:v>60</x:v>
      </x:c>
      <x:c r="C4642" t="str">
        <x:v>Female</x:v>
      </x:c>
      <x:c r="D4642" t="str">
        <x:v>Footwear</x:v>
      </x:c>
      <x:c r="E4642" t="str">
        <x:v>Sandals</x:v>
      </x:c>
      <x:c r="F4642" s="24" t="n">
        <x:v>126.78</x:v>
      </x:c>
      <x:c r="G4642" t="str">
        <x:v>Summer</x:v>
      </x:c>
      <x:c r="H4642" t="str">
        <x:v>Card</x:v>
      </x:c>
      <x:c r="I4642" t="n">
        <x:v>3.2</x:v>
      </x:c>
      <x:c r="J4642" t="n">
        <x:v>13</x:v>
      </x:c>
      <x:c r="K4642" t="n">
        <x:v>4</x:v>
      </x:c>
      <x:c r="L4642" t="str">
        <x:v>STORE-001</x:v>
      </x:c>
      <x:c r="M4642" s="22" t="n">
        <x:v>46066</x:v>
      </x:c>
      <x:c r="N4642" t="str">
        <x:v>SKU-019</x:v>
      </x:c>
      <x:c r="O4642" t="n">
        <x:v>2</x:v>
      </x:c>
      <x:c r="P4642" s="26" t="n">
        <x:f>F4642/O4642</x:f>
        <x:v>63.39</x:v>
      </x:c>
    </x:row>
    <x:row r="4643">
      <x:c r="A4643" t="n">
        <x:v>4642</x:v>
      </x:c>
      <x:c r="B4643" t="n">
        <x:v>20</x:v>
      </x:c>
      <x:c r="C4643" t="str">
        <x:v>Male</x:v>
      </x:c>
      <x:c r="D4643" t="str">
        <x:v>Sports</x:v>
      </x:c>
      <x:c r="E4643" t="str">
        <x:v>Dumbbells</x:v>
      </x:c>
      <x:c r="F4643" s="24" t="n">
        <x:v>167.57</x:v>
      </x:c>
      <x:c r="G4643" t="str">
        <x:v>Summer</x:v>
      </x:c>
      <x:c r="H4643" t="str">
        <x:v>Card</x:v>
      </x:c>
      <x:c r="I4643" t="n">
        <x:v>2.7</x:v>
      </x:c>
      <x:c r="J4643" t="n">
        <x:v>13</x:v>
      </x:c>
      <x:c r="K4643" t="n">
        <x:v>4</x:v>
      </x:c>
      <x:c r="L4643" t="str">
        <x:v>STORE-001</x:v>
      </x:c>
      <x:c r="M4643" s="22" t="n">
        <x:v>46079</x:v>
      </x:c>
      <x:c r="N4643" t="str">
        <x:v>SKU-005</x:v>
      </x:c>
      <x:c r="O4643" t="n">
        <x:v>1</x:v>
      </x:c>
      <x:c r="P4643" s="26" t="n">
        <x:f>F4643/O4643</x:f>
        <x:v>167.57</x:v>
      </x:c>
    </x:row>
    <x:row r="4644">
      <x:c r="A4644" t="n">
        <x:v>4643</x:v>
      </x:c>
      <x:c r="B4644" t="n">
        <x:v>29</x:v>
      </x:c>
      <x:c r="C4644" t="str">
        <x:v>Male</x:v>
      </x:c>
      <x:c r="D4644" t="str">
        <x:v>Mens Clothing</x:v>
      </x:c>
      <x:c r="E4644" t="str">
        <x:v>Shirt</x:v>
      </x:c>
      <x:c r="F4644" s="24" t="n">
        <x:v>89.05</x:v>
      </x:c>
      <x:c r="G4644" t="str">
        <x:v>Spring</x:v>
      </x:c>
      <x:c r="H4644" t="str">
        <x:v>Cash on Delivery</x:v>
      </x:c>
      <x:c r="I4644" t="n">
        <x:v>3.8</x:v>
      </x:c>
      <x:c r="J4644" t="n">
        <x:v>15</x:v>
      </x:c>
      <x:c r="K4644" t="n">
        <x:v>5</x:v>
      </x:c>
      <x:c r="L4644" t="str">
        <x:v>STORE-001</x:v>
      </x:c>
      <x:c r="M4644" s="22" t="n">
        <x:v>46292</x:v>
      </x:c>
      <x:c r="N4644" t="str">
        <x:v>SKU-020</x:v>
      </x:c>
      <x:c r="O4644" t="n">
        <x:v>1</x:v>
      </x:c>
      <x:c r="P4644" s="26" t="n">
        <x:f>F4644/O4644</x:f>
        <x:v>89.05</x:v>
      </x:c>
    </x:row>
    <x:row r="4645">
      <x:c r="A4645" t="n">
        <x:v>4644</x:v>
      </x:c>
      <x:c r="B4645" t="n">
        <x:v>41</x:v>
      </x:c>
      <x:c r="C4645" t="str">
        <x:v>Female</x:v>
      </x:c>
      <x:c r="D4645" t="str">
        <x:v>Footwear</x:v>
      </x:c>
      <x:c r="E4645" t="str">
        <x:v>Formal Shoes</x:v>
      </x:c>
      <x:c r="F4645" s="24" t="n">
        <x:v>83.85</x:v>
      </x:c>
      <x:c r="G4645" t="str">
        <x:v>Autumn</x:v>
      </x:c>
      <x:c r="H4645" t="str">
        <x:v>Cash on Delivery</x:v>
      </x:c>
      <x:c r="I4645" t="n">
        <x:v>4.4</x:v>
      </x:c>
      <x:c r="J4645" t="n">
        <x:v>24</x:v>
      </x:c>
      <x:c r="K4645" t="n">
        <x:v>7</x:v>
      </x:c>
      <x:c r="L4645" t="str">
        <x:v>STORE-001</x:v>
      </x:c>
      <x:c r="M4645" s="22" t="n">
        <x:v>46125</x:v>
      </x:c>
      <x:c r="N4645" t="str">
        <x:v>SKU-007</x:v>
      </x:c>
      <x:c r="O4645" t="n">
        <x:v>1</x:v>
      </x:c>
      <x:c r="P4645" s="26" t="n">
        <x:f>F4645/O4645</x:f>
        <x:v>83.85</x:v>
      </x:c>
    </x:row>
    <x:row r="4646">
      <x:c r="A4646" t="n">
        <x:v>4645</x:v>
      </x:c>
      <x:c r="B4646" t="n">
        <x:v>22</x:v>
      </x:c>
      <x:c r="C4646" t="str">
        <x:v>Female</x:v>
      </x:c>
      <x:c r="D4646" t="str">
        <x:v>Womens Clothing</x:v>
      </x:c>
      <x:c r="E4646" t="str">
        <x:v>Skirt</x:v>
      </x:c>
      <x:c r="F4646" s="24" t="n">
        <x:v>73.43</x:v>
      </x:c>
      <x:c r="G4646" t="str">
        <x:v>Autumn</x:v>
      </x:c>
      <x:c r="H4646" t="str">
        <x:v>Card</x:v>
      </x:c>
      <x:c r="I4646" t="n">
        <x:v>3.9</x:v>
      </x:c>
      <x:c r="J4646" t="n">
        <x:v>18</x:v>
      </x:c>
      <x:c r="K4646" t="n">
        <x:v>4</x:v>
      </x:c>
      <x:c r="L4646" t="str">
        <x:v>STORE-001</x:v>
      </x:c>
      <x:c r="M4646" s="22" t="n">
        <x:v>46116</x:v>
      </x:c>
      <x:c r="N4646" t="str">
        <x:v>SKU-022</x:v>
      </x:c>
      <x:c r="O4646" t="n">
        <x:v>1</x:v>
      </x:c>
      <x:c r="P4646" s="26" t="n">
        <x:f>F4646/O4646</x:f>
        <x:v>73.43</x:v>
      </x:c>
    </x:row>
    <x:row r="4647">
      <x:c r="A4647" t="n">
        <x:v>4646</x:v>
      </x:c>
      <x:c r="B4647" t="n">
        <x:v>50</x:v>
      </x:c>
      <x:c r="C4647" t="str">
        <x:v>Female</x:v>
      </x:c>
      <x:c r="D4647" t="str">
        <x:v>Home</x:v>
      </x:c>
      <x:c r="E4647" t="str">
        <x:v>Curtains</x:v>
      </x:c>
      <x:c r="F4647" s="24" t="n">
        <x:v>99.03</x:v>
      </x:c>
      <x:c r="G4647" t="str">
        <x:v>Winter</x:v>
      </x:c>
      <x:c r="H4647" t="str">
        <x:v>Card</x:v>
      </x:c>
      <x:c r="I4647" t="n">
        <x:v>4.6</x:v>
      </x:c>
      <x:c r="J4647" t="n">
        <x:v>17</x:v>
      </x:c>
      <x:c r="K4647" t="n">
        <x:v>6</x:v>
      </x:c>
      <x:c r="L4647" t="str">
        <x:v>STORE-001</x:v>
      </x:c>
      <x:c r="M4647" s="22" t="n">
        <x:v>46210</x:v>
      </x:c>
      <x:c r="N4647" t="str">
        <x:v>SKU-003</x:v>
      </x:c>
      <x:c r="O4647" t="n">
        <x:v>1</x:v>
      </x:c>
      <x:c r="P4647" s="26" t="n">
        <x:f>F4647/O4647</x:f>
        <x:v>99.03</x:v>
      </x:c>
    </x:row>
    <x:row r="4648">
      <x:c r="A4648" t="n">
        <x:v>4647</x:v>
      </x:c>
      <x:c r="B4648" t="n">
        <x:v>51</x:v>
      </x:c>
      <x:c r="C4648" t="str">
        <x:v>Male</x:v>
      </x:c>
      <x:c r="D4648" t="str">
        <x:v>Electronics</x:v>
      </x:c>
      <x:c r="E4648" t="str">
        <x:v>Laptop</x:v>
      </x:c>
      <x:c r="F4648" s="24" t="n">
        <x:v>912.84</x:v>
      </x:c>
      <x:c r="G4648" t="str">
        <x:v>Summer</x:v>
      </x:c>
      <x:c r="H4648" t="str">
        <x:v>Card</x:v>
      </x:c>
      <x:c r="I4648" t="n">
        <x:v>4.4</x:v>
      </x:c>
      <x:c r="J4648" t="n">
        <x:v>18</x:v>
      </x:c>
      <x:c r="K4648" t="n">
        <x:v>9</x:v>
      </x:c>
      <x:c r="L4648" t="str">
        <x:v>STORE-001</x:v>
      </x:c>
      <x:c r="M4648" s="22" t="n">
        <x:v>46070</x:v>
      </x:c>
      <x:c r="N4648" t="str">
        <x:v>SKU-014</x:v>
      </x:c>
      <x:c r="O4648" t="n">
        <x:v>1</x:v>
      </x:c>
      <x:c r="P4648" s="26" t="n">
        <x:f>F4648/O4648</x:f>
        <x:v>912.84</x:v>
      </x:c>
    </x:row>
    <x:row r="4649">
      <x:c r="A4649" t="n">
        <x:v>4648</x:v>
      </x:c>
      <x:c r="B4649" t="n">
        <x:v>30</x:v>
      </x:c>
      <x:c r="C4649" t="str">
        <x:v>Male</x:v>
      </x:c>
      <x:c r="D4649" t="str">
        <x:v>Footwear</x:v>
      </x:c>
      <x:c r="E4649" t="str">
        <x:v>Sandals</x:v>
      </x:c>
      <x:c r="F4649" s="24" t="n">
        <x:v>115.58</x:v>
      </x:c>
      <x:c r="G4649" t="str">
        <x:v>Spring</x:v>
      </x:c>
      <x:c r="H4649" t="str">
        <x:v>Card</x:v>
      </x:c>
      <x:c r="I4649" t="n">
        <x:v>4.3</x:v>
      </x:c>
      <x:c r="J4649" t="n">
        <x:v>15</x:v>
      </x:c>
      <x:c r="K4649" t="n">
        <x:v>5</x:v>
      </x:c>
      <x:c r="L4649" t="str">
        <x:v>STORE-001</x:v>
      </x:c>
      <x:c r="M4649" s="22" t="n">
        <x:v>46293</x:v>
      </x:c>
      <x:c r="N4649" t="str">
        <x:v>SKU-019</x:v>
      </x:c>
      <x:c r="O4649" t="n">
        <x:v>2</x:v>
      </x:c>
      <x:c r="P4649" s="26" t="n">
        <x:f>F4649/O4649</x:f>
        <x:v>57.79</x:v>
      </x:c>
    </x:row>
    <x:row r="4650">
      <x:c r="A4650" t="n">
        <x:v>4649</x:v>
      </x:c>
      <x:c r="B4650" t="n">
        <x:v>47</x:v>
      </x:c>
      <x:c r="C4650" t="str">
        <x:v>Male</x:v>
      </x:c>
      <x:c r="D4650" t="str">
        <x:v>Mens Clothing</x:v>
      </x:c>
      <x:c r="E4650" t="str">
        <x:v>T-Shirt</x:v>
      </x:c>
      <x:c r="F4650" s="24" t="n">
        <x:v>93.05</x:v>
      </x:c>
      <x:c r="G4650" t="str">
        <x:v>Winter</x:v>
      </x:c>
      <x:c r="H4650" t="str">
        <x:v>Cash on Delivery</x:v>
      </x:c>
      <x:c r="I4650" t="n">
        <x:v>3.6</x:v>
      </x:c>
      <x:c r="J4650" t="n">
        <x:v>15</x:v>
      </x:c>
      <x:c r="K4650" t="n">
        <x:v>5</x:v>
      </x:c>
      <x:c r="L4650" t="str">
        <x:v>STORE-001</x:v>
      </x:c>
      <x:c r="M4650" s="22" t="n">
        <x:v>46259</x:v>
      </x:c>
      <x:c r="N4650" t="str">
        <x:v>SKU-027</x:v>
      </x:c>
      <x:c r="O4650" t="n">
        <x:v>1</x:v>
      </x:c>
      <x:c r="P4650" s="26" t="n">
        <x:f>F4650/O4650</x:f>
        <x:v>93.05</x:v>
      </x:c>
    </x:row>
    <x:row r="4651">
      <x:c r="A4651" t="n">
        <x:v>4650</x:v>
      </x:c>
      <x:c r="B4651" t="n">
        <x:v>67</x:v>
      </x:c>
      <x:c r="C4651" t="str">
        <x:v>Female</x:v>
      </x:c>
      <x:c r="D4651" t="str">
        <x:v>Womens Clothing</x:v>
      </x:c>
      <x:c r="E4651" t="str">
        <x:v>Skirt</x:v>
      </x:c>
      <x:c r="F4651" s="24" t="n">
        <x:v>35.62</x:v>
      </x:c>
      <x:c r="G4651" t="str">
        <x:v>Spring</x:v>
      </x:c>
      <x:c r="H4651" t="str">
        <x:v>Cash on Delivery</x:v>
      </x:c>
      <x:c r="I4651" t="n">
        <x:v>3.4</x:v>
      </x:c>
      <x:c r="J4651" t="n">
        <x:v>13</x:v>
      </x:c>
      <x:c r="K4651" t="n">
        <x:v>4</x:v>
      </x:c>
      <x:c r="L4651" t="str">
        <x:v>STORE-001</x:v>
      </x:c>
      <x:c r="M4651" s="22" t="n">
        <x:v>46282</x:v>
      </x:c>
      <x:c r="N4651" t="str">
        <x:v>SKU-022</x:v>
      </x:c>
      <x:c r="O4651" t="n">
        <x:v>2</x:v>
      </x:c>
      <x:c r="P4651" s="26" t="n">
        <x:f>F4651/O4651</x:f>
        <x:v>17.81</x:v>
      </x:c>
    </x:row>
    <x:row r="4652">
      <x:c r="A4652" t="n">
        <x:v>4651</x:v>
      </x:c>
      <x:c r="B4652" t="n">
        <x:v>64</x:v>
      </x:c>
      <x:c r="C4652" t="str">
        <x:v>Female</x:v>
      </x:c>
      <x:c r="D4652" t="str">
        <x:v>Accessories</x:v>
      </x:c>
      <x:c r="E4652" t="str">
        <x:v>Sunglasses</x:v>
      </x:c>
      <x:c r="F4652" s="24" t="n">
        <x:v>132.69</x:v>
      </x:c>
      <x:c r="G4652" t="str">
        <x:v>Summer</x:v>
      </x:c>
      <x:c r="H4652" t="str">
        <x:v>Card</x:v>
      </x:c>
      <x:c r="I4652" t="n">
        <x:v>3.3</x:v>
      </x:c>
      <x:c r="J4652" t="n">
        <x:v>19</x:v>
      </x:c>
      <x:c r="K4652" t="n">
        <x:v>7</x:v>
      </x:c>
      <x:c r="L4652" t="str">
        <x:v>STORE-001</x:v>
      </x:c>
      <x:c r="M4652" s="22" t="n">
        <x:v>46075</x:v>
      </x:c>
      <x:c r="N4652" t="str">
        <x:v>SKU-026</x:v>
      </x:c>
      <x:c r="O4652" t="n">
        <x:v>3</x:v>
      </x:c>
      <x:c r="P4652" s="26" t="n">
        <x:f>F4652/O4652</x:f>
        <x:v>44.23</x:v>
      </x:c>
    </x:row>
    <x:row r="4653">
      <x:c r="A4653" t="n">
        <x:v>4652</x:v>
      </x:c>
      <x:c r="B4653" t="n">
        <x:v>25</x:v>
      </x:c>
      <x:c r="C4653" t="str">
        <x:v>Male</x:v>
      </x:c>
      <x:c r="D4653" t="str">
        <x:v>Mens Clothing</x:v>
      </x:c>
      <x:c r="E4653" t="str">
        <x:v>T-Shirt</x:v>
      </x:c>
      <x:c r="F4653" s="24" t="n">
        <x:v>170.07</x:v>
      </x:c>
      <x:c r="G4653" t="str">
        <x:v>Spring</x:v>
      </x:c>
      <x:c r="H4653" t="str">
        <x:v>Card</x:v>
      </x:c>
      <x:c r="I4653" t="n">
        <x:v>3.6</x:v>
      </x:c>
      <x:c r="J4653" t="n">
        <x:v>9</x:v>
      </x:c>
      <x:c r="K4653" t="n">
        <x:v>2</x:v>
      </x:c>
      <x:c r="L4653" t="str">
        <x:v>STORE-001</x:v>
      </x:c>
      <x:c r="M4653" s="22" t="n">
        <x:v>45955</x:v>
      </x:c>
      <x:c r="N4653" t="str">
        <x:v>SKU-027</x:v>
      </x:c>
      <x:c r="O4653" t="n">
        <x:v>1</x:v>
      </x:c>
      <x:c r="P4653" s="26" t="n">
        <x:f>F4653/O4653</x:f>
        <x:v>170.07</x:v>
      </x:c>
    </x:row>
    <x:row r="4654">
      <x:c r="A4654" t="n">
        <x:v>4653</x:v>
      </x:c>
      <x:c r="B4654" t="n">
        <x:v>48</x:v>
      </x:c>
      <x:c r="C4654" t="str">
        <x:v>Female</x:v>
      </x:c>
      <x:c r="D4654" t="str">
        <x:v>Accessories</x:v>
      </x:c>
      <x:c r="E4654" t="str">
        <x:v>Wallet</x:v>
      </x:c>
      <x:c r="F4654" s="24" t="n">
        <x:v>86.33</x:v>
      </x:c>
      <x:c r="G4654" t="str">
        <x:v>Summer</x:v>
      </x:c>
      <x:c r="H4654" t="str">
        <x:v>Card</x:v>
      </x:c>
      <x:c r="I4654" t="n">
        <x:v>3.4</x:v>
      </x:c>
      <x:c r="J4654" t="n">
        <x:v>6</x:v>
      </x:c>
      <x:c r="K4654" t="n">
        <x:v>3</x:v>
      </x:c>
      <x:c r="L4654" t="str">
        <x:v>STORE-001</x:v>
      </x:c>
      <x:c r="M4654" s="22" t="n">
        <x:v>46013</x:v>
      </x:c>
      <x:c r="N4654" t="str">
        <x:v>SKU-029</x:v>
      </x:c>
      <x:c r="O4654" t="n">
        <x:v>1</x:v>
      </x:c>
      <x:c r="P4654" s="26" t="n">
        <x:f>F4654/O4654</x:f>
        <x:v>86.33</x:v>
      </x:c>
    </x:row>
    <x:row r="4655">
      <x:c r="A4655" t="n">
        <x:v>4654</x:v>
      </x:c>
      <x:c r="B4655" t="n">
        <x:v>47</x:v>
      </x:c>
      <x:c r="C4655" t="str">
        <x:v>Male</x:v>
      </x:c>
      <x:c r="D4655" t="str">
        <x:v>Electronics</x:v>
      </x:c>
      <x:c r="E4655" t="str">
        <x:v>Headphones</x:v>
      </x:c>
      <x:c r="F4655" s="24" t="n">
        <x:v>2683.15</x:v>
      </x:c>
      <x:c r="G4655" t="str">
        <x:v>Autumn</x:v>
      </x:c>
      <x:c r="H4655" t="str">
        <x:v>Card</x:v>
      </x:c>
      <x:c r="I4655" t="n">
        <x:v>3.3</x:v>
      </x:c>
      <x:c r="J4655" t="n">
        <x:v>11</x:v>
      </x:c>
      <x:c r="K4655" t="n">
        <x:v>3</x:v>
      </x:c>
      <x:c r="L4655" t="str">
        <x:v>STORE-001</x:v>
      </x:c>
      <x:c r="M4655" s="22" t="n">
        <x:v>46142</x:v>
      </x:c>
      <x:c r="N4655" t="str">
        <x:v>SKU-009</x:v>
      </x:c>
      <x:c r="O4655" t="n">
        <x:v>1</x:v>
      </x:c>
      <x:c r="P4655" s="26" t="n">
        <x:f>F4655/O4655</x:f>
        <x:v>2683.15</x:v>
      </x:c>
    </x:row>
    <x:row r="4656">
      <x:c r="A4656" t="n">
        <x:v>4655</x:v>
      </x:c>
      <x:c r="B4656" t="n">
        <x:v>64</x:v>
      </x:c>
      <x:c r="C4656" t="str">
        <x:v>Male</x:v>
      </x:c>
      <x:c r="D4656" t="str">
        <x:v>Electronics</x:v>
      </x:c>
      <x:c r="E4656" t="str">
        <x:v>Smart Watch</x:v>
      </x:c>
      <x:c r="F4656" s="24" t="n">
        <x:v>1406.03</x:v>
      </x:c>
      <x:c r="G4656" t="str">
        <x:v>Winter</x:v>
      </x:c>
      <x:c r="H4656" t="str">
        <x:v>Card</x:v>
      </x:c>
      <x:c r="I4656" t="n">
        <x:v>3.7</x:v>
      </x:c>
      <x:c r="J4656" t="n">
        <x:v>22</x:v>
      </x:c>
      <x:c r="K4656" t="n">
        <x:v>6</x:v>
      </x:c>
      <x:c r="L4656" t="str">
        <x:v>STORE-001</x:v>
      </x:c>
      <x:c r="M4656" s="22" t="n">
        <x:v>46259</x:v>
      </x:c>
      <x:c r="N4656" t="str">
        <x:v>SKU-023</x:v>
      </x:c>
      <x:c r="O4656" t="n">
        <x:v>1</x:v>
      </x:c>
      <x:c r="P4656" s="26" t="n">
        <x:f>F4656/O4656</x:f>
        <x:v>1406.03</x:v>
      </x:c>
    </x:row>
    <x:row r="4657">
      <x:c r="A4657" t="n">
        <x:v>4656</x:v>
      </x:c>
      <x:c r="B4657" t="n">
        <x:v>41</x:v>
      </x:c>
      <x:c r="C4657" t="str">
        <x:v>Female</x:v>
      </x:c>
      <x:c r="D4657" t="str">
        <x:v>Footwear</x:v>
      </x:c>
      <x:c r="E4657" t="str">
        <x:v>Formal Shoes</x:v>
      </x:c>
      <x:c r="F4657" s="24" t="n">
        <x:v>192.14</x:v>
      </x:c>
      <x:c r="G4657" t="str">
        <x:v>Summer</x:v>
      </x:c>
      <x:c r="H4657" t="str">
        <x:v>Card</x:v>
      </x:c>
      <x:c r="I4657" t="n">
        <x:v>3.8</x:v>
      </x:c>
      <x:c r="J4657" t="n">
        <x:v>13</x:v>
      </x:c>
      <x:c r="K4657" t="n">
        <x:v>4</x:v>
      </x:c>
      <x:c r="L4657" t="str">
        <x:v>STORE-001</x:v>
      </x:c>
      <x:c r="M4657" s="22" t="n">
        <x:v>46019</x:v>
      </x:c>
      <x:c r="N4657" t="str">
        <x:v>SKU-007</x:v>
      </x:c>
      <x:c r="O4657" t="n">
        <x:v>1</x:v>
      </x:c>
      <x:c r="P4657" s="26" t="n">
        <x:f>F4657/O4657</x:f>
        <x:v>192.14</x:v>
      </x:c>
    </x:row>
    <x:row r="4658">
      <x:c r="A4658" t="n">
        <x:v>4657</x:v>
      </x:c>
      <x:c r="B4658" t="n">
        <x:v>56</x:v>
      </x:c>
      <x:c r="C4658" t="str">
        <x:v>Female</x:v>
      </x:c>
      <x:c r="D4658" t="str">
        <x:v>Footwear</x:v>
      </x:c>
      <x:c r="E4658" t="str">
        <x:v>Sandals</x:v>
      </x:c>
      <x:c r="F4658" s="24" t="n">
        <x:v>234.23</x:v>
      </x:c>
      <x:c r="G4658" t="str">
        <x:v>Spring</x:v>
      </x:c>
      <x:c r="H4658" t="str">
        <x:v>Card</x:v>
      </x:c>
      <x:c r="I4658" t="n">
        <x:v>4.7</x:v>
      </x:c>
      <x:c r="J4658" t="n">
        <x:v>13</x:v>
      </x:c>
      <x:c r="K4658" t="n">
        <x:v>4</x:v>
      </x:c>
      <x:c r="L4658" t="str">
        <x:v>STORE-001</x:v>
      </x:c>
      <x:c r="M4658" s="22" t="n">
        <x:v>45972</x:v>
      </x:c>
      <x:c r="N4658" t="str">
        <x:v>SKU-019</x:v>
      </x:c>
      <x:c r="O4658" t="n">
        <x:v>1</x:v>
      </x:c>
      <x:c r="P4658" s="26" t="n">
        <x:f>F4658/O4658</x:f>
        <x:v>234.23</x:v>
      </x:c>
    </x:row>
    <x:row r="4659">
      <x:c r="A4659" t="n">
        <x:v>4658</x:v>
      </x:c>
      <x:c r="B4659" t="n">
        <x:v>65</x:v>
      </x:c>
      <x:c r="C4659" t="str">
        <x:v>Female</x:v>
      </x:c>
      <x:c r="D4659" t="str">
        <x:v>Womens Clothing</x:v>
      </x:c>
      <x:c r="E4659" t="str">
        <x:v>Top</x:v>
      </x:c>
      <x:c r="F4659" s="24" t="n">
        <x:v>50.96</x:v>
      </x:c>
      <x:c r="G4659" t="str">
        <x:v>Autumn</x:v>
      </x:c>
      <x:c r="H4659" t="str">
        <x:v>Card</x:v>
      </x:c>
      <x:c r="I4659" t="n">
        <x:v>4</x:v>
      </x:c>
      <x:c r="J4659" t="n">
        <x:v>23</x:v>
      </x:c>
      <x:c r="K4659" t="n">
        <x:v>9</x:v>
      </x:c>
      <x:c r="L4659" t="str">
        <x:v>STORE-001</x:v>
      </x:c>
      <x:c r="M4659" s="22" t="n">
        <x:v>46122</x:v>
      </x:c>
      <x:c r="N4659" t="str">
        <x:v>SKU-028</x:v>
      </x:c>
      <x:c r="O4659" t="n">
        <x:v>2</x:v>
      </x:c>
      <x:c r="P4659" s="26" t="n">
        <x:f>F4659/O4659</x:f>
        <x:v>25.48</x:v>
      </x:c>
    </x:row>
    <x:row r="4660">
      <x:c r="A4660" t="n">
        <x:v>4659</x:v>
      </x:c>
      <x:c r="B4660" t="n">
        <x:v>62</x:v>
      </x:c>
      <x:c r="C4660" t="str">
        <x:v>Female</x:v>
      </x:c>
      <x:c r="D4660" t="str">
        <x:v>Footwear</x:v>
      </x:c>
      <x:c r="E4660" t="str">
        <x:v>Sneakers</x:v>
      </x:c>
      <x:c r="F4660" s="24" t="n">
        <x:v>50.04</x:v>
      </x:c>
      <x:c r="G4660" t="str">
        <x:v>Spring</x:v>
      </x:c>
      <x:c r="H4660" t="str">
        <x:v>Cash on Delivery</x:v>
      </x:c>
      <x:c r="I4660" t="n">
        <x:v>2.5</x:v>
      </x:c>
      <x:c r="J4660" t="n">
        <x:v>19</x:v>
      </x:c>
      <x:c r="K4660" t="n">
        <x:v>7</x:v>
      </x:c>
      <x:c r="L4660" t="str">
        <x:v>STORE-001</x:v>
      </x:c>
      <x:c r="M4660" s="22" t="n">
        <x:v>46285</x:v>
      </x:c>
      <x:c r="N4660" t="str">
        <x:v>SKU-025</x:v>
      </x:c>
      <x:c r="O4660" t="n">
        <x:v>1</x:v>
      </x:c>
      <x:c r="P4660" s="26" t="n">
        <x:f>F4660/O4660</x:f>
        <x:v>50.04</x:v>
      </x:c>
    </x:row>
    <x:row r="4661">
      <x:c r="A4661" t="n">
        <x:v>4660</x:v>
      </x:c>
      <x:c r="B4661" t="n">
        <x:v>63</x:v>
      </x:c>
      <x:c r="C4661" t="str">
        <x:v>Male</x:v>
      </x:c>
      <x:c r="D4661" t="str">
        <x:v>Mens Clothing</x:v>
      </x:c>
      <x:c r="E4661" t="str">
        <x:v>Jeans</x:v>
      </x:c>
      <x:c r="F4661" s="24" t="n">
        <x:v>156.43</x:v>
      </x:c>
      <x:c r="G4661" t="str">
        <x:v>Winter</x:v>
      </x:c>
      <x:c r="H4661" t="str">
        <x:v>Card</x:v>
      </x:c>
      <x:c r="I4661" t="n">
        <x:v>3.7</x:v>
      </x:c>
      <x:c r="J4661" t="n">
        <x:v>13</x:v>
      </x:c>
      <x:c r="K4661" t="n">
        <x:v>4</x:v>
      </x:c>
      <x:c r="L4661" t="str">
        <x:v>STORE-001</x:v>
      </x:c>
      <x:c r="M4661" s="22" t="n">
        <x:v>46199</x:v>
      </x:c>
      <x:c r="N4661" t="str">
        <x:v>SKU-011</x:v>
      </x:c>
      <x:c r="O4661" t="n">
        <x:v>2</x:v>
      </x:c>
      <x:c r="P4661" s="26" t="n">
        <x:f>F4661/O4661</x:f>
        <x:v>78.215</x:v>
      </x:c>
    </x:row>
    <x:row r="4662">
      <x:c r="A4662" t="n">
        <x:v>4661</x:v>
      </x:c>
      <x:c r="B4662" t="n">
        <x:v>32</x:v>
      </x:c>
      <x:c r="C4662" t="str">
        <x:v>Female</x:v>
      </x:c>
      <x:c r="D4662" t="str">
        <x:v>Footwear</x:v>
      </x:c>
      <x:c r="E4662" t="str">
        <x:v>Formal Shoes</x:v>
      </x:c>
      <x:c r="F4662" s="24" t="n">
        <x:v>44.71</x:v>
      </x:c>
      <x:c r="G4662" t="str">
        <x:v>Winter</x:v>
      </x:c>
      <x:c r="H4662" t="str">
        <x:v>Cash on Delivery</x:v>
      </x:c>
      <x:c r="I4662" t="n">
        <x:v>3.8</x:v>
      </x:c>
      <x:c r="J4662" t="n">
        <x:v>18</x:v>
      </x:c>
      <x:c r="K4662" t="n">
        <x:v>4</x:v>
      </x:c>
      <x:c r="L4662" t="str">
        <x:v>STORE-001</x:v>
      </x:c>
      <x:c r="M4662" s="22" t="n">
        <x:v>46211</x:v>
      </x:c>
      <x:c r="N4662" t="str">
        <x:v>SKU-007</x:v>
      </x:c>
      <x:c r="O4662" t="n">
        <x:v>1</x:v>
      </x:c>
      <x:c r="P4662" s="26" t="n">
        <x:f>F4662/O4662</x:f>
        <x:v>44.71</x:v>
      </x:c>
    </x:row>
    <x:row r="4663">
      <x:c r="A4663" t="n">
        <x:v>4662</x:v>
      </x:c>
      <x:c r="B4663" t="n">
        <x:v>42</x:v>
      </x:c>
      <x:c r="C4663" t="str">
        <x:v>Male</x:v>
      </x:c>
      <x:c r="D4663" t="str">
        <x:v>Footwear</x:v>
      </x:c>
      <x:c r="E4663" t="str">
        <x:v>Formal Shoes</x:v>
      </x:c>
      <x:c r="F4663" s="24" t="n">
        <x:v>220.57</x:v>
      </x:c>
      <x:c r="G4663" t="str">
        <x:v>Spring</x:v>
      </x:c>
      <x:c r="H4663" t="str">
        <x:v>Card</x:v>
      </x:c>
      <x:c r="I4663" t="n">
        <x:v>2.4</x:v>
      </x:c>
      <x:c r="J4663" t="n">
        <x:v>15</x:v>
      </x:c>
      <x:c r="K4663" t="n">
        <x:v>5</x:v>
      </x:c>
      <x:c r="L4663" t="str">
        <x:v>STORE-001</x:v>
      </x:c>
      <x:c r="M4663" s="22" t="n">
        <x:v>45961</x:v>
      </x:c>
      <x:c r="N4663" t="str">
        <x:v>SKU-007</x:v>
      </x:c>
      <x:c r="O4663" t="n">
        <x:v>1</x:v>
      </x:c>
      <x:c r="P4663" s="26" t="n">
        <x:f>F4663/O4663</x:f>
        <x:v>220.57</x:v>
      </x:c>
    </x:row>
    <x:row r="4664">
      <x:c r="A4664" t="n">
        <x:v>4663</x:v>
      </x:c>
      <x:c r="B4664" t="n">
        <x:v>31</x:v>
      </x:c>
      <x:c r="C4664" t="str">
        <x:v>Female</x:v>
      </x:c>
      <x:c r="D4664" t="str">
        <x:v>Footwear</x:v>
      </x:c>
      <x:c r="E4664" t="str">
        <x:v>Sandals</x:v>
      </x:c>
      <x:c r="F4664" s="24" t="n">
        <x:v>42.84</x:v>
      </x:c>
      <x:c r="G4664" t="str">
        <x:v>Autumn</x:v>
      </x:c>
      <x:c r="H4664" t="str">
        <x:v>Cash on Delivery</x:v>
      </x:c>
      <x:c r="I4664" t="n">
        <x:v>3.4</x:v>
      </x:c>
      <x:c r="J4664" t="n">
        <x:v>5</x:v>
      </x:c>
      <x:c r="K4664" t="n">
        <x:v>0</x:v>
      </x:c>
      <x:c r="L4664" t="str">
        <x:v>STORE-001</x:v>
      </x:c>
      <x:c r="M4664" s="22" t="n">
        <x:v>46118</x:v>
      </x:c>
      <x:c r="N4664" t="str">
        <x:v>SKU-019</x:v>
      </x:c>
      <x:c r="O4664" t="n">
        <x:v>2</x:v>
      </x:c>
      <x:c r="P4664" s="26" t="n">
        <x:f>F4664/O4664</x:f>
        <x:v>21.42</x:v>
      </x:c>
    </x:row>
    <x:row r="4665">
      <x:c r="A4665" t="n">
        <x:v>4664</x:v>
      </x:c>
      <x:c r="B4665" t="n">
        <x:v>65</x:v>
      </x:c>
      <x:c r="C4665" t="str">
        <x:v>Male</x:v>
      </x:c>
      <x:c r="D4665" t="str">
        <x:v>Sports</x:v>
      </x:c>
      <x:c r="E4665" t="str">
        <x:v>Football</x:v>
      </x:c>
      <x:c r="F4665" s="24" t="n">
        <x:v>182.38</x:v>
      </x:c>
      <x:c r="G4665" t="str">
        <x:v>Winter</x:v>
      </x:c>
      <x:c r="H4665" t="str">
        <x:v>Card</x:v>
      </x:c>
      <x:c r="I4665" t="n">
        <x:v>4.6</x:v>
      </x:c>
      <x:c r="J4665" t="n">
        <x:v>11</x:v>
      </x:c>
      <x:c r="K4665" t="n">
        <x:v>3</x:v>
      </x:c>
      <x:c r="L4665" t="str">
        <x:v>STORE-001</x:v>
      </x:c>
      <x:c r="M4665" s="22" t="n">
        <x:v>46243</x:v>
      </x:c>
      <x:c r="N4665" t="str">
        <x:v>SKU-006</x:v>
      </x:c>
      <x:c r="O4665" t="n">
        <x:v>1</x:v>
      </x:c>
      <x:c r="P4665" s="26" t="n">
        <x:f>F4665/O4665</x:f>
        <x:v>182.38</x:v>
      </x:c>
    </x:row>
    <x:row r="4666">
      <x:c r="A4666" t="n">
        <x:v>4665</x:v>
      </x:c>
      <x:c r="B4666" t="n">
        <x:v>47</x:v>
      </x:c>
      <x:c r="C4666" t="str">
        <x:v>Male</x:v>
      </x:c>
      <x:c r="D4666" t="str">
        <x:v>Footwear</x:v>
      </x:c>
      <x:c r="E4666" t="str">
        <x:v>Formal Shoes</x:v>
      </x:c>
      <x:c r="F4666" s="24" t="n">
        <x:v>147.94</x:v>
      </x:c>
      <x:c r="G4666" t="str">
        <x:v>Spring</x:v>
      </x:c>
      <x:c r="H4666" t="str">
        <x:v>Card</x:v>
      </x:c>
      <x:c r="I4666" t="n">
        <x:v>4.3</x:v>
      </x:c>
      <x:c r="J4666" t="n">
        <x:v>26</x:v>
      </x:c>
      <x:c r="K4666" t="n">
        <x:v>8</x:v>
      </x:c>
      <x:c r="L4666" t="str">
        <x:v>STORE-001</x:v>
      </x:c>
      <x:c r="M4666" s="22" t="n">
        <x:v>46269</x:v>
      </x:c>
      <x:c r="N4666" t="str">
        <x:v>SKU-007</x:v>
      </x:c>
      <x:c r="O4666" t="n">
        <x:v>1</x:v>
      </x:c>
      <x:c r="P4666" s="26" t="n">
        <x:f>F4666/O4666</x:f>
        <x:v>147.94</x:v>
      </x:c>
    </x:row>
    <x:row r="4667">
      <x:c r="A4667" t="n">
        <x:v>4666</x:v>
      </x:c>
      <x:c r="B4667" t="n">
        <x:v>55</x:v>
      </x:c>
      <x:c r="C4667" t="str">
        <x:v>Male</x:v>
      </x:c>
      <x:c r="D4667" t="str">
        <x:v>Mens Clothing</x:v>
      </x:c>
      <x:c r="E4667" t="str">
        <x:v>Jeans</x:v>
      </x:c>
      <x:c r="F4667" s="24" t="n">
        <x:v>178.41</x:v>
      </x:c>
      <x:c r="G4667" t="str">
        <x:v>Autumn</x:v>
      </x:c>
      <x:c r="H4667" t="str">
        <x:v>Card</x:v>
      </x:c>
      <x:c r="I4667" t="n">
        <x:v>4</x:v>
      </x:c>
      <x:c r="J4667" t="n">
        <x:v>11</x:v>
      </x:c>
      <x:c r="K4667" t="n">
        <x:v>3</x:v>
      </x:c>
      <x:c r="L4667" t="str">
        <x:v>STORE-001</x:v>
      </x:c>
      <x:c r="M4667" s="22" t="n">
        <x:v>46114</x:v>
      </x:c>
      <x:c r="N4667" t="str">
        <x:v>SKU-011</x:v>
      </x:c>
      <x:c r="O4667" t="n">
        <x:v>1</x:v>
      </x:c>
      <x:c r="P4667" s="26" t="n">
        <x:f>F4667/O4667</x:f>
        <x:v>178.41</x:v>
      </x:c>
    </x:row>
    <x:row r="4668">
      <x:c r="A4668" t="n">
        <x:v>4667</x:v>
      </x:c>
      <x:c r="B4668" t="n">
        <x:v>35</x:v>
      </x:c>
      <x:c r="C4668" t="str">
        <x:v>Female</x:v>
      </x:c>
      <x:c r="D4668" t="str">
        <x:v>Beauty</x:v>
      </x:c>
      <x:c r="E4668" t="str">
        <x:v>Makeup Set</x:v>
      </x:c>
      <x:c r="F4668" s="24" t="n">
        <x:v>24.39</x:v>
      </x:c>
      <x:c r="G4668" t="str">
        <x:v>Autumn</x:v>
      </x:c>
      <x:c r="H4668" t="str">
        <x:v>Card</x:v>
      </x:c>
      <x:c r="I4668" t="n">
        <x:v>2.9</x:v>
      </x:c>
      <x:c r="J4668" t="n">
        <x:v>14</x:v>
      </x:c>
      <x:c r="K4668" t="n">
        <x:v>2</x:v>
      </x:c>
      <x:c r="L4668" t="str">
        <x:v>STORE-001</x:v>
      </x:c>
      <x:c r="M4668" s="22" t="n">
        <x:v>46113</x:v>
      </x:c>
      <x:c r="N4668" t="str">
        <x:v>SKU-015</x:v>
      </x:c>
      <x:c r="O4668" t="n">
        <x:v>1</x:v>
      </x:c>
      <x:c r="P4668" s="26" t="n">
        <x:f>F4668/O4668</x:f>
        <x:v>24.39</x:v>
      </x:c>
    </x:row>
    <x:row r="4669">
      <x:c r="A4669" t="n">
        <x:v>4668</x:v>
      </x:c>
      <x:c r="B4669" t="n">
        <x:v>42</x:v>
      </x:c>
      <x:c r="C4669" t="str">
        <x:v>Female</x:v>
      </x:c>
      <x:c r="D4669" t="str">
        <x:v>Beauty</x:v>
      </x:c>
      <x:c r="E4669" t="str">
        <x:v>Perfume</x:v>
      </x:c>
      <x:c r="F4669" s="24" t="n">
        <x:v>94.95</x:v>
      </x:c>
      <x:c r="G4669" t="str">
        <x:v>Winter</x:v>
      </x:c>
      <x:c r="H4669" t="str">
        <x:v>Card</x:v>
      </x:c>
      <x:c r="I4669" t="n">
        <x:v>3.6</x:v>
      </x:c>
      <x:c r="J4669" t="n">
        <x:v>9</x:v>
      </x:c>
      <x:c r="K4669" t="n">
        <x:v>2</x:v>
      </x:c>
      <x:c r="L4669" t="str">
        <x:v>STORE-001</x:v>
      </x:c>
      <x:c r="M4669" s="22" t="n">
        <x:v>46207</x:v>
      </x:c>
      <x:c r="N4669" t="str">
        <x:v>SKU-017</x:v>
      </x:c>
      <x:c r="O4669" t="n">
        <x:v>1</x:v>
      </x:c>
      <x:c r="P4669" s="26" t="n">
        <x:f>F4669/O4669</x:f>
        <x:v>94.95</x:v>
      </x:c>
    </x:row>
    <x:row r="4670">
      <x:c r="A4670" t="n">
        <x:v>4669</x:v>
      </x:c>
      <x:c r="B4670" t="n">
        <x:v>60</x:v>
      </x:c>
      <x:c r="C4670" t="str">
        <x:v>Female</x:v>
      </x:c>
      <x:c r="D4670" t="str">
        <x:v>Sports</x:v>
      </x:c>
      <x:c r="E4670" t="str">
        <x:v>Yoga Mat</x:v>
      </x:c>
      <x:c r="F4670" s="24" t="n">
        <x:v>119.16</x:v>
      </x:c>
      <x:c r="G4670" t="str">
        <x:v>Summer</x:v>
      </x:c>
      <x:c r="H4670" t="str">
        <x:v>Card</x:v>
      </x:c>
      <x:c r="I4670" t="n">
        <x:v>4.3</x:v>
      </x:c>
      <x:c r="J4670" t="n">
        <x:v>5</x:v>
      </x:c>
      <x:c r="K4670" t="n">
        <x:v>0</x:v>
      </x:c>
      <x:c r="L4670" t="str">
        <x:v>STORE-001</x:v>
      </x:c>
      <x:c r="M4670" s="22" t="n">
        <x:v>46074</x:v>
      </x:c>
      <x:c r="N4670" t="str">
        <x:v>SKU-030</x:v>
      </x:c>
      <x:c r="O4670" t="n">
        <x:v>1</x:v>
      </x:c>
      <x:c r="P4670" s="26" t="n">
        <x:f>F4670/O4670</x:f>
        <x:v>119.16</x:v>
      </x:c>
    </x:row>
    <x:row r="4671">
      <x:c r="A4671" t="n">
        <x:v>4670</x:v>
      </x:c>
      <x:c r="B4671" t="n">
        <x:v>66</x:v>
      </x:c>
      <x:c r="C4671" t="str">
        <x:v>Female</x:v>
      </x:c>
      <x:c r="D4671" t="str">
        <x:v>Beauty</x:v>
      </x:c>
      <x:c r="E4671" t="str">
        <x:v>Perfume</x:v>
      </x:c>
      <x:c r="F4671" s="24" t="n">
        <x:v>102.5</x:v>
      </x:c>
      <x:c r="G4671" t="str">
        <x:v>Summer</x:v>
      </x:c>
      <x:c r="H4671" t="str">
        <x:v>Card</x:v>
      </x:c>
      <x:c r="I4671" t="n">
        <x:v>3.1</x:v>
      </x:c>
      <x:c r="J4671" t="n">
        <x:v>10</x:v>
      </x:c>
      <x:c r="K4671" t="n">
        <x:v>5</x:v>
      </x:c>
      <x:c r="L4671" t="str">
        <x:v>STORE-001</x:v>
      </x:c>
      <x:c r="M4671" s="22" t="n">
        <x:v>46004</x:v>
      </x:c>
      <x:c r="N4671" t="str">
        <x:v>SKU-017</x:v>
      </x:c>
      <x:c r="O4671" t="n">
        <x:v>1</x:v>
      </x:c>
      <x:c r="P4671" s="26" t="n">
        <x:f>F4671/O4671</x:f>
        <x:v>102.5</x:v>
      </x:c>
    </x:row>
    <x:row r="4672">
      <x:c r="A4672" t="n">
        <x:v>4671</x:v>
      </x:c>
      <x:c r="B4672" t="n">
        <x:v>54</x:v>
      </x:c>
      <x:c r="C4672" t="str">
        <x:v>Female</x:v>
      </x:c>
      <x:c r="D4672" t="str">
        <x:v>Accessories</x:v>
      </x:c>
      <x:c r="E4672" t="str">
        <x:v>Handbag</x:v>
      </x:c>
      <x:c r="F4672" s="24" t="n">
        <x:v>151.18</x:v>
      </x:c>
      <x:c r="G4672" t="str">
        <x:v>Spring</x:v>
      </x:c>
      <x:c r="H4672" t="str">
        <x:v>Card</x:v>
      </x:c>
      <x:c r="I4672" t="n">
        <x:v>4.9</x:v>
      </x:c>
      <x:c r="J4672" t="n">
        <x:v>11</x:v>
      </x:c>
      <x:c r="K4672" t="n">
        <x:v>3</x:v>
      </x:c>
      <x:c r="L4672" t="str">
        <x:v>STORE-001</x:v>
      </x:c>
      <x:c r="M4672" s="22" t="n">
        <x:v>46270</x:v>
      </x:c>
      <x:c r="N4672" t="str">
        <x:v>SKU-008</x:v>
      </x:c>
      <x:c r="O4672" t="n">
        <x:v>2</x:v>
      </x:c>
      <x:c r="P4672" s="26" t="n">
        <x:f>F4672/O4672</x:f>
        <x:v>75.59</x:v>
      </x:c>
    </x:row>
    <x:row r="4673">
      <x:c r="A4673" t="n">
        <x:v>4672</x:v>
      </x:c>
      <x:c r="B4673" t="n">
        <x:v>69</x:v>
      </x:c>
      <x:c r="C4673" t="str">
        <x:v>Male</x:v>
      </x:c>
      <x:c r="D4673" t="str">
        <x:v>Mens Clothing</x:v>
      </x:c>
      <x:c r="E4673" t="str">
        <x:v>Jeans</x:v>
      </x:c>
      <x:c r="F4673" s="24" t="n">
        <x:v>172.82</x:v>
      </x:c>
      <x:c r="G4673" t="str">
        <x:v>Autumn</x:v>
      </x:c>
      <x:c r="H4673" t="str">
        <x:v>Card</x:v>
      </x:c>
      <x:c r="I4673" t="n">
        <x:v>3.2</x:v>
      </x:c>
      <x:c r="J4673" t="n">
        <x:v>17</x:v>
      </x:c>
      <x:c r="K4673" t="n">
        <x:v>6</x:v>
      </x:c>
      <x:c r="L4673" t="str">
        <x:v>STORE-001</x:v>
      </x:c>
      <x:c r="M4673" s="22" t="n">
        <x:v>46132</x:v>
      </x:c>
      <x:c r="N4673" t="str">
        <x:v>SKU-011</x:v>
      </x:c>
      <x:c r="O4673" t="n">
        <x:v>2</x:v>
      </x:c>
      <x:c r="P4673" s="26" t="n">
        <x:f>F4673/O4673</x:f>
        <x:v>86.41</x:v>
      </x:c>
    </x:row>
    <x:row r="4674">
      <x:c r="A4674" t="n">
        <x:v>4673</x:v>
      </x:c>
      <x:c r="B4674" t="n">
        <x:v>59</x:v>
      </x:c>
      <x:c r="C4674" t="str">
        <x:v>Male</x:v>
      </x:c>
      <x:c r="D4674" t="str">
        <x:v>Sports</x:v>
      </x:c>
      <x:c r="E4674" t="str">
        <x:v>Dumbbells</x:v>
      </x:c>
      <x:c r="F4674" s="24" t="n">
        <x:v>181.52</x:v>
      </x:c>
      <x:c r="G4674" t="str">
        <x:v>Spring</x:v>
      </x:c>
      <x:c r="H4674" t="str">
        <x:v>Card</x:v>
      </x:c>
      <x:c r="I4674" t="n">
        <x:v>4.4</x:v>
      </x:c>
      <x:c r="J4674" t="n">
        <x:v>20</x:v>
      </x:c>
      <x:c r="K4674" t="n">
        <x:v>5</x:v>
      </x:c>
      <x:c r="L4674" t="str">
        <x:v>STORE-001</x:v>
      </x:c>
      <x:c r="M4674" s="22" t="n">
        <x:v>46266</x:v>
      </x:c>
      <x:c r="N4674" t="str">
        <x:v>SKU-005</x:v>
      </x:c>
      <x:c r="O4674" t="n">
        <x:v>1</x:v>
      </x:c>
      <x:c r="P4674" s="26" t="n">
        <x:f>F4674/O4674</x:f>
        <x:v>181.52</x:v>
      </x:c>
    </x:row>
    <x:row r="4675">
      <x:c r="A4675" t="n">
        <x:v>4674</x:v>
      </x:c>
      <x:c r="B4675" t="n">
        <x:v>23</x:v>
      </x:c>
      <x:c r="C4675" t="str">
        <x:v>Female</x:v>
      </x:c>
      <x:c r="D4675" t="str">
        <x:v>Accessories</x:v>
      </x:c>
      <x:c r="E4675" t="str">
        <x:v>Handbag</x:v>
      </x:c>
      <x:c r="F4675" s="24" t="n">
        <x:v>120.86</x:v>
      </x:c>
      <x:c r="G4675" t="str">
        <x:v>Spring</x:v>
      </x:c>
      <x:c r="H4675" t="str">
        <x:v>Card</x:v>
      </x:c>
      <x:c r="I4675" t="n">
        <x:v>3.9</x:v>
      </x:c>
      <x:c r="J4675" t="n">
        <x:v>8</x:v>
      </x:c>
      <x:c r="K4675" t="n">
        <x:v>4</x:v>
      </x:c>
      <x:c r="L4675" t="str">
        <x:v>STORE-001</x:v>
      </x:c>
      <x:c r="M4675" s="22" t="n">
        <x:v>45945</x:v>
      </x:c>
      <x:c r="N4675" t="str">
        <x:v>SKU-008</x:v>
      </x:c>
      <x:c r="O4675" t="n">
        <x:v>1</x:v>
      </x:c>
      <x:c r="P4675" s="26" t="n">
        <x:f>F4675/O4675</x:f>
        <x:v>120.86</x:v>
      </x:c>
    </x:row>
    <x:row r="4676">
      <x:c r="A4676" t="n">
        <x:v>4675</x:v>
      </x:c>
      <x:c r="B4676" t="n">
        <x:v>45</x:v>
      </x:c>
      <x:c r="C4676" t="str">
        <x:v>Male</x:v>
      </x:c>
      <x:c r="D4676" t="str">
        <x:v>Sports</x:v>
      </x:c>
      <x:c r="E4676" t="str">
        <x:v>Yoga Mat</x:v>
      </x:c>
      <x:c r="F4676" s="24" t="n">
        <x:v>153.7</x:v>
      </x:c>
      <x:c r="G4676" t="str">
        <x:v>Spring</x:v>
      </x:c>
      <x:c r="H4676" t="str">
        <x:v>Card</x:v>
      </x:c>
      <x:c r="I4676" t="n">
        <x:v>2.9</x:v>
      </x:c>
      <x:c r="J4676" t="n">
        <x:v>12</x:v>
      </x:c>
      <x:c r="K4676" t="n">
        <x:v>6</x:v>
      </x:c>
      <x:c r="L4676" t="str">
        <x:v>STORE-001</x:v>
      </x:c>
      <x:c r="M4676" s="22" t="n">
        <x:v>46274</x:v>
      </x:c>
      <x:c r="N4676" t="str">
        <x:v>SKU-030</x:v>
      </x:c>
      <x:c r="O4676" t="n">
        <x:v>2</x:v>
      </x:c>
      <x:c r="P4676" s="26" t="n">
        <x:f>F4676/O4676</x:f>
        <x:v>76.85</x:v>
      </x:c>
    </x:row>
    <x:row r="4677">
      <x:c r="A4677" t="n">
        <x:v>4676</x:v>
      </x:c>
      <x:c r="B4677" t="n">
        <x:v>55</x:v>
      </x:c>
      <x:c r="C4677" t="str">
        <x:v>Female</x:v>
      </x:c>
      <x:c r="D4677" t="str">
        <x:v>Footwear</x:v>
      </x:c>
      <x:c r="E4677" t="str">
        <x:v>Sneakers</x:v>
      </x:c>
      <x:c r="F4677" s="24" t="n">
        <x:v>220.12</x:v>
      </x:c>
      <x:c r="G4677" t="str">
        <x:v>Spring</x:v>
      </x:c>
      <x:c r="H4677" t="str">
        <x:v>Card</x:v>
      </x:c>
      <x:c r="I4677" t="n">
        <x:v>3.7</x:v>
      </x:c>
      <x:c r="J4677" t="n">
        <x:v>15</x:v>
      </x:c>
      <x:c r="K4677" t="n">
        <x:v>5</x:v>
      </x:c>
      <x:c r="L4677" t="str">
        <x:v>STORE-001</x:v>
      </x:c>
      <x:c r="M4677" s="22" t="n">
        <x:v>46273</x:v>
      </x:c>
      <x:c r="N4677" t="str">
        <x:v>SKU-025</x:v>
      </x:c>
      <x:c r="O4677" t="n">
        <x:v>1</x:v>
      </x:c>
      <x:c r="P4677" s="26" t="n">
        <x:f>F4677/O4677</x:f>
        <x:v>220.12</x:v>
      </x:c>
    </x:row>
    <x:row r="4678">
      <x:c r="A4678" t="n">
        <x:v>4677</x:v>
      </x:c>
      <x:c r="B4678" t="n">
        <x:v>56</x:v>
      </x:c>
      <x:c r="C4678" t="str">
        <x:v>Male</x:v>
      </x:c>
      <x:c r="D4678" t="str">
        <x:v>Footwear</x:v>
      </x:c>
      <x:c r="E4678" t="str">
        <x:v>Formal Shoes</x:v>
      </x:c>
      <x:c r="F4678" s="24" t="n">
        <x:v>197.64</x:v>
      </x:c>
      <x:c r="G4678" t="str">
        <x:v>Winter</x:v>
      </x:c>
      <x:c r="H4678" t="str">
        <x:v>Card</x:v>
      </x:c>
      <x:c r="I4678" t="n">
        <x:v>3.8</x:v>
      </x:c>
      <x:c r="J4678" t="n">
        <x:v>21</x:v>
      </x:c>
      <x:c r="K4678" t="n">
        <x:v>8</x:v>
      </x:c>
      <x:c r="L4678" t="str">
        <x:v>STORE-001</x:v>
      </x:c>
      <x:c r="M4678" s="22" t="n">
        <x:v>46255</x:v>
      </x:c>
      <x:c r="N4678" t="str">
        <x:v>SKU-007</x:v>
      </x:c>
      <x:c r="O4678" t="n">
        <x:v>1</x:v>
      </x:c>
      <x:c r="P4678" s="26" t="n">
        <x:f>F4678/O4678</x:f>
        <x:v>197.64</x:v>
      </x:c>
    </x:row>
    <x:row r="4679">
      <x:c r="A4679" t="n">
        <x:v>4678</x:v>
      </x:c>
      <x:c r="B4679" t="n">
        <x:v>37</x:v>
      </x:c>
      <x:c r="C4679" t="str">
        <x:v>Female</x:v>
      </x:c>
      <x:c r="D4679" t="str">
        <x:v>Accessories</x:v>
      </x:c>
      <x:c r="E4679" t="str">
        <x:v>Sunglasses</x:v>
      </x:c>
      <x:c r="F4679" s="24" t="n">
        <x:v>172.67</x:v>
      </x:c>
      <x:c r="G4679" t="str">
        <x:v>Autumn</x:v>
      </x:c>
      <x:c r="H4679" t="str">
        <x:v>Card</x:v>
      </x:c>
      <x:c r="I4679" t="n">
        <x:v>3.4</x:v>
      </x:c>
      <x:c r="J4679" t="n">
        <x:v>11</x:v>
      </x:c>
      <x:c r="K4679" t="n">
        <x:v>3</x:v>
      </x:c>
      <x:c r="L4679" t="str">
        <x:v>STORE-001</x:v>
      </x:c>
      <x:c r="M4679" s="22" t="n">
        <x:v>46165</x:v>
      </x:c>
      <x:c r="N4679" t="str">
        <x:v>SKU-026</x:v>
      </x:c>
      <x:c r="O4679" t="n">
        <x:v>1</x:v>
      </x:c>
      <x:c r="P4679" s="26" t="n">
        <x:f>F4679/O4679</x:f>
        <x:v>172.67</x:v>
      </x:c>
    </x:row>
    <x:row r="4680">
      <x:c r="A4680" t="n">
        <x:v>4679</x:v>
      </x:c>
      <x:c r="B4680" t="n">
        <x:v>26</x:v>
      </x:c>
      <x:c r="C4680" t="str">
        <x:v>Male</x:v>
      </x:c>
      <x:c r="D4680" t="str">
        <x:v>Mens Clothing</x:v>
      </x:c>
      <x:c r="E4680" t="str">
        <x:v>Jeans</x:v>
      </x:c>
      <x:c r="F4680" s="24" t="n">
        <x:v>146.24</x:v>
      </x:c>
      <x:c r="G4680" t="str">
        <x:v>Summer</x:v>
      </x:c>
      <x:c r="H4680" t="str">
        <x:v>Card</x:v>
      </x:c>
      <x:c r="I4680" t="n">
        <x:v>4.4</x:v>
      </x:c>
      <x:c r="J4680" t="n">
        <x:v>23</x:v>
      </x:c>
      <x:c r="K4680" t="n">
        <x:v>9</x:v>
      </x:c>
      <x:c r="L4680" t="str">
        <x:v>STORE-001</x:v>
      </x:c>
      <x:c r="M4680" s="22" t="n">
        <x:v>46077</x:v>
      </x:c>
      <x:c r="N4680" t="str">
        <x:v>SKU-011</x:v>
      </x:c>
      <x:c r="O4680" t="n">
        <x:v>1</x:v>
      </x:c>
      <x:c r="P4680" s="26" t="n">
        <x:f>F4680/O4680</x:f>
        <x:v>146.24</x:v>
      </x:c>
    </x:row>
    <x:row r="4681">
      <x:c r="A4681" t="n">
        <x:v>4680</x:v>
      </x:c>
      <x:c r="B4681" t="n">
        <x:v>29</x:v>
      </x:c>
      <x:c r="C4681" t="str">
        <x:v>Female</x:v>
      </x:c>
      <x:c r="D4681" t="str">
        <x:v>Accessories</x:v>
      </x:c>
      <x:c r="E4681" t="str">
        <x:v>Handbag</x:v>
      </x:c>
      <x:c r="F4681" s="24" t="n">
        <x:v>22.75</x:v>
      </x:c>
      <x:c r="G4681" t="str">
        <x:v>Spring</x:v>
      </x:c>
      <x:c r="H4681" t="str">
        <x:v>Card</x:v>
      </x:c>
      <x:c r="I4681" t="n">
        <x:v>4.2</x:v>
      </x:c>
      <x:c r="J4681" t="n">
        <x:v>24</x:v>
      </x:c>
      <x:c r="K4681" t="n">
        <x:v>7</x:v>
      </x:c>
      <x:c r="L4681" t="str">
        <x:v>STORE-001</x:v>
      </x:c>
      <x:c r="M4681" s="22" t="n">
        <x:v>45963</x:v>
      </x:c>
      <x:c r="N4681" t="str">
        <x:v>SKU-008</x:v>
      </x:c>
      <x:c r="O4681" t="n">
        <x:v>2</x:v>
      </x:c>
      <x:c r="P4681" s="26" t="n">
        <x:f>F4681/O4681</x:f>
        <x:v>11.375</x:v>
      </x:c>
    </x:row>
    <x:row r="4682">
      <x:c r="A4682" t="n">
        <x:v>4681</x:v>
      </x:c>
      <x:c r="B4682" t="n">
        <x:v>27</x:v>
      </x:c>
      <x:c r="C4682" t="str">
        <x:v>Male</x:v>
      </x:c>
      <x:c r="D4682" t="str">
        <x:v>Sports</x:v>
      </x:c>
      <x:c r="E4682" t="str">
        <x:v>Yoga Mat</x:v>
      </x:c>
      <x:c r="F4682" s="24" t="n">
        <x:v>229.25</x:v>
      </x:c>
      <x:c r="G4682" t="str">
        <x:v>Spring</x:v>
      </x:c>
      <x:c r="H4682" t="str">
        <x:v>Card</x:v>
      </x:c>
      <x:c r="I4682" t="n">
        <x:v>4.1</x:v>
      </x:c>
      <x:c r="J4682" t="n">
        <x:v>30</x:v>
      </x:c>
      <x:c r="K4682" t="n">
        <x:v>10</x:v>
      </x:c>
      <x:c r="L4682" t="str">
        <x:v>STORE-001</x:v>
      </x:c>
      <x:c r="M4682" s="22" t="n">
        <x:v>46289</x:v>
      </x:c>
      <x:c r="N4682" t="str">
        <x:v>SKU-030</x:v>
      </x:c>
      <x:c r="O4682" t="n">
        <x:v>3</x:v>
      </x:c>
      <x:c r="P4682" s="26" t="n">
        <x:f>F4682/O4682</x:f>
        <x:v>76.41666666666667</x:v>
      </x:c>
    </x:row>
    <x:row r="4683">
      <x:c r="A4683" t="n">
        <x:v>4682</x:v>
      </x:c>
      <x:c r="B4683" t="n">
        <x:v>40</x:v>
      </x:c>
      <x:c r="C4683" t="str">
        <x:v>Male</x:v>
      </x:c>
      <x:c r="D4683" t="str">
        <x:v>Electronics</x:v>
      </x:c>
      <x:c r="E4683" t="str">
        <x:v>Laptop</x:v>
      </x:c>
      <x:c r="F4683" s="24" t="n">
        <x:v>2163.41</x:v>
      </x:c>
      <x:c r="G4683" t="str">
        <x:v>Spring</x:v>
      </x:c>
      <x:c r="H4683" t="str">
        <x:v>Card</x:v>
      </x:c>
      <x:c r="I4683" t="n">
        <x:v>3.9</x:v>
      </x:c>
      <x:c r="J4683" t="n">
        <x:v>11</x:v>
      </x:c>
      <x:c r="K4683" t="n">
        <x:v>3</x:v>
      </x:c>
      <x:c r="L4683" t="str">
        <x:v>STORE-001</x:v>
      </x:c>
      <x:c r="M4683" s="22" t="n">
        <x:v>46289</x:v>
      </x:c>
      <x:c r="N4683" t="str">
        <x:v>SKU-014</x:v>
      </x:c>
      <x:c r="O4683" t="n">
        <x:v>1</x:v>
      </x:c>
      <x:c r="P4683" s="26" t="n">
        <x:f>F4683/O4683</x:f>
        <x:v>2163.41</x:v>
      </x:c>
    </x:row>
    <x:row r="4684">
      <x:c r="A4684" t="n">
        <x:v>4683</x:v>
      </x:c>
      <x:c r="B4684" t="n">
        <x:v>42</x:v>
      </x:c>
      <x:c r="C4684" t="str">
        <x:v>Female</x:v>
      </x:c>
      <x:c r="D4684" t="str">
        <x:v>Footwear</x:v>
      </x:c>
      <x:c r="E4684" t="str">
        <x:v>Sneakers</x:v>
      </x:c>
      <x:c r="F4684" s="24" t="n">
        <x:v>222.57</x:v>
      </x:c>
      <x:c r="G4684" t="str">
        <x:v>Winter</x:v>
      </x:c>
      <x:c r="H4684" t="str">
        <x:v>Card</x:v>
      </x:c>
      <x:c r="I4684" t="n">
        <x:v>3.3</x:v>
      </x:c>
      <x:c r="J4684" t="n">
        <x:v>12</x:v>
      </x:c>
      <x:c r="K4684" t="n">
        <x:v>6</x:v>
      </x:c>
      <x:c r="L4684" t="str">
        <x:v>STORE-001</x:v>
      </x:c>
      <x:c r="M4684" s="22" t="n">
        <x:v>46189</x:v>
      </x:c>
      <x:c r="N4684" t="str">
        <x:v>SKU-025</x:v>
      </x:c>
      <x:c r="O4684" t="n">
        <x:v>1</x:v>
      </x:c>
      <x:c r="P4684" s="26" t="n">
        <x:f>F4684/O4684</x:f>
        <x:v>222.57</x:v>
      </x:c>
    </x:row>
    <x:row r="4685">
      <x:c r="A4685" t="n">
        <x:v>4684</x:v>
      </x:c>
      <x:c r="B4685" t="n">
        <x:v>23</x:v>
      </x:c>
      <x:c r="C4685" t="str">
        <x:v>Female</x:v>
      </x:c>
      <x:c r="D4685" t="str">
        <x:v>Womens Clothing</x:v>
      </x:c>
      <x:c r="E4685" t="str">
        <x:v>Skirt</x:v>
      </x:c>
      <x:c r="F4685" s="24" t="n">
        <x:v>75.36</x:v>
      </x:c>
      <x:c r="G4685" t="str">
        <x:v>Spring</x:v>
      </x:c>
      <x:c r="H4685" t="str">
        <x:v>Cash on Delivery</x:v>
      </x:c>
      <x:c r="I4685" t="n">
        <x:v>3.2</x:v>
      </x:c>
      <x:c r="J4685" t="n">
        <x:v>15</x:v>
      </x:c>
      <x:c r="K4685" t="n">
        <x:v>5</x:v>
      </x:c>
      <x:c r="L4685" t="str">
        <x:v>STORE-001</x:v>
      </x:c>
      <x:c r="M4685" s="22" t="n">
        <x:v>45981</x:v>
      </x:c>
      <x:c r="N4685" t="str">
        <x:v>SKU-022</x:v>
      </x:c>
      <x:c r="O4685" t="n">
        <x:v>2</x:v>
      </x:c>
      <x:c r="P4685" s="26" t="n">
        <x:f>F4685/O4685</x:f>
        <x:v>37.68</x:v>
      </x:c>
    </x:row>
    <x:row r="4686">
      <x:c r="A4686" t="n">
        <x:v>4685</x:v>
      </x:c>
      <x:c r="B4686" t="n">
        <x:v>68</x:v>
      </x:c>
      <x:c r="C4686" t="str">
        <x:v>Male</x:v>
      </x:c>
      <x:c r="D4686" t="str">
        <x:v>Electronics</x:v>
      </x:c>
      <x:c r="E4686" t="str">
        <x:v>Smart Watch</x:v>
      </x:c>
      <x:c r="F4686" s="24" t="n">
        <x:v>1944.68</x:v>
      </x:c>
      <x:c r="G4686" t="str">
        <x:v>Spring</x:v>
      </x:c>
      <x:c r="H4686" t="str">
        <x:v>Card</x:v>
      </x:c>
      <x:c r="I4686" t="n">
        <x:v>2.4</x:v>
      </x:c>
      <x:c r="J4686" t="n">
        <x:v>18</x:v>
      </x:c>
      <x:c r="K4686" t="n">
        <x:v>4</x:v>
      </x:c>
      <x:c r="L4686" t="str">
        <x:v>STORE-001</x:v>
      </x:c>
      <x:c r="M4686" s="22" t="n">
        <x:v>46266</x:v>
      </x:c>
      <x:c r="N4686" t="str">
        <x:v>SKU-023</x:v>
      </x:c>
      <x:c r="O4686" t="n">
        <x:v>2</x:v>
      </x:c>
      <x:c r="P4686" s="26" t="n">
        <x:f>F4686/O4686</x:f>
        <x:v>972.34</x:v>
      </x:c>
    </x:row>
    <x:row r="4687">
      <x:c r="A4687" t="n">
        <x:v>4686</x:v>
      </x:c>
      <x:c r="B4687" t="n">
        <x:v>22</x:v>
      </x:c>
      <x:c r="C4687" t="str">
        <x:v>Male</x:v>
      </x:c>
      <x:c r="D4687" t="str">
        <x:v>Sports</x:v>
      </x:c>
      <x:c r="E4687" t="str">
        <x:v>Yoga Mat</x:v>
      </x:c>
      <x:c r="F4687" s="24" t="n">
        <x:v>40.12</x:v>
      </x:c>
      <x:c r="G4687" t="str">
        <x:v>Summer</x:v>
      </x:c>
      <x:c r="H4687" t="str">
        <x:v>Cash on Delivery</x:v>
      </x:c>
      <x:c r="I4687" t="n">
        <x:v>4.2</x:v>
      </x:c>
      <x:c r="J4687" t="n">
        <x:v>9</x:v>
      </x:c>
      <x:c r="K4687" t="n">
        <x:v>2</x:v>
      </x:c>
      <x:c r="L4687" t="str">
        <x:v>STORE-001</x:v>
      </x:c>
      <x:c r="M4687" s="22" t="n">
        <x:v>46050</x:v>
      </x:c>
      <x:c r="N4687" t="str">
        <x:v>SKU-030</x:v>
      </x:c>
      <x:c r="O4687" t="n">
        <x:v>1</x:v>
      </x:c>
      <x:c r="P4687" s="26" t="n">
        <x:f>F4687/O4687</x:f>
        <x:v>40.12</x:v>
      </x:c>
    </x:row>
    <x:row r="4688">
      <x:c r="A4688" t="n">
        <x:v>4687</x:v>
      </x:c>
      <x:c r="B4688" t="n">
        <x:v>54</x:v>
      </x:c>
      <x:c r="C4688" t="str">
        <x:v>Female</x:v>
      </x:c>
      <x:c r="D4688" t="str">
        <x:v>Sports</x:v>
      </x:c>
      <x:c r="E4688" t="str">
        <x:v>Yoga Mat</x:v>
      </x:c>
      <x:c r="F4688" s="24" t="n">
        <x:v>48.75</x:v>
      </x:c>
      <x:c r="G4688" t="str">
        <x:v>Winter</x:v>
      </x:c>
      <x:c r="H4688" t="str">
        <x:v>Cash on Delivery</x:v>
      </x:c>
      <x:c r="I4688" t="n">
        <x:v>3.8</x:v>
      </x:c>
      <x:c r="J4688" t="n">
        <x:v>18</x:v>
      </x:c>
      <x:c r="K4688" t="n">
        <x:v>4</x:v>
      </x:c>
      <x:c r="L4688" t="str">
        <x:v>STORE-001</x:v>
      </x:c>
      <x:c r="M4688" s="22" t="n">
        <x:v>46199</x:v>
      </x:c>
      <x:c r="N4688" t="str">
        <x:v>SKU-030</x:v>
      </x:c>
      <x:c r="O4688" t="n">
        <x:v>1</x:v>
      </x:c>
      <x:c r="P4688" s="26" t="n">
        <x:f>F4688/O4688</x:f>
        <x:v>48.75</x:v>
      </x:c>
    </x:row>
    <x:row r="4689">
      <x:c r="A4689" t="n">
        <x:v>4688</x:v>
      </x:c>
      <x:c r="B4689" t="n">
        <x:v>50</x:v>
      </x:c>
      <x:c r="C4689" t="str">
        <x:v>Female</x:v>
      </x:c>
      <x:c r="D4689" t="str">
        <x:v>Groceries</x:v>
      </x:c>
      <x:c r="E4689" t="str">
        <x:v>Rice Pack</x:v>
      </x:c>
      <x:c r="F4689" s="24" t="n">
        <x:v>43.15</x:v>
      </x:c>
      <x:c r="G4689" t="str">
        <x:v>Winter</x:v>
      </x:c>
      <x:c r="H4689" t="str">
        <x:v>Card</x:v>
      </x:c>
      <x:c r="I4689" t="n">
        <x:v>3.5</x:v>
      </x:c>
      <x:c r="J4689" t="n">
        <x:v>20</x:v>
      </x:c>
      <x:c r="K4689" t="n">
        <x:v>5</x:v>
      </x:c>
      <x:c r="L4689" t="str">
        <x:v>STORE-001</x:v>
      </x:c>
      <x:c r="M4689" s="22" t="n">
        <x:v>46240</x:v>
      </x:c>
      <x:c r="N4689" t="str">
        <x:v>SKU-018</x:v>
      </x:c>
      <x:c r="O4689" t="n">
        <x:v>4</x:v>
      </x:c>
      <x:c r="P4689" s="26" t="n">
        <x:f>F4689/O4689</x:f>
        <x:v>10.7875</x:v>
      </x:c>
    </x:row>
    <x:row r="4690">
      <x:c r="A4690" t="n">
        <x:v>4689</x:v>
      </x:c>
      <x:c r="B4690" t="n">
        <x:v>34</x:v>
      </x:c>
      <x:c r="C4690" t="str">
        <x:v>Male</x:v>
      </x:c>
      <x:c r="D4690" t="str">
        <x:v>Sports</x:v>
      </x:c>
      <x:c r="E4690" t="str">
        <x:v>Football</x:v>
      </x:c>
      <x:c r="F4690" s="24" t="n">
        <x:v>246.17</x:v>
      </x:c>
      <x:c r="G4690" t="str">
        <x:v>Winter</x:v>
      </x:c>
      <x:c r="H4690" t="str">
        <x:v>Card</x:v>
      </x:c>
      <x:c r="I4690" t="n">
        <x:v>3.1</x:v>
      </x:c>
      <x:c r="J4690" t="n">
        <x:v>17</x:v>
      </x:c>
      <x:c r="K4690" t="n">
        <x:v>6</x:v>
      </x:c>
      <x:c r="L4690" t="str">
        <x:v>STORE-001</x:v>
      </x:c>
      <x:c r="M4690" s="22" t="n">
        <x:v>46252</x:v>
      </x:c>
      <x:c r="N4690" t="str">
        <x:v>SKU-006</x:v>
      </x:c>
      <x:c r="O4690" t="n">
        <x:v>2</x:v>
      </x:c>
      <x:c r="P4690" s="26" t="n">
        <x:f>F4690/O4690</x:f>
        <x:v>123.085</x:v>
      </x:c>
    </x:row>
    <x:row r="4691">
      <x:c r="A4691" t="n">
        <x:v>4690</x:v>
      </x:c>
      <x:c r="B4691" t="n">
        <x:v>28</x:v>
      </x:c>
      <x:c r="C4691" t="str">
        <x:v>Male</x:v>
      </x:c>
      <x:c r="D4691" t="str">
        <x:v>Mens Clothing</x:v>
      </x:c>
      <x:c r="E4691" t="str">
        <x:v>T-Shirt</x:v>
      </x:c>
      <x:c r="F4691" s="24" t="n">
        <x:v>185.01</x:v>
      </x:c>
      <x:c r="G4691" t="str">
        <x:v>Winter</x:v>
      </x:c>
      <x:c r="H4691" t="str">
        <x:v>Card</x:v>
      </x:c>
      <x:c r="I4691" t="n">
        <x:v>4.1</x:v>
      </x:c>
      <x:c r="J4691" t="n">
        <x:v>13</x:v>
      </x:c>
      <x:c r="K4691" t="n">
        <x:v>4</x:v>
      </x:c>
      <x:c r="L4691" t="str">
        <x:v>STORE-001</x:v>
      </x:c>
      <x:c r="M4691" s="22" t="n">
        <x:v>46217</x:v>
      </x:c>
      <x:c r="N4691" t="str">
        <x:v>SKU-027</x:v>
      </x:c>
      <x:c r="O4691" t="n">
        <x:v>1</x:v>
      </x:c>
      <x:c r="P4691" s="26" t="n">
        <x:f>F4691/O4691</x:f>
        <x:v>185.01</x:v>
      </x:c>
    </x:row>
    <x:row r="4692">
      <x:c r="A4692" t="n">
        <x:v>4691</x:v>
      </x:c>
      <x:c r="B4692" t="n">
        <x:v>32</x:v>
      </x:c>
      <x:c r="C4692" t="str">
        <x:v>Male</x:v>
      </x:c>
      <x:c r="D4692" t="str">
        <x:v>Mens Clothing</x:v>
      </x:c>
      <x:c r="E4692" t="str">
        <x:v>Jeans</x:v>
      </x:c>
      <x:c r="F4692" s="24" t="n">
        <x:v>81.07</x:v>
      </x:c>
      <x:c r="G4692" t="str">
        <x:v>Summer</x:v>
      </x:c>
      <x:c r="H4692" t="str">
        <x:v>Card</x:v>
      </x:c>
      <x:c r="I4692" t="n">
        <x:v>3.8</x:v>
      </x:c>
      <x:c r="J4692" t="n">
        <x:v>24</x:v>
      </x:c>
      <x:c r="K4692" t="n">
        <x:v>7</x:v>
      </x:c>
      <x:c r="L4692" t="str">
        <x:v>STORE-001</x:v>
      </x:c>
      <x:c r="M4692" s="22" t="n">
        <x:v>46030</x:v>
      </x:c>
      <x:c r="N4692" t="str">
        <x:v>SKU-011</x:v>
      </x:c>
      <x:c r="O4692" t="n">
        <x:v>3</x:v>
      </x:c>
      <x:c r="P4692" s="26" t="n">
        <x:f>F4692/O4692</x:f>
        <x:v>27.02333333333333</x:v>
      </x:c>
    </x:row>
    <x:row r="4693">
      <x:c r="A4693" t="n">
        <x:v>4692</x:v>
      </x:c>
      <x:c r="B4693" t="n">
        <x:v>50</x:v>
      </x:c>
      <x:c r="C4693" t="str">
        <x:v>Male</x:v>
      </x:c>
      <x:c r="D4693" t="str">
        <x:v>Mens Clothing</x:v>
      </x:c>
      <x:c r="E4693" t="str">
        <x:v>T-Shirt</x:v>
      </x:c>
      <x:c r="F4693" s="24" t="n">
        <x:v>108.87</x:v>
      </x:c>
      <x:c r="G4693" t="str">
        <x:v>Spring</x:v>
      </x:c>
      <x:c r="H4693" t="str">
        <x:v>Card</x:v>
      </x:c>
      <x:c r="I4693" t="n">
        <x:v>4</x:v>
      </x:c>
      <x:c r="J4693" t="n">
        <x:v>12</x:v>
      </x:c>
      <x:c r="K4693" t="n">
        <x:v>6</x:v>
      </x:c>
      <x:c r="L4693" t="str">
        <x:v>STORE-001</x:v>
      </x:c>
      <x:c r="M4693" s="22" t="n">
        <x:v>46267</x:v>
      </x:c>
      <x:c r="N4693" t="str">
        <x:v>SKU-027</x:v>
      </x:c>
      <x:c r="O4693" t="n">
        <x:v>1</x:v>
      </x:c>
      <x:c r="P4693" s="26" t="n">
        <x:f>F4693/O4693</x:f>
        <x:v>108.87</x:v>
      </x:c>
    </x:row>
    <x:row r="4694">
      <x:c r="A4694" t="n">
        <x:v>4693</x:v>
      </x:c>
      <x:c r="B4694" t="n">
        <x:v>34</x:v>
      </x:c>
      <x:c r="C4694" t="str">
        <x:v>Female</x:v>
      </x:c>
      <x:c r="D4694" t="str">
        <x:v>Accessories</x:v>
      </x:c>
      <x:c r="E4694" t="str">
        <x:v>Handbag</x:v>
      </x:c>
      <x:c r="F4694" s="24" t="n">
        <x:v>52.23</x:v>
      </x:c>
      <x:c r="G4694" t="str">
        <x:v>Spring</x:v>
      </x:c>
      <x:c r="H4694" t="str">
        <x:v>Card</x:v>
      </x:c>
      <x:c r="I4694" t="n">
        <x:v>3.7</x:v>
      </x:c>
      <x:c r="J4694" t="n">
        <x:v>15</x:v>
      </x:c>
      <x:c r="K4694" t="n">
        <x:v>5</x:v>
      </x:c>
      <x:c r="L4694" t="str">
        <x:v>STORE-001</x:v>
      </x:c>
      <x:c r="M4694" s="22" t="n">
        <x:v>45946</x:v>
      </x:c>
      <x:c r="N4694" t="str">
        <x:v>SKU-008</x:v>
      </x:c>
      <x:c r="O4694" t="n">
        <x:v>1</x:v>
      </x:c>
      <x:c r="P4694" s="26" t="n">
        <x:f>F4694/O4694</x:f>
        <x:v>52.23</x:v>
      </x:c>
    </x:row>
    <x:row r="4695">
      <x:c r="A4695" t="n">
        <x:v>4694</x:v>
      </x:c>
      <x:c r="B4695" t="n">
        <x:v>60</x:v>
      </x:c>
      <x:c r="C4695" t="str">
        <x:v>Female</x:v>
      </x:c>
      <x:c r="D4695" t="str">
        <x:v>Accessories</x:v>
      </x:c>
      <x:c r="E4695" t="str">
        <x:v>Wallet</x:v>
      </x:c>
      <x:c r="F4695" s="24" t="n">
        <x:v>129.8</x:v>
      </x:c>
      <x:c r="G4695" t="str">
        <x:v>Spring</x:v>
      </x:c>
      <x:c r="H4695" t="str">
        <x:v>Card</x:v>
      </x:c>
      <x:c r="I4695" t="n">
        <x:v>4</x:v>
      </x:c>
      <x:c r="J4695" t="n">
        <x:v>24</x:v>
      </x:c>
      <x:c r="K4695" t="n">
        <x:v>7</x:v>
      </x:c>
      <x:c r="L4695" t="str">
        <x:v>STORE-001</x:v>
      </x:c>
      <x:c r="M4695" s="22" t="n">
        <x:v>46282</x:v>
      </x:c>
      <x:c r="N4695" t="str">
        <x:v>SKU-029</x:v>
      </x:c>
      <x:c r="O4695" t="n">
        <x:v>1</x:v>
      </x:c>
      <x:c r="P4695" s="26" t="n">
        <x:f>F4695/O4695</x:f>
        <x:v>129.8</x:v>
      </x:c>
    </x:row>
    <x:row r="4696">
      <x:c r="A4696" t="n">
        <x:v>4695</x:v>
      </x:c>
      <x:c r="B4696" t="n">
        <x:v>59</x:v>
      </x:c>
      <x:c r="C4696" t="str">
        <x:v>Male</x:v>
      </x:c>
      <x:c r="D4696" t="str">
        <x:v>Mens Clothing</x:v>
      </x:c>
      <x:c r="E4696" t="str">
        <x:v>Jacket</x:v>
      </x:c>
      <x:c r="F4696" s="24" t="n">
        <x:v>115.65</x:v>
      </x:c>
      <x:c r="G4696" t="str">
        <x:v>Winter</x:v>
      </x:c>
      <x:c r="H4696" t="str">
        <x:v>Card</x:v>
      </x:c>
      <x:c r="I4696" t="n">
        <x:v>4.8</x:v>
      </x:c>
      <x:c r="J4696" t="n">
        <x:v>15</x:v>
      </x:c>
      <x:c r="K4696" t="n">
        <x:v>5</x:v>
      </x:c>
      <x:c r="L4696" t="str">
        <x:v>STORE-001</x:v>
      </x:c>
      <x:c r="M4696" s="22" t="n">
        <x:v>46203</x:v>
      </x:c>
      <x:c r="N4696" t="str">
        <x:v>SKU-010</x:v>
      </x:c>
      <x:c r="O4696" t="n">
        <x:v>1</x:v>
      </x:c>
      <x:c r="P4696" s="26" t="n">
        <x:f>F4696/O4696</x:f>
        <x:v>115.65</x:v>
      </x:c>
    </x:row>
    <x:row r="4697">
      <x:c r="A4697" t="n">
        <x:v>4696</x:v>
      </x:c>
      <x:c r="B4697" t="n">
        <x:v>40</x:v>
      </x:c>
      <x:c r="C4697" t="str">
        <x:v>Female</x:v>
      </x:c>
      <x:c r="D4697" t="str">
        <x:v>Groceries</x:v>
      </x:c>
      <x:c r="E4697" t="str">
        <x:v>Rice Pack</x:v>
      </x:c>
      <x:c r="F4697" s="24" t="n">
        <x:v>25.94</x:v>
      </x:c>
      <x:c r="G4697" t="str">
        <x:v>Summer</x:v>
      </x:c>
      <x:c r="H4697" t="str">
        <x:v>Cash on Delivery</x:v>
      </x:c>
      <x:c r="I4697" t="n">
        <x:v>3.3</x:v>
      </x:c>
      <x:c r="J4697" t="n">
        <x:v>9</x:v>
      </x:c>
      <x:c r="K4697" t="n">
        <x:v>2</x:v>
      </x:c>
      <x:c r="L4697" t="str">
        <x:v>STORE-001</x:v>
      </x:c>
      <x:c r="M4697" s="22" t="n">
        <x:v>46060</x:v>
      </x:c>
      <x:c r="N4697" t="str">
        <x:v>SKU-018</x:v>
      </x:c>
      <x:c r="O4697" t="n">
        <x:v>3</x:v>
      </x:c>
      <x:c r="P4697" s="26" t="n">
        <x:f>F4697/O4697</x:f>
        <x:v>8.646666666666667</x:v>
      </x:c>
    </x:row>
    <x:row r="4698">
      <x:c r="A4698" t="n">
        <x:v>4697</x:v>
      </x:c>
      <x:c r="B4698" t="n">
        <x:v>66</x:v>
      </x:c>
      <x:c r="C4698" t="str">
        <x:v>Female</x:v>
      </x:c>
      <x:c r="D4698" t="str">
        <x:v>Womens Clothing</x:v>
      </x:c>
      <x:c r="E4698" t="str">
        <x:v>Top</x:v>
      </x:c>
      <x:c r="F4698" s="24" t="n">
        <x:v>101.87</x:v>
      </x:c>
      <x:c r="G4698" t="str">
        <x:v>Spring</x:v>
      </x:c>
      <x:c r="H4698" t="str">
        <x:v>Card</x:v>
      </x:c>
      <x:c r="I4698" t="n">
        <x:v>3.3</x:v>
      </x:c>
      <x:c r="J4698" t="n">
        <x:v>11</x:v>
      </x:c>
      <x:c r="K4698" t="n">
        <x:v>3</x:v>
      </x:c>
      <x:c r="L4698" t="str">
        <x:v>STORE-001</x:v>
      </x:c>
      <x:c r="M4698" s="22" t="n">
        <x:v>45980</x:v>
      </x:c>
      <x:c r="N4698" t="str">
        <x:v>SKU-028</x:v>
      </x:c>
      <x:c r="O4698" t="n">
        <x:v>2</x:v>
      </x:c>
      <x:c r="P4698" s="26" t="n">
        <x:f>F4698/O4698</x:f>
        <x:v>50.935</x:v>
      </x:c>
    </x:row>
    <x:row r="4699">
      <x:c r="A4699" t="n">
        <x:v>4698</x:v>
      </x:c>
      <x:c r="B4699" t="n">
        <x:v>44</x:v>
      </x:c>
      <x:c r="C4699" t="str">
        <x:v>Female</x:v>
      </x:c>
      <x:c r="D4699" t="str">
        <x:v>Beauty</x:v>
      </x:c>
      <x:c r="E4699" t="str">
        <x:v>Perfume</x:v>
      </x:c>
      <x:c r="F4699" s="24" t="n">
        <x:v>106.04</x:v>
      </x:c>
      <x:c r="G4699" t="str">
        <x:v>Spring</x:v>
      </x:c>
      <x:c r="H4699" t="str">
        <x:v>Card</x:v>
      </x:c>
      <x:c r="I4699" t="n">
        <x:v>3.6</x:v>
      </x:c>
      <x:c r="J4699" t="n">
        <x:v>17</x:v>
      </x:c>
      <x:c r="K4699" t="n">
        <x:v>6</x:v>
      </x:c>
      <x:c r="L4699" t="str">
        <x:v>STORE-001</x:v>
      </x:c>
      <x:c r="M4699" s="22" t="n">
        <x:v>45952</x:v>
      </x:c>
      <x:c r="N4699" t="str">
        <x:v>SKU-017</x:v>
      </x:c>
      <x:c r="O4699" t="n">
        <x:v>1</x:v>
      </x:c>
      <x:c r="P4699" s="26" t="n">
        <x:f>F4699/O4699</x:f>
        <x:v>106.04</x:v>
      </x:c>
    </x:row>
    <x:row r="4700">
      <x:c r="A4700" t="n">
        <x:v>4699</x:v>
      </x:c>
      <x:c r="B4700" t="n">
        <x:v>43</x:v>
      </x:c>
      <x:c r="C4700" t="str">
        <x:v>Female</x:v>
      </x:c>
      <x:c r="D4700" t="str">
        <x:v>Footwear</x:v>
      </x:c>
      <x:c r="E4700" t="str">
        <x:v>Sneakers</x:v>
      </x:c>
      <x:c r="F4700" s="24" t="n">
        <x:v>200.13</x:v>
      </x:c>
      <x:c r="G4700" t="str">
        <x:v>Autumn</x:v>
      </x:c>
      <x:c r="H4700" t="str">
        <x:v>Card</x:v>
      </x:c>
      <x:c r="I4700" t="n">
        <x:v>4</x:v>
      </x:c>
      <x:c r="J4700" t="n">
        <x:v>17</x:v>
      </x:c>
      <x:c r="K4700" t="n">
        <x:v>6</x:v>
      </x:c>
      <x:c r="L4700" t="str">
        <x:v>STORE-001</x:v>
      </x:c>
      <x:c r="M4700" s="22" t="n">
        <x:v>46093</x:v>
      </x:c>
      <x:c r="N4700" t="str">
        <x:v>SKU-025</x:v>
      </x:c>
      <x:c r="O4700" t="n">
        <x:v>2</x:v>
      </x:c>
      <x:c r="P4700" s="26" t="n">
        <x:f>F4700/O4700</x:f>
        <x:v>100.065</x:v>
      </x:c>
    </x:row>
    <x:row r="4701">
      <x:c r="A4701" t="n">
        <x:v>4700</x:v>
      </x:c>
      <x:c r="B4701" t="n">
        <x:v>60</x:v>
      </x:c>
      <x:c r="C4701" t="str">
        <x:v>Male</x:v>
      </x:c>
      <x:c r="D4701" t="str">
        <x:v>Footwear</x:v>
      </x:c>
      <x:c r="E4701" t="str">
        <x:v>Sneakers</x:v>
      </x:c>
      <x:c r="F4701" s="24" t="n">
        <x:v>210.29</x:v>
      </x:c>
      <x:c r="G4701" t="str">
        <x:v>Summer</x:v>
      </x:c>
      <x:c r="H4701" t="str">
        <x:v>Card</x:v>
      </x:c>
      <x:c r="I4701" t="n">
        <x:v>4.8</x:v>
      </x:c>
      <x:c r="J4701" t="n">
        <x:v>15</x:v>
      </x:c>
      <x:c r="K4701" t="n">
        <x:v>5</x:v>
      </x:c>
      <x:c r="L4701" t="str">
        <x:v>STORE-001</x:v>
      </x:c>
      <x:c r="M4701" s="22" t="n">
        <x:v>45994</x:v>
      </x:c>
      <x:c r="N4701" t="str">
        <x:v>SKU-025</x:v>
      </x:c>
      <x:c r="O4701" t="n">
        <x:v>1</x:v>
      </x:c>
      <x:c r="P4701" s="26" t="n">
        <x:f>F4701/O4701</x:f>
        <x:v>210.29</x:v>
      </x:c>
    </x:row>
    <x:row r="4702">
      <x:c r="A4702" t="n">
        <x:v>4701</x:v>
      </x:c>
      <x:c r="B4702" t="n">
        <x:v>41</x:v>
      </x:c>
      <x:c r="C4702" t="str">
        <x:v>Female</x:v>
      </x:c>
      <x:c r="D4702" t="str">
        <x:v>Womens Clothing</x:v>
      </x:c>
      <x:c r="E4702" t="str">
        <x:v>Jeans</x:v>
      </x:c>
      <x:c r="F4702" s="24" t="n">
        <x:v>41.5</x:v>
      </x:c>
      <x:c r="G4702" t="str">
        <x:v>Winter</x:v>
      </x:c>
      <x:c r="H4702" t="str">
        <x:v>Card</x:v>
      </x:c>
      <x:c r="I4702" t="n">
        <x:v>4.1</x:v>
      </x:c>
      <x:c r="J4702" t="n">
        <x:v>13</x:v>
      </x:c>
      <x:c r="K4702" t="n">
        <x:v>4</x:v>
      </x:c>
      <x:c r="L4702" t="str">
        <x:v>STORE-001</x:v>
      </x:c>
      <x:c r="M4702" s="22" t="n">
        <x:v>46210</x:v>
      </x:c>
      <x:c r="N4702" t="str">
        <x:v>SKU-011</x:v>
      </x:c>
      <x:c r="O4702" t="n">
        <x:v>2</x:v>
      </x:c>
      <x:c r="P4702" s="26" t="n">
        <x:f>F4702/O4702</x:f>
        <x:v>20.75</x:v>
      </x:c>
    </x:row>
    <x:row r="4703">
      <x:c r="A4703" t="n">
        <x:v>4702</x:v>
      </x:c>
      <x:c r="B4703" t="n">
        <x:v>32</x:v>
      </x:c>
      <x:c r="C4703" t="str">
        <x:v>Male</x:v>
      </x:c>
      <x:c r="D4703" t="str">
        <x:v>Sports</x:v>
      </x:c>
      <x:c r="E4703" t="str">
        <x:v>Dumbbells</x:v>
      </x:c>
      <x:c r="F4703" s="24" t="n">
        <x:v>186.57</x:v>
      </x:c>
      <x:c r="G4703" t="str">
        <x:v>Summer</x:v>
      </x:c>
      <x:c r="H4703" t="str">
        <x:v>Card</x:v>
      </x:c>
      <x:c r="I4703" t="n">
        <x:v>3.2</x:v>
      </x:c>
      <x:c r="J4703" t="n">
        <x:v>12</x:v>
      </x:c>
      <x:c r="K4703" t="n">
        <x:v>6</x:v>
      </x:c>
      <x:c r="L4703" t="str">
        <x:v>STORE-001</x:v>
      </x:c>
      <x:c r="M4703" s="22" t="n">
        <x:v>46007</x:v>
      </x:c>
      <x:c r="N4703" t="str">
        <x:v>SKU-005</x:v>
      </x:c>
      <x:c r="O4703" t="n">
        <x:v>1</x:v>
      </x:c>
      <x:c r="P4703" s="26" t="n">
        <x:f>F4703/O4703</x:f>
        <x:v>186.57</x:v>
      </x:c>
    </x:row>
    <x:row r="4704">
      <x:c r="A4704" t="n">
        <x:v>4703</x:v>
      </x:c>
      <x:c r="B4704" t="n">
        <x:v>42</x:v>
      </x:c>
      <x:c r="C4704" t="str">
        <x:v>Male</x:v>
      </x:c>
      <x:c r="D4704" t="str">
        <x:v>Mens Clothing</x:v>
      </x:c>
      <x:c r="E4704" t="str">
        <x:v>T-Shirt</x:v>
      </x:c>
      <x:c r="F4704" s="24" t="n">
        <x:v>189.79</x:v>
      </x:c>
      <x:c r="G4704" t="str">
        <x:v>Winter</x:v>
      </x:c>
      <x:c r="H4704" t="str">
        <x:v>Card</x:v>
      </x:c>
      <x:c r="I4704" t="n">
        <x:v>3</x:v>
      </x:c>
      <x:c r="J4704" t="n">
        <x:v>14</x:v>
      </x:c>
      <x:c r="K4704" t="n">
        <x:v>7</x:v>
      </x:c>
      <x:c r="L4704" t="str">
        <x:v>STORE-001</x:v>
      </x:c>
      <x:c r="M4704" s="22" t="n">
        <x:v>46222</x:v>
      </x:c>
      <x:c r="N4704" t="str">
        <x:v>SKU-027</x:v>
      </x:c>
      <x:c r="O4704" t="n">
        <x:v>2</x:v>
      </x:c>
      <x:c r="P4704" s="26" t="n">
        <x:f>F4704/O4704</x:f>
        <x:v>94.895</x:v>
      </x:c>
    </x:row>
    <x:row r="4705">
      <x:c r="A4705" t="n">
        <x:v>4704</x:v>
      </x:c>
      <x:c r="B4705" t="n">
        <x:v>30</x:v>
      </x:c>
      <x:c r="C4705" t="str">
        <x:v>Male</x:v>
      </x:c>
      <x:c r="D4705" t="str">
        <x:v>Groceries</x:v>
      </x:c>
      <x:c r="E4705" t="str">
        <x:v>Cooking Oil</x:v>
      </x:c>
      <x:c r="F4705" s="24" t="n">
        <x:v>63.78</x:v>
      </x:c>
      <x:c r="G4705" t="str">
        <x:v>Winter</x:v>
      </x:c>
      <x:c r="H4705" t="str">
        <x:v>Cash on Delivery</x:v>
      </x:c>
      <x:c r="I4705" t="n">
        <x:v>4.4</x:v>
      </x:c>
      <x:c r="J4705" t="n">
        <x:v>21</x:v>
      </x:c>
      <x:c r="K4705" t="n">
        <x:v>8</x:v>
      </x:c>
      <x:c r="L4705" t="str">
        <x:v>STORE-001</x:v>
      </x:c>
      <x:c r="M4705" s="22" t="n">
        <x:v>46222</x:v>
      </x:c>
      <x:c r="N4705" t="str">
        <x:v>SKU-002</x:v>
      </x:c>
      <x:c r="O4705" t="n">
        <x:v>3</x:v>
      </x:c>
      <x:c r="P4705" s="26" t="n">
        <x:f>F4705/O4705</x:f>
        <x:v>21.26</x:v>
      </x:c>
    </x:row>
    <x:row r="4706">
      <x:c r="A4706" t="n">
        <x:v>4705</x:v>
      </x:c>
      <x:c r="B4706" t="n">
        <x:v>25</x:v>
      </x:c>
      <x:c r="C4706" t="str">
        <x:v>Female</x:v>
      </x:c>
      <x:c r="D4706" t="str">
        <x:v>Womens Clothing</x:v>
      </x:c>
      <x:c r="E4706" t="str">
        <x:v>Skirt</x:v>
      </x:c>
      <x:c r="F4706" s="24" t="n">
        <x:v>161.91</x:v>
      </x:c>
      <x:c r="G4706" t="str">
        <x:v>Winter</x:v>
      </x:c>
      <x:c r="H4706" t="str">
        <x:v>Card</x:v>
      </x:c>
      <x:c r="I4706" t="n">
        <x:v>3.6</x:v>
      </x:c>
      <x:c r="J4706" t="n">
        <x:v>14</x:v>
      </x:c>
      <x:c r="K4706" t="n">
        <x:v>7</x:v>
      </x:c>
      <x:c r="L4706" t="str">
        <x:v>STORE-001</x:v>
      </x:c>
      <x:c r="M4706" s="22" t="n">
        <x:v>46174</x:v>
      </x:c>
      <x:c r="N4706" t="str">
        <x:v>SKU-022</x:v>
      </x:c>
      <x:c r="O4706" t="n">
        <x:v>2</x:v>
      </x:c>
      <x:c r="P4706" s="26" t="n">
        <x:f>F4706/O4706</x:f>
        <x:v>80.955</x:v>
      </x:c>
    </x:row>
    <x:row r="4707">
      <x:c r="A4707" t="n">
        <x:v>4706</x:v>
      </x:c>
      <x:c r="B4707" t="n">
        <x:v>54</x:v>
      </x:c>
      <x:c r="C4707" t="str">
        <x:v>Male</x:v>
      </x:c>
      <x:c r="D4707" t="str">
        <x:v>Electronics</x:v>
      </x:c>
      <x:c r="E4707" t="str">
        <x:v>Headphones</x:v>
      </x:c>
      <x:c r="F4707" s="24" t="n">
        <x:v>2349.33</x:v>
      </x:c>
      <x:c r="G4707" t="str">
        <x:v>Summer</x:v>
      </x:c>
      <x:c r="H4707" t="str">
        <x:v>Card</x:v>
      </x:c>
      <x:c r="I4707" t="n">
        <x:v>3.3</x:v>
      </x:c>
      <x:c r="J4707" t="n">
        <x:v>7</x:v>
      </x:c>
      <x:c r="K4707" t="n">
        <x:v>1</x:v>
      </x:c>
      <x:c r="L4707" t="str">
        <x:v>STORE-001</x:v>
      </x:c>
      <x:c r="M4707" s="22" t="n">
        <x:v>46081</x:v>
      </x:c>
      <x:c r="N4707" t="str">
        <x:v>SKU-009</x:v>
      </x:c>
      <x:c r="O4707" t="n">
        <x:v>1</x:v>
      </x:c>
      <x:c r="P4707" s="26" t="n">
        <x:f>F4707/O4707</x:f>
        <x:v>2349.33</x:v>
      </x:c>
    </x:row>
    <x:row r="4708">
      <x:c r="A4708" t="n">
        <x:v>4707</x:v>
      </x:c>
      <x:c r="B4708" t="n">
        <x:v>70</x:v>
      </x:c>
      <x:c r="C4708" t="str">
        <x:v>Female</x:v>
      </x:c>
      <x:c r="D4708" t="str">
        <x:v>Womens Clothing</x:v>
      </x:c>
      <x:c r="E4708" t="str">
        <x:v>Jeans</x:v>
      </x:c>
      <x:c r="F4708" s="24" t="n">
        <x:v>61.86</x:v>
      </x:c>
      <x:c r="G4708" t="str">
        <x:v>Summer</x:v>
      </x:c>
      <x:c r="H4708" t="str">
        <x:v>Card</x:v>
      </x:c>
      <x:c r="I4708" t="n">
        <x:v>2.9</x:v>
      </x:c>
      <x:c r="J4708" t="n">
        <x:v>17</x:v>
      </x:c>
      <x:c r="K4708" t="n">
        <x:v>6</x:v>
      </x:c>
      <x:c r="L4708" t="str">
        <x:v>STORE-001</x:v>
      </x:c>
      <x:c r="M4708" s="22" t="n">
        <x:v>46076</x:v>
      </x:c>
      <x:c r="N4708" t="str">
        <x:v>SKU-011</x:v>
      </x:c>
      <x:c r="O4708" t="n">
        <x:v>1</x:v>
      </x:c>
      <x:c r="P4708" s="26" t="n">
        <x:f>F4708/O4708</x:f>
        <x:v>61.86</x:v>
      </x:c>
    </x:row>
    <x:row r="4709">
      <x:c r="A4709" t="n">
        <x:v>4708</x:v>
      </x:c>
      <x:c r="B4709" t="n">
        <x:v>26</x:v>
      </x:c>
      <x:c r="C4709" t="str">
        <x:v>Female</x:v>
      </x:c>
      <x:c r="D4709" t="str">
        <x:v>Womens Clothing</x:v>
      </x:c>
      <x:c r="E4709" t="str">
        <x:v>Jeans</x:v>
      </x:c>
      <x:c r="F4709" s="24" t="n">
        <x:v>96.69</x:v>
      </x:c>
      <x:c r="G4709" t="str">
        <x:v>Autumn</x:v>
      </x:c>
      <x:c r="H4709" t="str">
        <x:v>Cash on Delivery</x:v>
      </x:c>
      <x:c r="I4709" t="n">
        <x:v>4.8</x:v>
      </x:c>
      <x:c r="J4709" t="n">
        <x:v>18</x:v>
      </x:c>
      <x:c r="K4709" t="n">
        <x:v>4</x:v>
      </x:c>
      <x:c r="L4709" t="str">
        <x:v>STORE-001</x:v>
      </x:c>
      <x:c r="M4709" s="22" t="n">
        <x:v>46163</x:v>
      </x:c>
      <x:c r="N4709" t="str">
        <x:v>SKU-011</x:v>
      </x:c>
      <x:c r="O4709" t="n">
        <x:v>1</x:v>
      </x:c>
      <x:c r="P4709" s="26" t="n">
        <x:f>F4709/O4709</x:f>
        <x:v>96.69</x:v>
      </x:c>
    </x:row>
    <x:row r="4710">
      <x:c r="A4710" t="n">
        <x:v>4709</x:v>
      </x:c>
      <x:c r="B4710" t="n">
        <x:v>57</x:v>
      </x:c>
      <x:c r="C4710" t="str">
        <x:v>Male</x:v>
      </x:c>
      <x:c r="D4710" t="str">
        <x:v>Sports</x:v>
      </x:c>
      <x:c r="E4710" t="str">
        <x:v>Yoga Mat</x:v>
      </x:c>
      <x:c r="F4710" s="24" t="n">
        <x:v>126.2</x:v>
      </x:c>
      <x:c r="G4710" t="str">
        <x:v>Autumn</x:v>
      </x:c>
      <x:c r="H4710" t="str">
        <x:v>Card</x:v>
      </x:c>
      <x:c r="I4710" t="n">
        <x:v>5</x:v>
      </x:c>
      <x:c r="J4710" t="n">
        <x:v>11</x:v>
      </x:c>
      <x:c r="K4710" t="n">
        <x:v>3</x:v>
      </x:c>
      <x:c r="L4710" t="str">
        <x:v>STORE-001</x:v>
      </x:c>
      <x:c r="M4710" s="22" t="n">
        <x:v>46105</x:v>
      </x:c>
      <x:c r="N4710" t="str">
        <x:v>SKU-030</x:v>
      </x:c>
      <x:c r="O4710" t="n">
        <x:v>1</x:v>
      </x:c>
      <x:c r="P4710" s="26" t="n">
        <x:f>F4710/O4710</x:f>
        <x:v>126.2</x:v>
      </x:c>
    </x:row>
    <x:row r="4711">
      <x:c r="A4711" t="n">
        <x:v>4710</x:v>
      </x:c>
      <x:c r="B4711" t="n">
        <x:v>38</x:v>
      </x:c>
      <x:c r="C4711" t="str">
        <x:v>Female</x:v>
      </x:c>
      <x:c r="D4711" t="str">
        <x:v>Beauty</x:v>
      </x:c>
      <x:c r="E4711" t="str">
        <x:v>Makeup Set</x:v>
      </x:c>
      <x:c r="F4711" s="24" t="n">
        <x:v>62.65</x:v>
      </x:c>
      <x:c r="G4711" t="str">
        <x:v>Autumn</x:v>
      </x:c>
      <x:c r="H4711" t="str">
        <x:v>Card</x:v>
      </x:c>
      <x:c r="I4711" t="n">
        <x:v>3.3</x:v>
      </x:c>
      <x:c r="J4711" t="n">
        <x:v>13</x:v>
      </x:c>
      <x:c r="K4711" t="n">
        <x:v>4</x:v>
      </x:c>
      <x:c r="L4711" t="str">
        <x:v>STORE-001</x:v>
      </x:c>
      <x:c r="M4711" s="22" t="n">
        <x:v>46156</x:v>
      </x:c>
      <x:c r="N4711" t="str">
        <x:v>SKU-015</x:v>
      </x:c>
      <x:c r="O4711" t="n">
        <x:v>2</x:v>
      </x:c>
      <x:c r="P4711" s="26" t="n">
        <x:f>F4711/O4711</x:f>
        <x:v>31.325</x:v>
      </x:c>
    </x:row>
    <x:row r="4712">
      <x:c r="A4712" t="n">
        <x:v>4711</x:v>
      </x:c>
      <x:c r="B4712" t="n">
        <x:v>57</x:v>
      </x:c>
      <x:c r="C4712" t="str">
        <x:v>Female</x:v>
      </x:c>
      <x:c r="D4712" t="str">
        <x:v>Womens Clothing</x:v>
      </x:c>
      <x:c r="E4712" t="str">
        <x:v>Top</x:v>
      </x:c>
      <x:c r="F4712" s="24" t="n">
        <x:v>149.91</x:v>
      </x:c>
      <x:c r="G4712" t="str">
        <x:v>Winter</x:v>
      </x:c>
      <x:c r="H4712" t="str">
        <x:v>Card</x:v>
      </x:c>
      <x:c r="I4712" t="n">
        <x:v>3.1</x:v>
      </x:c>
      <x:c r="J4712" t="n">
        <x:v>14</x:v>
      </x:c>
      <x:c r="K4712" t="n">
        <x:v>7</x:v>
      </x:c>
      <x:c r="L4712" t="str">
        <x:v>STORE-001</x:v>
      </x:c>
      <x:c r="M4712" s="22" t="n">
        <x:v>46254</x:v>
      </x:c>
      <x:c r="N4712" t="str">
        <x:v>SKU-028</x:v>
      </x:c>
      <x:c r="O4712" t="n">
        <x:v>1</x:v>
      </x:c>
      <x:c r="P4712" s="26" t="n">
        <x:f>F4712/O4712</x:f>
        <x:v>149.91</x:v>
      </x:c>
    </x:row>
    <x:row r="4713">
      <x:c r="A4713" t="n">
        <x:v>4712</x:v>
      </x:c>
      <x:c r="B4713" t="n">
        <x:v>68</x:v>
      </x:c>
      <x:c r="C4713" t="str">
        <x:v>Female</x:v>
      </x:c>
      <x:c r="D4713" t="str">
        <x:v>Groceries</x:v>
      </x:c>
      <x:c r="E4713" t="str">
        <x:v>Beverages</x:v>
      </x:c>
      <x:c r="F4713" s="24" t="n">
        <x:v>54.83</x:v>
      </x:c>
      <x:c r="G4713" t="str">
        <x:v>Winter</x:v>
      </x:c>
      <x:c r="H4713" t="str">
        <x:v>Cash on Delivery</x:v>
      </x:c>
      <x:c r="I4713" t="n">
        <x:v>3.5</x:v>
      </x:c>
      <x:c r="J4713" t="n">
        <x:v>12</x:v>
      </x:c>
      <x:c r="K4713" t="n">
        <x:v>6</x:v>
      </x:c>
      <x:c r="L4713" t="str">
        <x:v>STORE-001</x:v>
      </x:c>
      <x:c r="M4713" s="22" t="n">
        <x:v>46253</x:v>
      </x:c>
      <x:c r="N4713" t="str">
        <x:v>SKU-001</x:v>
      </x:c>
      <x:c r="O4713" t="n">
        <x:v>4</x:v>
      </x:c>
      <x:c r="P4713" s="26" t="n">
        <x:f>F4713/O4713</x:f>
        <x:v>13.7075</x:v>
      </x:c>
    </x:row>
    <x:row r="4714">
      <x:c r="A4714" t="n">
        <x:v>4713</x:v>
      </x:c>
      <x:c r="B4714" t="n">
        <x:v>26</x:v>
      </x:c>
      <x:c r="C4714" t="str">
        <x:v>Male</x:v>
      </x:c>
      <x:c r="D4714" t="str">
        <x:v>Electronics</x:v>
      </x:c>
      <x:c r="E4714" t="str">
        <x:v>Headphones</x:v>
      </x:c>
      <x:c r="F4714" s="24" t="n">
        <x:v>733.03</x:v>
      </x:c>
      <x:c r="G4714" t="str">
        <x:v>Spring</x:v>
      </x:c>
      <x:c r="H4714" t="str">
        <x:v>Card</x:v>
      </x:c>
      <x:c r="I4714" t="n">
        <x:v>3</x:v>
      </x:c>
      <x:c r="J4714" t="n">
        <x:v>13</x:v>
      </x:c>
      <x:c r="K4714" t="n">
        <x:v>4</x:v>
      </x:c>
      <x:c r="L4714" t="str">
        <x:v>STORE-001</x:v>
      </x:c>
      <x:c r="M4714" s="22" t="n">
        <x:v>46273</x:v>
      </x:c>
      <x:c r="N4714" t="str">
        <x:v>SKU-009</x:v>
      </x:c>
      <x:c r="O4714" t="n">
        <x:v>1</x:v>
      </x:c>
      <x:c r="P4714" s="26" t="n">
        <x:f>F4714/O4714</x:f>
        <x:v>733.03</x:v>
      </x:c>
    </x:row>
    <x:row r="4715">
      <x:c r="A4715" t="n">
        <x:v>4714</x:v>
      </x:c>
      <x:c r="B4715" t="n">
        <x:v>22</x:v>
      </x:c>
      <x:c r="C4715" t="str">
        <x:v>Male</x:v>
      </x:c>
      <x:c r="D4715" t="str">
        <x:v>Footwear</x:v>
      </x:c>
      <x:c r="E4715" t="str">
        <x:v>Formal Shoes</x:v>
      </x:c>
      <x:c r="F4715" s="24" t="n">
        <x:v>116.76</x:v>
      </x:c>
      <x:c r="G4715" t="str">
        <x:v>Winter</x:v>
      </x:c>
      <x:c r="H4715" t="str">
        <x:v>Card</x:v>
      </x:c>
      <x:c r="I4715" t="n">
        <x:v>4.8</x:v>
      </x:c>
      <x:c r="J4715" t="n">
        <x:v>17</x:v>
      </x:c>
      <x:c r="K4715" t="n">
        <x:v>6</x:v>
      </x:c>
      <x:c r="L4715" t="str">
        <x:v>STORE-001</x:v>
      </x:c>
      <x:c r="M4715" s="22" t="n">
        <x:v>46181</x:v>
      </x:c>
      <x:c r="N4715" t="str">
        <x:v>SKU-007</x:v>
      </x:c>
      <x:c r="O4715" t="n">
        <x:v>2</x:v>
      </x:c>
      <x:c r="P4715" s="26" t="n">
        <x:f>F4715/O4715</x:f>
        <x:v>58.38</x:v>
      </x:c>
    </x:row>
    <x:row r="4716">
      <x:c r="A4716" t="n">
        <x:v>4715</x:v>
      </x:c>
      <x:c r="B4716" t="n">
        <x:v>38</x:v>
      </x:c>
      <x:c r="C4716" t="str">
        <x:v>Male</x:v>
      </x:c>
      <x:c r="D4716" t="str">
        <x:v>Footwear</x:v>
      </x:c>
      <x:c r="E4716" t="str">
        <x:v>Sneakers</x:v>
      </x:c>
      <x:c r="F4716" s="24" t="n">
        <x:v>139.77</x:v>
      </x:c>
      <x:c r="G4716" t="str">
        <x:v>Winter</x:v>
      </x:c>
      <x:c r="H4716" t="str">
        <x:v>Card</x:v>
      </x:c>
      <x:c r="I4716" t="n">
        <x:v>5</x:v>
      </x:c>
      <x:c r="J4716" t="n">
        <x:v>8</x:v>
      </x:c>
      <x:c r="K4716" t="n">
        <x:v>4</x:v>
      </x:c>
      <x:c r="L4716" t="str">
        <x:v>STORE-001</x:v>
      </x:c>
      <x:c r="M4716" s="22" t="n">
        <x:v>46263</x:v>
      </x:c>
      <x:c r="N4716" t="str">
        <x:v>SKU-025</x:v>
      </x:c>
      <x:c r="O4716" t="n">
        <x:v>1</x:v>
      </x:c>
      <x:c r="P4716" s="26" t="n">
        <x:f>F4716/O4716</x:f>
        <x:v>139.77</x:v>
      </x:c>
    </x:row>
    <x:row r="4717">
      <x:c r="A4717" t="n">
        <x:v>4716</x:v>
      </x:c>
      <x:c r="B4717" t="n">
        <x:v>58</x:v>
      </x:c>
      <x:c r="C4717" t="str">
        <x:v>Male</x:v>
      </x:c>
      <x:c r="D4717" t="str">
        <x:v>Sports</x:v>
      </x:c>
      <x:c r="E4717" t="str">
        <x:v>Dumbbells</x:v>
      </x:c>
      <x:c r="F4717" s="24" t="n">
        <x:v>95.93</x:v>
      </x:c>
      <x:c r="G4717" t="str">
        <x:v>Summer</x:v>
      </x:c>
      <x:c r="H4717" t="str">
        <x:v>Card</x:v>
      </x:c>
      <x:c r="I4717" t="n">
        <x:v>3.7</x:v>
      </x:c>
      <x:c r="J4717" t="n">
        <x:v>13</x:v>
      </x:c>
      <x:c r="K4717" t="n">
        <x:v>4</x:v>
      </x:c>
      <x:c r="L4717" t="str">
        <x:v>STORE-001</x:v>
      </x:c>
      <x:c r="M4717" s="22" t="n">
        <x:v>46065</x:v>
      </x:c>
      <x:c r="N4717" t="str">
        <x:v>SKU-005</x:v>
      </x:c>
      <x:c r="O4717" t="n">
        <x:v>2</x:v>
      </x:c>
      <x:c r="P4717" s="26" t="n">
        <x:f>F4717/O4717</x:f>
        <x:v>47.965</x:v>
      </x:c>
    </x:row>
    <x:row r="4718">
      <x:c r="A4718" t="n">
        <x:v>4717</x:v>
      </x:c>
      <x:c r="B4718" t="n">
        <x:v>66</x:v>
      </x:c>
      <x:c r="C4718" t="str">
        <x:v>Male</x:v>
      </x:c>
      <x:c r="D4718" t="str">
        <x:v>Sports</x:v>
      </x:c>
      <x:c r="E4718" t="str">
        <x:v>Football</x:v>
      </x:c>
      <x:c r="F4718" s="24" t="n">
        <x:v>51.77</x:v>
      </x:c>
      <x:c r="G4718" t="str">
        <x:v>Summer</x:v>
      </x:c>
      <x:c r="H4718" t="str">
        <x:v>Cash on Delivery</x:v>
      </x:c>
      <x:c r="I4718" t="n">
        <x:v>5</x:v>
      </x:c>
      <x:c r="J4718" t="n">
        <x:v>17</x:v>
      </x:c>
      <x:c r="K4718" t="n">
        <x:v>6</x:v>
      </x:c>
      <x:c r="L4718" t="str">
        <x:v>STORE-001</x:v>
      </x:c>
      <x:c r="M4718" s="22" t="n">
        <x:v>46025</x:v>
      </x:c>
      <x:c r="N4718" t="str">
        <x:v>SKU-006</x:v>
      </x:c>
      <x:c r="O4718" t="n">
        <x:v>2</x:v>
      </x:c>
      <x:c r="P4718" s="26" t="n">
        <x:f>F4718/O4718</x:f>
        <x:v>25.885</x:v>
      </x:c>
    </x:row>
    <x:row r="4719">
      <x:c r="A4719" t="n">
        <x:v>4718</x:v>
      </x:c>
      <x:c r="B4719" t="n">
        <x:v>44</x:v>
      </x:c>
      <x:c r="C4719" t="str">
        <x:v>Female</x:v>
      </x:c>
      <x:c r="D4719" t="str">
        <x:v>Beauty</x:v>
      </x:c>
      <x:c r="E4719" t="str">
        <x:v>Skincare Kit</x:v>
      </x:c>
      <x:c r="F4719" s="24" t="n">
        <x:v>28.68</x:v>
      </x:c>
      <x:c r="G4719" t="str">
        <x:v>Spring</x:v>
      </x:c>
      <x:c r="H4719" t="str">
        <x:v>Cash on Delivery</x:v>
      </x:c>
      <x:c r="I4719" t="n">
        <x:v>3.5</x:v>
      </x:c>
      <x:c r="J4719" t="n">
        <x:v>12</x:v>
      </x:c>
      <x:c r="K4719" t="n">
        <x:v>6</x:v>
      </x:c>
      <x:c r="L4719" t="str">
        <x:v>STORE-001</x:v>
      </x:c>
      <x:c r="M4719" s="22" t="n">
        <x:v>45934</x:v>
      </x:c>
      <x:c r="N4719" t="str">
        <x:v>SKU-021</x:v>
      </x:c>
      <x:c r="O4719" t="n">
        <x:v>2</x:v>
      </x:c>
      <x:c r="P4719" s="26" t="n">
        <x:f>F4719/O4719</x:f>
        <x:v>14.34</x:v>
      </x:c>
    </x:row>
    <x:row r="4720">
      <x:c r="A4720" t="n">
        <x:v>4719</x:v>
      </x:c>
      <x:c r="B4720" t="n">
        <x:v>34</x:v>
      </x:c>
      <x:c r="C4720" t="str">
        <x:v>Female</x:v>
      </x:c>
      <x:c r="D4720" t="str">
        <x:v>Accessories</x:v>
      </x:c>
      <x:c r="E4720" t="str">
        <x:v>Wallet</x:v>
      </x:c>
      <x:c r="F4720" s="24" t="n">
        <x:v>140.63</x:v>
      </x:c>
      <x:c r="G4720" t="str">
        <x:v>Summer</x:v>
      </x:c>
      <x:c r="H4720" t="str">
        <x:v>Card</x:v>
      </x:c>
      <x:c r="I4720" t="n">
        <x:v>4.5</x:v>
      </x:c>
      <x:c r="J4720" t="n">
        <x:v>19</x:v>
      </x:c>
      <x:c r="K4720" t="n">
        <x:v>7</x:v>
      </x:c>
      <x:c r="L4720" t="str">
        <x:v>STORE-001</x:v>
      </x:c>
      <x:c r="M4720" s="22" t="n">
        <x:v>46029</x:v>
      </x:c>
      <x:c r="N4720" t="str">
        <x:v>SKU-029</x:v>
      </x:c>
      <x:c r="O4720" t="n">
        <x:v>1</x:v>
      </x:c>
      <x:c r="P4720" s="26" t="n">
        <x:f>F4720/O4720</x:f>
        <x:v>140.63</x:v>
      </x:c>
    </x:row>
    <x:row r="4721">
      <x:c r="A4721" t="n">
        <x:v>4720</x:v>
      </x:c>
      <x:c r="B4721" t="n">
        <x:v>25</x:v>
      </x:c>
      <x:c r="C4721" t="str">
        <x:v>Male</x:v>
      </x:c>
      <x:c r="D4721" t="str">
        <x:v>Sports</x:v>
      </x:c>
      <x:c r="E4721" t="str">
        <x:v>Football</x:v>
      </x:c>
      <x:c r="F4721" s="24" t="n">
        <x:v>27.85</x:v>
      </x:c>
      <x:c r="G4721" t="str">
        <x:v>Winter</x:v>
      </x:c>
      <x:c r="H4721" t="str">
        <x:v>Card</x:v>
      </x:c>
      <x:c r="I4721" t="n">
        <x:v>3.5</x:v>
      </x:c>
      <x:c r="J4721" t="n">
        <x:v>2</x:v>
      </x:c>
      <x:c r="K4721" t="n">
        <x:v>1</x:v>
      </x:c>
      <x:c r="L4721" t="str">
        <x:v>STORE-001</x:v>
      </x:c>
      <x:c r="M4721" s="22" t="n">
        <x:v>46193</x:v>
      </x:c>
      <x:c r="N4721" t="str">
        <x:v>SKU-006</x:v>
      </x:c>
      <x:c r="O4721" t="n">
        <x:v>3</x:v>
      </x:c>
      <x:c r="P4721" s="26" t="n">
        <x:f>F4721/O4721</x:f>
        <x:v>9.283333333333333</x:v>
      </x:c>
    </x:row>
    <x:row r="4722">
      <x:c r="A4722" t="n">
        <x:v>4721</x:v>
      </x:c>
      <x:c r="B4722" t="n">
        <x:v>49</x:v>
      </x:c>
      <x:c r="C4722" t="str">
        <x:v>Male</x:v>
      </x:c>
      <x:c r="D4722" t="str">
        <x:v>Electronics</x:v>
      </x:c>
      <x:c r="E4722" t="str">
        <x:v>Mobile Phone</x:v>
      </x:c>
      <x:c r="F4722" s="24" t="n">
        <x:v>2620.52</x:v>
      </x:c>
      <x:c r="G4722" t="str">
        <x:v>Winter</x:v>
      </x:c>
      <x:c r="H4722" t="str">
        <x:v>Card</x:v>
      </x:c>
      <x:c r="I4722" t="n">
        <x:v>3.3</x:v>
      </x:c>
      <x:c r="J4722" t="n">
        <x:v>18</x:v>
      </x:c>
      <x:c r="K4722" t="n">
        <x:v>4</x:v>
      </x:c>
      <x:c r="L4722" t="str">
        <x:v>STORE-001</x:v>
      </x:c>
      <x:c r="M4722" s="22" t="n">
        <x:v>46255</x:v>
      </x:c>
      <x:c r="N4722" t="str">
        <x:v>SKU-016</x:v>
      </x:c>
      <x:c r="O4722" t="n">
        <x:v>1</x:v>
      </x:c>
      <x:c r="P4722" s="26" t="n">
        <x:f>F4722/O4722</x:f>
        <x:v>2620.52</x:v>
      </x:c>
    </x:row>
    <x:row r="4723">
      <x:c r="A4723" t="n">
        <x:v>4722</x:v>
      </x:c>
      <x:c r="B4723" t="n">
        <x:v>36</x:v>
      </x:c>
      <x:c r="C4723" t="str">
        <x:v>Female</x:v>
      </x:c>
      <x:c r="D4723" t="str">
        <x:v>Accessories</x:v>
      </x:c>
      <x:c r="E4723" t="str">
        <x:v>Sunglasses</x:v>
      </x:c>
      <x:c r="F4723" s="24" t="n">
        <x:v>60.24</x:v>
      </x:c>
      <x:c r="G4723" t="str">
        <x:v>Winter</x:v>
      </x:c>
      <x:c r="H4723" t="str">
        <x:v>Cash on Delivery</x:v>
      </x:c>
      <x:c r="I4723" t="n">
        <x:v>4.4</x:v>
      </x:c>
      <x:c r="J4723" t="n">
        <x:v>6</x:v>
      </x:c>
      <x:c r="K4723" t="n">
        <x:v>3</x:v>
      </x:c>
      <x:c r="L4723" t="str">
        <x:v>STORE-001</x:v>
      </x:c>
      <x:c r="M4723" s="22" t="n">
        <x:v>46256</x:v>
      </x:c>
      <x:c r="N4723" t="str">
        <x:v>SKU-026</x:v>
      </x:c>
      <x:c r="O4723" t="n">
        <x:v>3</x:v>
      </x:c>
      <x:c r="P4723" s="26" t="n">
        <x:f>F4723/O4723</x:f>
        <x:v>20.080000000000002</x:v>
      </x:c>
    </x:row>
    <x:row r="4724">
      <x:c r="A4724" t="n">
        <x:v>4723</x:v>
      </x:c>
      <x:c r="B4724" t="n">
        <x:v>24</x:v>
      </x:c>
      <x:c r="C4724" t="str">
        <x:v>Male</x:v>
      </x:c>
      <x:c r="D4724" t="str">
        <x:v>Sports</x:v>
      </x:c>
      <x:c r="E4724" t="str">
        <x:v>Yoga Mat</x:v>
      </x:c>
      <x:c r="F4724" s="24" t="n">
        <x:v>89.29</x:v>
      </x:c>
      <x:c r="G4724" t="str">
        <x:v>Winter</x:v>
      </x:c>
      <x:c r="H4724" t="str">
        <x:v>Card</x:v>
      </x:c>
      <x:c r="I4724" t="n">
        <x:v>3.8</x:v>
      </x:c>
      <x:c r="J4724" t="n">
        <x:v>0</x:v>
      </x:c>
      <x:c r="K4724" t="n">
        <x:v>0</x:v>
      </x:c>
      <x:c r="L4724" t="str">
        <x:v>STORE-001</x:v>
      </x:c>
      <x:c r="M4724" s="22" t="n">
        <x:v>46262</x:v>
      </x:c>
      <x:c r="N4724" t="str">
        <x:v>SKU-030</x:v>
      </x:c>
      <x:c r="O4724" t="n">
        <x:v>2</x:v>
      </x:c>
      <x:c r="P4724" s="26" t="n">
        <x:f>F4724/O4724</x:f>
        <x:v>44.645</x:v>
      </x:c>
    </x:row>
    <x:row r="4725">
      <x:c r="A4725" t="n">
        <x:v>4724</x:v>
      </x:c>
      <x:c r="B4725" t="n">
        <x:v>32</x:v>
      </x:c>
      <x:c r="C4725" t="str">
        <x:v>Female</x:v>
      </x:c>
      <x:c r="D4725" t="str">
        <x:v>Footwear</x:v>
      </x:c>
      <x:c r="E4725" t="str">
        <x:v>Sandals</x:v>
      </x:c>
      <x:c r="F4725" s="24" t="n">
        <x:v>52.53</x:v>
      </x:c>
      <x:c r="G4725" t="str">
        <x:v>Spring</x:v>
      </x:c>
      <x:c r="H4725" t="str">
        <x:v>Cash on Delivery</x:v>
      </x:c>
      <x:c r="I4725" t="n">
        <x:v>3.1</x:v>
      </x:c>
      <x:c r="J4725" t="n">
        <x:v>18</x:v>
      </x:c>
      <x:c r="K4725" t="n">
        <x:v>4</x:v>
      </x:c>
      <x:c r="L4725" t="str">
        <x:v>STORE-001</x:v>
      </x:c>
      <x:c r="M4725" s="22" t="n">
        <x:v>45974</x:v>
      </x:c>
      <x:c r="N4725" t="str">
        <x:v>SKU-019</x:v>
      </x:c>
      <x:c r="O4725" t="n">
        <x:v>1</x:v>
      </x:c>
      <x:c r="P4725" s="26" t="n">
        <x:f>F4725/O4725</x:f>
        <x:v>52.53</x:v>
      </x:c>
    </x:row>
    <x:row r="4726">
      <x:c r="A4726" t="n">
        <x:v>4725</x:v>
      </x:c>
      <x:c r="B4726" t="n">
        <x:v>62</x:v>
      </x:c>
      <x:c r="C4726" t="str">
        <x:v>Female</x:v>
      </x:c>
      <x:c r="D4726" t="str">
        <x:v>Beauty</x:v>
      </x:c>
      <x:c r="E4726" t="str">
        <x:v>Perfume</x:v>
      </x:c>
      <x:c r="F4726" s="24" t="n">
        <x:v>93.41</x:v>
      </x:c>
      <x:c r="G4726" t="str">
        <x:v>Winter</x:v>
      </x:c>
      <x:c r="H4726" t="str">
        <x:v>Cash on Delivery</x:v>
      </x:c>
      <x:c r="I4726" t="n">
        <x:v>4.1</x:v>
      </x:c>
      <x:c r="J4726" t="n">
        <x:v>12</x:v>
      </x:c>
      <x:c r="K4726" t="n">
        <x:v>6</x:v>
      </x:c>
      <x:c r="L4726" t="str">
        <x:v>STORE-001</x:v>
      </x:c>
      <x:c r="M4726" s="22" t="n">
        <x:v>46231</x:v>
      </x:c>
      <x:c r="N4726" t="str">
        <x:v>SKU-017</x:v>
      </x:c>
      <x:c r="O4726" t="n">
        <x:v>1</x:v>
      </x:c>
      <x:c r="P4726" s="26" t="n">
        <x:f>F4726/O4726</x:f>
        <x:v>93.41</x:v>
      </x:c>
    </x:row>
    <x:row r="4727">
      <x:c r="A4727" t="n">
        <x:v>4726</x:v>
      </x:c>
      <x:c r="B4727" t="n">
        <x:v>48</x:v>
      </x:c>
      <x:c r="C4727" t="str">
        <x:v>Female</x:v>
      </x:c>
      <x:c r="D4727" t="str">
        <x:v>Beauty</x:v>
      </x:c>
      <x:c r="E4727" t="str">
        <x:v>Makeup Set</x:v>
      </x:c>
      <x:c r="F4727" s="24" t="n">
        <x:v>96.12</x:v>
      </x:c>
      <x:c r="G4727" t="str">
        <x:v>Autumn</x:v>
      </x:c>
      <x:c r="H4727" t="str">
        <x:v>Card</x:v>
      </x:c>
      <x:c r="I4727" t="n">
        <x:v>3.8</x:v>
      </x:c>
      <x:c r="J4727" t="n">
        <x:v>22</x:v>
      </x:c>
      <x:c r="K4727" t="n">
        <x:v>11</x:v>
      </x:c>
      <x:c r="L4727" t="str">
        <x:v>STORE-001</x:v>
      </x:c>
      <x:c r="M4727" s="22" t="n">
        <x:v>46103</x:v>
      </x:c>
      <x:c r="N4727" t="str">
        <x:v>SKU-015</x:v>
      </x:c>
      <x:c r="O4727" t="n">
        <x:v>1</x:v>
      </x:c>
      <x:c r="P4727" s="26" t="n">
        <x:f>F4727/O4727</x:f>
        <x:v>96.12</x:v>
      </x:c>
    </x:row>
    <x:row r="4728">
      <x:c r="A4728" t="n">
        <x:v>4727</x:v>
      </x:c>
      <x:c r="B4728" t="n">
        <x:v>44</x:v>
      </x:c>
      <x:c r="C4728" t="str">
        <x:v>Male</x:v>
      </x:c>
      <x:c r="D4728" t="str">
        <x:v>Groceries</x:v>
      </x:c>
      <x:c r="E4728" t="str">
        <x:v>Snacks</x:v>
      </x:c>
      <x:c r="F4728" s="24" t="n">
        <x:v>51.5</x:v>
      </x:c>
      <x:c r="G4728" t="str">
        <x:v>Autumn</x:v>
      </x:c>
      <x:c r="H4728" t="str">
        <x:v>Cash on Delivery</x:v>
      </x:c>
      <x:c r="I4728" t="n">
        <x:v>3.8</x:v>
      </x:c>
      <x:c r="J4728" t="n">
        <x:v>22</x:v>
      </x:c>
      <x:c r="K4728" t="n">
        <x:v>6</x:v>
      </x:c>
      <x:c r="L4728" t="str">
        <x:v>STORE-001</x:v>
      </x:c>
      <x:c r="M4728" s="22" t="n">
        <x:v>46083</x:v>
      </x:c>
      <x:c r="N4728" t="str">
        <x:v>SKU-024</x:v>
      </x:c>
      <x:c r="O4728" t="n">
        <x:v>4</x:v>
      </x:c>
      <x:c r="P4728" s="26" t="n">
        <x:f>F4728/O4728</x:f>
        <x:v>12.875</x:v>
      </x:c>
    </x:row>
    <x:row r="4729">
      <x:c r="A4729" t="n">
        <x:v>4728</x:v>
      </x:c>
      <x:c r="B4729" t="n">
        <x:v>58</x:v>
      </x:c>
      <x:c r="C4729" t="str">
        <x:v>Male</x:v>
      </x:c>
      <x:c r="D4729" t="str">
        <x:v>Sports</x:v>
      </x:c>
      <x:c r="E4729" t="str">
        <x:v>Football</x:v>
      </x:c>
      <x:c r="F4729" s="24" t="n">
        <x:v>147.1</x:v>
      </x:c>
      <x:c r="G4729" t="str">
        <x:v>Summer</x:v>
      </x:c>
      <x:c r="H4729" t="str">
        <x:v>Card</x:v>
      </x:c>
      <x:c r="I4729" t="n">
        <x:v>4.1</x:v>
      </x:c>
      <x:c r="J4729" t="n">
        <x:v>12</x:v>
      </x:c>
      <x:c r="K4729" t="n">
        <x:v>1</x:v>
      </x:c>
      <x:c r="L4729" t="str">
        <x:v>STORE-001</x:v>
      </x:c>
      <x:c r="M4729" s="22" t="n">
        <x:v>46003</x:v>
      </x:c>
      <x:c r="N4729" t="str">
        <x:v>SKU-006</x:v>
      </x:c>
      <x:c r="O4729" t="n">
        <x:v>1</x:v>
      </x:c>
      <x:c r="P4729" s="26" t="n">
        <x:f>F4729/O4729</x:f>
        <x:v>147.1</x:v>
      </x:c>
    </x:row>
    <x:row r="4730">
      <x:c r="A4730" t="n">
        <x:v>4729</x:v>
      </x:c>
      <x:c r="B4730" t="n">
        <x:v>59</x:v>
      </x:c>
      <x:c r="C4730" t="str">
        <x:v>Male</x:v>
      </x:c>
      <x:c r="D4730" t="str">
        <x:v>Footwear</x:v>
      </x:c>
      <x:c r="E4730" t="str">
        <x:v>Sneakers</x:v>
      </x:c>
      <x:c r="F4730" s="24" t="n">
        <x:v>208.77</x:v>
      </x:c>
      <x:c r="G4730" t="str">
        <x:v>Spring</x:v>
      </x:c>
      <x:c r="H4730" t="str">
        <x:v>Card</x:v>
      </x:c>
      <x:c r="I4730" t="n">
        <x:v>4</x:v>
      </x:c>
      <x:c r="J4730" t="n">
        <x:v>12</x:v>
      </x:c>
      <x:c r="K4730" t="n">
        <x:v>6</x:v>
      </x:c>
      <x:c r="L4730" t="str">
        <x:v>STORE-001</x:v>
      </x:c>
      <x:c r="M4730" s="22" t="n">
        <x:v>45978</x:v>
      </x:c>
      <x:c r="N4730" t="str">
        <x:v>SKU-025</x:v>
      </x:c>
      <x:c r="O4730" t="n">
        <x:v>1</x:v>
      </x:c>
      <x:c r="P4730" s="26" t="n">
        <x:f>F4730/O4730</x:f>
        <x:v>208.77</x:v>
      </x:c>
    </x:row>
    <x:row r="4731">
      <x:c r="A4731" t="n">
        <x:v>4730</x:v>
      </x:c>
      <x:c r="B4731" t="n">
        <x:v>31</x:v>
      </x:c>
      <x:c r="C4731" t="str">
        <x:v>Male</x:v>
      </x:c>
      <x:c r="D4731" t="str">
        <x:v>Footwear</x:v>
      </x:c>
      <x:c r="E4731" t="str">
        <x:v>Sneakers</x:v>
      </x:c>
      <x:c r="F4731" s="24" t="n">
        <x:v>222.63</x:v>
      </x:c>
      <x:c r="G4731" t="str">
        <x:v>Summer</x:v>
      </x:c>
      <x:c r="H4731" t="str">
        <x:v>Card</x:v>
      </x:c>
      <x:c r="I4731" t="n">
        <x:v>4.3</x:v>
      </x:c>
      <x:c r="J4731" t="n">
        <x:v>18</x:v>
      </x:c>
      <x:c r="K4731" t="n">
        <x:v>9</x:v>
      </x:c>
      <x:c r="L4731" t="str">
        <x:v>STORE-001</x:v>
      </x:c>
      <x:c r="M4731" s="22" t="n">
        <x:v>46038</x:v>
      </x:c>
      <x:c r="N4731" t="str">
        <x:v>SKU-025</x:v>
      </x:c>
      <x:c r="O4731" t="n">
        <x:v>1</x:v>
      </x:c>
      <x:c r="P4731" s="26" t="n">
        <x:f>F4731/O4731</x:f>
        <x:v>222.63</x:v>
      </x:c>
    </x:row>
    <x:row r="4732">
      <x:c r="A4732" t="n">
        <x:v>4731</x:v>
      </x:c>
      <x:c r="B4732" t="n">
        <x:v>37</x:v>
      </x:c>
      <x:c r="C4732" t="str">
        <x:v>Female</x:v>
      </x:c>
      <x:c r="D4732" t="str">
        <x:v>Womens Clothing</x:v>
      </x:c>
      <x:c r="E4732" t="str">
        <x:v>Skirt</x:v>
      </x:c>
      <x:c r="F4732" s="24" t="n">
        <x:v>56.66</x:v>
      </x:c>
      <x:c r="G4732" t="str">
        <x:v>Autumn</x:v>
      </x:c>
      <x:c r="H4732" t="str">
        <x:v>Card</x:v>
      </x:c>
      <x:c r="I4732" t="n">
        <x:v>5</x:v>
      </x:c>
      <x:c r="J4732" t="n">
        <x:v>14</x:v>
      </x:c>
      <x:c r="K4732" t="n">
        <x:v>7</x:v>
      </x:c>
      <x:c r="L4732" t="str">
        <x:v>STORE-001</x:v>
      </x:c>
      <x:c r="M4732" s="22" t="n">
        <x:v>46140</x:v>
      </x:c>
      <x:c r="N4732" t="str">
        <x:v>SKU-022</x:v>
      </x:c>
      <x:c r="O4732" t="n">
        <x:v>2</x:v>
      </x:c>
      <x:c r="P4732" s="26" t="n">
        <x:f>F4732/O4732</x:f>
        <x:v>28.33</x:v>
      </x:c>
    </x:row>
    <x:row r="4733">
      <x:c r="A4733" t="n">
        <x:v>4732</x:v>
      </x:c>
      <x:c r="B4733" t="n">
        <x:v>32</x:v>
      </x:c>
      <x:c r="C4733" t="str">
        <x:v>Male</x:v>
      </x:c>
      <x:c r="D4733" t="str">
        <x:v>Sports</x:v>
      </x:c>
      <x:c r="E4733" t="str">
        <x:v>Dumbbells</x:v>
      </x:c>
      <x:c r="F4733" s="24" t="n">
        <x:v>46.9</x:v>
      </x:c>
      <x:c r="G4733" t="str">
        <x:v>Spring</x:v>
      </x:c>
      <x:c r="H4733" t="str">
        <x:v>Cash on Delivery</x:v>
      </x:c>
      <x:c r="I4733" t="n">
        <x:v>3.4</x:v>
      </x:c>
      <x:c r="J4733" t="n">
        <x:v>17</x:v>
      </x:c>
      <x:c r="K4733" t="n">
        <x:v>6</x:v>
      </x:c>
      <x:c r="L4733" t="str">
        <x:v>STORE-001</x:v>
      </x:c>
      <x:c r="M4733" s="22" t="n">
        <x:v>45962</x:v>
      </x:c>
      <x:c r="N4733" t="str">
        <x:v>SKU-005</x:v>
      </x:c>
      <x:c r="O4733" t="n">
        <x:v>1</x:v>
      </x:c>
      <x:c r="P4733" s="26" t="n">
        <x:f>F4733/O4733</x:f>
        <x:v>46.9</x:v>
      </x:c>
    </x:row>
    <x:row r="4734">
      <x:c r="A4734" t="n">
        <x:v>4733</x:v>
      </x:c>
      <x:c r="B4734" t="n">
        <x:v>69</x:v>
      </x:c>
      <x:c r="C4734" t="str">
        <x:v>Male</x:v>
      </x:c>
      <x:c r="D4734" t="str">
        <x:v>Electronics</x:v>
      </x:c>
      <x:c r="E4734" t="str">
        <x:v>Smart Watch</x:v>
      </x:c>
      <x:c r="F4734" s="24" t="n">
        <x:v>771.91</x:v>
      </x:c>
      <x:c r="G4734" t="str">
        <x:v>Autumn</x:v>
      </x:c>
      <x:c r="H4734" t="str">
        <x:v>Card</x:v>
      </x:c>
      <x:c r="I4734" t="n">
        <x:v>4.8</x:v>
      </x:c>
      <x:c r="J4734" t="n">
        <x:v>14</x:v>
      </x:c>
      <x:c r="K4734" t="n">
        <x:v>7</x:v>
      </x:c>
      <x:c r="L4734" t="str">
        <x:v>STORE-001</x:v>
      </x:c>
      <x:c r="M4734" s="22" t="n">
        <x:v>46122</x:v>
      </x:c>
      <x:c r="N4734" t="str">
        <x:v>SKU-023</x:v>
      </x:c>
      <x:c r="O4734" t="n">
        <x:v>1</x:v>
      </x:c>
      <x:c r="P4734" s="26" t="n">
        <x:f>F4734/O4734</x:f>
        <x:v>771.91</x:v>
      </x:c>
    </x:row>
    <x:row r="4735">
      <x:c r="A4735" t="n">
        <x:v>4734</x:v>
      </x:c>
      <x:c r="B4735" t="n">
        <x:v>40</x:v>
      </x:c>
      <x:c r="C4735" t="str">
        <x:v>Male</x:v>
      </x:c>
      <x:c r="D4735" t="str">
        <x:v>Sports</x:v>
      </x:c>
      <x:c r="E4735" t="str">
        <x:v>Yoga Mat</x:v>
      </x:c>
      <x:c r="F4735" s="24" t="n">
        <x:v>122.71</x:v>
      </x:c>
      <x:c r="G4735" t="str">
        <x:v>Autumn</x:v>
      </x:c>
      <x:c r="H4735" t="str">
        <x:v>Card</x:v>
      </x:c>
      <x:c r="I4735" t="n">
        <x:v>2.8</x:v>
      </x:c>
      <x:c r="J4735" t="n">
        <x:v>13</x:v>
      </x:c>
      <x:c r="K4735" t="n">
        <x:v>4</x:v>
      </x:c>
      <x:c r="L4735" t="str">
        <x:v>STORE-001</x:v>
      </x:c>
      <x:c r="M4735" s="22" t="n">
        <x:v>46093</x:v>
      </x:c>
      <x:c r="N4735" t="str">
        <x:v>SKU-030</x:v>
      </x:c>
      <x:c r="O4735" t="n">
        <x:v>3</x:v>
      </x:c>
      <x:c r="P4735" s="26" t="n">
        <x:f>F4735/O4735</x:f>
        <x:v>40.90333333333333</x:v>
      </x:c>
    </x:row>
    <x:row r="4736">
      <x:c r="A4736" t="n">
        <x:v>4735</x:v>
      </x:c>
      <x:c r="B4736" t="n">
        <x:v>21</x:v>
      </x:c>
      <x:c r="C4736" t="str">
        <x:v>Female</x:v>
      </x:c>
      <x:c r="D4736" t="str">
        <x:v>Womens Clothing</x:v>
      </x:c>
      <x:c r="E4736" t="str">
        <x:v>Jeans</x:v>
      </x:c>
      <x:c r="F4736" s="24" t="n">
        <x:v>195.09</x:v>
      </x:c>
      <x:c r="G4736" t="str">
        <x:v>Winter</x:v>
      </x:c>
      <x:c r="H4736" t="str">
        <x:v>Card</x:v>
      </x:c>
      <x:c r="I4736" t="n">
        <x:v>4.4</x:v>
      </x:c>
      <x:c r="J4736" t="n">
        <x:v>20</x:v>
      </x:c>
      <x:c r="K4736" t="n">
        <x:v>5</x:v>
      </x:c>
      <x:c r="L4736" t="str">
        <x:v>STORE-001</x:v>
      </x:c>
      <x:c r="M4736" s="22" t="n">
        <x:v>46178</x:v>
      </x:c>
      <x:c r="N4736" t="str">
        <x:v>SKU-011</x:v>
      </x:c>
      <x:c r="O4736" t="n">
        <x:v>1</x:v>
      </x:c>
      <x:c r="P4736" s="26" t="n">
        <x:f>F4736/O4736</x:f>
        <x:v>195.09</x:v>
      </x:c>
    </x:row>
    <x:row r="4737">
      <x:c r="A4737" t="n">
        <x:v>4736</x:v>
      </x:c>
      <x:c r="B4737" t="n">
        <x:v>60</x:v>
      </x:c>
      <x:c r="C4737" t="str">
        <x:v>Female</x:v>
      </x:c>
      <x:c r="D4737" t="str">
        <x:v>Beauty</x:v>
      </x:c>
      <x:c r="E4737" t="str">
        <x:v>Perfume</x:v>
      </x:c>
      <x:c r="F4737" s="24" t="n">
        <x:v>80.38</x:v>
      </x:c>
      <x:c r="G4737" t="str">
        <x:v>Spring</x:v>
      </x:c>
      <x:c r="H4737" t="str">
        <x:v>Card</x:v>
      </x:c>
      <x:c r="I4737" t="n">
        <x:v>3.6</x:v>
      </x:c>
      <x:c r="J4737" t="n">
        <x:v>14</x:v>
      </x:c>
      <x:c r="K4737" t="n">
        <x:v>7</x:v>
      </x:c>
      <x:c r="L4737" t="str">
        <x:v>STORE-001</x:v>
      </x:c>
      <x:c r="M4737" s="22" t="n">
        <x:v>45970</x:v>
      </x:c>
      <x:c r="N4737" t="str">
        <x:v>SKU-017</x:v>
      </x:c>
      <x:c r="O4737" t="n">
        <x:v>2</x:v>
      </x:c>
      <x:c r="P4737" s="26" t="n">
        <x:f>F4737/O4737</x:f>
        <x:v>40.19</x:v>
      </x:c>
    </x:row>
    <x:row r="4738">
      <x:c r="A4738" t="n">
        <x:v>4737</x:v>
      </x:c>
      <x:c r="B4738" t="n">
        <x:v>66</x:v>
      </x:c>
      <x:c r="C4738" t="str">
        <x:v>Female</x:v>
      </x:c>
      <x:c r="D4738" t="str">
        <x:v>Womens Clothing</x:v>
      </x:c>
      <x:c r="E4738" t="str">
        <x:v>Top</x:v>
      </x:c>
      <x:c r="F4738" s="24" t="n">
        <x:v>109.58</x:v>
      </x:c>
      <x:c r="G4738" t="str">
        <x:v>Summer</x:v>
      </x:c>
      <x:c r="H4738" t="str">
        <x:v>Card</x:v>
      </x:c>
      <x:c r="I4738" t="n">
        <x:v>4.3</x:v>
      </x:c>
      <x:c r="J4738" t="n">
        <x:v>26</x:v>
      </x:c>
      <x:c r="K4738" t="n">
        <x:v>8</x:v>
      </x:c>
      <x:c r="L4738" t="str">
        <x:v>STORE-001</x:v>
      </x:c>
      <x:c r="M4738" s="22" t="n">
        <x:v>46037</x:v>
      </x:c>
      <x:c r="N4738" t="str">
        <x:v>SKU-028</x:v>
      </x:c>
      <x:c r="O4738" t="n">
        <x:v>1</x:v>
      </x:c>
      <x:c r="P4738" s="26" t="n">
        <x:f>F4738/O4738</x:f>
        <x:v>109.58</x:v>
      </x:c>
    </x:row>
    <x:row r="4739">
      <x:c r="A4739" t="n">
        <x:v>4738</x:v>
      </x:c>
      <x:c r="B4739" t="n">
        <x:v>42</x:v>
      </x:c>
      <x:c r="C4739" t="str">
        <x:v>Female</x:v>
      </x:c>
      <x:c r="D4739" t="str">
        <x:v>Beauty</x:v>
      </x:c>
      <x:c r="E4739" t="str">
        <x:v>Makeup Set</x:v>
      </x:c>
      <x:c r="F4739" s="24" t="n">
        <x:v>133.84</x:v>
      </x:c>
      <x:c r="G4739" t="str">
        <x:v>Summer</x:v>
      </x:c>
      <x:c r="H4739" t="str">
        <x:v>Card</x:v>
      </x:c>
      <x:c r="I4739" t="n">
        <x:v>3.3</x:v>
      </x:c>
      <x:c r="J4739" t="n">
        <x:v>14</x:v>
      </x:c>
      <x:c r="K4739" t="n">
        <x:v>7</x:v>
      </x:c>
      <x:c r="L4739" t="str">
        <x:v>STORE-001</x:v>
      </x:c>
      <x:c r="M4739" s="22" t="n">
        <x:v>46070</x:v>
      </x:c>
      <x:c r="N4739" t="str">
        <x:v>SKU-015</x:v>
      </x:c>
      <x:c r="O4739" t="n">
        <x:v>1</x:v>
      </x:c>
      <x:c r="P4739" s="26" t="n">
        <x:f>F4739/O4739</x:f>
        <x:v>133.84</x:v>
      </x:c>
    </x:row>
    <x:row r="4740">
      <x:c r="A4740" t="n">
        <x:v>4739</x:v>
      </x:c>
      <x:c r="B4740" t="n">
        <x:v>28</x:v>
      </x:c>
      <x:c r="C4740" t="str">
        <x:v>Male</x:v>
      </x:c>
      <x:c r="D4740" t="str">
        <x:v>Mens Clothing</x:v>
      </x:c>
      <x:c r="E4740" t="str">
        <x:v>T-Shirt</x:v>
      </x:c>
      <x:c r="F4740" s="24" t="n">
        <x:v>37.09</x:v>
      </x:c>
      <x:c r="G4740" t="str">
        <x:v>Summer</x:v>
      </x:c>
      <x:c r="H4740" t="str">
        <x:v>Card</x:v>
      </x:c>
      <x:c r="I4740" t="n">
        <x:v>4.4</x:v>
      </x:c>
      <x:c r="J4740" t="n">
        <x:v>22</x:v>
      </x:c>
      <x:c r="K4740" t="n">
        <x:v>6</x:v>
      </x:c>
      <x:c r="L4740" t="str">
        <x:v>STORE-001</x:v>
      </x:c>
      <x:c r="M4740" s="22" t="n">
        <x:v>45997</x:v>
      </x:c>
      <x:c r="N4740" t="str">
        <x:v>SKU-027</x:v>
      </x:c>
      <x:c r="O4740" t="n">
        <x:v>1</x:v>
      </x:c>
      <x:c r="P4740" s="26" t="n">
        <x:f>F4740/O4740</x:f>
        <x:v>37.09</x:v>
      </x:c>
    </x:row>
    <x:row r="4741">
      <x:c r="A4741" t="n">
        <x:v>4740</x:v>
      </x:c>
      <x:c r="B4741" t="n">
        <x:v>50</x:v>
      </x:c>
      <x:c r="C4741" t="str">
        <x:v>Male</x:v>
      </x:c>
      <x:c r="D4741" t="str">
        <x:v>Groceries</x:v>
      </x:c>
      <x:c r="E4741" t="str">
        <x:v>Rice Pack</x:v>
      </x:c>
      <x:c r="F4741" s="24" t="n">
        <x:v>19.58</x:v>
      </x:c>
      <x:c r="G4741" t="str">
        <x:v>Winter</x:v>
      </x:c>
      <x:c r="H4741" t="str">
        <x:v>Card</x:v>
      </x:c>
      <x:c r="I4741" t="n">
        <x:v>3.3</x:v>
      </x:c>
      <x:c r="J4741" t="n">
        <x:v>19</x:v>
      </x:c>
      <x:c r="K4741" t="n">
        <x:v>7</x:v>
      </x:c>
      <x:c r="L4741" t="str">
        <x:v>STORE-001</x:v>
      </x:c>
      <x:c r="M4741" s="22" t="n">
        <x:v>46179</x:v>
      </x:c>
      <x:c r="N4741" t="str">
        <x:v>SKU-018</x:v>
      </x:c>
      <x:c r="O4741" t="n">
        <x:v>2</x:v>
      </x:c>
      <x:c r="P4741" s="26" t="n">
        <x:f>F4741/O4741</x:f>
        <x:v>9.79</x:v>
      </x:c>
    </x:row>
    <x:row r="4742">
      <x:c r="A4742" t="n">
        <x:v>4741</x:v>
      </x:c>
      <x:c r="B4742" t="n">
        <x:v>65</x:v>
      </x:c>
      <x:c r="C4742" t="str">
        <x:v>Male</x:v>
      </x:c>
      <x:c r="D4742" t="str">
        <x:v>Groceries</x:v>
      </x:c>
      <x:c r="E4742" t="str">
        <x:v>Rice Pack</x:v>
      </x:c>
      <x:c r="F4742" s="24" t="n">
        <x:v>13.95</x:v>
      </x:c>
      <x:c r="G4742" t="str">
        <x:v>Summer</x:v>
      </x:c>
      <x:c r="H4742" t="str">
        <x:v>Card</x:v>
      </x:c>
      <x:c r="I4742" t="n">
        <x:v>4.1</x:v>
      </x:c>
      <x:c r="J4742" t="n">
        <x:v>21</x:v>
      </x:c>
      <x:c r="K4742" t="n">
        <x:v>8</x:v>
      </x:c>
      <x:c r="L4742" t="str">
        <x:v>STORE-001</x:v>
      </x:c>
      <x:c r="M4742" s="22" t="n">
        <x:v>46006</x:v>
      </x:c>
      <x:c r="N4742" t="str">
        <x:v>SKU-018</x:v>
      </x:c>
      <x:c r="O4742" t="n">
        <x:v>1</x:v>
      </x:c>
      <x:c r="P4742" s="26" t="n">
        <x:f>F4742/O4742</x:f>
        <x:v>13.95</x:v>
      </x:c>
    </x:row>
    <x:row r="4743">
      <x:c r="A4743" t="n">
        <x:v>4742</x:v>
      </x:c>
      <x:c r="B4743" t="n">
        <x:v>48</x:v>
      </x:c>
      <x:c r="C4743" t="str">
        <x:v>Male</x:v>
      </x:c>
      <x:c r="D4743" t="str">
        <x:v>Sports</x:v>
      </x:c>
      <x:c r="E4743" t="str">
        <x:v>Dumbbells</x:v>
      </x:c>
      <x:c r="F4743" s="24" t="n">
        <x:v>147.08</x:v>
      </x:c>
      <x:c r="G4743" t="str">
        <x:v>Summer</x:v>
      </x:c>
      <x:c r="H4743" t="str">
        <x:v>Card</x:v>
      </x:c>
      <x:c r="I4743" t="n">
        <x:v>3.4</x:v>
      </x:c>
      <x:c r="J4743" t="n">
        <x:v>20</x:v>
      </x:c>
      <x:c r="K4743" t="n">
        <x:v>5</x:v>
      </x:c>
      <x:c r="L4743" t="str">
        <x:v>STORE-001</x:v>
      </x:c>
      <x:c r="M4743" s="22" t="n">
        <x:v>46072</x:v>
      </x:c>
      <x:c r="N4743" t="str">
        <x:v>SKU-005</x:v>
      </x:c>
      <x:c r="O4743" t="n">
        <x:v>1</x:v>
      </x:c>
      <x:c r="P4743" s="26" t="n">
        <x:f>F4743/O4743</x:f>
        <x:v>147.08</x:v>
      </x:c>
    </x:row>
    <x:row r="4744">
      <x:c r="A4744" t="n">
        <x:v>4743</x:v>
      </x:c>
      <x:c r="B4744" t="n">
        <x:v>56</x:v>
      </x:c>
      <x:c r="C4744" t="str">
        <x:v>Female</x:v>
      </x:c>
      <x:c r="D4744" t="str">
        <x:v>Womens Clothing</x:v>
      </x:c>
      <x:c r="E4744" t="str">
        <x:v>Skirt</x:v>
      </x:c>
      <x:c r="F4744" s="24" t="n">
        <x:v>172.44</x:v>
      </x:c>
      <x:c r="G4744" t="str">
        <x:v>Summer</x:v>
      </x:c>
      <x:c r="H4744" t="str">
        <x:v>Card</x:v>
      </x:c>
      <x:c r="I4744" t="n">
        <x:v>3.7</x:v>
      </x:c>
      <x:c r="J4744" t="n">
        <x:v>18</x:v>
      </x:c>
      <x:c r="K4744" t="n">
        <x:v>4</x:v>
      </x:c>
      <x:c r="L4744" t="str">
        <x:v>STORE-001</x:v>
      </x:c>
      <x:c r="M4744" s="22" t="n">
        <x:v>46006</x:v>
      </x:c>
      <x:c r="N4744" t="str">
        <x:v>SKU-022</x:v>
      </x:c>
      <x:c r="O4744" t="n">
        <x:v>1</x:v>
      </x:c>
      <x:c r="P4744" s="26" t="n">
        <x:f>F4744/O4744</x:f>
        <x:v>172.44</x:v>
      </x:c>
    </x:row>
    <x:row r="4745">
      <x:c r="A4745" t="n">
        <x:v>4744</x:v>
      </x:c>
      <x:c r="B4745" t="n">
        <x:v>41</x:v>
      </x:c>
      <x:c r="C4745" t="str">
        <x:v>Male</x:v>
      </x:c>
      <x:c r="D4745" t="str">
        <x:v>Sports</x:v>
      </x:c>
      <x:c r="E4745" t="str">
        <x:v>Dumbbells</x:v>
      </x:c>
      <x:c r="F4745" s="24" t="n">
        <x:v>179</x:v>
      </x:c>
      <x:c r="G4745" t="str">
        <x:v>Autumn</x:v>
      </x:c>
      <x:c r="H4745" t="str">
        <x:v>Card</x:v>
      </x:c>
      <x:c r="I4745" t="n">
        <x:v>4.9</x:v>
      </x:c>
      <x:c r="J4745" t="n">
        <x:v>8</x:v>
      </x:c>
      <x:c r="K4745" t="n">
        <x:v>4</x:v>
      </x:c>
      <x:c r="L4745" t="str">
        <x:v>STORE-001</x:v>
      </x:c>
      <x:c r="M4745" s="22" t="n">
        <x:v>46164</x:v>
      </x:c>
      <x:c r="N4745" t="str">
        <x:v>SKU-005</x:v>
      </x:c>
      <x:c r="O4745" t="n">
        <x:v>1</x:v>
      </x:c>
      <x:c r="P4745" s="26" t="n">
        <x:f>F4745/O4745</x:f>
        <x:v>179</x:v>
      </x:c>
    </x:row>
    <x:row r="4746">
      <x:c r="A4746" t="n">
        <x:v>4745</x:v>
      </x:c>
      <x:c r="B4746" t="n">
        <x:v>26</x:v>
      </x:c>
      <x:c r="C4746" t="str">
        <x:v>Female</x:v>
      </x:c>
      <x:c r="D4746" t="str">
        <x:v>Footwear</x:v>
      </x:c>
      <x:c r="E4746" t="str">
        <x:v>Sandals</x:v>
      </x:c>
      <x:c r="F4746" s="24" t="n">
        <x:v>104.75</x:v>
      </x:c>
      <x:c r="G4746" t="str">
        <x:v>Winter</x:v>
      </x:c>
      <x:c r="H4746" t="str">
        <x:v>Card</x:v>
      </x:c>
      <x:c r="I4746" t="n">
        <x:v>4.1</x:v>
      </x:c>
      <x:c r="J4746" t="n">
        <x:v>6</x:v>
      </x:c>
      <x:c r="K4746" t="n">
        <x:v>3</x:v>
      </x:c>
      <x:c r="L4746" t="str">
        <x:v>STORE-001</x:v>
      </x:c>
      <x:c r="M4746" s="22" t="n">
        <x:v>46187</x:v>
      </x:c>
      <x:c r="N4746" t="str">
        <x:v>SKU-019</x:v>
      </x:c>
      <x:c r="O4746" t="n">
        <x:v>1</x:v>
      </x:c>
      <x:c r="P4746" s="26" t="n">
        <x:f>F4746/O4746</x:f>
        <x:v>104.75</x:v>
      </x:c>
    </x:row>
    <x:row r="4747">
      <x:c r="A4747" t="n">
        <x:v>4746</x:v>
      </x:c>
      <x:c r="B4747" t="n">
        <x:v>61</x:v>
      </x:c>
      <x:c r="C4747" t="str">
        <x:v>Male</x:v>
      </x:c>
      <x:c r="D4747" t="str">
        <x:v>Sports</x:v>
      </x:c>
      <x:c r="E4747" t="str">
        <x:v>Football</x:v>
      </x:c>
      <x:c r="F4747" s="24" t="n">
        <x:v>216.67</x:v>
      </x:c>
      <x:c r="G4747" t="str">
        <x:v>Autumn</x:v>
      </x:c>
      <x:c r="H4747" t="str">
        <x:v>Card</x:v>
      </x:c>
      <x:c r="I4747" t="n">
        <x:v>4.4</x:v>
      </x:c>
      <x:c r="J4747" t="n">
        <x:v>13</x:v>
      </x:c>
      <x:c r="K4747" t="n">
        <x:v>4</x:v>
      </x:c>
      <x:c r="L4747" t="str">
        <x:v>STORE-001</x:v>
      </x:c>
      <x:c r="M4747" s="22" t="n">
        <x:v>46123</x:v>
      </x:c>
      <x:c r="N4747" t="str">
        <x:v>SKU-006</x:v>
      </x:c>
      <x:c r="O4747" t="n">
        <x:v>1</x:v>
      </x:c>
      <x:c r="P4747" s="26" t="n">
        <x:f>F4747/O4747</x:f>
        <x:v>216.67</x:v>
      </x:c>
    </x:row>
    <x:row r="4748">
      <x:c r="A4748" t="n">
        <x:v>4747</x:v>
      </x:c>
      <x:c r="B4748" t="n">
        <x:v>54</x:v>
      </x:c>
      <x:c r="C4748" t="str">
        <x:v>Male</x:v>
      </x:c>
      <x:c r="D4748" t="str">
        <x:v>Electronics</x:v>
      </x:c>
      <x:c r="E4748" t="str">
        <x:v>Laptop</x:v>
      </x:c>
      <x:c r="F4748" s="24" t="n">
        <x:v>572.52</x:v>
      </x:c>
      <x:c r="G4748" t="str">
        <x:v>Autumn</x:v>
      </x:c>
      <x:c r="H4748" t="str">
        <x:v>Card</x:v>
      </x:c>
      <x:c r="I4748" t="n">
        <x:v>3.7</x:v>
      </x:c>
      <x:c r="J4748" t="n">
        <x:v>11</x:v>
      </x:c>
      <x:c r="K4748" t="n">
        <x:v>3</x:v>
      </x:c>
      <x:c r="L4748" t="str">
        <x:v>STORE-001</x:v>
      </x:c>
      <x:c r="M4748" s="22" t="n">
        <x:v>46126</x:v>
      </x:c>
      <x:c r="N4748" t="str">
        <x:v>SKU-014</x:v>
      </x:c>
      <x:c r="O4748" t="n">
        <x:v>1</x:v>
      </x:c>
      <x:c r="P4748" s="26" t="n">
        <x:f>F4748/O4748</x:f>
        <x:v>572.52</x:v>
      </x:c>
    </x:row>
    <x:row r="4749">
      <x:c r="A4749" t="n">
        <x:v>4748</x:v>
      </x:c>
      <x:c r="B4749" t="n">
        <x:v>45</x:v>
      </x:c>
      <x:c r="C4749" t="str">
        <x:v>Female</x:v>
      </x:c>
      <x:c r="D4749" t="str">
        <x:v>Footwear</x:v>
      </x:c>
      <x:c r="E4749" t="str">
        <x:v>Sneakers</x:v>
      </x:c>
      <x:c r="F4749" s="24" t="n">
        <x:v>198.44</x:v>
      </x:c>
      <x:c r="G4749" t="str">
        <x:v>Winter</x:v>
      </x:c>
      <x:c r="H4749" t="str">
        <x:v>Card</x:v>
      </x:c>
      <x:c r="I4749" t="n">
        <x:v>2.6</x:v>
      </x:c>
      <x:c r="J4749" t="n">
        <x:v>18</x:v>
      </x:c>
      <x:c r="K4749" t="n">
        <x:v>4</x:v>
      </x:c>
      <x:c r="L4749" t="str">
        <x:v>STORE-001</x:v>
      </x:c>
      <x:c r="M4749" s="22" t="n">
        <x:v>46187</x:v>
      </x:c>
      <x:c r="N4749" t="str">
        <x:v>SKU-025</x:v>
      </x:c>
      <x:c r="O4749" t="n">
        <x:v>3</x:v>
      </x:c>
      <x:c r="P4749" s="26" t="n">
        <x:f>F4749/O4749</x:f>
        <x:v>66.14666666666666</x:v>
      </x:c>
    </x:row>
    <x:row r="4750">
      <x:c r="A4750" t="n">
        <x:v>4749</x:v>
      </x:c>
      <x:c r="B4750" t="n">
        <x:v>66</x:v>
      </x:c>
      <x:c r="C4750" t="str">
        <x:v>Male</x:v>
      </x:c>
      <x:c r="D4750" t="str">
        <x:v>Sports</x:v>
      </x:c>
      <x:c r="E4750" t="str">
        <x:v>Yoga Mat</x:v>
      </x:c>
      <x:c r="F4750" s="24" t="n">
        <x:v>32.81</x:v>
      </x:c>
      <x:c r="G4750" t="str">
        <x:v>Autumn</x:v>
      </x:c>
      <x:c r="H4750" t="str">
        <x:v>Cash on Delivery</x:v>
      </x:c>
      <x:c r="I4750" t="n">
        <x:v>3.6</x:v>
      </x:c>
      <x:c r="J4750" t="n">
        <x:v>16</x:v>
      </x:c>
      <x:c r="K4750" t="n">
        <x:v>3</x:v>
      </x:c>
      <x:c r="L4750" t="str">
        <x:v>STORE-001</x:v>
      </x:c>
      <x:c r="M4750" s="22" t="n">
        <x:v>46085</x:v>
      </x:c>
      <x:c r="N4750" t="str">
        <x:v>SKU-030</x:v>
      </x:c>
      <x:c r="O4750" t="n">
        <x:v>1</x:v>
      </x:c>
      <x:c r="P4750" s="26" t="n">
        <x:f>F4750/O4750</x:f>
        <x:v>32.81</x:v>
      </x:c>
    </x:row>
    <x:row r="4751">
      <x:c r="A4751" t="n">
        <x:v>4750</x:v>
      </x:c>
      <x:c r="B4751" t="n">
        <x:v>29</x:v>
      </x:c>
      <x:c r="C4751" t="str">
        <x:v>Male</x:v>
      </x:c>
      <x:c r="D4751" t="str">
        <x:v>Footwear</x:v>
      </x:c>
      <x:c r="E4751" t="str">
        <x:v>Formal Shoes</x:v>
      </x:c>
      <x:c r="F4751" s="24" t="n">
        <x:v>218.6</x:v>
      </x:c>
      <x:c r="G4751" t="str">
        <x:v>Summer</x:v>
      </x:c>
      <x:c r="H4751" t="str">
        <x:v>Card</x:v>
      </x:c>
      <x:c r="I4751" t="n">
        <x:v>2.3</x:v>
      </x:c>
      <x:c r="J4751" t="n">
        <x:v>8</x:v>
      </x:c>
      <x:c r="K4751" t="n">
        <x:v>4</x:v>
      </x:c>
      <x:c r="L4751" t="str">
        <x:v>STORE-001</x:v>
      </x:c>
      <x:c r="M4751" s="22" t="n">
        <x:v>46036</x:v>
      </x:c>
      <x:c r="N4751" t="str">
        <x:v>SKU-007</x:v>
      </x:c>
      <x:c r="O4751" t="n">
        <x:v>1</x:v>
      </x:c>
      <x:c r="P4751" s="26" t="n">
        <x:f>F4751/O4751</x:f>
        <x:v>218.6</x:v>
      </x:c>
    </x:row>
    <x:row r="4752">
      <x:c r="A4752" t="n">
        <x:v>4751</x:v>
      </x:c>
      <x:c r="B4752" t="n">
        <x:v>27</x:v>
      </x:c>
      <x:c r="C4752" t="str">
        <x:v>Male</x:v>
      </x:c>
      <x:c r="D4752" t="str">
        <x:v>Sports</x:v>
      </x:c>
      <x:c r="E4752" t="str">
        <x:v>Football</x:v>
      </x:c>
      <x:c r="F4752" s="24" t="n">
        <x:v>96.93</x:v>
      </x:c>
      <x:c r="G4752" t="str">
        <x:v>Autumn</x:v>
      </x:c>
      <x:c r="H4752" t="str">
        <x:v>Cash on Delivery</x:v>
      </x:c>
      <x:c r="I4752" t="n">
        <x:v>3.2</x:v>
      </x:c>
      <x:c r="J4752" t="n">
        <x:v>8</x:v>
      </x:c>
      <x:c r="K4752" t="n">
        <x:v>4</x:v>
      </x:c>
      <x:c r="L4752" t="str">
        <x:v>STORE-001</x:v>
      </x:c>
      <x:c r="M4752" s="22" t="n">
        <x:v>46110</x:v>
      </x:c>
      <x:c r="N4752" t="str">
        <x:v>SKU-006</x:v>
      </x:c>
      <x:c r="O4752" t="n">
        <x:v>1</x:v>
      </x:c>
      <x:c r="P4752" s="26" t="n">
        <x:f>F4752/O4752</x:f>
        <x:v>96.93</x:v>
      </x:c>
    </x:row>
    <x:row r="4753">
      <x:c r="A4753" t="n">
        <x:v>4752</x:v>
      </x:c>
      <x:c r="B4753" t="n">
        <x:v>29</x:v>
      </x:c>
      <x:c r="C4753" t="str">
        <x:v>Male</x:v>
      </x:c>
      <x:c r="D4753" t="str">
        <x:v>Electronics</x:v>
      </x:c>
      <x:c r="E4753" t="str">
        <x:v>Headphones</x:v>
      </x:c>
      <x:c r="F4753" s="24" t="n">
        <x:v>2817.6</x:v>
      </x:c>
      <x:c r="G4753" t="str">
        <x:v>Autumn</x:v>
      </x:c>
      <x:c r="H4753" t="str">
        <x:v>Card</x:v>
      </x:c>
      <x:c r="I4753" t="n">
        <x:v>4.1</x:v>
      </x:c>
      <x:c r="J4753" t="n">
        <x:v>14</x:v>
      </x:c>
      <x:c r="K4753" t="n">
        <x:v>2</x:v>
      </x:c>
      <x:c r="L4753" t="str">
        <x:v>STORE-001</x:v>
      </x:c>
      <x:c r="M4753" s="22" t="n">
        <x:v>46126</x:v>
      </x:c>
      <x:c r="N4753" t="str">
        <x:v>SKU-009</x:v>
      </x:c>
      <x:c r="O4753" t="n">
        <x:v>1</x:v>
      </x:c>
      <x:c r="P4753" s="26" t="n">
        <x:f>F4753/O4753</x:f>
        <x:v>2817.6</x:v>
      </x:c>
    </x:row>
    <x:row r="4754">
      <x:c r="A4754" t="n">
        <x:v>4753</x:v>
      </x:c>
      <x:c r="B4754" t="n">
        <x:v>24</x:v>
      </x:c>
      <x:c r="C4754" t="str">
        <x:v>Female</x:v>
      </x:c>
      <x:c r="D4754" t="str">
        <x:v>Home</x:v>
      </x:c>
      <x:c r="E4754" t="str">
        <x:v>Curtains</x:v>
      </x:c>
      <x:c r="F4754" s="24" t="n">
        <x:v>209.24</x:v>
      </x:c>
      <x:c r="G4754" t="str">
        <x:v>Autumn</x:v>
      </x:c>
      <x:c r="H4754" t="str">
        <x:v>Card</x:v>
      </x:c>
      <x:c r="I4754" t="n">
        <x:v>3.1</x:v>
      </x:c>
      <x:c r="J4754" t="n">
        <x:v>6</x:v>
      </x:c>
      <x:c r="K4754" t="n">
        <x:v>3</x:v>
      </x:c>
      <x:c r="L4754" t="str">
        <x:v>STORE-001</x:v>
      </x:c>
      <x:c r="M4754" s="22" t="n">
        <x:v>46109</x:v>
      </x:c>
      <x:c r="N4754" t="str">
        <x:v>SKU-003</x:v>
      </x:c>
      <x:c r="O4754" t="n">
        <x:v>3</x:v>
      </x:c>
      <x:c r="P4754" s="26" t="n">
        <x:f>F4754/O4754</x:f>
        <x:v>69.74666666666667</x:v>
      </x:c>
    </x:row>
    <x:row r="4755">
      <x:c r="A4755" t="n">
        <x:v>4754</x:v>
      </x:c>
      <x:c r="B4755" t="n">
        <x:v>65</x:v>
      </x:c>
      <x:c r="C4755" t="str">
        <x:v>Male</x:v>
      </x:c>
      <x:c r="D4755" t="str">
        <x:v>Home</x:v>
      </x:c>
      <x:c r="E4755" t="str">
        <x:v>Kitchen Set</x:v>
      </x:c>
      <x:c r="F4755" s="24" t="n">
        <x:v>205.4</x:v>
      </x:c>
      <x:c r="G4755" t="str">
        <x:v>Summer</x:v>
      </x:c>
      <x:c r="H4755" t="str">
        <x:v>Card</x:v>
      </x:c>
      <x:c r="I4755" t="n">
        <x:v>3.8</x:v>
      </x:c>
      <x:c r="J4755" t="n">
        <x:v>8</x:v>
      </x:c>
      <x:c r="K4755" t="n">
        <x:v>4</x:v>
      </x:c>
      <x:c r="L4755" t="str">
        <x:v>STORE-001</x:v>
      </x:c>
      <x:c r="M4755" s="22" t="n">
        <x:v>46013</x:v>
      </x:c>
      <x:c r="N4755" t="str">
        <x:v>SKU-012</x:v>
      </x:c>
      <x:c r="O4755" t="n">
        <x:v>1</x:v>
      </x:c>
      <x:c r="P4755" s="26" t="n">
        <x:f>F4755/O4755</x:f>
        <x:v>205.4</x:v>
      </x:c>
    </x:row>
    <x:row r="4756">
      <x:c r="A4756" t="n">
        <x:v>4755</x:v>
      </x:c>
      <x:c r="B4756" t="n">
        <x:v>50</x:v>
      </x:c>
      <x:c r="C4756" t="str">
        <x:v>Female</x:v>
      </x:c>
      <x:c r="D4756" t="str">
        <x:v>Footwear</x:v>
      </x:c>
      <x:c r="E4756" t="str">
        <x:v>Formal Shoes</x:v>
      </x:c>
      <x:c r="F4756" s="24" t="n">
        <x:v>69.78</x:v>
      </x:c>
      <x:c r="G4756" t="str">
        <x:v>Winter</x:v>
      </x:c>
      <x:c r="H4756" t="str">
        <x:v>Card</x:v>
      </x:c>
      <x:c r="I4756" t="n">
        <x:v>3.1</x:v>
      </x:c>
      <x:c r="J4756" t="n">
        <x:v>13</x:v>
      </x:c>
      <x:c r="K4756" t="n">
        <x:v>4</x:v>
      </x:c>
      <x:c r="L4756" t="str">
        <x:v>STORE-001</x:v>
      </x:c>
      <x:c r="M4756" s="22" t="n">
        <x:v>46185</x:v>
      </x:c>
      <x:c r="N4756" t="str">
        <x:v>SKU-007</x:v>
      </x:c>
      <x:c r="O4756" t="n">
        <x:v>1</x:v>
      </x:c>
      <x:c r="P4756" s="26" t="n">
        <x:f>F4756/O4756</x:f>
        <x:v>69.78</x:v>
      </x:c>
    </x:row>
    <x:row r="4757">
      <x:c r="A4757" t="n">
        <x:v>4756</x:v>
      </x:c>
      <x:c r="B4757" t="n">
        <x:v>28</x:v>
      </x:c>
      <x:c r="C4757" t="str">
        <x:v>Female</x:v>
      </x:c>
      <x:c r="D4757" t="str">
        <x:v>Beauty</x:v>
      </x:c>
      <x:c r="E4757" t="str">
        <x:v>Makeup Set</x:v>
      </x:c>
      <x:c r="F4757" s="24" t="n">
        <x:v>133.09</x:v>
      </x:c>
      <x:c r="G4757" t="str">
        <x:v>Winter</x:v>
      </x:c>
      <x:c r="H4757" t="str">
        <x:v>Card</x:v>
      </x:c>
      <x:c r="I4757" t="n">
        <x:v>4.4</x:v>
      </x:c>
      <x:c r="J4757" t="n">
        <x:v>17</x:v>
      </x:c>
      <x:c r="K4757" t="n">
        <x:v>6</x:v>
      </x:c>
      <x:c r="L4757" t="str">
        <x:v>STORE-001</x:v>
      </x:c>
      <x:c r="M4757" s="22" t="n">
        <x:v>46217</x:v>
      </x:c>
      <x:c r="N4757" t="str">
        <x:v>SKU-015</x:v>
      </x:c>
      <x:c r="O4757" t="n">
        <x:v>2</x:v>
      </x:c>
      <x:c r="P4757" s="26" t="n">
        <x:f>F4757/O4757</x:f>
        <x:v>66.545</x:v>
      </x:c>
    </x:row>
    <x:row r="4758">
      <x:c r="A4758" t="n">
        <x:v>4757</x:v>
      </x:c>
      <x:c r="B4758" t="n">
        <x:v>26</x:v>
      </x:c>
      <x:c r="C4758" t="str">
        <x:v>Male</x:v>
      </x:c>
      <x:c r="D4758" t="str">
        <x:v>Home</x:v>
      </x:c>
      <x:c r="E4758" t="str">
        <x:v>Curtains</x:v>
      </x:c>
      <x:c r="F4758" s="24" t="n">
        <x:v>239.79</x:v>
      </x:c>
      <x:c r="G4758" t="str">
        <x:v>Spring</x:v>
      </x:c>
      <x:c r="H4758" t="str">
        <x:v>Card</x:v>
      </x:c>
      <x:c r="I4758" t="n">
        <x:v>3.5</x:v>
      </x:c>
      <x:c r="J4758" t="n">
        <x:v>8</x:v>
      </x:c>
      <x:c r="K4758" t="n">
        <x:v>4</x:v>
      </x:c>
      <x:c r="L4758" t="str">
        <x:v>STORE-001</x:v>
      </x:c>
      <x:c r="M4758" s="22" t="n">
        <x:v>46292</x:v>
      </x:c>
      <x:c r="N4758" t="str">
        <x:v>SKU-003</x:v>
      </x:c>
      <x:c r="O4758" t="n">
        <x:v>1</x:v>
      </x:c>
      <x:c r="P4758" s="26" t="n">
        <x:f>F4758/O4758</x:f>
        <x:v>239.79</x:v>
      </x:c>
    </x:row>
    <x:row r="4759">
      <x:c r="A4759" t="n">
        <x:v>4758</x:v>
      </x:c>
      <x:c r="B4759" t="n">
        <x:v>33</x:v>
      </x:c>
      <x:c r="C4759" t="str">
        <x:v>Female</x:v>
      </x:c>
      <x:c r="D4759" t="str">
        <x:v>Footwear</x:v>
      </x:c>
      <x:c r="E4759" t="str">
        <x:v>Formal Shoes</x:v>
      </x:c>
      <x:c r="F4759" s="24" t="n">
        <x:v>226.44</x:v>
      </x:c>
      <x:c r="G4759" t="str">
        <x:v>Summer</x:v>
      </x:c>
      <x:c r="H4759" t="str">
        <x:v>Card</x:v>
      </x:c>
      <x:c r="I4759" t="n">
        <x:v>4.5</x:v>
      </x:c>
      <x:c r="J4759" t="n">
        <x:v>8</x:v>
      </x:c>
      <x:c r="K4759" t="n">
        <x:v>4</x:v>
      </x:c>
      <x:c r="L4759" t="str">
        <x:v>STORE-001</x:v>
      </x:c>
      <x:c r="M4759" s="22" t="n">
        <x:v>46052</x:v>
      </x:c>
      <x:c r="N4759" t="str">
        <x:v>SKU-007</x:v>
      </x:c>
      <x:c r="O4759" t="n">
        <x:v>2</x:v>
      </x:c>
      <x:c r="P4759" s="26" t="n">
        <x:f>F4759/O4759</x:f>
        <x:v>113.22</x:v>
      </x:c>
    </x:row>
    <x:row r="4760">
      <x:c r="A4760" t="n">
        <x:v>4759</x:v>
      </x:c>
      <x:c r="B4760" t="n">
        <x:v>69</x:v>
      </x:c>
      <x:c r="C4760" t="str">
        <x:v>Male</x:v>
      </x:c>
      <x:c r="D4760" t="str">
        <x:v>Home</x:v>
      </x:c>
      <x:c r="E4760" t="str">
        <x:v>Kitchen Set</x:v>
      </x:c>
      <x:c r="F4760" s="24" t="n">
        <x:v>232.66</x:v>
      </x:c>
      <x:c r="G4760" t="str">
        <x:v>Spring</x:v>
      </x:c>
      <x:c r="H4760" t="str">
        <x:v>Card</x:v>
      </x:c>
      <x:c r="I4760" t="n">
        <x:v>3.7</x:v>
      </x:c>
      <x:c r="J4760" t="n">
        <x:v>26</x:v>
      </x:c>
      <x:c r="K4760" t="n">
        <x:v>8</x:v>
      </x:c>
      <x:c r="L4760" t="str">
        <x:v>STORE-001</x:v>
      </x:c>
      <x:c r="M4760" s="22" t="n">
        <x:v>46287</x:v>
      </x:c>
      <x:c r="N4760" t="str">
        <x:v>SKU-012</x:v>
      </x:c>
      <x:c r="O4760" t="n">
        <x:v>1</x:v>
      </x:c>
      <x:c r="P4760" s="26" t="n">
        <x:f>F4760/O4760</x:f>
        <x:v>232.66</x:v>
      </x:c>
    </x:row>
    <x:row r="4761">
      <x:c r="A4761" t="n">
        <x:v>4760</x:v>
      </x:c>
      <x:c r="B4761" t="n">
        <x:v>31</x:v>
      </x:c>
      <x:c r="C4761" t="str">
        <x:v>Female</x:v>
      </x:c>
      <x:c r="D4761" t="str">
        <x:v>Womens Clothing</x:v>
      </x:c>
      <x:c r="E4761" t="str">
        <x:v>Skirt</x:v>
      </x:c>
      <x:c r="F4761" s="24" t="n">
        <x:v>158.42</x:v>
      </x:c>
      <x:c r="G4761" t="str">
        <x:v>Spring</x:v>
      </x:c>
      <x:c r="H4761" t="str">
        <x:v>Card</x:v>
      </x:c>
      <x:c r="I4761" t="n">
        <x:v>3.3</x:v>
      </x:c>
      <x:c r="J4761" t="n">
        <x:v>15</x:v>
      </x:c>
      <x:c r="K4761" t="n">
        <x:v>5</x:v>
      </x:c>
      <x:c r="L4761" t="str">
        <x:v>STORE-001</x:v>
      </x:c>
      <x:c r="M4761" s="22" t="n">
        <x:v>46276</x:v>
      </x:c>
      <x:c r="N4761" t="str">
        <x:v>SKU-022</x:v>
      </x:c>
      <x:c r="O4761" t="n">
        <x:v>1</x:v>
      </x:c>
      <x:c r="P4761" s="26" t="n">
        <x:f>F4761/O4761</x:f>
        <x:v>158.42</x:v>
      </x:c>
    </x:row>
    <x:row r="4762">
      <x:c r="A4762" t="n">
        <x:v>4761</x:v>
      </x:c>
      <x:c r="B4762" t="n">
        <x:v>59</x:v>
      </x:c>
      <x:c r="C4762" t="str">
        <x:v>Female</x:v>
      </x:c>
      <x:c r="D4762" t="str">
        <x:v>Groceries</x:v>
      </x:c>
      <x:c r="E4762" t="str">
        <x:v>Beverages</x:v>
      </x:c>
      <x:c r="F4762" s="24" t="n">
        <x:v>23.69</x:v>
      </x:c>
      <x:c r="G4762" t="str">
        <x:v>Autumn</x:v>
      </x:c>
      <x:c r="H4762" t="str">
        <x:v>Cash on Delivery</x:v>
      </x:c>
      <x:c r="I4762" t="n">
        <x:v>3.5</x:v>
      </x:c>
      <x:c r="J4762" t="n">
        <x:v>14</x:v>
      </x:c>
      <x:c r="K4762" t="n">
        <x:v>2</x:v>
      </x:c>
      <x:c r="L4762" t="str">
        <x:v>STORE-001</x:v>
      </x:c>
      <x:c r="M4762" s="22" t="n">
        <x:v>46110</x:v>
      </x:c>
      <x:c r="N4762" t="str">
        <x:v>SKU-001</x:v>
      </x:c>
      <x:c r="O4762" t="n">
        <x:v>2</x:v>
      </x:c>
      <x:c r="P4762" s="26" t="n">
        <x:f>F4762/O4762</x:f>
        <x:v>11.845</x:v>
      </x:c>
    </x:row>
    <x:row r="4763">
      <x:c r="A4763" t="n">
        <x:v>4762</x:v>
      </x:c>
      <x:c r="B4763" t="n">
        <x:v>34</x:v>
      </x:c>
      <x:c r="C4763" t="str">
        <x:v>Male</x:v>
      </x:c>
      <x:c r="D4763" t="str">
        <x:v>Mens Clothing</x:v>
      </x:c>
      <x:c r="E4763" t="str">
        <x:v>Shirt</x:v>
      </x:c>
      <x:c r="F4763" s="24" t="n">
        <x:v>174.51</x:v>
      </x:c>
      <x:c r="G4763" t="str">
        <x:v>Spring</x:v>
      </x:c>
      <x:c r="H4763" t="str">
        <x:v>Card</x:v>
      </x:c>
      <x:c r="I4763" t="n">
        <x:v>2.6</x:v>
      </x:c>
      <x:c r="J4763" t="n">
        <x:v>12</x:v>
      </x:c>
      <x:c r="K4763" t="n">
        <x:v>6</x:v>
      </x:c>
      <x:c r="L4763" t="str">
        <x:v>STORE-001</x:v>
      </x:c>
      <x:c r="M4763" s="22" t="n">
        <x:v>46278</x:v>
      </x:c>
      <x:c r="N4763" t="str">
        <x:v>SKU-020</x:v>
      </x:c>
      <x:c r="O4763" t="n">
        <x:v>2</x:v>
      </x:c>
      <x:c r="P4763" s="26" t="n">
        <x:f>F4763/O4763</x:f>
        <x:v>87.255</x:v>
      </x:c>
    </x:row>
    <x:row r="4764">
      <x:c r="A4764" t="n">
        <x:v>4763</x:v>
      </x:c>
      <x:c r="B4764" t="n">
        <x:v>36</x:v>
      </x:c>
      <x:c r="C4764" t="str">
        <x:v>Male</x:v>
      </x:c>
      <x:c r="D4764" t="str">
        <x:v>Sports</x:v>
      </x:c>
      <x:c r="E4764" t="str">
        <x:v>Dumbbells</x:v>
      </x:c>
      <x:c r="F4764" s="24" t="n">
        <x:v>189.27</x:v>
      </x:c>
      <x:c r="G4764" t="str">
        <x:v>Autumn</x:v>
      </x:c>
      <x:c r="H4764" t="str">
        <x:v>Card</x:v>
      </x:c>
      <x:c r="I4764" t="n">
        <x:v>2.4</x:v>
      </x:c>
      <x:c r="J4764" t="n">
        <x:v>16</x:v>
      </x:c>
      <x:c r="K4764" t="n">
        <x:v>3</x:v>
      </x:c>
      <x:c r="L4764" t="str">
        <x:v>STORE-001</x:v>
      </x:c>
      <x:c r="M4764" s="22" t="n">
        <x:v>46166</x:v>
      </x:c>
      <x:c r="N4764" t="str">
        <x:v>SKU-005</x:v>
      </x:c>
      <x:c r="O4764" t="n">
        <x:v>1</x:v>
      </x:c>
      <x:c r="P4764" s="26" t="n">
        <x:f>F4764/O4764</x:f>
        <x:v>189.27</x:v>
      </x:c>
    </x:row>
    <x:row r="4765">
      <x:c r="A4765" t="n">
        <x:v>4764</x:v>
      </x:c>
      <x:c r="B4765" t="n">
        <x:v>22</x:v>
      </x:c>
      <x:c r="C4765" t="str">
        <x:v>Female</x:v>
      </x:c>
      <x:c r="D4765" t="str">
        <x:v>Beauty</x:v>
      </x:c>
      <x:c r="E4765" t="str">
        <x:v>Makeup Set</x:v>
      </x:c>
      <x:c r="F4765" s="24" t="n">
        <x:v>28.45</x:v>
      </x:c>
      <x:c r="G4765" t="str">
        <x:v>Winter</x:v>
      </x:c>
      <x:c r="H4765" t="str">
        <x:v>Cash on Delivery</x:v>
      </x:c>
      <x:c r="I4765" t="n">
        <x:v>3.6</x:v>
      </x:c>
      <x:c r="J4765" t="n">
        <x:v>15</x:v>
      </x:c>
      <x:c r="K4765" t="n">
        <x:v>5</x:v>
      </x:c>
      <x:c r="L4765" t="str">
        <x:v>STORE-001</x:v>
      </x:c>
      <x:c r="M4765" s="22" t="n">
        <x:v>46174</x:v>
      </x:c>
      <x:c r="N4765" t="str">
        <x:v>SKU-015</x:v>
      </x:c>
      <x:c r="O4765" t="n">
        <x:v>1</x:v>
      </x:c>
      <x:c r="P4765" s="26" t="n">
        <x:f>F4765/O4765</x:f>
        <x:v>28.45</x:v>
      </x:c>
    </x:row>
    <x:row r="4766">
      <x:c r="A4766" t="n">
        <x:v>4765</x:v>
      </x:c>
      <x:c r="B4766" t="n">
        <x:v>42</x:v>
      </x:c>
      <x:c r="C4766" t="str">
        <x:v>Female</x:v>
      </x:c>
      <x:c r="D4766" t="str">
        <x:v>Accessories</x:v>
      </x:c>
      <x:c r="E4766" t="str">
        <x:v>Handbag</x:v>
      </x:c>
      <x:c r="F4766" s="24" t="n">
        <x:v>103.25</x:v>
      </x:c>
      <x:c r="G4766" t="str">
        <x:v>Summer</x:v>
      </x:c>
      <x:c r="H4766" t="str">
        <x:v>Card</x:v>
      </x:c>
      <x:c r="I4766" t="n">
        <x:v>4.1</x:v>
      </x:c>
      <x:c r="J4766" t="n">
        <x:v>15</x:v>
      </x:c>
      <x:c r="K4766" t="n">
        <x:v>5</x:v>
      </x:c>
      <x:c r="L4766" t="str">
        <x:v>STORE-001</x:v>
      </x:c>
      <x:c r="M4766" s="22" t="n">
        <x:v>46034</x:v>
      </x:c>
      <x:c r="N4766" t="str">
        <x:v>SKU-008</x:v>
      </x:c>
      <x:c r="O4766" t="n">
        <x:v>1</x:v>
      </x:c>
      <x:c r="P4766" s="26" t="n">
        <x:f>F4766/O4766</x:f>
        <x:v>103.25</x:v>
      </x:c>
    </x:row>
    <x:row r="4767">
      <x:c r="A4767" t="n">
        <x:v>4766</x:v>
      </x:c>
      <x:c r="B4767" t="n">
        <x:v>32</x:v>
      </x:c>
      <x:c r="C4767" t="str">
        <x:v>Male</x:v>
      </x:c>
      <x:c r="D4767" t="str">
        <x:v>Electronics</x:v>
      </x:c>
      <x:c r="E4767" t="str">
        <x:v>Mobile Phone</x:v>
      </x:c>
      <x:c r="F4767" s="24" t="n">
        <x:v>2817.12</x:v>
      </x:c>
      <x:c r="G4767" t="str">
        <x:v>Autumn</x:v>
      </x:c>
      <x:c r="H4767" t="str">
        <x:v>Card</x:v>
      </x:c>
      <x:c r="I4767" t="n">
        <x:v>2.6</x:v>
      </x:c>
      <x:c r="J4767" t="n">
        <x:v>12</x:v>
      </x:c>
      <x:c r="K4767" t="n">
        <x:v>6</x:v>
      </x:c>
      <x:c r="L4767" t="str">
        <x:v>STORE-001</x:v>
      </x:c>
      <x:c r="M4767" s="22" t="n">
        <x:v>46092</x:v>
      </x:c>
      <x:c r="N4767" t="str">
        <x:v>SKU-016</x:v>
      </x:c>
      <x:c r="O4767" t="n">
        <x:v>1</x:v>
      </x:c>
      <x:c r="P4767" s="26" t="n">
        <x:f>F4767/O4767</x:f>
        <x:v>2817.12</x:v>
      </x:c>
    </x:row>
    <x:row r="4768">
      <x:c r="A4768" t="n">
        <x:v>4767</x:v>
      </x:c>
      <x:c r="B4768" t="n">
        <x:v>45</x:v>
      </x:c>
      <x:c r="C4768" t="str">
        <x:v>Male</x:v>
      </x:c>
      <x:c r="D4768" t="str">
        <x:v>Footwear</x:v>
      </x:c>
      <x:c r="E4768" t="str">
        <x:v>Sneakers</x:v>
      </x:c>
      <x:c r="F4768" s="24" t="n">
        <x:v>239.66</x:v>
      </x:c>
      <x:c r="G4768" t="str">
        <x:v>Spring</x:v>
      </x:c>
      <x:c r="H4768" t="str">
        <x:v>Card</x:v>
      </x:c>
      <x:c r="I4768" t="n">
        <x:v>4.7</x:v>
      </x:c>
      <x:c r="J4768" t="n">
        <x:v>12</x:v>
      </x:c>
      <x:c r="K4768" t="n">
        <x:v>6</x:v>
      </x:c>
      <x:c r="L4768" t="str">
        <x:v>STORE-001</x:v>
      </x:c>
      <x:c r="M4768" s="22" t="n">
        <x:v>45954</x:v>
      </x:c>
      <x:c r="N4768" t="str">
        <x:v>SKU-025</x:v>
      </x:c>
      <x:c r="O4768" t="n">
        <x:v>1</x:v>
      </x:c>
      <x:c r="P4768" s="26" t="n">
        <x:f>F4768/O4768</x:f>
        <x:v>239.66</x:v>
      </x:c>
    </x:row>
    <x:row r="4769">
      <x:c r="A4769" t="n">
        <x:v>4768</x:v>
      </x:c>
      <x:c r="B4769" t="n">
        <x:v>30</x:v>
      </x:c>
      <x:c r="C4769" t="str">
        <x:v>Male</x:v>
      </x:c>
      <x:c r="D4769" t="str">
        <x:v>Mens Clothing</x:v>
      </x:c>
      <x:c r="E4769" t="str">
        <x:v>T-Shirt</x:v>
      </x:c>
      <x:c r="F4769" s="24" t="n">
        <x:v>56.45</x:v>
      </x:c>
      <x:c r="G4769" t="str">
        <x:v>Winter</x:v>
      </x:c>
      <x:c r="H4769" t="str">
        <x:v>Card</x:v>
      </x:c>
      <x:c r="I4769" t="n">
        <x:v>3.7</x:v>
      </x:c>
      <x:c r="J4769" t="n">
        <x:v>24</x:v>
      </x:c>
      <x:c r="K4769" t="n">
        <x:v>7</x:v>
      </x:c>
      <x:c r="L4769" t="str">
        <x:v>STORE-001</x:v>
      </x:c>
      <x:c r="M4769" s="22" t="n">
        <x:v>46234</x:v>
      </x:c>
      <x:c r="N4769" t="str">
        <x:v>SKU-027</x:v>
      </x:c>
      <x:c r="O4769" t="n">
        <x:v>1</x:v>
      </x:c>
      <x:c r="P4769" s="26" t="n">
        <x:f>F4769/O4769</x:f>
        <x:v>56.45</x:v>
      </x:c>
    </x:row>
    <x:row r="4770">
      <x:c r="A4770" t="n">
        <x:v>4769</x:v>
      </x:c>
      <x:c r="B4770" t="n">
        <x:v>69</x:v>
      </x:c>
      <x:c r="C4770" t="str">
        <x:v>Female</x:v>
      </x:c>
      <x:c r="D4770" t="str">
        <x:v>Footwear</x:v>
      </x:c>
      <x:c r="E4770" t="str">
        <x:v>Formal Shoes</x:v>
      </x:c>
      <x:c r="F4770" s="24" t="n">
        <x:v>114.1</x:v>
      </x:c>
      <x:c r="G4770" t="str">
        <x:v>Winter</x:v>
      </x:c>
      <x:c r="H4770" t="str">
        <x:v>Card</x:v>
      </x:c>
      <x:c r="I4770" t="n">
        <x:v>3.4</x:v>
      </x:c>
      <x:c r="J4770" t="n">
        <x:v>28</x:v>
      </x:c>
      <x:c r="K4770" t="n">
        <x:v>9</x:v>
      </x:c>
      <x:c r="L4770" t="str">
        <x:v>STORE-001</x:v>
      </x:c>
      <x:c r="M4770" s="22" t="n">
        <x:v>46201</x:v>
      </x:c>
      <x:c r="N4770" t="str">
        <x:v>SKU-007</x:v>
      </x:c>
      <x:c r="O4770" t="n">
        <x:v>1</x:v>
      </x:c>
      <x:c r="P4770" s="26" t="n">
        <x:f>F4770/O4770</x:f>
        <x:v>114.1</x:v>
      </x:c>
    </x:row>
    <x:row r="4771">
      <x:c r="A4771" t="n">
        <x:v>4770</x:v>
      </x:c>
      <x:c r="B4771" t="n">
        <x:v>48</x:v>
      </x:c>
      <x:c r="C4771" t="str">
        <x:v>Female</x:v>
      </x:c>
      <x:c r="D4771" t="str">
        <x:v>Womens Clothing</x:v>
      </x:c>
      <x:c r="E4771" t="str">
        <x:v>Skirt</x:v>
      </x:c>
      <x:c r="F4771" s="24" t="n">
        <x:v>180.95</x:v>
      </x:c>
      <x:c r="G4771" t="str">
        <x:v>Autumn</x:v>
      </x:c>
      <x:c r="H4771" t="str">
        <x:v>Card</x:v>
      </x:c>
      <x:c r="I4771" t="n">
        <x:v>4</x:v>
      </x:c>
      <x:c r="J4771" t="n">
        <x:v>10</x:v>
      </x:c>
      <x:c r="K4771" t="n">
        <x:v>5</x:v>
      </x:c>
      <x:c r="L4771" t="str">
        <x:v>STORE-001</x:v>
      </x:c>
      <x:c r="M4771" s="22" t="n">
        <x:v>46122</x:v>
      </x:c>
      <x:c r="N4771" t="str">
        <x:v>SKU-022</x:v>
      </x:c>
      <x:c r="O4771" t="n">
        <x:v>2</x:v>
      </x:c>
      <x:c r="P4771" s="26" t="n">
        <x:f>F4771/O4771</x:f>
        <x:v>90.475</x:v>
      </x:c>
    </x:row>
    <x:row r="4772">
      <x:c r="A4772" t="n">
        <x:v>4771</x:v>
      </x:c>
      <x:c r="B4772" t="n">
        <x:v>44</x:v>
      </x:c>
      <x:c r="C4772" t="str">
        <x:v>Female</x:v>
      </x:c>
      <x:c r="D4772" t="str">
        <x:v>Womens Clothing</x:v>
      </x:c>
      <x:c r="E4772" t="str">
        <x:v>Jeans</x:v>
      </x:c>
      <x:c r="F4772" s="24" t="n">
        <x:v>45.18</x:v>
      </x:c>
      <x:c r="G4772" t="str">
        <x:v>Spring</x:v>
      </x:c>
      <x:c r="H4772" t="str">
        <x:v>Card</x:v>
      </x:c>
      <x:c r="I4772" t="n">
        <x:v>4.4</x:v>
      </x:c>
      <x:c r="J4772" t="n">
        <x:v>15</x:v>
      </x:c>
      <x:c r="K4772" t="n">
        <x:v>5</x:v>
      </x:c>
      <x:c r="L4772" t="str">
        <x:v>STORE-001</x:v>
      </x:c>
      <x:c r="M4772" s="22" t="n">
        <x:v>46287</x:v>
      </x:c>
      <x:c r="N4772" t="str">
        <x:v>SKU-011</x:v>
      </x:c>
      <x:c r="O4772" t="n">
        <x:v>1</x:v>
      </x:c>
      <x:c r="P4772" s="26" t="n">
        <x:f>F4772/O4772</x:f>
        <x:v>45.18</x:v>
      </x:c>
    </x:row>
    <x:row r="4773">
      <x:c r="A4773" t="n">
        <x:v>4772</x:v>
      </x:c>
      <x:c r="B4773" t="n">
        <x:v>30</x:v>
      </x:c>
      <x:c r="C4773" t="str">
        <x:v>Male</x:v>
      </x:c>
      <x:c r="D4773" t="str">
        <x:v>Footwear</x:v>
      </x:c>
      <x:c r="E4773" t="str">
        <x:v>Formal Shoes</x:v>
      </x:c>
      <x:c r="F4773" s="24" t="n">
        <x:v>243.11</x:v>
      </x:c>
      <x:c r="G4773" t="str">
        <x:v>Winter</x:v>
      </x:c>
      <x:c r="H4773" t="str">
        <x:v>Card</x:v>
      </x:c>
      <x:c r="I4773" t="n">
        <x:v>3.4</x:v>
      </x:c>
      <x:c r="J4773" t="n">
        <x:v>18</x:v>
      </x:c>
      <x:c r="K4773" t="n">
        <x:v>9</x:v>
      </x:c>
      <x:c r="L4773" t="str">
        <x:v>STORE-001</x:v>
      </x:c>
      <x:c r="M4773" s="22" t="n">
        <x:v>46246</x:v>
      </x:c>
      <x:c r="N4773" t="str">
        <x:v>SKU-007</x:v>
      </x:c>
      <x:c r="O4773" t="n">
        <x:v>2</x:v>
      </x:c>
      <x:c r="P4773" s="26" t="n">
        <x:f>F4773/O4773</x:f>
        <x:v>121.555</x:v>
      </x:c>
    </x:row>
    <x:row r="4774">
      <x:c r="A4774" t="n">
        <x:v>4773</x:v>
      </x:c>
      <x:c r="B4774" t="n">
        <x:v>66</x:v>
      </x:c>
      <x:c r="C4774" t="str">
        <x:v>Male</x:v>
      </x:c>
      <x:c r="D4774" t="str">
        <x:v>Footwear</x:v>
      </x:c>
      <x:c r="E4774" t="str">
        <x:v>Sandals</x:v>
      </x:c>
      <x:c r="F4774" s="24" t="n">
        <x:v>200.45</x:v>
      </x:c>
      <x:c r="G4774" t="str">
        <x:v>Spring</x:v>
      </x:c>
      <x:c r="H4774" t="str">
        <x:v>Card</x:v>
      </x:c>
      <x:c r="I4774" t="n">
        <x:v>4.4</x:v>
      </x:c>
      <x:c r="J4774" t="n">
        <x:v>18</x:v>
      </x:c>
      <x:c r="K4774" t="n">
        <x:v>4</x:v>
      </x:c>
      <x:c r="L4774" t="str">
        <x:v>STORE-001</x:v>
      </x:c>
      <x:c r="M4774" s="22" t="n">
        <x:v>46268</x:v>
      </x:c>
      <x:c r="N4774" t="str">
        <x:v>SKU-019</x:v>
      </x:c>
      <x:c r="O4774" t="n">
        <x:v>1</x:v>
      </x:c>
      <x:c r="P4774" s="26" t="n">
        <x:f>F4774/O4774</x:f>
        <x:v>200.45</x:v>
      </x:c>
    </x:row>
    <x:row r="4775">
      <x:c r="A4775" t="n">
        <x:v>4774</x:v>
      </x:c>
      <x:c r="B4775" t="n">
        <x:v>33</x:v>
      </x:c>
      <x:c r="C4775" t="str">
        <x:v>Female</x:v>
      </x:c>
      <x:c r="D4775" t="str">
        <x:v>Beauty</x:v>
      </x:c>
      <x:c r="E4775" t="str">
        <x:v>Skincare Kit</x:v>
      </x:c>
      <x:c r="F4775" s="24" t="n">
        <x:v>121.83</x:v>
      </x:c>
      <x:c r="G4775" t="str">
        <x:v>Winter</x:v>
      </x:c>
      <x:c r="H4775" t="str">
        <x:v>Card</x:v>
      </x:c>
      <x:c r="I4775" t="n">
        <x:v>4.4</x:v>
      </x:c>
      <x:c r="J4775" t="n">
        <x:v>8</x:v>
      </x:c>
      <x:c r="K4775" t="n">
        <x:v>4</x:v>
      </x:c>
      <x:c r="L4775" t="str">
        <x:v>STORE-001</x:v>
      </x:c>
      <x:c r="M4775" s="22" t="n">
        <x:v>46250</x:v>
      </x:c>
      <x:c r="N4775" t="str">
        <x:v>SKU-021</x:v>
      </x:c>
      <x:c r="O4775" t="n">
        <x:v>1</x:v>
      </x:c>
      <x:c r="P4775" s="26" t="n">
        <x:f>F4775/O4775</x:f>
        <x:v>121.83</x:v>
      </x:c>
    </x:row>
    <x:row r="4776">
      <x:c r="A4776" t="n">
        <x:v>4775</x:v>
      </x:c>
      <x:c r="B4776" t="n">
        <x:v>41</x:v>
      </x:c>
      <x:c r="C4776" t="str">
        <x:v>Female</x:v>
      </x:c>
      <x:c r="D4776" t="str">
        <x:v>Groceries</x:v>
      </x:c>
      <x:c r="E4776" t="str">
        <x:v>Rice Pack</x:v>
      </x:c>
      <x:c r="F4776" s="24" t="n">
        <x:v>28.73</x:v>
      </x:c>
      <x:c r="G4776" t="str">
        <x:v>Summer</x:v>
      </x:c>
      <x:c r="H4776" t="str">
        <x:v>Card</x:v>
      </x:c>
      <x:c r="I4776" t="n">
        <x:v>3.9</x:v>
      </x:c>
      <x:c r="J4776" t="n">
        <x:v>6</x:v>
      </x:c>
      <x:c r="K4776" t="n">
        <x:v>3</x:v>
      </x:c>
      <x:c r="L4776" t="str">
        <x:v>STORE-001</x:v>
      </x:c>
      <x:c r="M4776" s="22" t="n">
        <x:v>46054</x:v>
      </x:c>
      <x:c r="N4776" t="str">
        <x:v>SKU-018</x:v>
      </x:c>
      <x:c r="O4776" t="n">
        <x:v>4</x:v>
      </x:c>
      <x:c r="P4776" s="26" t="n">
        <x:f>F4776/O4776</x:f>
        <x:v>7.1825</x:v>
      </x:c>
    </x:row>
    <x:row r="4777">
      <x:c r="A4777" t="n">
        <x:v>4776</x:v>
      </x:c>
      <x:c r="B4777" t="n">
        <x:v>27</x:v>
      </x:c>
      <x:c r="C4777" t="str">
        <x:v>Female</x:v>
      </x:c>
      <x:c r="D4777" t="str">
        <x:v>Footwear</x:v>
      </x:c>
      <x:c r="E4777" t="str">
        <x:v>Formal Shoes</x:v>
      </x:c>
      <x:c r="F4777" s="24" t="n">
        <x:v>117.43</x:v>
      </x:c>
      <x:c r="G4777" t="str">
        <x:v>Spring</x:v>
      </x:c>
      <x:c r="H4777" t="str">
        <x:v>Card</x:v>
      </x:c>
      <x:c r="I4777" t="n">
        <x:v>3.4</x:v>
      </x:c>
      <x:c r="J4777" t="n">
        <x:v>10</x:v>
      </x:c>
      <x:c r="K4777" t="n">
        <x:v>5</x:v>
      </x:c>
      <x:c r="L4777" t="str">
        <x:v>STORE-001</x:v>
      </x:c>
      <x:c r="M4777" s="22" t="n">
        <x:v>46268</x:v>
      </x:c>
      <x:c r="N4777" t="str">
        <x:v>SKU-007</x:v>
      </x:c>
      <x:c r="O4777" t="n">
        <x:v>1</x:v>
      </x:c>
      <x:c r="P4777" s="26" t="n">
        <x:f>F4777/O4777</x:f>
        <x:v>117.43</x:v>
      </x:c>
    </x:row>
    <x:row r="4778">
      <x:c r="A4778" t="n">
        <x:v>4777</x:v>
      </x:c>
      <x:c r="B4778" t="n">
        <x:v>57</x:v>
      </x:c>
      <x:c r="C4778" t="str">
        <x:v>Male</x:v>
      </x:c>
      <x:c r="D4778" t="str">
        <x:v>Electronics</x:v>
      </x:c>
      <x:c r="E4778" t="str">
        <x:v>Headphones</x:v>
      </x:c>
      <x:c r="F4778" s="24" t="n">
        <x:v>1597.87</x:v>
      </x:c>
      <x:c r="G4778" t="str">
        <x:v>Autumn</x:v>
      </x:c>
      <x:c r="H4778" t="str">
        <x:v>Card</x:v>
      </x:c>
      <x:c r="I4778" t="n">
        <x:v>4.2</x:v>
      </x:c>
      <x:c r="J4778" t="n">
        <x:v>19</x:v>
      </x:c>
      <x:c r="K4778" t="n">
        <x:v>7</x:v>
      </x:c>
      <x:c r="L4778" t="str">
        <x:v>STORE-001</x:v>
      </x:c>
      <x:c r="M4778" s="22" t="n">
        <x:v>46092</x:v>
      </x:c>
      <x:c r="N4778" t="str">
        <x:v>SKU-009</x:v>
      </x:c>
      <x:c r="O4778" t="n">
        <x:v>1</x:v>
      </x:c>
      <x:c r="P4778" s="26" t="n">
        <x:f>F4778/O4778</x:f>
        <x:v>1597.87</x:v>
      </x:c>
    </x:row>
    <x:row r="4779">
      <x:c r="A4779" t="n">
        <x:v>4778</x:v>
      </x:c>
      <x:c r="B4779" t="n">
        <x:v>48</x:v>
      </x:c>
      <x:c r="C4779" t="str">
        <x:v>Male</x:v>
      </x:c>
      <x:c r="D4779" t="str">
        <x:v>Sports</x:v>
      </x:c>
      <x:c r="E4779" t="str">
        <x:v>Yoga Mat</x:v>
      </x:c>
      <x:c r="F4779" s="24" t="n">
        <x:v>137.63</x:v>
      </x:c>
      <x:c r="G4779" t="str">
        <x:v>Autumn</x:v>
      </x:c>
      <x:c r="H4779" t="str">
        <x:v>Card</x:v>
      </x:c>
      <x:c r="I4779" t="n">
        <x:v>3.5</x:v>
      </x:c>
      <x:c r="J4779" t="n">
        <x:v>8</x:v>
      </x:c>
      <x:c r="K4779" t="n">
        <x:v>4</x:v>
      </x:c>
      <x:c r="L4779" t="str">
        <x:v>STORE-001</x:v>
      </x:c>
      <x:c r="M4779" s="22" t="n">
        <x:v>46133</x:v>
      </x:c>
      <x:c r="N4779" t="str">
        <x:v>SKU-030</x:v>
      </x:c>
      <x:c r="O4779" t="n">
        <x:v>1</x:v>
      </x:c>
      <x:c r="P4779" s="26" t="n">
        <x:f>F4779/O4779</x:f>
        <x:v>137.63</x:v>
      </x:c>
    </x:row>
    <x:row r="4780">
      <x:c r="A4780" t="n">
        <x:v>4779</x:v>
      </x:c>
      <x:c r="B4780" t="n">
        <x:v>67</x:v>
      </x:c>
      <x:c r="C4780" t="str">
        <x:v>Female</x:v>
      </x:c>
      <x:c r="D4780" t="str">
        <x:v>Womens Clothing</x:v>
      </x:c>
      <x:c r="E4780" t="str">
        <x:v>Skirt</x:v>
      </x:c>
      <x:c r="F4780" s="24" t="n">
        <x:v>134.73</x:v>
      </x:c>
      <x:c r="G4780" t="str">
        <x:v>Winter</x:v>
      </x:c>
      <x:c r="H4780" t="str">
        <x:v>Card</x:v>
      </x:c>
      <x:c r="I4780" t="n">
        <x:v>3.9</x:v>
      </x:c>
      <x:c r="J4780" t="n">
        <x:v>13</x:v>
      </x:c>
      <x:c r="K4780" t="n">
        <x:v>4</x:v>
      </x:c>
      <x:c r="L4780" t="str">
        <x:v>STORE-001</x:v>
      </x:c>
      <x:c r="M4780" s="22" t="n">
        <x:v>46202</x:v>
      </x:c>
      <x:c r="N4780" t="str">
        <x:v>SKU-022</x:v>
      </x:c>
      <x:c r="O4780" t="n">
        <x:v>1</x:v>
      </x:c>
      <x:c r="P4780" s="26" t="n">
        <x:f>F4780/O4780</x:f>
        <x:v>134.73</x:v>
      </x:c>
    </x:row>
    <x:row r="4781">
      <x:c r="A4781" t="n">
        <x:v>4780</x:v>
      </x:c>
      <x:c r="B4781" t="n">
        <x:v>59</x:v>
      </x:c>
      <x:c r="C4781" t="str">
        <x:v>Female</x:v>
      </x:c>
      <x:c r="D4781" t="str">
        <x:v>Beauty</x:v>
      </x:c>
      <x:c r="E4781" t="str">
        <x:v>Skincare Kit</x:v>
      </x:c>
      <x:c r="F4781" s="24" t="n">
        <x:v>42.19</x:v>
      </x:c>
      <x:c r="G4781" t="str">
        <x:v>Summer</x:v>
      </x:c>
      <x:c r="H4781" t="str">
        <x:v>Card</x:v>
      </x:c>
      <x:c r="I4781" t="n">
        <x:v>2.2</x:v>
      </x:c>
      <x:c r="J4781" t="n">
        <x:v>11</x:v>
      </x:c>
      <x:c r="K4781" t="n">
        <x:v>3</x:v>
      </x:c>
      <x:c r="L4781" t="str">
        <x:v>STORE-001</x:v>
      </x:c>
      <x:c r="M4781" s="22" t="n">
        <x:v>46050</x:v>
      </x:c>
      <x:c r="N4781" t="str">
        <x:v>SKU-021</x:v>
      </x:c>
      <x:c r="O4781" t="n">
        <x:v>1</x:v>
      </x:c>
      <x:c r="P4781" s="26" t="n">
        <x:f>F4781/O4781</x:f>
        <x:v>42.19</x:v>
      </x:c>
    </x:row>
    <x:row r="4782">
      <x:c r="A4782" t="n">
        <x:v>4781</x:v>
      </x:c>
      <x:c r="B4782" t="n">
        <x:v>66</x:v>
      </x:c>
      <x:c r="C4782" t="str">
        <x:v>Male</x:v>
      </x:c>
      <x:c r="D4782" t="str">
        <x:v>Groceries</x:v>
      </x:c>
      <x:c r="E4782" t="str">
        <x:v>Cooking Oil</x:v>
      </x:c>
      <x:c r="F4782" s="24" t="n">
        <x:v>44.99</x:v>
      </x:c>
      <x:c r="G4782" t="str">
        <x:v>Autumn</x:v>
      </x:c>
      <x:c r="H4782" t="str">
        <x:v>Cash on Delivery</x:v>
      </x:c>
      <x:c r="I4782" t="n">
        <x:v>4.3</x:v>
      </x:c>
      <x:c r="J4782" t="n">
        <x:v>19</x:v>
      </x:c>
      <x:c r="K4782" t="n">
        <x:v>7</x:v>
      </x:c>
      <x:c r="L4782" t="str">
        <x:v>STORE-001</x:v>
      </x:c>
      <x:c r="M4782" s="22" t="n">
        <x:v>46166</x:v>
      </x:c>
      <x:c r="N4782" t="str">
        <x:v>SKU-002</x:v>
      </x:c>
      <x:c r="O4782" t="n">
        <x:v>3</x:v>
      </x:c>
      <x:c r="P4782" s="26" t="n">
        <x:f>F4782/O4782</x:f>
        <x:v>14.996666666666668</x:v>
      </x:c>
    </x:row>
    <x:row r="4783">
      <x:c r="A4783" t="n">
        <x:v>4782</x:v>
      </x:c>
      <x:c r="B4783" t="n">
        <x:v>60</x:v>
      </x:c>
      <x:c r="C4783" t="str">
        <x:v>Male</x:v>
      </x:c>
      <x:c r="D4783" t="str">
        <x:v>Groceries</x:v>
      </x:c>
      <x:c r="E4783" t="str">
        <x:v>Beverages</x:v>
      </x:c>
      <x:c r="F4783" s="24" t="n">
        <x:v>5.98</x:v>
      </x:c>
      <x:c r="G4783" t="str">
        <x:v>Summer</x:v>
      </x:c>
      <x:c r="H4783" t="str">
        <x:v>Cash on Delivery</x:v>
      </x:c>
      <x:c r="I4783" t="n">
        <x:v>3.7</x:v>
      </x:c>
      <x:c r="J4783" t="n">
        <x:v>15</x:v>
      </x:c>
      <x:c r="K4783" t="n">
        <x:v>5</x:v>
      </x:c>
      <x:c r="L4783" t="str">
        <x:v>STORE-001</x:v>
      </x:c>
      <x:c r="M4783" s="22" t="n">
        <x:v>46027</x:v>
      </x:c>
      <x:c r="N4783" t="str">
        <x:v>SKU-001</x:v>
      </x:c>
      <x:c r="O4783" t="n">
        <x:v>2</x:v>
      </x:c>
      <x:c r="P4783" s="26" t="n">
        <x:f>F4783/O4783</x:f>
        <x:v>2.99</x:v>
      </x:c>
    </x:row>
    <x:row r="4784">
      <x:c r="A4784" t="n">
        <x:v>4783</x:v>
      </x:c>
      <x:c r="B4784" t="n">
        <x:v>50</x:v>
      </x:c>
      <x:c r="C4784" t="str">
        <x:v>Female</x:v>
      </x:c>
      <x:c r="D4784" t="str">
        <x:v>Womens Clothing</x:v>
      </x:c>
      <x:c r="E4784" t="str">
        <x:v>Dress</x:v>
      </x:c>
      <x:c r="F4784" s="24" t="n">
        <x:v>90.5</x:v>
      </x:c>
      <x:c r="G4784" t="str">
        <x:v>Autumn</x:v>
      </x:c>
      <x:c r="H4784" t="str">
        <x:v>Cash on Delivery</x:v>
      </x:c>
      <x:c r="I4784" t="n">
        <x:v>3.6</x:v>
      </x:c>
      <x:c r="J4784" t="n">
        <x:v>19</x:v>
      </x:c>
      <x:c r="K4784" t="n">
        <x:v>7</x:v>
      </x:c>
      <x:c r="L4784" t="str">
        <x:v>STORE-001</x:v>
      </x:c>
      <x:c r="M4784" s="22" t="n">
        <x:v>46095</x:v>
      </x:c>
      <x:c r="N4784" t="str">
        <x:v>SKU-004</x:v>
      </x:c>
      <x:c r="O4784" t="n">
        <x:v>1</x:v>
      </x:c>
      <x:c r="P4784" s="26" t="n">
        <x:f>F4784/O4784</x:f>
        <x:v>90.5</x:v>
      </x:c>
    </x:row>
    <x:row r="4785">
      <x:c r="A4785" t="n">
        <x:v>4784</x:v>
      </x:c>
      <x:c r="B4785" t="n">
        <x:v>67</x:v>
      </x:c>
      <x:c r="C4785" t="str">
        <x:v>Female</x:v>
      </x:c>
      <x:c r="D4785" t="str">
        <x:v>Womens Clothing</x:v>
      </x:c>
      <x:c r="E4785" t="str">
        <x:v>Jeans</x:v>
      </x:c>
      <x:c r="F4785" s="24" t="n">
        <x:v>61.64</x:v>
      </x:c>
      <x:c r="G4785" t="str">
        <x:v>Spring</x:v>
      </x:c>
      <x:c r="H4785" t="str">
        <x:v>Cash on Delivery</x:v>
      </x:c>
      <x:c r="I4785" t="n">
        <x:v>3.8</x:v>
      </x:c>
      <x:c r="J4785" t="n">
        <x:v>14</x:v>
      </x:c>
      <x:c r="K4785" t="n">
        <x:v>2</x:v>
      </x:c>
      <x:c r="L4785" t="str">
        <x:v>STORE-001</x:v>
      </x:c>
      <x:c r="M4785" s="22" t="n">
        <x:v>45979</x:v>
      </x:c>
      <x:c r="N4785" t="str">
        <x:v>SKU-011</x:v>
      </x:c>
      <x:c r="O4785" t="n">
        <x:v>1</x:v>
      </x:c>
      <x:c r="P4785" s="26" t="n">
        <x:f>F4785/O4785</x:f>
        <x:v>61.64</x:v>
      </x:c>
    </x:row>
    <x:row r="4786">
      <x:c r="A4786" t="n">
        <x:v>4785</x:v>
      </x:c>
      <x:c r="B4786" t="n">
        <x:v>21</x:v>
      </x:c>
      <x:c r="C4786" t="str">
        <x:v>Male</x:v>
      </x:c>
      <x:c r="D4786" t="str">
        <x:v>Mens Clothing</x:v>
      </x:c>
      <x:c r="E4786" t="str">
        <x:v>T-Shirt</x:v>
      </x:c>
      <x:c r="F4786" s="24" t="n">
        <x:v>30.63</x:v>
      </x:c>
      <x:c r="G4786" t="str">
        <x:v>Winter</x:v>
      </x:c>
      <x:c r="H4786" t="str">
        <x:v>Card</x:v>
      </x:c>
      <x:c r="I4786" t="n">
        <x:v>3.2</x:v>
      </x:c>
      <x:c r="J4786" t="n">
        <x:v>15</x:v>
      </x:c>
      <x:c r="K4786" t="n">
        <x:v>5</x:v>
      </x:c>
      <x:c r="L4786" t="str">
        <x:v>STORE-001</x:v>
      </x:c>
      <x:c r="M4786" s="22" t="n">
        <x:v>46218</x:v>
      </x:c>
      <x:c r="N4786" t="str">
        <x:v>SKU-027</x:v>
      </x:c>
      <x:c r="O4786" t="n">
        <x:v>1</x:v>
      </x:c>
      <x:c r="P4786" s="26" t="n">
        <x:f>F4786/O4786</x:f>
        <x:v>30.63</x:v>
      </x:c>
    </x:row>
    <x:row r="4787">
      <x:c r="A4787" t="n">
        <x:v>4786</x:v>
      </x:c>
      <x:c r="B4787" t="n">
        <x:v>31</x:v>
      </x:c>
      <x:c r="C4787" t="str">
        <x:v>Male</x:v>
      </x:c>
      <x:c r="D4787" t="str">
        <x:v>Sports</x:v>
      </x:c>
      <x:c r="E4787" t="str">
        <x:v>Dumbbells</x:v>
      </x:c>
      <x:c r="F4787" s="24" t="n">
        <x:v>82.96</x:v>
      </x:c>
      <x:c r="G4787" t="str">
        <x:v>Spring</x:v>
      </x:c>
      <x:c r="H4787" t="str">
        <x:v>Card</x:v>
      </x:c>
      <x:c r="I4787" t="n">
        <x:v>3.2</x:v>
      </x:c>
      <x:c r="J4787" t="n">
        <x:v>13</x:v>
      </x:c>
      <x:c r="K4787" t="n">
        <x:v>4</x:v>
      </x:c>
      <x:c r="L4787" t="str">
        <x:v>STORE-001</x:v>
      </x:c>
      <x:c r="M4787" s="22" t="n">
        <x:v>45933</x:v>
      </x:c>
      <x:c r="N4787" t="str">
        <x:v>SKU-005</x:v>
      </x:c>
      <x:c r="O4787" t="n">
        <x:v>1</x:v>
      </x:c>
      <x:c r="P4787" s="26" t="n">
        <x:f>F4787/O4787</x:f>
        <x:v>82.96</x:v>
      </x:c>
    </x:row>
    <x:row r="4788">
      <x:c r="A4788" t="n">
        <x:v>4787</x:v>
      </x:c>
      <x:c r="B4788" t="n">
        <x:v>43</x:v>
      </x:c>
      <x:c r="C4788" t="str">
        <x:v>Female</x:v>
      </x:c>
      <x:c r="D4788" t="str">
        <x:v>Home</x:v>
      </x:c>
      <x:c r="E4788" t="str">
        <x:v>Curtains</x:v>
      </x:c>
      <x:c r="F4788" s="24" t="n">
        <x:v>162.78</x:v>
      </x:c>
      <x:c r="G4788" t="str">
        <x:v>Autumn</x:v>
      </x:c>
      <x:c r="H4788" t="str">
        <x:v>Card</x:v>
      </x:c>
      <x:c r="I4788" t="n">
        <x:v>3.3</x:v>
      </x:c>
      <x:c r="J4788" t="n">
        <x:v>12</x:v>
      </x:c>
      <x:c r="K4788" t="n">
        <x:v>1</x:v>
      </x:c>
      <x:c r="L4788" t="str">
        <x:v>STORE-001</x:v>
      </x:c>
      <x:c r="M4788" s="22" t="n">
        <x:v>46124</x:v>
      </x:c>
      <x:c r="N4788" t="str">
        <x:v>SKU-003</x:v>
      </x:c>
      <x:c r="O4788" t="n">
        <x:v>1</x:v>
      </x:c>
      <x:c r="P4788" s="26" t="n">
        <x:f>F4788/O4788</x:f>
        <x:v>162.78</x:v>
      </x:c>
    </x:row>
    <x:row r="4789">
      <x:c r="A4789" t="n">
        <x:v>4788</x:v>
      </x:c>
      <x:c r="B4789" t="n">
        <x:v>20</x:v>
      </x:c>
      <x:c r="C4789" t="str">
        <x:v>Male</x:v>
      </x:c>
      <x:c r="D4789" t="str">
        <x:v>Sports</x:v>
      </x:c>
      <x:c r="E4789" t="str">
        <x:v>Dumbbells</x:v>
      </x:c>
      <x:c r="F4789" s="24" t="n">
        <x:v>173.24</x:v>
      </x:c>
      <x:c r="G4789" t="str">
        <x:v>Spring</x:v>
      </x:c>
      <x:c r="H4789" t="str">
        <x:v>Card</x:v>
      </x:c>
      <x:c r="I4789" t="n">
        <x:v>2.9</x:v>
      </x:c>
      <x:c r="J4789" t="n">
        <x:v>10</x:v>
      </x:c>
      <x:c r="K4789" t="n">
        <x:v>5</x:v>
      </x:c>
      <x:c r="L4789" t="str">
        <x:v>STORE-001</x:v>
      </x:c>
      <x:c r="M4789" s="22" t="n">
        <x:v>46276</x:v>
      </x:c>
      <x:c r="N4789" t="str">
        <x:v>SKU-005</x:v>
      </x:c>
      <x:c r="O4789" t="n">
        <x:v>1</x:v>
      </x:c>
      <x:c r="P4789" s="26" t="n">
        <x:f>F4789/O4789</x:f>
        <x:v>173.24</x:v>
      </x:c>
    </x:row>
    <x:row r="4790">
      <x:c r="A4790" t="n">
        <x:v>4789</x:v>
      </x:c>
      <x:c r="B4790" t="n">
        <x:v>58</x:v>
      </x:c>
      <x:c r="C4790" t="str">
        <x:v>Male</x:v>
      </x:c>
      <x:c r="D4790" t="str">
        <x:v>Electronics</x:v>
      </x:c>
      <x:c r="E4790" t="str">
        <x:v>Headphones</x:v>
      </x:c>
      <x:c r="F4790" s="24" t="n">
        <x:v>1498.26</x:v>
      </x:c>
      <x:c r="G4790" t="str">
        <x:v>Spring</x:v>
      </x:c>
      <x:c r="H4790" t="str">
        <x:v>Card</x:v>
      </x:c>
      <x:c r="I4790" t="n">
        <x:v>4.2</x:v>
      </x:c>
      <x:c r="J4790" t="n">
        <x:v>8</x:v>
      </x:c>
      <x:c r="K4790" t="n">
        <x:v>4</x:v>
      </x:c>
      <x:c r="L4790" t="str">
        <x:v>STORE-001</x:v>
      </x:c>
      <x:c r="M4790" s="22" t="n">
        <x:v>46291</x:v>
      </x:c>
      <x:c r="N4790" t="str">
        <x:v>SKU-009</x:v>
      </x:c>
      <x:c r="O4790" t="n">
        <x:v>1</x:v>
      </x:c>
      <x:c r="P4790" s="26" t="n">
        <x:f>F4790/O4790</x:f>
        <x:v>1498.26</x:v>
      </x:c>
    </x:row>
    <x:row r="4791">
      <x:c r="A4791" t="n">
        <x:v>4790</x:v>
      </x:c>
      <x:c r="B4791" t="n">
        <x:v>68</x:v>
      </x:c>
      <x:c r="C4791" t="str">
        <x:v>Female</x:v>
      </x:c>
      <x:c r="D4791" t="str">
        <x:v>Accessories</x:v>
      </x:c>
      <x:c r="E4791" t="str">
        <x:v>Sunglasses</x:v>
      </x:c>
      <x:c r="F4791" s="24" t="n">
        <x:v>124.8</x:v>
      </x:c>
      <x:c r="G4791" t="str">
        <x:v>Spring</x:v>
      </x:c>
      <x:c r="H4791" t="str">
        <x:v>Card</x:v>
      </x:c>
      <x:c r="I4791" t="n">
        <x:v>4.1</x:v>
      </x:c>
      <x:c r="J4791" t="n">
        <x:v>11</x:v>
      </x:c>
      <x:c r="K4791" t="n">
        <x:v>3</x:v>
      </x:c>
      <x:c r="L4791" t="str">
        <x:v>STORE-001</x:v>
      </x:c>
      <x:c r="M4791" s="22" t="n">
        <x:v>46274</x:v>
      </x:c>
      <x:c r="N4791" t="str">
        <x:v>SKU-026</x:v>
      </x:c>
      <x:c r="O4791" t="n">
        <x:v>2</x:v>
      </x:c>
      <x:c r="P4791" s="26" t="n">
        <x:f>F4791/O4791</x:f>
        <x:v>62.4</x:v>
      </x:c>
    </x:row>
    <x:row r="4792">
      <x:c r="A4792" t="n">
        <x:v>4791</x:v>
      </x:c>
      <x:c r="B4792" t="n">
        <x:v>57</x:v>
      </x:c>
      <x:c r="C4792" t="str">
        <x:v>Male</x:v>
      </x:c>
      <x:c r="D4792" t="str">
        <x:v>Groceries</x:v>
      </x:c>
      <x:c r="E4792" t="str">
        <x:v>Beverages</x:v>
      </x:c>
      <x:c r="F4792" s="24" t="n">
        <x:v>45.07</x:v>
      </x:c>
      <x:c r="G4792" t="str">
        <x:v>Autumn</x:v>
      </x:c>
      <x:c r="H4792" t="str">
        <x:v>Cash on Delivery</x:v>
      </x:c>
      <x:c r="I4792" t="n">
        <x:v>4.5</x:v>
      </x:c>
      <x:c r="J4792" t="n">
        <x:v>9</x:v>
      </x:c>
      <x:c r="K4792" t="n">
        <x:v>2</x:v>
      </x:c>
      <x:c r="L4792" t="str">
        <x:v>STORE-001</x:v>
      </x:c>
      <x:c r="M4792" s="22" t="n">
        <x:v>46113</x:v>
      </x:c>
      <x:c r="N4792" t="str">
        <x:v>SKU-001</x:v>
      </x:c>
      <x:c r="O4792" t="n">
        <x:v>3</x:v>
      </x:c>
      <x:c r="P4792" s="26" t="n">
        <x:f>F4792/O4792</x:f>
        <x:v>15.023333333333333</x:v>
      </x:c>
    </x:row>
    <x:row r="4793">
      <x:c r="A4793" t="n">
        <x:v>4792</x:v>
      </x:c>
      <x:c r="B4793" t="n">
        <x:v>66</x:v>
      </x:c>
      <x:c r="C4793" t="str">
        <x:v>Female</x:v>
      </x:c>
      <x:c r="D4793" t="str">
        <x:v>Womens Clothing</x:v>
      </x:c>
      <x:c r="E4793" t="str">
        <x:v>Dress</x:v>
      </x:c>
      <x:c r="F4793" s="24" t="n">
        <x:v>121.66</x:v>
      </x:c>
      <x:c r="G4793" t="str">
        <x:v>Winter</x:v>
      </x:c>
      <x:c r="H4793" t="str">
        <x:v>Card</x:v>
      </x:c>
      <x:c r="I4793" t="n">
        <x:v>3.9</x:v>
      </x:c>
      <x:c r="J4793" t="n">
        <x:v>24</x:v>
      </x:c>
      <x:c r="K4793" t="n">
        <x:v>7</x:v>
      </x:c>
      <x:c r="L4793" t="str">
        <x:v>STORE-001</x:v>
      </x:c>
      <x:c r="M4793" s="22" t="n">
        <x:v>46192</x:v>
      </x:c>
      <x:c r="N4793" t="str">
        <x:v>SKU-004</x:v>
      </x:c>
      <x:c r="O4793" t="n">
        <x:v>1</x:v>
      </x:c>
      <x:c r="P4793" s="26" t="n">
        <x:f>F4793/O4793</x:f>
        <x:v>121.66</x:v>
      </x:c>
    </x:row>
    <x:row r="4794">
      <x:c r="A4794" t="n">
        <x:v>4793</x:v>
      </x:c>
      <x:c r="B4794" t="n">
        <x:v>55</x:v>
      </x:c>
      <x:c r="C4794" t="str">
        <x:v>Male</x:v>
      </x:c>
      <x:c r="D4794" t="str">
        <x:v>Mens Clothing</x:v>
      </x:c>
      <x:c r="E4794" t="str">
        <x:v>Shirt</x:v>
      </x:c>
      <x:c r="F4794" s="24" t="n">
        <x:v>63.17</x:v>
      </x:c>
      <x:c r="G4794" t="str">
        <x:v>Winter</x:v>
      </x:c>
      <x:c r="H4794" t="str">
        <x:v>Cash on Delivery</x:v>
      </x:c>
      <x:c r="I4794" t="n">
        <x:v>2.9</x:v>
      </x:c>
      <x:c r="J4794" t="n">
        <x:v>12</x:v>
      </x:c>
      <x:c r="K4794" t="n">
        <x:v>6</x:v>
      </x:c>
      <x:c r="L4794" t="str">
        <x:v>STORE-001</x:v>
      </x:c>
      <x:c r="M4794" s="22" t="n">
        <x:v>46228</x:v>
      </x:c>
      <x:c r="N4794" t="str">
        <x:v>SKU-020</x:v>
      </x:c>
      <x:c r="O4794" t="n">
        <x:v>1</x:v>
      </x:c>
      <x:c r="P4794" s="26" t="n">
        <x:f>F4794/O4794</x:f>
        <x:v>63.17</x:v>
      </x:c>
    </x:row>
    <x:row r="4795">
      <x:c r="A4795" t="n">
        <x:v>4794</x:v>
      </x:c>
      <x:c r="B4795" t="n">
        <x:v>37</x:v>
      </x:c>
      <x:c r="C4795" t="str">
        <x:v>Male</x:v>
      </x:c>
      <x:c r="D4795" t="str">
        <x:v>Mens Clothing</x:v>
      </x:c>
      <x:c r="E4795" t="str">
        <x:v>Jacket</x:v>
      </x:c>
      <x:c r="F4795" s="24" t="n">
        <x:v>34.63</x:v>
      </x:c>
      <x:c r="G4795" t="str">
        <x:v>Summer</x:v>
      </x:c>
      <x:c r="H4795" t="str">
        <x:v>Cash on Delivery</x:v>
      </x:c>
      <x:c r="I4795" t="n">
        <x:v>2.9</x:v>
      </x:c>
      <x:c r="J4795" t="n">
        <x:v>10</x:v>
      </x:c>
      <x:c r="K4795" t="n">
        <x:v>0</x:v>
      </x:c>
      <x:c r="L4795" t="str">
        <x:v>STORE-001</x:v>
      </x:c>
      <x:c r="M4795" s="22" t="n">
        <x:v>46056</x:v>
      </x:c>
      <x:c r="N4795" t="str">
        <x:v>SKU-010</x:v>
      </x:c>
      <x:c r="O4795" t="n">
        <x:v>1</x:v>
      </x:c>
      <x:c r="P4795" s="26" t="n">
        <x:f>F4795/O4795</x:f>
        <x:v>34.63</x:v>
      </x:c>
    </x:row>
    <x:row r="4796">
      <x:c r="A4796" t="n">
        <x:v>4795</x:v>
      </x:c>
      <x:c r="B4796" t="n">
        <x:v>24</x:v>
      </x:c>
      <x:c r="C4796" t="str">
        <x:v>Female</x:v>
      </x:c>
      <x:c r="D4796" t="str">
        <x:v>Womens Clothing</x:v>
      </x:c>
      <x:c r="E4796" t="str">
        <x:v>Top</x:v>
      </x:c>
      <x:c r="F4796" s="24" t="n">
        <x:v>59.95</x:v>
      </x:c>
      <x:c r="G4796" t="str">
        <x:v>Winter</x:v>
      </x:c>
      <x:c r="H4796" t="str">
        <x:v>Card</x:v>
      </x:c>
      <x:c r="I4796" t="n">
        <x:v>3.3</x:v>
      </x:c>
      <x:c r="J4796" t="n">
        <x:v>14</x:v>
      </x:c>
      <x:c r="K4796" t="n">
        <x:v>2</x:v>
      </x:c>
      <x:c r="L4796" t="str">
        <x:v>STORE-001</x:v>
      </x:c>
      <x:c r="M4796" s="22" t="n">
        <x:v>46264</x:v>
      </x:c>
      <x:c r="N4796" t="str">
        <x:v>SKU-028</x:v>
      </x:c>
      <x:c r="O4796" t="n">
        <x:v>1</x:v>
      </x:c>
      <x:c r="P4796" s="26" t="n">
        <x:f>F4796/O4796</x:f>
        <x:v>59.95</x:v>
      </x:c>
    </x:row>
    <x:row r="4797">
      <x:c r="A4797" t="n">
        <x:v>4796</x:v>
      </x:c>
      <x:c r="B4797" t="n">
        <x:v>65</x:v>
      </x:c>
      <x:c r="C4797" t="str">
        <x:v>Female</x:v>
      </x:c>
      <x:c r="D4797" t="str">
        <x:v>Accessories</x:v>
      </x:c>
      <x:c r="E4797" t="str">
        <x:v>Wallet</x:v>
      </x:c>
      <x:c r="F4797" s="24" t="n">
        <x:v>177.54</x:v>
      </x:c>
      <x:c r="G4797" t="str">
        <x:v>Winter</x:v>
      </x:c>
      <x:c r="H4797" t="str">
        <x:v>Card</x:v>
      </x:c>
      <x:c r="I4797" t="n">
        <x:v>2.8</x:v>
      </x:c>
      <x:c r="J4797" t="n">
        <x:v>18</x:v>
      </x:c>
      <x:c r="K4797" t="n">
        <x:v>4</x:v>
      </x:c>
      <x:c r="L4797" t="str">
        <x:v>STORE-001</x:v>
      </x:c>
      <x:c r="M4797" s="22" t="n">
        <x:v>46250</x:v>
      </x:c>
      <x:c r="N4797" t="str">
        <x:v>SKU-029</x:v>
      </x:c>
      <x:c r="O4797" t="n">
        <x:v>2</x:v>
      </x:c>
      <x:c r="P4797" s="26" t="n">
        <x:f>F4797/O4797</x:f>
        <x:v>88.77</x:v>
      </x:c>
    </x:row>
    <x:row r="4798">
      <x:c r="A4798" t="n">
        <x:v>4797</x:v>
      </x:c>
      <x:c r="B4798" t="n">
        <x:v>66</x:v>
      </x:c>
      <x:c r="C4798" t="str">
        <x:v>Male</x:v>
      </x:c>
      <x:c r="D4798" t="str">
        <x:v>Sports</x:v>
      </x:c>
      <x:c r="E4798" t="str">
        <x:v>Yoga Mat</x:v>
      </x:c>
      <x:c r="F4798" s="24" t="n">
        <x:v>97.98</x:v>
      </x:c>
      <x:c r="G4798" t="str">
        <x:v>Autumn</x:v>
      </x:c>
      <x:c r="H4798" t="str">
        <x:v>Cash on Delivery</x:v>
      </x:c>
      <x:c r="I4798" t="n">
        <x:v>3.3</x:v>
      </x:c>
      <x:c r="J4798" t="n">
        <x:v>18</x:v>
      </x:c>
      <x:c r="K4798" t="n">
        <x:v>9</x:v>
      </x:c>
      <x:c r="L4798" t="str">
        <x:v>STORE-001</x:v>
      </x:c>
      <x:c r="M4798" s="22" t="n">
        <x:v>46147</x:v>
      </x:c>
      <x:c r="N4798" t="str">
        <x:v>SKU-030</x:v>
      </x:c>
      <x:c r="O4798" t="n">
        <x:v>1</x:v>
      </x:c>
      <x:c r="P4798" s="26" t="n">
        <x:f>F4798/O4798</x:f>
        <x:v>97.98</x:v>
      </x:c>
    </x:row>
    <x:row r="4799">
      <x:c r="A4799" t="n">
        <x:v>4798</x:v>
      </x:c>
      <x:c r="B4799" t="n">
        <x:v>56</x:v>
      </x:c>
      <x:c r="C4799" t="str">
        <x:v>Female</x:v>
      </x:c>
      <x:c r="D4799" t="str">
        <x:v>Accessories</x:v>
      </x:c>
      <x:c r="E4799" t="str">
        <x:v>Wallet</x:v>
      </x:c>
      <x:c r="F4799" s="24" t="n">
        <x:v>62.19</x:v>
      </x:c>
      <x:c r="G4799" t="str">
        <x:v>Winter</x:v>
      </x:c>
      <x:c r="H4799" t="str">
        <x:v>Cash on Delivery</x:v>
      </x:c>
      <x:c r="I4799" t="n">
        <x:v>4.4</x:v>
      </x:c>
      <x:c r="J4799" t="n">
        <x:v>7</x:v>
      </x:c>
      <x:c r="K4799" t="n">
        <x:v>1</x:v>
      </x:c>
      <x:c r="L4799" t="str">
        <x:v>STORE-001</x:v>
      </x:c>
      <x:c r="M4799" s="22" t="n">
        <x:v>46217</x:v>
      </x:c>
      <x:c r="N4799" t="str">
        <x:v>SKU-029</x:v>
      </x:c>
      <x:c r="O4799" t="n">
        <x:v>1</x:v>
      </x:c>
      <x:c r="P4799" s="26" t="n">
        <x:f>F4799/O4799</x:f>
        <x:v>62.19</x:v>
      </x:c>
    </x:row>
    <x:row r="4800">
      <x:c r="A4800" t="n">
        <x:v>4799</x:v>
      </x:c>
      <x:c r="B4800" t="n">
        <x:v>65</x:v>
      </x:c>
      <x:c r="C4800" t="str">
        <x:v>Female</x:v>
      </x:c>
      <x:c r="D4800" t="str">
        <x:v>Sports</x:v>
      </x:c>
      <x:c r="E4800" t="str">
        <x:v>Football</x:v>
      </x:c>
      <x:c r="F4800" s="24" t="n">
        <x:v>36.71</x:v>
      </x:c>
      <x:c r="G4800" t="str">
        <x:v>Autumn</x:v>
      </x:c>
      <x:c r="H4800" t="str">
        <x:v>Cash on Delivery</x:v>
      </x:c>
      <x:c r="I4800" t="n">
        <x:v>3.5</x:v>
      </x:c>
      <x:c r="J4800" t="n">
        <x:v>23</x:v>
      </x:c>
      <x:c r="K4800" t="n">
        <x:v>9</x:v>
      </x:c>
      <x:c r="L4800" t="str">
        <x:v>STORE-001</x:v>
      </x:c>
      <x:c r="M4800" s="22" t="n">
        <x:v>46173</x:v>
      </x:c>
      <x:c r="N4800" t="str">
        <x:v>SKU-006</x:v>
      </x:c>
      <x:c r="O4800" t="n">
        <x:v>1</x:v>
      </x:c>
      <x:c r="P4800" s="26" t="n">
        <x:f>F4800/O4800</x:f>
        <x:v>36.71</x:v>
      </x:c>
    </x:row>
    <x:row r="4801">
      <x:c r="A4801" t="n">
        <x:v>4800</x:v>
      </x:c>
      <x:c r="B4801" t="n">
        <x:v>50</x:v>
      </x:c>
      <x:c r="C4801" t="str">
        <x:v>Female</x:v>
      </x:c>
      <x:c r="D4801" t="str">
        <x:v>Sports</x:v>
      </x:c>
      <x:c r="E4801" t="str">
        <x:v>Yoga Mat</x:v>
      </x:c>
      <x:c r="F4801" s="24" t="n">
        <x:v>34.66</x:v>
      </x:c>
      <x:c r="G4801" t="str">
        <x:v>Summer</x:v>
      </x:c>
      <x:c r="H4801" t="str">
        <x:v>Card</x:v>
      </x:c>
      <x:c r="I4801" t="n">
        <x:v>2.8</x:v>
      </x:c>
      <x:c r="J4801" t="n">
        <x:v>12</x:v>
      </x:c>
      <x:c r="K4801" t="n">
        <x:v>6</x:v>
      </x:c>
      <x:c r="L4801" t="str">
        <x:v>STORE-001</x:v>
      </x:c>
      <x:c r="M4801" s="22" t="n">
        <x:v>46079</x:v>
      </x:c>
      <x:c r="N4801" t="str">
        <x:v>SKU-030</x:v>
      </x:c>
      <x:c r="O4801" t="n">
        <x:v>1</x:v>
      </x:c>
      <x:c r="P4801" s="26" t="n">
        <x:f>F4801/O4801</x:f>
        <x:v>34.66</x:v>
      </x:c>
    </x:row>
    <x:row r="4802">
      <x:c r="A4802" t="n">
        <x:v>4801</x:v>
      </x:c>
      <x:c r="B4802" t="n">
        <x:v>22</x:v>
      </x:c>
      <x:c r="C4802" t="str">
        <x:v>Female</x:v>
      </x:c>
      <x:c r="D4802" t="str">
        <x:v>Sports</x:v>
      </x:c>
      <x:c r="E4802" t="str">
        <x:v>Yoga Mat</x:v>
      </x:c>
      <x:c r="F4802" s="24" t="n">
        <x:v>136.51</x:v>
      </x:c>
      <x:c r="G4802" t="str">
        <x:v>Spring</x:v>
      </x:c>
      <x:c r="H4802" t="str">
        <x:v>Card</x:v>
      </x:c>
      <x:c r="I4802" t="n">
        <x:v>4.5</x:v>
      </x:c>
      <x:c r="J4802" t="n">
        <x:v>22</x:v>
      </x:c>
      <x:c r="K4802" t="n">
        <x:v>6</x:v>
      </x:c>
      <x:c r="L4802" t="str">
        <x:v>STORE-001</x:v>
      </x:c>
      <x:c r="M4802" s="22" t="n">
        <x:v>46293</x:v>
      </x:c>
      <x:c r="N4802" t="str">
        <x:v>SKU-030</x:v>
      </x:c>
      <x:c r="O4802" t="n">
        <x:v>1</x:v>
      </x:c>
      <x:c r="P4802" s="26" t="n">
        <x:f>F4802/O4802</x:f>
        <x:v>136.51</x:v>
      </x:c>
    </x:row>
    <x:row r="4803">
      <x:c r="A4803" t="n">
        <x:v>4802</x:v>
      </x:c>
      <x:c r="B4803" t="n">
        <x:v>67</x:v>
      </x:c>
      <x:c r="C4803" t="str">
        <x:v>Female</x:v>
      </x:c>
      <x:c r="D4803" t="str">
        <x:v>Womens Clothing</x:v>
      </x:c>
      <x:c r="E4803" t="str">
        <x:v>Dress</x:v>
      </x:c>
      <x:c r="F4803" s="24" t="n">
        <x:v>81.05</x:v>
      </x:c>
      <x:c r="G4803" t="str">
        <x:v>Spring</x:v>
      </x:c>
      <x:c r="H4803" t="str">
        <x:v>Cash on Delivery</x:v>
      </x:c>
      <x:c r="I4803" t="n">
        <x:v>4.6</x:v>
      </x:c>
      <x:c r="J4803" t="n">
        <x:v>14</x:v>
      </x:c>
      <x:c r="K4803" t="n">
        <x:v>7</x:v>
      </x:c>
      <x:c r="L4803" t="str">
        <x:v>STORE-001</x:v>
      </x:c>
      <x:c r="M4803" s="22" t="n">
        <x:v>45987</x:v>
      </x:c>
      <x:c r="N4803" t="str">
        <x:v>SKU-004</x:v>
      </x:c>
      <x:c r="O4803" t="n">
        <x:v>1</x:v>
      </x:c>
      <x:c r="P4803" s="26" t="n">
        <x:f>F4803/O4803</x:f>
        <x:v>81.05</x:v>
      </x:c>
    </x:row>
    <x:row r="4804">
      <x:c r="A4804" t="n">
        <x:v>4803</x:v>
      </x:c>
      <x:c r="B4804" t="n">
        <x:v>44</x:v>
      </x:c>
      <x:c r="C4804" t="str">
        <x:v>Female</x:v>
      </x:c>
      <x:c r="D4804" t="str">
        <x:v>Sports</x:v>
      </x:c>
      <x:c r="E4804" t="str">
        <x:v>Yoga Mat</x:v>
      </x:c>
      <x:c r="F4804" s="24" t="n">
        <x:v>49.34</x:v>
      </x:c>
      <x:c r="G4804" t="str">
        <x:v>Summer</x:v>
      </x:c>
      <x:c r="H4804" t="str">
        <x:v>Cash on Delivery</x:v>
      </x:c>
      <x:c r="I4804" t="n">
        <x:v>3.3</x:v>
      </x:c>
      <x:c r="J4804" t="n">
        <x:v>7</x:v>
      </x:c>
      <x:c r="K4804" t="n">
        <x:v>1</x:v>
      </x:c>
      <x:c r="L4804" t="str">
        <x:v>STORE-001</x:v>
      </x:c>
      <x:c r="M4804" s="22" t="n">
        <x:v>46042</x:v>
      </x:c>
      <x:c r="N4804" t="str">
        <x:v>SKU-030</x:v>
      </x:c>
      <x:c r="O4804" t="n">
        <x:v>1</x:v>
      </x:c>
      <x:c r="P4804" s="26" t="n">
        <x:f>F4804/O4804</x:f>
        <x:v>49.34</x:v>
      </x:c>
    </x:row>
    <x:row r="4805">
      <x:c r="A4805" t="n">
        <x:v>4804</x:v>
      </x:c>
      <x:c r="B4805" t="n">
        <x:v>31</x:v>
      </x:c>
      <x:c r="C4805" t="str">
        <x:v>Male</x:v>
      </x:c>
      <x:c r="D4805" t="str">
        <x:v>Sports</x:v>
      </x:c>
      <x:c r="E4805" t="str">
        <x:v>Yoga Mat</x:v>
      </x:c>
      <x:c r="F4805" s="24" t="n">
        <x:v>83.98</x:v>
      </x:c>
      <x:c r="G4805" t="str">
        <x:v>Winter</x:v>
      </x:c>
      <x:c r="H4805" t="str">
        <x:v>Cash on Delivery</x:v>
      </x:c>
      <x:c r="I4805" t="n">
        <x:v>4.1</x:v>
      </x:c>
      <x:c r="J4805" t="n">
        <x:v>26</x:v>
      </x:c>
      <x:c r="K4805" t="n">
        <x:v>8</x:v>
      </x:c>
      <x:c r="L4805" t="str">
        <x:v>STORE-001</x:v>
      </x:c>
      <x:c r="M4805" s="22" t="n">
        <x:v>46203</x:v>
      </x:c>
      <x:c r="N4805" t="str">
        <x:v>SKU-030</x:v>
      </x:c>
      <x:c r="O4805" t="n">
        <x:v>3</x:v>
      </x:c>
      <x:c r="P4805" s="26" t="n">
        <x:f>F4805/O4805</x:f>
        <x:v>27.993333333333336</x:v>
      </x:c>
    </x:row>
    <x:row r="4806">
      <x:c r="A4806" t="n">
        <x:v>4805</x:v>
      </x:c>
      <x:c r="B4806" t="n">
        <x:v>46</x:v>
      </x:c>
      <x:c r="C4806" t="str">
        <x:v>Female</x:v>
      </x:c>
      <x:c r="D4806" t="str">
        <x:v>Womens Clothing</x:v>
      </x:c>
      <x:c r="E4806" t="str">
        <x:v>Jeans</x:v>
      </x:c>
      <x:c r="F4806" s="24" t="n">
        <x:v>48.2</x:v>
      </x:c>
      <x:c r="G4806" t="str">
        <x:v>Spring</x:v>
      </x:c>
      <x:c r="H4806" t="str">
        <x:v>Cash on Delivery</x:v>
      </x:c>
      <x:c r="I4806" t="n">
        <x:v>4.1</x:v>
      </x:c>
      <x:c r="J4806" t="n">
        <x:v>12</x:v>
      </x:c>
      <x:c r="K4806" t="n">
        <x:v>6</x:v>
      </x:c>
      <x:c r="L4806" t="str">
        <x:v>STORE-001</x:v>
      </x:c>
      <x:c r="M4806" s="22" t="n">
        <x:v>46293</x:v>
      </x:c>
      <x:c r="N4806" t="str">
        <x:v>SKU-011</x:v>
      </x:c>
      <x:c r="O4806" t="n">
        <x:v>2</x:v>
      </x:c>
      <x:c r="P4806" s="26" t="n">
        <x:f>F4806/O4806</x:f>
        <x:v>24.1</x:v>
      </x:c>
    </x:row>
    <x:row r="4807">
      <x:c r="A4807" t="n">
        <x:v>4806</x:v>
      </x:c>
      <x:c r="B4807" t="n">
        <x:v>57</x:v>
      </x:c>
      <x:c r="C4807" t="str">
        <x:v>Female</x:v>
      </x:c>
      <x:c r="D4807" t="str">
        <x:v>Groceries</x:v>
      </x:c>
      <x:c r="E4807" t="str">
        <x:v>Rice Pack</x:v>
      </x:c>
      <x:c r="F4807" s="24" t="n">
        <x:v>44.59</x:v>
      </x:c>
      <x:c r="G4807" t="str">
        <x:v>Spring</x:v>
      </x:c>
      <x:c r="H4807" t="str">
        <x:v>Cash on Delivery</x:v>
      </x:c>
      <x:c r="I4807" t="n">
        <x:v>4.5</x:v>
      </x:c>
      <x:c r="J4807" t="n">
        <x:v>12</x:v>
      </x:c>
      <x:c r="K4807" t="n">
        <x:v>6</x:v>
      </x:c>
      <x:c r="L4807" t="str">
        <x:v>STORE-001</x:v>
      </x:c>
      <x:c r="M4807" s="22" t="n">
        <x:v>46271</x:v>
      </x:c>
      <x:c r="N4807" t="str">
        <x:v>SKU-018</x:v>
      </x:c>
      <x:c r="O4807" t="n">
        <x:v>2</x:v>
      </x:c>
      <x:c r="P4807" s="26" t="n">
        <x:f>F4807/O4807</x:f>
        <x:v>22.295</x:v>
      </x:c>
    </x:row>
    <x:row r="4808">
      <x:c r="A4808" t="n">
        <x:v>4807</x:v>
      </x:c>
      <x:c r="B4808" t="n">
        <x:v>35</x:v>
      </x:c>
      <x:c r="C4808" t="str">
        <x:v>Female</x:v>
      </x:c>
      <x:c r="D4808" t="str">
        <x:v>Accessories</x:v>
      </x:c>
      <x:c r="E4808" t="str">
        <x:v>Sunglasses</x:v>
      </x:c>
      <x:c r="F4808" s="24" t="n">
        <x:v>99.42</x:v>
      </x:c>
      <x:c r="G4808" t="str">
        <x:v>Spring</x:v>
      </x:c>
      <x:c r="H4808" t="str">
        <x:v>Card</x:v>
      </x:c>
      <x:c r="I4808" t="n">
        <x:v>4.3</x:v>
      </x:c>
      <x:c r="J4808" t="n">
        <x:v>8</x:v>
      </x:c>
      <x:c r="K4808" t="n">
        <x:v>4</x:v>
      </x:c>
      <x:c r="L4808" t="str">
        <x:v>STORE-001</x:v>
      </x:c>
      <x:c r="M4808" s="22" t="n">
        <x:v>45951</x:v>
      </x:c>
      <x:c r="N4808" t="str">
        <x:v>SKU-026</x:v>
      </x:c>
      <x:c r="O4808" t="n">
        <x:v>1</x:v>
      </x:c>
      <x:c r="P4808" s="26" t="n">
        <x:f>F4808/O4808</x:f>
        <x:v>99.42</x:v>
      </x:c>
    </x:row>
    <x:row r="4809">
      <x:c r="A4809" t="n">
        <x:v>4808</x:v>
      </x:c>
      <x:c r="B4809" t="n">
        <x:v>47</x:v>
      </x:c>
      <x:c r="C4809" t="str">
        <x:v>Male</x:v>
      </x:c>
      <x:c r="D4809" t="str">
        <x:v>Mens Clothing</x:v>
      </x:c>
      <x:c r="E4809" t="str">
        <x:v>T-Shirt</x:v>
      </x:c>
      <x:c r="F4809" s="24" t="n">
        <x:v>149.89</x:v>
      </x:c>
      <x:c r="G4809" t="str">
        <x:v>Spring</x:v>
      </x:c>
      <x:c r="H4809" t="str">
        <x:v>Card</x:v>
      </x:c>
      <x:c r="I4809" t="n">
        <x:v>3.7</x:v>
      </x:c>
      <x:c r="J4809" t="n">
        <x:v>8</x:v>
      </x:c>
      <x:c r="K4809" t="n">
        <x:v>4</x:v>
      </x:c>
      <x:c r="L4809" t="str">
        <x:v>STORE-001</x:v>
      </x:c>
      <x:c r="M4809" s="22" t="n">
        <x:v>46294</x:v>
      </x:c>
      <x:c r="N4809" t="str">
        <x:v>SKU-027</x:v>
      </x:c>
      <x:c r="O4809" t="n">
        <x:v>1</x:v>
      </x:c>
      <x:c r="P4809" s="26" t="n">
        <x:f>F4809/O4809</x:f>
        <x:v>149.89</x:v>
      </x:c>
    </x:row>
    <x:row r="4810">
      <x:c r="A4810" t="n">
        <x:v>4809</x:v>
      </x:c>
      <x:c r="B4810" t="n">
        <x:v>51</x:v>
      </x:c>
      <x:c r="C4810" t="str">
        <x:v>Male</x:v>
      </x:c>
      <x:c r="D4810" t="str">
        <x:v>Sports</x:v>
      </x:c>
      <x:c r="E4810" t="str">
        <x:v>Football</x:v>
      </x:c>
      <x:c r="F4810" s="24" t="n">
        <x:v>223.89</x:v>
      </x:c>
      <x:c r="G4810" t="str">
        <x:v>Winter</x:v>
      </x:c>
      <x:c r="H4810" t="str">
        <x:v>Card</x:v>
      </x:c>
      <x:c r="I4810" t="n">
        <x:v>3.3</x:v>
      </x:c>
      <x:c r="J4810" t="n">
        <x:v>15</x:v>
      </x:c>
      <x:c r="K4810" t="n">
        <x:v>5</x:v>
      </x:c>
      <x:c r="L4810" t="str">
        <x:v>STORE-001</x:v>
      </x:c>
      <x:c r="M4810" s="22" t="n">
        <x:v>46224</x:v>
      </x:c>
      <x:c r="N4810" t="str">
        <x:v>SKU-006</x:v>
      </x:c>
      <x:c r="O4810" t="n">
        <x:v>2</x:v>
      </x:c>
      <x:c r="P4810" s="26" t="n">
        <x:f>F4810/O4810</x:f>
        <x:v>111.945</x:v>
      </x:c>
    </x:row>
    <x:row r="4811">
      <x:c r="A4811" t="n">
        <x:v>4810</x:v>
      </x:c>
      <x:c r="B4811" t="n">
        <x:v>43</x:v>
      </x:c>
      <x:c r="C4811" t="str">
        <x:v>Female</x:v>
      </x:c>
      <x:c r="D4811" t="str">
        <x:v>Womens Clothing</x:v>
      </x:c>
      <x:c r="E4811" t="str">
        <x:v>Skirt</x:v>
      </x:c>
      <x:c r="F4811" s="24" t="n">
        <x:v>163.6</x:v>
      </x:c>
      <x:c r="G4811" t="str">
        <x:v>Summer</x:v>
      </x:c>
      <x:c r="H4811" t="str">
        <x:v>Card</x:v>
      </x:c>
      <x:c r="I4811" t="n">
        <x:v>2.6</x:v>
      </x:c>
      <x:c r="J4811" t="n">
        <x:v>15</x:v>
      </x:c>
      <x:c r="K4811" t="n">
        <x:v>5</x:v>
      </x:c>
      <x:c r="L4811" t="str">
        <x:v>STORE-001</x:v>
      </x:c>
      <x:c r="M4811" s="22" t="n">
        <x:v>46071</x:v>
      </x:c>
      <x:c r="N4811" t="str">
        <x:v>SKU-022</x:v>
      </x:c>
      <x:c r="O4811" t="n">
        <x:v>1</x:v>
      </x:c>
      <x:c r="P4811" s="26" t="n">
        <x:f>F4811/O4811</x:f>
        <x:v>163.6</x:v>
      </x:c>
    </x:row>
    <x:row r="4812">
      <x:c r="A4812" t="n">
        <x:v>4811</x:v>
      </x:c>
      <x:c r="B4812" t="n">
        <x:v>27</x:v>
      </x:c>
      <x:c r="C4812" t="str">
        <x:v>Male</x:v>
      </x:c>
      <x:c r="D4812" t="str">
        <x:v>Groceries</x:v>
      </x:c>
      <x:c r="E4812" t="str">
        <x:v>Beverages</x:v>
      </x:c>
      <x:c r="F4812" s="24" t="n">
        <x:v>54.58</x:v>
      </x:c>
      <x:c r="G4812" t="str">
        <x:v>Autumn</x:v>
      </x:c>
      <x:c r="H4812" t="str">
        <x:v>Card</x:v>
      </x:c>
      <x:c r="I4812" t="n">
        <x:v>3.1</x:v>
      </x:c>
      <x:c r="J4812" t="n">
        <x:v>10</x:v>
      </x:c>
      <x:c r="K4812" t="n">
        <x:v>5</x:v>
      </x:c>
      <x:c r="L4812" t="str">
        <x:v>STORE-001</x:v>
      </x:c>
      <x:c r="M4812" s="22" t="n">
        <x:v>46136</x:v>
      </x:c>
      <x:c r="N4812" t="str">
        <x:v>SKU-001</x:v>
      </x:c>
      <x:c r="O4812" t="n">
        <x:v>3</x:v>
      </x:c>
      <x:c r="P4812" s="26" t="n">
        <x:f>F4812/O4812</x:f>
        <x:v>18.19333333333333</x:v>
      </x:c>
    </x:row>
    <x:row r="4813">
      <x:c r="A4813" t="n">
        <x:v>4812</x:v>
      </x:c>
      <x:c r="B4813" t="n">
        <x:v>34</x:v>
      </x:c>
      <x:c r="C4813" t="str">
        <x:v>Male</x:v>
      </x:c>
      <x:c r="D4813" t="str">
        <x:v>Footwear</x:v>
      </x:c>
      <x:c r="E4813" t="str">
        <x:v>Sneakers</x:v>
      </x:c>
      <x:c r="F4813" s="24" t="n">
        <x:v>107.13</x:v>
      </x:c>
      <x:c r="G4813" t="str">
        <x:v>Winter</x:v>
      </x:c>
      <x:c r="H4813" t="str">
        <x:v>Card</x:v>
      </x:c>
      <x:c r="I4813" t="n">
        <x:v>3.4</x:v>
      </x:c>
      <x:c r="J4813" t="n">
        <x:v>26</x:v>
      </x:c>
      <x:c r="K4813" t="n">
        <x:v>8</x:v>
      </x:c>
      <x:c r="L4813" t="str">
        <x:v>STORE-001</x:v>
      </x:c>
      <x:c r="M4813" s="22" t="n">
        <x:v>46246</x:v>
      </x:c>
      <x:c r="N4813" t="str">
        <x:v>SKU-025</x:v>
      </x:c>
      <x:c r="O4813" t="n">
        <x:v>1</x:v>
      </x:c>
      <x:c r="P4813" s="26" t="n">
        <x:f>F4813/O4813</x:f>
        <x:v>107.13</x:v>
      </x:c>
    </x:row>
    <x:row r="4814">
      <x:c r="A4814" t="n">
        <x:v>4813</x:v>
      </x:c>
      <x:c r="B4814" t="n">
        <x:v>55</x:v>
      </x:c>
      <x:c r="C4814" t="str">
        <x:v>Female</x:v>
      </x:c>
      <x:c r="D4814" t="str">
        <x:v>Footwear</x:v>
      </x:c>
      <x:c r="E4814" t="str">
        <x:v>Sandals</x:v>
      </x:c>
      <x:c r="F4814" s="24" t="n">
        <x:v>105.16</x:v>
      </x:c>
      <x:c r="G4814" t="str">
        <x:v>Summer</x:v>
      </x:c>
      <x:c r="H4814" t="str">
        <x:v>Card</x:v>
      </x:c>
      <x:c r="I4814" t="n">
        <x:v>3.9</x:v>
      </x:c>
      <x:c r="J4814" t="n">
        <x:v>20</x:v>
      </x:c>
      <x:c r="K4814" t="n">
        <x:v>5</x:v>
      </x:c>
      <x:c r="L4814" t="str">
        <x:v>STORE-001</x:v>
      </x:c>
      <x:c r="M4814" s="22" t="n">
        <x:v>46015</x:v>
      </x:c>
      <x:c r="N4814" t="str">
        <x:v>SKU-019</x:v>
      </x:c>
      <x:c r="O4814" t="n">
        <x:v>1</x:v>
      </x:c>
      <x:c r="P4814" s="26" t="n">
        <x:f>F4814/O4814</x:f>
        <x:v>105.16</x:v>
      </x:c>
    </x:row>
    <x:row r="4815">
      <x:c r="A4815" t="n">
        <x:v>4814</x:v>
      </x:c>
      <x:c r="B4815" t="n">
        <x:v>30</x:v>
      </x:c>
      <x:c r="C4815" t="str">
        <x:v>Male</x:v>
      </x:c>
      <x:c r="D4815" t="str">
        <x:v>Electronics</x:v>
      </x:c>
      <x:c r="E4815" t="str">
        <x:v>Smart Watch</x:v>
      </x:c>
      <x:c r="F4815" s="24" t="n">
        <x:v>1843.94</x:v>
      </x:c>
      <x:c r="G4815" t="str">
        <x:v>Autumn</x:v>
      </x:c>
      <x:c r="H4815" t="str">
        <x:v>Card</x:v>
      </x:c>
      <x:c r="I4815" t="n">
        <x:v>3.5</x:v>
      </x:c>
      <x:c r="J4815" t="n">
        <x:v>9</x:v>
      </x:c>
      <x:c r="K4815" t="n">
        <x:v>2</x:v>
      </x:c>
      <x:c r="L4815" t="str">
        <x:v>STORE-001</x:v>
      </x:c>
      <x:c r="M4815" s="22" t="n">
        <x:v>46087</x:v>
      </x:c>
      <x:c r="N4815" t="str">
        <x:v>SKU-023</x:v>
      </x:c>
      <x:c r="O4815" t="n">
        <x:v>1</x:v>
      </x:c>
      <x:c r="P4815" s="26" t="n">
        <x:f>F4815/O4815</x:f>
        <x:v>1843.94</x:v>
      </x:c>
    </x:row>
    <x:row r="4816">
      <x:c r="A4816" t="n">
        <x:v>4815</x:v>
      </x:c>
      <x:c r="B4816" t="n">
        <x:v>58</x:v>
      </x:c>
      <x:c r="C4816" t="str">
        <x:v>Male</x:v>
      </x:c>
      <x:c r="D4816" t="str">
        <x:v>Footwear</x:v>
      </x:c>
      <x:c r="E4816" t="str">
        <x:v>Sandals</x:v>
      </x:c>
      <x:c r="F4816" s="24" t="n">
        <x:v>64.59</x:v>
      </x:c>
      <x:c r="G4816" t="str">
        <x:v>Winter</x:v>
      </x:c>
      <x:c r="H4816" t="str">
        <x:v>Card</x:v>
      </x:c>
      <x:c r="I4816" t="n">
        <x:v>4.1</x:v>
      </x:c>
      <x:c r="J4816" t="n">
        <x:v>19</x:v>
      </x:c>
      <x:c r="K4816" t="n">
        <x:v>7</x:v>
      </x:c>
      <x:c r="L4816" t="str">
        <x:v>STORE-001</x:v>
      </x:c>
      <x:c r="M4816" s="22" t="n">
        <x:v>46239</x:v>
      </x:c>
      <x:c r="N4816" t="str">
        <x:v>SKU-019</x:v>
      </x:c>
      <x:c r="O4816" t="n">
        <x:v>2</x:v>
      </x:c>
      <x:c r="P4816" s="26" t="n">
        <x:f>F4816/O4816</x:f>
        <x:v>32.295</x:v>
      </x:c>
    </x:row>
    <x:row r="4817">
      <x:c r="A4817" t="n">
        <x:v>4816</x:v>
      </x:c>
      <x:c r="B4817" t="n">
        <x:v>67</x:v>
      </x:c>
      <x:c r="C4817" t="str">
        <x:v>Male</x:v>
      </x:c>
      <x:c r="D4817" t="str">
        <x:v>Electronics</x:v>
      </x:c>
      <x:c r="E4817" t="str">
        <x:v>Mobile Phone</x:v>
      </x:c>
      <x:c r="F4817" s="24" t="n">
        <x:v>2035.13</x:v>
      </x:c>
      <x:c r="G4817" t="str">
        <x:v>Spring</x:v>
      </x:c>
      <x:c r="H4817" t="str">
        <x:v>Card</x:v>
      </x:c>
      <x:c r="I4817" t="n">
        <x:v>3.7</x:v>
      </x:c>
      <x:c r="J4817" t="n">
        <x:v>13</x:v>
      </x:c>
      <x:c r="K4817" t="n">
        <x:v>4</x:v>
      </x:c>
      <x:c r="L4817" t="str">
        <x:v>STORE-001</x:v>
      </x:c>
      <x:c r="M4817" s="22" t="n">
        <x:v>46281</x:v>
      </x:c>
      <x:c r="N4817" t="str">
        <x:v>SKU-016</x:v>
      </x:c>
      <x:c r="O4817" t="n">
        <x:v>1</x:v>
      </x:c>
      <x:c r="P4817" s="26" t="n">
        <x:f>F4817/O4817</x:f>
        <x:v>2035.13</x:v>
      </x:c>
    </x:row>
    <x:row r="4818">
      <x:c r="A4818" t="n">
        <x:v>4817</x:v>
      </x:c>
      <x:c r="B4818" t="n">
        <x:v>26</x:v>
      </x:c>
      <x:c r="C4818" t="str">
        <x:v>Male</x:v>
      </x:c>
      <x:c r="D4818" t="str">
        <x:v>Groceries</x:v>
      </x:c>
      <x:c r="E4818" t="str">
        <x:v>Rice Pack</x:v>
      </x:c>
      <x:c r="F4818" s="24" t="n">
        <x:v>42.57</x:v>
      </x:c>
      <x:c r="G4818" t="str">
        <x:v>Autumn</x:v>
      </x:c>
      <x:c r="H4818" t="str">
        <x:v>Card</x:v>
      </x:c>
      <x:c r="I4818" t="n">
        <x:v>4.1</x:v>
      </x:c>
      <x:c r="J4818" t="n">
        <x:v>9</x:v>
      </x:c>
      <x:c r="K4818" t="n">
        <x:v>2</x:v>
      </x:c>
      <x:c r="L4818" t="str">
        <x:v>STORE-001</x:v>
      </x:c>
      <x:c r="M4818" s="22" t="n">
        <x:v>46130</x:v>
      </x:c>
      <x:c r="N4818" t="str">
        <x:v>SKU-018</x:v>
      </x:c>
      <x:c r="O4818" t="n">
        <x:v>1</x:v>
      </x:c>
      <x:c r="P4818" s="26" t="n">
        <x:f>F4818/O4818</x:f>
        <x:v>42.57</x:v>
      </x:c>
    </x:row>
    <x:row r="4819">
      <x:c r="A4819" t="n">
        <x:v>4818</x:v>
      </x:c>
      <x:c r="B4819" t="n">
        <x:v>31</x:v>
      </x:c>
      <x:c r="C4819" t="str">
        <x:v>Male</x:v>
      </x:c>
      <x:c r="D4819" t="str">
        <x:v>Electronics</x:v>
      </x:c>
      <x:c r="E4819" t="str">
        <x:v>Mobile Phone</x:v>
      </x:c>
      <x:c r="F4819" s="24" t="n">
        <x:v>2124.87</x:v>
      </x:c>
      <x:c r="G4819" t="str">
        <x:v>Winter</x:v>
      </x:c>
      <x:c r="H4819" t="str">
        <x:v>Card</x:v>
      </x:c>
      <x:c r="I4819" t="n">
        <x:v>3.4</x:v>
      </x:c>
      <x:c r="J4819" t="n">
        <x:v>13</x:v>
      </x:c>
      <x:c r="K4819" t="n">
        <x:v>4</x:v>
      </x:c>
      <x:c r="L4819" t="str">
        <x:v>STORE-001</x:v>
      </x:c>
      <x:c r="M4819" s="22" t="n">
        <x:v>46259</x:v>
      </x:c>
      <x:c r="N4819" t="str">
        <x:v>SKU-016</x:v>
      </x:c>
      <x:c r="O4819" t="n">
        <x:v>2</x:v>
      </x:c>
      <x:c r="P4819" s="26" t="n">
        <x:f>F4819/O4819</x:f>
        <x:v>1062.435</x:v>
      </x:c>
    </x:row>
    <x:row r="4820">
      <x:c r="A4820" t="n">
        <x:v>4819</x:v>
      </x:c>
      <x:c r="B4820" t="n">
        <x:v>58</x:v>
      </x:c>
      <x:c r="C4820" t="str">
        <x:v>Male</x:v>
      </x:c>
      <x:c r="D4820" t="str">
        <x:v>Electronics</x:v>
      </x:c>
      <x:c r="E4820" t="str">
        <x:v>Smart Watch</x:v>
      </x:c>
      <x:c r="F4820" s="24" t="n">
        <x:v>1687.48</x:v>
      </x:c>
      <x:c r="G4820" t="str">
        <x:v>Summer</x:v>
      </x:c>
      <x:c r="H4820" t="str">
        <x:v>Card</x:v>
      </x:c>
      <x:c r="I4820" t="n">
        <x:v>3.8</x:v>
      </x:c>
      <x:c r="J4820" t="n">
        <x:v>13</x:v>
      </x:c>
      <x:c r="K4820" t="n">
        <x:v>4</x:v>
      </x:c>
      <x:c r="L4820" t="str">
        <x:v>STORE-001</x:v>
      </x:c>
      <x:c r="M4820" s="22" t="n">
        <x:v>46043</x:v>
      </x:c>
      <x:c r="N4820" t="str">
        <x:v>SKU-023</x:v>
      </x:c>
      <x:c r="O4820" t="n">
        <x:v>1</x:v>
      </x:c>
      <x:c r="P4820" s="26" t="n">
        <x:f>F4820/O4820</x:f>
        <x:v>1687.48</x:v>
      </x:c>
    </x:row>
    <x:row r="4821">
      <x:c r="A4821" t="n">
        <x:v>4820</x:v>
      </x:c>
      <x:c r="B4821" t="n">
        <x:v>38</x:v>
      </x:c>
      <x:c r="C4821" t="str">
        <x:v>Male</x:v>
      </x:c>
      <x:c r="D4821" t="str">
        <x:v>Electronics</x:v>
      </x:c>
      <x:c r="E4821" t="str">
        <x:v>Mobile Phone</x:v>
      </x:c>
      <x:c r="F4821" s="24" t="n">
        <x:v>1951.27</x:v>
      </x:c>
      <x:c r="G4821" t="str">
        <x:v>Autumn</x:v>
      </x:c>
      <x:c r="H4821" t="str">
        <x:v>Card</x:v>
      </x:c>
      <x:c r="I4821" t="n">
        <x:v>4.6</x:v>
      </x:c>
      <x:c r="J4821" t="n">
        <x:v>6</x:v>
      </x:c>
      <x:c r="K4821" t="n">
        <x:v>3</x:v>
      </x:c>
      <x:c r="L4821" t="str">
        <x:v>STORE-001</x:v>
      </x:c>
      <x:c r="M4821" s="22" t="n">
        <x:v>46147</x:v>
      </x:c>
      <x:c r="N4821" t="str">
        <x:v>SKU-016</x:v>
      </x:c>
      <x:c r="O4821" t="n">
        <x:v>1</x:v>
      </x:c>
      <x:c r="P4821" s="26" t="n">
        <x:f>F4821/O4821</x:f>
        <x:v>1951.27</x:v>
      </x:c>
    </x:row>
    <x:row r="4822">
      <x:c r="A4822" t="n">
        <x:v>4821</x:v>
      </x:c>
      <x:c r="B4822" t="n">
        <x:v>37</x:v>
      </x:c>
      <x:c r="C4822" t="str">
        <x:v>Male</x:v>
      </x:c>
      <x:c r="D4822" t="str">
        <x:v>Mens Clothing</x:v>
      </x:c>
      <x:c r="E4822" t="str">
        <x:v>Jeans</x:v>
      </x:c>
      <x:c r="F4822" s="24" t="n">
        <x:v>159.61</x:v>
      </x:c>
      <x:c r="G4822" t="str">
        <x:v>Spring</x:v>
      </x:c>
      <x:c r="H4822" t="str">
        <x:v>Card</x:v>
      </x:c>
      <x:c r="I4822" t="n">
        <x:v>3.7</x:v>
      </x:c>
      <x:c r="J4822" t="n">
        <x:v>20</x:v>
      </x:c>
      <x:c r="K4822" t="n">
        <x:v>5</x:v>
      </x:c>
      <x:c r="L4822" t="str">
        <x:v>STORE-001</x:v>
      </x:c>
      <x:c r="M4822" s="22" t="n">
        <x:v>46294</x:v>
      </x:c>
      <x:c r="N4822" t="str">
        <x:v>SKU-011</x:v>
      </x:c>
      <x:c r="O4822" t="n">
        <x:v>3</x:v>
      </x:c>
      <x:c r="P4822" s="26" t="n">
        <x:f>F4822/O4822</x:f>
        <x:v>53.20333333333334</x:v>
      </x:c>
    </x:row>
    <x:row r="4823">
      <x:c r="A4823" t="n">
        <x:v>4822</x:v>
      </x:c>
      <x:c r="B4823" t="n">
        <x:v>28</x:v>
      </x:c>
      <x:c r="C4823" t="str">
        <x:v>Male</x:v>
      </x:c>
      <x:c r="D4823" t="str">
        <x:v>Sports</x:v>
      </x:c>
      <x:c r="E4823" t="str">
        <x:v>Football</x:v>
      </x:c>
      <x:c r="F4823" s="24" t="n">
        <x:v>178.42</x:v>
      </x:c>
      <x:c r="G4823" t="str">
        <x:v>Spring</x:v>
      </x:c>
      <x:c r="H4823" t="str">
        <x:v>Card</x:v>
      </x:c>
      <x:c r="I4823" t="n">
        <x:v>4.1</x:v>
      </x:c>
      <x:c r="J4823" t="n">
        <x:v>22</x:v>
      </x:c>
      <x:c r="K4823" t="n">
        <x:v>6</x:v>
      </x:c>
      <x:c r="L4823" t="str">
        <x:v>STORE-001</x:v>
      </x:c>
      <x:c r="M4823" s="22" t="n">
        <x:v>45977</x:v>
      </x:c>
      <x:c r="N4823" t="str">
        <x:v>SKU-006</x:v>
      </x:c>
      <x:c r="O4823" t="n">
        <x:v>1</x:v>
      </x:c>
      <x:c r="P4823" s="26" t="n">
        <x:f>F4823/O4823</x:f>
        <x:v>178.42</x:v>
      </x:c>
    </x:row>
    <x:row r="4824">
      <x:c r="A4824" t="n">
        <x:v>4823</x:v>
      </x:c>
      <x:c r="B4824" t="n">
        <x:v>48</x:v>
      </x:c>
      <x:c r="C4824" t="str">
        <x:v>Male</x:v>
      </x:c>
      <x:c r="D4824" t="str">
        <x:v>Footwear</x:v>
      </x:c>
      <x:c r="E4824" t="str">
        <x:v>Sandals</x:v>
      </x:c>
      <x:c r="F4824" s="24" t="n">
        <x:v>92.46</x:v>
      </x:c>
      <x:c r="G4824" t="str">
        <x:v>Spring</x:v>
      </x:c>
      <x:c r="H4824" t="str">
        <x:v>Card</x:v>
      </x:c>
      <x:c r="I4824" t="n">
        <x:v>3.3</x:v>
      </x:c>
      <x:c r="J4824" t="n">
        <x:v>14</x:v>
      </x:c>
      <x:c r="K4824" t="n">
        <x:v>7</x:v>
      </x:c>
      <x:c r="L4824" t="str">
        <x:v>STORE-001</x:v>
      </x:c>
      <x:c r="M4824" s="22" t="n">
        <x:v>45976</x:v>
      </x:c>
      <x:c r="N4824" t="str">
        <x:v>SKU-019</x:v>
      </x:c>
      <x:c r="O4824" t="n">
        <x:v>1</x:v>
      </x:c>
      <x:c r="P4824" s="26" t="n">
        <x:f>F4824/O4824</x:f>
        <x:v>92.46</x:v>
      </x:c>
    </x:row>
    <x:row r="4825">
      <x:c r="A4825" t="n">
        <x:v>4824</x:v>
      </x:c>
      <x:c r="B4825" t="n">
        <x:v>36</x:v>
      </x:c>
      <x:c r="C4825" t="str">
        <x:v>Female</x:v>
      </x:c>
      <x:c r="D4825" t="str">
        <x:v>Accessories</x:v>
      </x:c>
      <x:c r="E4825" t="str">
        <x:v>Wallet</x:v>
      </x:c>
      <x:c r="F4825" s="24" t="n">
        <x:v>35.9</x:v>
      </x:c>
      <x:c r="G4825" t="str">
        <x:v>Spring</x:v>
      </x:c>
      <x:c r="H4825" t="str">
        <x:v>Cash on Delivery</x:v>
      </x:c>
      <x:c r="I4825" t="n">
        <x:v>4.2</x:v>
      </x:c>
      <x:c r="J4825" t="n">
        <x:v>11</x:v>
      </x:c>
      <x:c r="K4825" t="n">
        <x:v>3</x:v>
      </x:c>
      <x:c r="L4825" t="str">
        <x:v>STORE-001</x:v>
      </x:c>
      <x:c r="M4825" s="22" t="n">
        <x:v>45963</x:v>
      </x:c>
      <x:c r="N4825" t="str">
        <x:v>SKU-029</x:v>
      </x:c>
      <x:c r="O4825" t="n">
        <x:v>1</x:v>
      </x:c>
      <x:c r="P4825" s="26" t="n">
        <x:f>F4825/O4825</x:f>
        <x:v>35.9</x:v>
      </x:c>
    </x:row>
    <x:row r="4826">
      <x:c r="A4826" t="n">
        <x:v>4825</x:v>
      </x:c>
      <x:c r="B4826" t="n">
        <x:v>57</x:v>
      </x:c>
      <x:c r="C4826" t="str">
        <x:v>Male</x:v>
      </x:c>
      <x:c r="D4826" t="str">
        <x:v>Sports</x:v>
      </x:c>
      <x:c r="E4826" t="str">
        <x:v>Dumbbells</x:v>
      </x:c>
      <x:c r="F4826" s="24" t="n">
        <x:v>235.27</x:v>
      </x:c>
      <x:c r="G4826" t="str">
        <x:v>Winter</x:v>
      </x:c>
      <x:c r="H4826" t="str">
        <x:v>Card</x:v>
      </x:c>
      <x:c r="I4826" t="n">
        <x:v>3.9</x:v>
      </x:c>
      <x:c r="J4826" t="n">
        <x:v>18</x:v>
      </x:c>
      <x:c r="K4826" t="n">
        <x:v>4</x:v>
      </x:c>
      <x:c r="L4826" t="str">
        <x:v>STORE-001</x:v>
      </x:c>
      <x:c r="M4826" s="22" t="n">
        <x:v>46203</x:v>
      </x:c>
      <x:c r="N4826" t="str">
        <x:v>SKU-005</x:v>
      </x:c>
      <x:c r="O4826" t="n">
        <x:v>1</x:v>
      </x:c>
      <x:c r="P4826" s="26" t="n">
        <x:f>F4826/O4826</x:f>
        <x:v>235.27</x:v>
      </x:c>
    </x:row>
    <x:row r="4827">
      <x:c r="A4827" t="n">
        <x:v>4826</x:v>
      </x:c>
      <x:c r="B4827" t="n">
        <x:v>42</x:v>
      </x:c>
      <x:c r="C4827" t="str">
        <x:v>Male</x:v>
      </x:c>
      <x:c r="D4827" t="str">
        <x:v>Groceries</x:v>
      </x:c>
      <x:c r="E4827" t="str">
        <x:v>Cooking Oil</x:v>
      </x:c>
      <x:c r="F4827" s="24" t="n">
        <x:v>76.87</x:v>
      </x:c>
      <x:c r="G4827" t="str">
        <x:v>Autumn</x:v>
      </x:c>
      <x:c r="H4827" t="str">
        <x:v>Cash on Delivery</x:v>
      </x:c>
      <x:c r="I4827" t="n">
        <x:v>4.5</x:v>
      </x:c>
      <x:c r="J4827" t="n">
        <x:v>9</x:v>
      </x:c>
      <x:c r="K4827" t="n">
        <x:v>2</x:v>
      </x:c>
      <x:c r="L4827" t="str">
        <x:v>STORE-001</x:v>
      </x:c>
      <x:c r="M4827" s="22" t="n">
        <x:v>46163</x:v>
      </x:c>
      <x:c r="N4827" t="str">
        <x:v>SKU-002</x:v>
      </x:c>
      <x:c r="O4827" t="n">
        <x:v>4</x:v>
      </x:c>
      <x:c r="P4827" s="26" t="n">
        <x:f>F4827/O4827</x:f>
        <x:v>19.2175</x:v>
      </x:c>
    </x:row>
    <x:row r="4828">
      <x:c r="A4828" t="n">
        <x:v>4827</x:v>
      </x:c>
      <x:c r="B4828" t="n">
        <x:v>47</x:v>
      </x:c>
      <x:c r="C4828" t="str">
        <x:v>Male</x:v>
      </x:c>
      <x:c r="D4828" t="str">
        <x:v>Electronics</x:v>
      </x:c>
      <x:c r="E4828" t="str">
        <x:v>Smart Watch</x:v>
      </x:c>
      <x:c r="F4828" s="24" t="n">
        <x:v>692.45</x:v>
      </x:c>
      <x:c r="G4828" t="str">
        <x:v>Summer</x:v>
      </x:c>
      <x:c r="H4828" t="str">
        <x:v>Card</x:v>
      </x:c>
      <x:c r="I4828" t="n">
        <x:v>4.3</x:v>
      </x:c>
      <x:c r="J4828" t="n">
        <x:v>9</x:v>
      </x:c>
      <x:c r="K4828" t="n">
        <x:v>2</x:v>
      </x:c>
      <x:c r="L4828" t="str">
        <x:v>STORE-001</x:v>
      </x:c>
      <x:c r="M4828" s="22" t="n">
        <x:v>46078</x:v>
      </x:c>
      <x:c r="N4828" t="str">
        <x:v>SKU-023</x:v>
      </x:c>
      <x:c r="O4828" t="n">
        <x:v>1</x:v>
      </x:c>
      <x:c r="P4828" s="26" t="n">
        <x:f>F4828/O4828</x:f>
        <x:v>692.45</x:v>
      </x:c>
    </x:row>
    <x:row r="4829">
      <x:c r="A4829" t="n">
        <x:v>4828</x:v>
      </x:c>
      <x:c r="B4829" t="n">
        <x:v>56</x:v>
      </x:c>
      <x:c r="C4829" t="str">
        <x:v>Female</x:v>
      </x:c>
      <x:c r="D4829" t="str">
        <x:v>Womens Clothing</x:v>
      </x:c>
      <x:c r="E4829" t="str">
        <x:v>Jeans</x:v>
      </x:c>
      <x:c r="F4829" s="24" t="n">
        <x:v>128.73</x:v>
      </x:c>
      <x:c r="G4829" t="str">
        <x:v>Summer</x:v>
      </x:c>
      <x:c r="H4829" t="str">
        <x:v>Card</x:v>
      </x:c>
      <x:c r="I4829" t="n">
        <x:v>4.9</x:v>
      </x:c>
      <x:c r="J4829" t="n">
        <x:v>12</x:v>
      </x:c>
      <x:c r="K4829" t="n">
        <x:v>6</x:v>
      </x:c>
      <x:c r="L4829" t="str">
        <x:v>STORE-001</x:v>
      </x:c>
      <x:c r="M4829" s="22" t="n">
        <x:v>45999</x:v>
      </x:c>
      <x:c r="N4829" t="str">
        <x:v>SKU-011</x:v>
      </x:c>
      <x:c r="O4829" t="n">
        <x:v>1</x:v>
      </x:c>
      <x:c r="P4829" s="26" t="n">
        <x:f>F4829/O4829</x:f>
        <x:v>128.73</x:v>
      </x:c>
    </x:row>
    <x:row r="4830">
      <x:c r="A4830" t="n">
        <x:v>4829</x:v>
      </x:c>
      <x:c r="B4830" t="n">
        <x:v>30</x:v>
      </x:c>
      <x:c r="C4830" t="str">
        <x:v>Female</x:v>
      </x:c>
      <x:c r="D4830" t="str">
        <x:v>Beauty</x:v>
      </x:c>
      <x:c r="E4830" t="str">
        <x:v>Skincare Kit</x:v>
      </x:c>
      <x:c r="F4830" s="24" t="n">
        <x:v>97.03</x:v>
      </x:c>
      <x:c r="G4830" t="str">
        <x:v>Winter</x:v>
      </x:c>
      <x:c r="H4830" t="str">
        <x:v>Cash on Delivery</x:v>
      </x:c>
      <x:c r="I4830" t="n">
        <x:v>4.1</x:v>
      </x:c>
      <x:c r="J4830" t="n">
        <x:v>19</x:v>
      </x:c>
      <x:c r="K4830" t="n">
        <x:v>7</x:v>
      </x:c>
      <x:c r="L4830" t="str">
        <x:v>STORE-001</x:v>
      </x:c>
      <x:c r="M4830" s="22" t="n">
        <x:v>46197</x:v>
      </x:c>
      <x:c r="N4830" t="str">
        <x:v>SKU-021</x:v>
      </x:c>
      <x:c r="O4830" t="n">
        <x:v>1</x:v>
      </x:c>
      <x:c r="P4830" s="26" t="n">
        <x:f>F4830/O4830</x:f>
        <x:v>97.03</x:v>
      </x:c>
    </x:row>
    <x:row r="4831">
      <x:c r="A4831" t="n">
        <x:v>4830</x:v>
      </x:c>
      <x:c r="B4831" t="n">
        <x:v>24</x:v>
      </x:c>
      <x:c r="C4831" t="str">
        <x:v>Female</x:v>
      </x:c>
      <x:c r="D4831" t="str">
        <x:v>Accessories</x:v>
      </x:c>
      <x:c r="E4831" t="str">
        <x:v>Wallet</x:v>
      </x:c>
      <x:c r="F4831" s="24" t="n">
        <x:v>156.83</x:v>
      </x:c>
      <x:c r="G4831" t="str">
        <x:v>Summer</x:v>
      </x:c>
      <x:c r="H4831" t="str">
        <x:v>Card</x:v>
      </x:c>
      <x:c r="I4831" t="n">
        <x:v>2.8</x:v>
      </x:c>
      <x:c r="J4831" t="n">
        <x:v>8</x:v>
      </x:c>
      <x:c r="K4831" t="n">
        <x:v>4</x:v>
      </x:c>
      <x:c r="L4831" t="str">
        <x:v>STORE-001</x:v>
      </x:c>
      <x:c r="M4831" s="22" t="n">
        <x:v>46060</x:v>
      </x:c>
      <x:c r="N4831" t="str">
        <x:v>SKU-029</x:v>
      </x:c>
      <x:c r="O4831" t="n">
        <x:v>1</x:v>
      </x:c>
      <x:c r="P4831" s="26" t="n">
        <x:f>F4831/O4831</x:f>
        <x:v>156.83</x:v>
      </x:c>
    </x:row>
    <x:row r="4832">
      <x:c r="A4832" t="n">
        <x:v>4831</x:v>
      </x:c>
      <x:c r="B4832" t="n">
        <x:v>35</x:v>
      </x:c>
      <x:c r="C4832" t="str">
        <x:v>Female</x:v>
      </x:c>
      <x:c r="D4832" t="str">
        <x:v>Footwear</x:v>
      </x:c>
      <x:c r="E4832" t="str">
        <x:v>Formal Shoes</x:v>
      </x:c>
      <x:c r="F4832" s="24" t="n">
        <x:v>233.18</x:v>
      </x:c>
      <x:c r="G4832" t="str">
        <x:v>Spring</x:v>
      </x:c>
      <x:c r="H4832" t="str">
        <x:v>Card</x:v>
      </x:c>
      <x:c r="I4832" t="n">
        <x:v>3.1</x:v>
      </x:c>
      <x:c r="J4832" t="n">
        <x:v>11</x:v>
      </x:c>
      <x:c r="K4832" t="n">
        <x:v>3</x:v>
      </x:c>
      <x:c r="L4832" t="str">
        <x:v>STORE-001</x:v>
      </x:c>
      <x:c r="M4832" s="22" t="n">
        <x:v>46278</x:v>
      </x:c>
      <x:c r="N4832" t="str">
        <x:v>SKU-007</x:v>
      </x:c>
      <x:c r="O4832" t="n">
        <x:v>1</x:v>
      </x:c>
      <x:c r="P4832" s="26" t="n">
        <x:f>F4832/O4832</x:f>
        <x:v>233.18</x:v>
      </x:c>
    </x:row>
    <x:row r="4833">
      <x:c r="A4833" t="n">
        <x:v>4832</x:v>
      </x:c>
      <x:c r="B4833" t="n">
        <x:v>52</x:v>
      </x:c>
      <x:c r="C4833" t="str">
        <x:v>Female</x:v>
      </x:c>
      <x:c r="D4833" t="str">
        <x:v>Sports</x:v>
      </x:c>
      <x:c r="E4833" t="str">
        <x:v>Yoga Mat</x:v>
      </x:c>
      <x:c r="F4833" s="24" t="n">
        <x:v>65.76</x:v>
      </x:c>
      <x:c r="G4833" t="str">
        <x:v>Winter</x:v>
      </x:c>
      <x:c r="H4833" t="str">
        <x:v>Cash on Delivery</x:v>
      </x:c>
      <x:c r="I4833" t="n">
        <x:v>3.5</x:v>
      </x:c>
      <x:c r="J4833" t="n">
        <x:v>32</x:v>
      </x:c>
      <x:c r="K4833" t="n">
        <x:v>11</x:v>
      </x:c>
      <x:c r="L4833" t="str">
        <x:v>STORE-001</x:v>
      </x:c>
      <x:c r="M4833" s="22" t="n">
        <x:v>46202</x:v>
      </x:c>
      <x:c r="N4833" t="str">
        <x:v>SKU-030</x:v>
      </x:c>
      <x:c r="O4833" t="n">
        <x:v>1</x:v>
      </x:c>
      <x:c r="P4833" s="26" t="n">
        <x:f>F4833/O4833</x:f>
        <x:v>65.76</x:v>
      </x:c>
    </x:row>
    <x:row r="4834">
      <x:c r="A4834" t="n">
        <x:v>4833</x:v>
      </x:c>
      <x:c r="B4834" t="n">
        <x:v>55</x:v>
      </x:c>
      <x:c r="C4834" t="str">
        <x:v>Male</x:v>
      </x:c>
      <x:c r="D4834" t="str">
        <x:v>Sports</x:v>
      </x:c>
      <x:c r="E4834" t="str">
        <x:v>Football</x:v>
      </x:c>
      <x:c r="F4834" s="24" t="n">
        <x:v>245.22</x:v>
      </x:c>
      <x:c r="G4834" t="str">
        <x:v>Summer</x:v>
      </x:c>
      <x:c r="H4834" t="str">
        <x:v>Card</x:v>
      </x:c>
      <x:c r="I4834" t="n">
        <x:v>5</x:v>
      </x:c>
      <x:c r="J4834" t="n">
        <x:v>22</x:v>
      </x:c>
      <x:c r="K4834" t="n">
        <x:v>11</x:v>
      </x:c>
      <x:c r="L4834" t="str">
        <x:v>STORE-001</x:v>
      </x:c>
      <x:c r="M4834" s="22" t="n">
        <x:v>46003</x:v>
      </x:c>
      <x:c r="N4834" t="str">
        <x:v>SKU-006</x:v>
      </x:c>
      <x:c r="O4834" t="n">
        <x:v>1</x:v>
      </x:c>
      <x:c r="P4834" s="26" t="n">
        <x:f>F4834/O4834</x:f>
        <x:v>245.22</x:v>
      </x:c>
    </x:row>
    <x:row r="4835">
      <x:c r="A4835" t="n">
        <x:v>4834</x:v>
      </x:c>
      <x:c r="B4835" t="n">
        <x:v>27</x:v>
      </x:c>
      <x:c r="C4835" t="str">
        <x:v>Male</x:v>
      </x:c>
      <x:c r="D4835" t="str">
        <x:v>Electronics</x:v>
      </x:c>
      <x:c r="E4835" t="str">
        <x:v>Mobile Phone</x:v>
      </x:c>
      <x:c r="F4835" s="24" t="n">
        <x:v>540.45</x:v>
      </x:c>
      <x:c r="G4835" t="str">
        <x:v>Spring</x:v>
      </x:c>
      <x:c r="H4835" t="str">
        <x:v>Card</x:v>
      </x:c>
      <x:c r="I4835" t="n">
        <x:v>3.5</x:v>
      </x:c>
      <x:c r="J4835" t="n">
        <x:v>20</x:v>
      </x:c>
      <x:c r="K4835" t="n">
        <x:v>5</x:v>
      </x:c>
      <x:c r="L4835" t="str">
        <x:v>STORE-001</x:v>
      </x:c>
      <x:c r="M4835" s="22" t="n">
        <x:v>46276</x:v>
      </x:c>
      <x:c r="N4835" t="str">
        <x:v>SKU-016</x:v>
      </x:c>
      <x:c r="O4835" t="n">
        <x:v>1</x:v>
      </x:c>
      <x:c r="P4835" s="26" t="n">
        <x:f>F4835/O4835</x:f>
        <x:v>540.45</x:v>
      </x:c>
    </x:row>
    <x:row r="4836">
      <x:c r="A4836" t="n">
        <x:v>4835</x:v>
      </x:c>
      <x:c r="B4836" t="n">
        <x:v>50</x:v>
      </x:c>
      <x:c r="C4836" t="str">
        <x:v>Female</x:v>
      </x:c>
      <x:c r="D4836" t="str">
        <x:v>Beauty</x:v>
      </x:c>
      <x:c r="E4836" t="str">
        <x:v>Skincare Kit</x:v>
      </x:c>
      <x:c r="F4836" s="24" t="n">
        <x:v>55.69</x:v>
      </x:c>
      <x:c r="G4836" t="str">
        <x:v>Autumn</x:v>
      </x:c>
      <x:c r="H4836" t="str">
        <x:v>Card</x:v>
      </x:c>
      <x:c r="I4836" t="n">
        <x:v>3.7</x:v>
      </x:c>
      <x:c r="J4836" t="n">
        <x:v>11</x:v>
      </x:c>
      <x:c r="K4836" t="n">
        <x:v>3</x:v>
      </x:c>
      <x:c r="L4836" t="str">
        <x:v>STORE-001</x:v>
      </x:c>
      <x:c r="M4836" s="22" t="n">
        <x:v>46152</x:v>
      </x:c>
      <x:c r="N4836" t="str">
        <x:v>SKU-021</x:v>
      </x:c>
      <x:c r="O4836" t="n">
        <x:v>1</x:v>
      </x:c>
      <x:c r="P4836" s="26" t="n">
        <x:f>F4836/O4836</x:f>
        <x:v>55.69</x:v>
      </x:c>
    </x:row>
    <x:row r="4837">
      <x:c r="A4837" t="n">
        <x:v>4836</x:v>
      </x:c>
      <x:c r="B4837" t="n">
        <x:v>62</x:v>
      </x:c>
      <x:c r="C4837" t="str">
        <x:v>Female</x:v>
      </x:c>
      <x:c r="D4837" t="str">
        <x:v>Footwear</x:v>
      </x:c>
      <x:c r="E4837" t="str">
        <x:v>Sneakers</x:v>
      </x:c>
      <x:c r="F4837" s="24" t="n">
        <x:v>204.43</x:v>
      </x:c>
      <x:c r="G4837" t="str">
        <x:v>Autumn</x:v>
      </x:c>
      <x:c r="H4837" t="str">
        <x:v>Card</x:v>
      </x:c>
      <x:c r="I4837" t="n">
        <x:v>4.5</x:v>
      </x:c>
      <x:c r="J4837" t="n">
        <x:v>14</x:v>
      </x:c>
      <x:c r="K4837" t="n">
        <x:v>7</x:v>
      </x:c>
      <x:c r="L4837" t="str">
        <x:v>STORE-001</x:v>
      </x:c>
      <x:c r="M4837" s="22" t="n">
        <x:v>46122</x:v>
      </x:c>
      <x:c r="N4837" t="str">
        <x:v>SKU-025</x:v>
      </x:c>
      <x:c r="O4837" t="n">
        <x:v>1</x:v>
      </x:c>
      <x:c r="P4837" s="26" t="n">
        <x:f>F4837/O4837</x:f>
        <x:v>204.43</x:v>
      </x:c>
    </x:row>
    <x:row r="4838">
      <x:c r="A4838" t="n">
        <x:v>4837</x:v>
      </x:c>
      <x:c r="B4838" t="n">
        <x:v>64</x:v>
      </x:c>
      <x:c r="C4838" t="str">
        <x:v>Male</x:v>
      </x:c>
      <x:c r="D4838" t="str">
        <x:v>Mens Clothing</x:v>
      </x:c>
      <x:c r="E4838" t="str">
        <x:v>Jacket</x:v>
      </x:c>
      <x:c r="F4838" s="24" t="n">
        <x:v>187.34</x:v>
      </x:c>
      <x:c r="G4838" t="str">
        <x:v>Spring</x:v>
      </x:c>
      <x:c r="H4838" t="str">
        <x:v>Card</x:v>
      </x:c>
      <x:c r="I4838" t="n">
        <x:v>3.8</x:v>
      </x:c>
      <x:c r="J4838" t="n">
        <x:v>16</x:v>
      </x:c>
      <x:c r="K4838" t="n">
        <x:v>3</x:v>
      </x:c>
      <x:c r="L4838" t="str">
        <x:v>STORE-001</x:v>
      </x:c>
      <x:c r="M4838" s="22" t="n">
        <x:v>45940</x:v>
      </x:c>
      <x:c r="N4838" t="str">
        <x:v>SKU-010</x:v>
      </x:c>
      <x:c r="O4838" t="n">
        <x:v>2</x:v>
      </x:c>
      <x:c r="P4838" s="26" t="n">
        <x:f>F4838/O4838</x:f>
        <x:v>93.67</x:v>
      </x:c>
    </x:row>
    <x:row r="4839">
      <x:c r="A4839" t="n">
        <x:v>4838</x:v>
      </x:c>
      <x:c r="B4839" t="n">
        <x:v>70</x:v>
      </x:c>
      <x:c r="C4839" t="str">
        <x:v>Female</x:v>
      </x:c>
      <x:c r="D4839" t="str">
        <x:v>Beauty</x:v>
      </x:c>
      <x:c r="E4839" t="str">
        <x:v>Perfume</x:v>
      </x:c>
      <x:c r="F4839" s="24" t="n">
        <x:v>119.95</x:v>
      </x:c>
      <x:c r="G4839" t="str">
        <x:v>Summer</x:v>
      </x:c>
      <x:c r="H4839" t="str">
        <x:v>Card</x:v>
      </x:c>
      <x:c r="I4839" t="n">
        <x:v>4.2</x:v>
      </x:c>
      <x:c r="J4839" t="n">
        <x:v>22</x:v>
      </x:c>
      <x:c r="K4839" t="n">
        <x:v>6</x:v>
      </x:c>
      <x:c r="L4839" t="str">
        <x:v>STORE-001</x:v>
      </x:c>
      <x:c r="M4839" s="22" t="n">
        <x:v>46061</x:v>
      </x:c>
      <x:c r="N4839" t="str">
        <x:v>SKU-017</x:v>
      </x:c>
      <x:c r="O4839" t="n">
        <x:v>1</x:v>
      </x:c>
      <x:c r="P4839" s="26" t="n">
        <x:f>F4839/O4839</x:f>
        <x:v>119.95</x:v>
      </x:c>
    </x:row>
    <x:row r="4840">
      <x:c r="A4840" t="n">
        <x:v>4839</x:v>
      </x:c>
      <x:c r="B4840" t="n">
        <x:v>38</x:v>
      </x:c>
      <x:c r="C4840" t="str">
        <x:v>Male</x:v>
      </x:c>
      <x:c r="D4840" t="str">
        <x:v>Mens Clothing</x:v>
      </x:c>
      <x:c r="E4840" t="str">
        <x:v>T-Shirt</x:v>
      </x:c>
      <x:c r="F4840" s="24" t="n">
        <x:v>90.72</x:v>
      </x:c>
      <x:c r="G4840" t="str">
        <x:v>Autumn</x:v>
      </x:c>
      <x:c r="H4840" t="str">
        <x:v>Cash on Delivery</x:v>
      </x:c>
      <x:c r="I4840" t="n">
        <x:v>4.4</x:v>
      </x:c>
      <x:c r="J4840" t="n">
        <x:v>22</x:v>
      </x:c>
      <x:c r="K4840" t="n">
        <x:v>6</x:v>
      </x:c>
      <x:c r="L4840" t="str">
        <x:v>STORE-001</x:v>
      </x:c>
      <x:c r="M4840" s="22" t="n">
        <x:v>46103</x:v>
      </x:c>
      <x:c r="N4840" t="str">
        <x:v>SKU-027</x:v>
      </x:c>
      <x:c r="O4840" t="n">
        <x:v>1</x:v>
      </x:c>
      <x:c r="P4840" s="26" t="n">
        <x:f>F4840/O4840</x:f>
        <x:v>90.72</x:v>
      </x:c>
    </x:row>
    <x:row r="4841">
      <x:c r="A4841" t="n">
        <x:v>4840</x:v>
      </x:c>
      <x:c r="B4841" t="n">
        <x:v>24</x:v>
      </x:c>
      <x:c r="C4841" t="str">
        <x:v>Female</x:v>
      </x:c>
      <x:c r="D4841" t="str">
        <x:v>Groceries</x:v>
      </x:c>
      <x:c r="E4841" t="str">
        <x:v>Cooking Oil</x:v>
      </x:c>
      <x:c r="F4841" s="24" t="n">
        <x:v>42.23</x:v>
      </x:c>
      <x:c r="G4841" t="str">
        <x:v>Spring</x:v>
      </x:c>
      <x:c r="H4841" t="str">
        <x:v>Cash on Delivery</x:v>
      </x:c>
      <x:c r="I4841" t="n">
        <x:v>3.8</x:v>
      </x:c>
      <x:c r="J4841" t="n">
        <x:v>20</x:v>
      </x:c>
      <x:c r="K4841" t="n">
        <x:v>5</x:v>
      </x:c>
      <x:c r="L4841" t="str">
        <x:v>STORE-001</x:v>
      </x:c>
      <x:c r="M4841" s="22" t="n">
        <x:v>46294</x:v>
      </x:c>
      <x:c r="N4841" t="str">
        <x:v>SKU-002</x:v>
      </x:c>
      <x:c r="O4841" t="n">
        <x:v>3</x:v>
      </x:c>
      <x:c r="P4841" s="26" t="n">
        <x:f>F4841/O4841</x:f>
        <x:v>14.076666666666666</x:v>
      </x:c>
    </x:row>
    <x:row r="4842">
      <x:c r="A4842" t="n">
        <x:v>4841</x:v>
      </x:c>
      <x:c r="B4842" t="n">
        <x:v>26</x:v>
      </x:c>
      <x:c r="C4842" t="str">
        <x:v>Male</x:v>
      </x:c>
      <x:c r="D4842" t="str">
        <x:v>Electronics</x:v>
      </x:c>
      <x:c r="E4842" t="str">
        <x:v>Smart Watch</x:v>
      </x:c>
      <x:c r="F4842" s="24" t="n">
        <x:v>1499.25</x:v>
      </x:c>
      <x:c r="G4842" t="str">
        <x:v>Spring</x:v>
      </x:c>
      <x:c r="H4842" t="str">
        <x:v>Card</x:v>
      </x:c>
      <x:c r="I4842" t="n">
        <x:v>3.3</x:v>
      </x:c>
      <x:c r="J4842" t="n">
        <x:v>15</x:v>
      </x:c>
      <x:c r="K4842" t="n">
        <x:v>5</x:v>
      </x:c>
      <x:c r="L4842" t="str">
        <x:v>STORE-001</x:v>
      </x:c>
      <x:c r="M4842" s="22" t="n">
        <x:v>45942</x:v>
      </x:c>
      <x:c r="N4842" t="str">
        <x:v>SKU-023</x:v>
      </x:c>
      <x:c r="O4842" t="n">
        <x:v>1</x:v>
      </x:c>
      <x:c r="P4842" s="26" t="n">
        <x:f>F4842/O4842</x:f>
        <x:v>1499.25</x:v>
      </x:c>
    </x:row>
    <x:row r="4843">
      <x:c r="A4843" t="n">
        <x:v>4842</x:v>
      </x:c>
      <x:c r="B4843" t="n">
        <x:v>46</x:v>
      </x:c>
      <x:c r="C4843" t="str">
        <x:v>Male</x:v>
      </x:c>
      <x:c r="D4843" t="str">
        <x:v>Mens Clothing</x:v>
      </x:c>
      <x:c r="E4843" t="str">
        <x:v>Jacket</x:v>
      </x:c>
      <x:c r="F4843" s="24" t="n">
        <x:v>166.99</x:v>
      </x:c>
      <x:c r="G4843" t="str">
        <x:v>Autumn</x:v>
      </x:c>
      <x:c r="H4843" t="str">
        <x:v>Card</x:v>
      </x:c>
      <x:c r="I4843" t="n">
        <x:v>3.3</x:v>
      </x:c>
      <x:c r="J4843" t="n">
        <x:v>26</x:v>
      </x:c>
      <x:c r="K4843" t="n">
        <x:v>8</x:v>
      </x:c>
      <x:c r="L4843" t="str">
        <x:v>STORE-001</x:v>
      </x:c>
      <x:c r="M4843" s="22" t="n">
        <x:v>46082</x:v>
      </x:c>
      <x:c r="N4843" t="str">
        <x:v>SKU-010</x:v>
      </x:c>
      <x:c r="O4843" t="n">
        <x:v>1</x:v>
      </x:c>
      <x:c r="P4843" s="26" t="n">
        <x:f>F4843/O4843</x:f>
        <x:v>166.99</x:v>
      </x:c>
    </x:row>
    <x:row r="4844">
      <x:c r="A4844" t="n">
        <x:v>4843</x:v>
      </x:c>
      <x:c r="B4844" t="n">
        <x:v>36</x:v>
      </x:c>
      <x:c r="C4844" t="str">
        <x:v>Male</x:v>
      </x:c>
      <x:c r="D4844" t="str">
        <x:v>Footwear</x:v>
      </x:c>
      <x:c r="E4844" t="str">
        <x:v>Formal Shoes</x:v>
      </x:c>
      <x:c r="F4844" s="24" t="n">
        <x:v>205.73</x:v>
      </x:c>
      <x:c r="G4844" t="str">
        <x:v>Summer</x:v>
      </x:c>
      <x:c r="H4844" t="str">
        <x:v>Card</x:v>
      </x:c>
      <x:c r="I4844" t="n">
        <x:v>4.6</x:v>
      </x:c>
      <x:c r="J4844" t="n">
        <x:v>11</x:v>
      </x:c>
      <x:c r="K4844" t="n">
        <x:v>3</x:v>
      </x:c>
      <x:c r="L4844" t="str">
        <x:v>STORE-001</x:v>
      </x:c>
      <x:c r="M4844" s="22" t="n">
        <x:v>46060</x:v>
      </x:c>
      <x:c r="N4844" t="str">
        <x:v>SKU-007</x:v>
      </x:c>
      <x:c r="O4844" t="n">
        <x:v>1</x:v>
      </x:c>
      <x:c r="P4844" s="26" t="n">
        <x:f>F4844/O4844</x:f>
        <x:v>205.73</x:v>
      </x:c>
    </x:row>
    <x:row r="4845">
      <x:c r="A4845" t="n">
        <x:v>4844</x:v>
      </x:c>
      <x:c r="B4845" t="n">
        <x:v>36</x:v>
      </x:c>
      <x:c r="C4845" t="str">
        <x:v>Female</x:v>
      </x:c>
      <x:c r="D4845" t="str">
        <x:v>Home</x:v>
      </x:c>
      <x:c r="E4845" t="str">
        <x:v>Lamp</x:v>
      </x:c>
      <x:c r="F4845" s="24" t="n">
        <x:v>279.9</x:v>
      </x:c>
      <x:c r="G4845" t="str">
        <x:v>Autumn</x:v>
      </x:c>
      <x:c r="H4845" t="str">
        <x:v>Card</x:v>
      </x:c>
      <x:c r="I4845" t="n">
        <x:v>4.4</x:v>
      </x:c>
      <x:c r="J4845" t="n">
        <x:v>24</x:v>
      </x:c>
      <x:c r="K4845" t="n">
        <x:v>7</x:v>
      </x:c>
      <x:c r="L4845" t="str">
        <x:v>STORE-001</x:v>
      </x:c>
      <x:c r="M4845" s="22" t="n">
        <x:v>46116</x:v>
      </x:c>
      <x:c r="N4845" t="str">
        <x:v>SKU-013</x:v>
      </x:c>
      <x:c r="O4845" t="n">
        <x:v>1</x:v>
      </x:c>
      <x:c r="P4845" s="26" t="n">
        <x:f>F4845/O4845</x:f>
        <x:v>279.9</x:v>
      </x:c>
    </x:row>
    <x:row r="4846">
      <x:c r="A4846" t="n">
        <x:v>4845</x:v>
      </x:c>
      <x:c r="B4846" t="n">
        <x:v>65</x:v>
      </x:c>
      <x:c r="C4846" t="str">
        <x:v>Male</x:v>
      </x:c>
      <x:c r="D4846" t="str">
        <x:v>Electronics</x:v>
      </x:c>
      <x:c r="E4846" t="str">
        <x:v>Smart Watch</x:v>
      </x:c>
      <x:c r="F4846" s="24" t="n">
        <x:v>1117.23</x:v>
      </x:c>
      <x:c r="G4846" t="str">
        <x:v>Spring</x:v>
      </x:c>
      <x:c r="H4846" t="str">
        <x:v>Card</x:v>
      </x:c>
      <x:c r="I4846" t="n">
        <x:v>3.8</x:v>
      </x:c>
      <x:c r="J4846" t="n">
        <x:v>22</x:v>
      </x:c>
      <x:c r="K4846" t="n">
        <x:v>6</x:v>
      </x:c>
      <x:c r="L4846" t="str">
        <x:v>STORE-001</x:v>
      </x:c>
      <x:c r="M4846" s="22" t="n">
        <x:v>46275</x:v>
      </x:c>
      <x:c r="N4846" t="str">
        <x:v>SKU-023</x:v>
      </x:c>
      <x:c r="O4846" t="n">
        <x:v>1</x:v>
      </x:c>
      <x:c r="P4846" s="26" t="n">
        <x:f>F4846/O4846</x:f>
        <x:v>1117.23</x:v>
      </x:c>
    </x:row>
    <x:row r="4847">
      <x:c r="A4847" t="n">
        <x:v>4846</x:v>
      </x:c>
      <x:c r="B4847" t="n">
        <x:v>51</x:v>
      </x:c>
      <x:c r="C4847" t="str">
        <x:v>Female</x:v>
      </x:c>
      <x:c r="D4847" t="str">
        <x:v>Womens Clothing</x:v>
      </x:c>
      <x:c r="E4847" t="str">
        <x:v>Dress</x:v>
      </x:c>
      <x:c r="F4847" s="24" t="n">
        <x:v>75.54</x:v>
      </x:c>
      <x:c r="G4847" t="str">
        <x:v>Summer</x:v>
      </x:c>
      <x:c r="H4847" t="str">
        <x:v>Card</x:v>
      </x:c>
      <x:c r="I4847" t="n">
        <x:v>4.2</x:v>
      </x:c>
      <x:c r="J4847" t="n">
        <x:v>11</x:v>
      </x:c>
      <x:c r="K4847" t="n">
        <x:v>3</x:v>
      </x:c>
      <x:c r="L4847" t="str">
        <x:v>STORE-001</x:v>
      </x:c>
      <x:c r="M4847" s="22" t="n">
        <x:v>46014</x:v>
      </x:c>
      <x:c r="N4847" t="str">
        <x:v>SKU-004</x:v>
      </x:c>
      <x:c r="O4847" t="n">
        <x:v>2</x:v>
      </x:c>
      <x:c r="P4847" s="26" t="n">
        <x:f>F4847/O4847</x:f>
        <x:v>37.77</x:v>
      </x:c>
    </x:row>
    <x:row r="4848">
      <x:c r="A4848" t="n">
        <x:v>4847</x:v>
      </x:c>
      <x:c r="B4848" t="n">
        <x:v>21</x:v>
      </x:c>
      <x:c r="C4848" t="str">
        <x:v>Female</x:v>
      </x:c>
      <x:c r="D4848" t="str">
        <x:v>Accessories</x:v>
      </x:c>
      <x:c r="E4848" t="str">
        <x:v>Sunglasses</x:v>
      </x:c>
      <x:c r="F4848" s="24" t="n">
        <x:v>31.69</x:v>
      </x:c>
      <x:c r="G4848" t="str">
        <x:v>Winter</x:v>
      </x:c>
      <x:c r="H4848" t="str">
        <x:v>Cash on Delivery</x:v>
      </x:c>
      <x:c r="I4848" t="n">
        <x:v>2.6</x:v>
      </x:c>
      <x:c r="J4848" t="n">
        <x:v>20</x:v>
      </x:c>
      <x:c r="K4848" t="n">
        <x:v>5</x:v>
      </x:c>
      <x:c r="L4848" t="str">
        <x:v>STORE-001</x:v>
      </x:c>
      <x:c r="M4848" s="22" t="n">
        <x:v>46213</x:v>
      </x:c>
      <x:c r="N4848" t="str">
        <x:v>SKU-026</x:v>
      </x:c>
      <x:c r="O4848" t="n">
        <x:v>3</x:v>
      </x:c>
      <x:c r="P4848" s="26" t="n">
        <x:f>F4848/O4848</x:f>
        <x:v>10.563333333333334</x:v>
      </x:c>
    </x:row>
    <x:row r="4849">
      <x:c r="A4849" t="n">
        <x:v>4848</x:v>
      </x:c>
      <x:c r="B4849" t="n">
        <x:v>48</x:v>
      </x:c>
      <x:c r="C4849" t="str">
        <x:v>Female</x:v>
      </x:c>
      <x:c r="D4849" t="str">
        <x:v>Beauty</x:v>
      </x:c>
      <x:c r="E4849" t="str">
        <x:v>Skincare Kit</x:v>
      </x:c>
      <x:c r="F4849" s="24" t="n">
        <x:v>125.13</x:v>
      </x:c>
      <x:c r="G4849" t="str">
        <x:v>Summer</x:v>
      </x:c>
      <x:c r="H4849" t="str">
        <x:v>Card</x:v>
      </x:c>
      <x:c r="I4849" t="n">
        <x:v>3.6</x:v>
      </x:c>
      <x:c r="J4849" t="n">
        <x:v>18</x:v>
      </x:c>
      <x:c r="K4849" t="n">
        <x:v>4</x:v>
      </x:c>
      <x:c r="L4849" t="str">
        <x:v>STORE-001</x:v>
      </x:c>
      <x:c r="M4849" s="22" t="n">
        <x:v>46060</x:v>
      </x:c>
      <x:c r="N4849" t="str">
        <x:v>SKU-021</x:v>
      </x:c>
      <x:c r="O4849" t="n">
        <x:v>2</x:v>
      </x:c>
      <x:c r="P4849" s="26" t="n">
        <x:f>F4849/O4849</x:f>
        <x:v>62.565</x:v>
      </x:c>
    </x:row>
    <x:row r="4850">
      <x:c r="A4850" t="n">
        <x:v>4849</x:v>
      </x:c>
      <x:c r="B4850" t="n">
        <x:v>51</x:v>
      </x:c>
      <x:c r="C4850" t="str">
        <x:v>Male</x:v>
      </x:c>
      <x:c r="D4850" t="str">
        <x:v>Footwear</x:v>
      </x:c>
      <x:c r="E4850" t="str">
        <x:v>Formal Shoes</x:v>
      </x:c>
      <x:c r="F4850" s="24" t="n">
        <x:v>188.35</x:v>
      </x:c>
      <x:c r="G4850" t="str">
        <x:v>Autumn</x:v>
      </x:c>
      <x:c r="H4850" t="str">
        <x:v>Card</x:v>
      </x:c>
      <x:c r="I4850" t="n">
        <x:v>4.6</x:v>
      </x:c>
      <x:c r="J4850" t="n">
        <x:v>16</x:v>
      </x:c>
      <x:c r="K4850" t="n">
        <x:v>8</x:v>
      </x:c>
      <x:c r="L4850" t="str">
        <x:v>STORE-001</x:v>
      </x:c>
      <x:c r="M4850" s="22" t="n">
        <x:v>46116</x:v>
      </x:c>
      <x:c r="N4850" t="str">
        <x:v>SKU-007</x:v>
      </x:c>
      <x:c r="O4850" t="n">
        <x:v>1</x:v>
      </x:c>
      <x:c r="P4850" s="26" t="n">
        <x:f>F4850/O4850</x:f>
        <x:v>188.35</x:v>
      </x:c>
    </x:row>
    <x:row r="4851">
      <x:c r="A4851" t="n">
        <x:v>4850</x:v>
      </x:c>
      <x:c r="B4851" t="n">
        <x:v>46</x:v>
      </x:c>
      <x:c r="C4851" t="str">
        <x:v>Female</x:v>
      </x:c>
      <x:c r="D4851" t="str">
        <x:v>Accessories</x:v>
      </x:c>
      <x:c r="E4851" t="str">
        <x:v>Wallet</x:v>
      </x:c>
      <x:c r="F4851" s="24" t="n">
        <x:v>72.39</x:v>
      </x:c>
      <x:c r="G4851" t="str">
        <x:v>Autumn</x:v>
      </x:c>
      <x:c r="H4851" t="str">
        <x:v>Cash on Delivery</x:v>
      </x:c>
      <x:c r="I4851" t="n">
        <x:v>4.6</x:v>
      </x:c>
      <x:c r="J4851" t="n">
        <x:v>16</x:v>
      </x:c>
      <x:c r="K4851" t="n">
        <x:v>3</x:v>
      </x:c>
      <x:c r="L4851" t="str">
        <x:v>STORE-001</x:v>
      </x:c>
      <x:c r="M4851" s="22" t="n">
        <x:v>46120</x:v>
      </x:c>
      <x:c r="N4851" t="str">
        <x:v>SKU-029</x:v>
      </x:c>
      <x:c r="O4851" t="n">
        <x:v>3</x:v>
      </x:c>
      <x:c r="P4851" s="26" t="n">
        <x:f>F4851/O4851</x:f>
        <x:v>24.13</x:v>
      </x:c>
    </x:row>
    <x:row r="4852">
      <x:c r="A4852" t="n">
        <x:v>4851</x:v>
      </x:c>
      <x:c r="B4852" t="n">
        <x:v>46</x:v>
      </x:c>
      <x:c r="C4852" t="str">
        <x:v>Male</x:v>
      </x:c>
      <x:c r="D4852" t="str">
        <x:v>Home</x:v>
      </x:c>
      <x:c r="E4852" t="str">
        <x:v>Kitchen Set</x:v>
      </x:c>
      <x:c r="F4852" s="24" t="n">
        <x:v>237.02</x:v>
      </x:c>
      <x:c r="G4852" t="str">
        <x:v>Autumn</x:v>
      </x:c>
      <x:c r="H4852" t="str">
        <x:v>Card</x:v>
      </x:c>
      <x:c r="I4852" t="n">
        <x:v>4.1</x:v>
      </x:c>
      <x:c r="J4852" t="n">
        <x:v>12</x:v>
      </x:c>
      <x:c r="K4852" t="n">
        <x:v>6</x:v>
      </x:c>
      <x:c r="L4852" t="str">
        <x:v>STORE-001</x:v>
      </x:c>
      <x:c r="M4852" s="22" t="n">
        <x:v>46100</x:v>
      </x:c>
      <x:c r="N4852" t="str">
        <x:v>SKU-012</x:v>
      </x:c>
      <x:c r="O4852" t="n">
        <x:v>1</x:v>
      </x:c>
      <x:c r="P4852" s="26" t="n">
        <x:f>F4852/O4852</x:f>
        <x:v>237.02</x:v>
      </x:c>
    </x:row>
    <x:row r="4853">
      <x:c r="A4853" t="n">
        <x:v>4852</x:v>
      </x:c>
      <x:c r="B4853" t="n">
        <x:v>52</x:v>
      </x:c>
      <x:c r="C4853" t="str">
        <x:v>Female</x:v>
      </x:c>
      <x:c r="D4853" t="str">
        <x:v>Womens Clothing</x:v>
      </x:c>
      <x:c r="E4853" t="str">
        <x:v>Jeans</x:v>
      </x:c>
      <x:c r="F4853" s="24" t="n">
        <x:v>177.68</x:v>
      </x:c>
      <x:c r="G4853" t="str">
        <x:v>Spring</x:v>
      </x:c>
      <x:c r="H4853" t="str">
        <x:v>Card</x:v>
      </x:c>
      <x:c r="I4853" t="n">
        <x:v>3.8</x:v>
      </x:c>
      <x:c r="J4853" t="n">
        <x:v>6</x:v>
      </x:c>
      <x:c r="K4853" t="n">
        <x:v>3</x:v>
      </x:c>
      <x:c r="L4853" t="str">
        <x:v>STORE-001</x:v>
      </x:c>
      <x:c r="M4853" s="22" t="n">
        <x:v>45966</x:v>
      </x:c>
      <x:c r="N4853" t="str">
        <x:v>SKU-011</x:v>
      </x:c>
      <x:c r="O4853" t="n">
        <x:v>1</x:v>
      </x:c>
      <x:c r="P4853" s="26" t="n">
        <x:f>F4853/O4853</x:f>
        <x:v>177.68</x:v>
      </x:c>
    </x:row>
    <x:row r="4854">
      <x:c r="A4854" t="n">
        <x:v>4853</x:v>
      </x:c>
      <x:c r="B4854" t="n">
        <x:v>67</x:v>
      </x:c>
      <x:c r="C4854" t="str">
        <x:v>Male</x:v>
      </x:c>
      <x:c r="D4854" t="str">
        <x:v>Electronics</x:v>
      </x:c>
      <x:c r="E4854" t="str">
        <x:v>Laptop</x:v>
      </x:c>
      <x:c r="F4854" s="24" t="n">
        <x:v>1464.98</x:v>
      </x:c>
      <x:c r="G4854" t="str">
        <x:v>Winter</x:v>
      </x:c>
      <x:c r="H4854" t="str">
        <x:v>Card</x:v>
      </x:c>
      <x:c r="I4854" t="n">
        <x:v>3.8</x:v>
      </x:c>
      <x:c r="J4854" t="n">
        <x:v>22</x:v>
      </x:c>
      <x:c r="K4854" t="n">
        <x:v>11</x:v>
      </x:c>
      <x:c r="L4854" t="str">
        <x:v>STORE-001</x:v>
      </x:c>
      <x:c r="M4854" s="22" t="n">
        <x:v>46209</x:v>
      </x:c>
      <x:c r="N4854" t="str">
        <x:v>SKU-014</x:v>
      </x:c>
      <x:c r="O4854" t="n">
        <x:v>1</x:v>
      </x:c>
      <x:c r="P4854" s="26" t="n">
        <x:f>F4854/O4854</x:f>
        <x:v>1464.98</x:v>
      </x:c>
    </x:row>
    <x:row r="4855">
      <x:c r="A4855" t="n">
        <x:v>4854</x:v>
      </x:c>
      <x:c r="B4855" t="n">
        <x:v>36</x:v>
      </x:c>
      <x:c r="C4855" t="str">
        <x:v>Male</x:v>
      </x:c>
      <x:c r="D4855" t="str">
        <x:v>Footwear</x:v>
      </x:c>
      <x:c r="E4855" t="str">
        <x:v>Formal Shoes</x:v>
      </x:c>
      <x:c r="F4855" s="24" t="n">
        <x:v>236.57</x:v>
      </x:c>
      <x:c r="G4855" t="str">
        <x:v>Autumn</x:v>
      </x:c>
      <x:c r="H4855" t="str">
        <x:v>Card</x:v>
      </x:c>
      <x:c r="I4855" t="n">
        <x:v>3.2</x:v>
      </x:c>
      <x:c r="J4855" t="n">
        <x:v>22</x:v>
      </x:c>
      <x:c r="K4855" t="n">
        <x:v>6</x:v>
      </x:c>
      <x:c r="L4855" t="str">
        <x:v>STORE-001</x:v>
      </x:c>
      <x:c r="M4855" s="22" t="n">
        <x:v>46162</x:v>
      </x:c>
      <x:c r="N4855" t="str">
        <x:v>SKU-007</x:v>
      </x:c>
      <x:c r="O4855" t="n">
        <x:v>1</x:v>
      </x:c>
      <x:c r="P4855" s="26" t="n">
        <x:f>F4855/O4855</x:f>
        <x:v>236.57</x:v>
      </x:c>
    </x:row>
    <x:row r="4856">
      <x:c r="A4856" t="n">
        <x:v>4855</x:v>
      </x:c>
      <x:c r="B4856" t="n">
        <x:v>38</x:v>
      </x:c>
      <x:c r="C4856" t="str">
        <x:v>Male</x:v>
      </x:c>
      <x:c r="D4856" t="str">
        <x:v>Home</x:v>
      </x:c>
      <x:c r="E4856" t="str">
        <x:v>Lamp</x:v>
      </x:c>
      <x:c r="F4856" s="24" t="n">
        <x:v>109.44</x:v>
      </x:c>
      <x:c r="G4856" t="str">
        <x:v>Autumn</x:v>
      </x:c>
      <x:c r="H4856" t="str">
        <x:v>Card</x:v>
      </x:c>
      <x:c r="I4856" t="n">
        <x:v>2.7</x:v>
      </x:c>
      <x:c r="J4856" t="n">
        <x:v>10</x:v>
      </x:c>
      <x:c r="K4856" t="n">
        <x:v>0</x:v>
      </x:c>
      <x:c r="L4856" t="str">
        <x:v>STORE-001</x:v>
      </x:c>
      <x:c r="M4856" s="22" t="n">
        <x:v>46171</x:v>
      </x:c>
      <x:c r="N4856" t="str">
        <x:v>SKU-013</x:v>
      </x:c>
      <x:c r="O4856" t="n">
        <x:v>1</x:v>
      </x:c>
      <x:c r="P4856" s="26" t="n">
        <x:f>F4856/O4856</x:f>
        <x:v>109.44</x:v>
      </x:c>
    </x:row>
    <x:row r="4857">
      <x:c r="A4857" t="n">
        <x:v>4856</x:v>
      </x:c>
      <x:c r="B4857" t="n">
        <x:v>45</x:v>
      </x:c>
      <x:c r="C4857" t="str">
        <x:v>Male</x:v>
      </x:c>
      <x:c r="D4857" t="str">
        <x:v>Home</x:v>
      </x:c>
      <x:c r="E4857" t="str">
        <x:v>Lamp</x:v>
      </x:c>
      <x:c r="F4857" s="24" t="n">
        <x:v>220.75</x:v>
      </x:c>
      <x:c r="G4857" t="str">
        <x:v>Summer</x:v>
      </x:c>
      <x:c r="H4857" t="str">
        <x:v>Card</x:v>
      </x:c>
      <x:c r="I4857" t="n">
        <x:v>4</x:v>
      </x:c>
      <x:c r="J4857" t="n">
        <x:v>8</x:v>
      </x:c>
      <x:c r="K4857" t="n">
        <x:v>4</x:v>
      </x:c>
      <x:c r="L4857" t="str">
        <x:v>STORE-001</x:v>
      </x:c>
      <x:c r="M4857" s="22" t="n">
        <x:v>46001</x:v>
      </x:c>
      <x:c r="N4857" t="str">
        <x:v>SKU-013</x:v>
      </x:c>
      <x:c r="O4857" t="n">
        <x:v>3</x:v>
      </x:c>
      <x:c r="P4857" s="26" t="n">
        <x:f>F4857/O4857</x:f>
        <x:v>73.58333333333333</x:v>
      </x:c>
    </x:row>
    <x:row r="4858">
      <x:c r="A4858" t="n">
        <x:v>4857</x:v>
      </x:c>
      <x:c r="B4858" t="n">
        <x:v>22</x:v>
      </x:c>
      <x:c r="C4858" t="str">
        <x:v>Female</x:v>
      </x:c>
      <x:c r="D4858" t="str">
        <x:v>Womens Clothing</x:v>
      </x:c>
      <x:c r="E4858" t="str">
        <x:v>Skirt</x:v>
      </x:c>
      <x:c r="F4858" s="24" t="n">
        <x:v>171.72</x:v>
      </x:c>
      <x:c r="G4858" t="str">
        <x:v>Winter</x:v>
      </x:c>
      <x:c r="H4858" t="str">
        <x:v>Card</x:v>
      </x:c>
      <x:c r="I4858" t="n">
        <x:v>3.9</x:v>
      </x:c>
      <x:c r="J4858" t="n">
        <x:v>12</x:v>
      </x:c>
      <x:c r="K4858" t="n">
        <x:v>6</x:v>
      </x:c>
      <x:c r="L4858" t="str">
        <x:v>STORE-001</x:v>
      </x:c>
      <x:c r="M4858" s="22" t="n">
        <x:v>46263</x:v>
      </x:c>
      <x:c r="N4858" t="str">
        <x:v>SKU-022</x:v>
      </x:c>
      <x:c r="O4858" t="n">
        <x:v>1</x:v>
      </x:c>
      <x:c r="P4858" s="26" t="n">
        <x:f>F4858/O4858</x:f>
        <x:v>171.72</x:v>
      </x:c>
    </x:row>
    <x:row r="4859">
      <x:c r="A4859" t="n">
        <x:v>4858</x:v>
      </x:c>
      <x:c r="B4859" t="n">
        <x:v>33</x:v>
      </x:c>
      <x:c r="C4859" t="str">
        <x:v>Female</x:v>
      </x:c>
      <x:c r="D4859" t="str">
        <x:v>Accessories</x:v>
      </x:c>
      <x:c r="E4859" t="str">
        <x:v>Handbag</x:v>
      </x:c>
      <x:c r="F4859" s="24" t="n">
        <x:v>83.46</x:v>
      </x:c>
      <x:c r="G4859" t="str">
        <x:v>Summer</x:v>
      </x:c>
      <x:c r="H4859" t="str">
        <x:v>Cash on Delivery</x:v>
      </x:c>
      <x:c r="I4859" t="n">
        <x:v>3.7</x:v>
      </x:c>
      <x:c r="J4859" t="n">
        <x:v>25</x:v>
      </x:c>
      <x:c r="K4859" t="n">
        <x:v>10</x:v>
      </x:c>
      <x:c r="L4859" t="str">
        <x:v>STORE-001</x:v>
      </x:c>
      <x:c r="M4859" s="22" t="n">
        <x:v>46008</x:v>
      </x:c>
      <x:c r="N4859" t="str">
        <x:v>SKU-008</x:v>
      </x:c>
      <x:c r="O4859" t="n">
        <x:v>1</x:v>
      </x:c>
      <x:c r="P4859" s="26" t="n">
        <x:f>F4859/O4859</x:f>
        <x:v>83.46</x:v>
      </x:c>
    </x:row>
    <x:row r="4860">
      <x:c r="A4860" t="n">
        <x:v>4859</x:v>
      </x:c>
      <x:c r="B4860" t="n">
        <x:v>60</x:v>
      </x:c>
      <x:c r="C4860" t="str">
        <x:v>Male</x:v>
      </x:c>
      <x:c r="D4860" t="str">
        <x:v>Sports</x:v>
      </x:c>
      <x:c r="E4860" t="str">
        <x:v>Football</x:v>
      </x:c>
      <x:c r="F4860" s="24" t="n">
        <x:v>224.01</x:v>
      </x:c>
      <x:c r="G4860" t="str">
        <x:v>Spring</x:v>
      </x:c>
      <x:c r="H4860" t="str">
        <x:v>Card</x:v>
      </x:c>
      <x:c r="I4860" t="n">
        <x:v>3.2</x:v>
      </x:c>
      <x:c r="J4860" t="n">
        <x:v>23</x:v>
      </x:c>
      <x:c r="K4860" t="n">
        <x:v>9</x:v>
      </x:c>
      <x:c r="L4860" t="str">
        <x:v>STORE-001</x:v>
      </x:c>
      <x:c r="M4860" s="22" t="n">
        <x:v>46292</x:v>
      </x:c>
      <x:c r="N4860" t="str">
        <x:v>SKU-006</x:v>
      </x:c>
      <x:c r="O4860" t="n">
        <x:v>2</x:v>
      </x:c>
      <x:c r="P4860" s="26" t="n">
        <x:f>F4860/O4860</x:f>
        <x:v>112.005</x:v>
      </x:c>
    </x:row>
    <x:row r="4861">
      <x:c r="A4861" t="n">
        <x:v>4860</x:v>
      </x:c>
      <x:c r="B4861" t="n">
        <x:v>38</x:v>
      </x:c>
      <x:c r="C4861" t="str">
        <x:v>Female</x:v>
      </x:c>
      <x:c r="D4861" t="str">
        <x:v>Footwear</x:v>
      </x:c>
      <x:c r="E4861" t="str">
        <x:v>Sneakers</x:v>
      </x:c>
      <x:c r="F4861" s="24" t="n">
        <x:v>211.8</x:v>
      </x:c>
      <x:c r="G4861" t="str">
        <x:v>Winter</x:v>
      </x:c>
      <x:c r="H4861" t="str">
        <x:v>Card</x:v>
      </x:c>
      <x:c r="I4861" t="n">
        <x:v>3.6</x:v>
      </x:c>
      <x:c r="J4861" t="n">
        <x:v>15</x:v>
      </x:c>
      <x:c r="K4861" t="n">
        <x:v>5</x:v>
      </x:c>
      <x:c r="L4861" t="str">
        <x:v>STORE-001</x:v>
      </x:c>
      <x:c r="M4861" s="22" t="n">
        <x:v>46261</x:v>
      </x:c>
      <x:c r="N4861" t="str">
        <x:v>SKU-025</x:v>
      </x:c>
      <x:c r="O4861" t="n">
        <x:v>3</x:v>
      </x:c>
      <x:c r="P4861" s="26" t="n">
        <x:f>F4861/O4861</x:f>
        <x:v>70.60000000000001</x:v>
      </x:c>
    </x:row>
    <x:row r="4862">
      <x:c r="A4862" t="n">
        <x:v>4861</x:v>
      </x:c>
      <x:c r="B4862" t="n">
        <x:v>57</x:v>
      </x:c>
      <x:c r="C4862" t="str">
        <x:v>Female</x:v>
      </x:c>
      <x:c r="D4862" t="str">
        <x:v>Accessories</x:v>
      </x:c>
      <x:c r="E4862" t="str">
        <x:v>Sunglasses</x:v>
      </x:c>
      <x:c r="F4862" s="24" t="n">
        <x:v>97.86</x:v>
      </x:c>
      <x:c r="G4862" t="str">
        <x:v>Summer</x:v>
      </x:c>
      <x:c r="H4862" t="str">
        <x:v>Card</x:v>
      </x:c>
      <x:c r="I4862" t="n">
        <x:v>4.2</x:v>
      </x:c>
      <x:c r="J4862" t="n">
        <x:v>16</x:v>
      </x:c>
      <x:c r="K4862" t="n">
        <x:v>8</x:v>
      </x:c>
      <x:c r="L4862" t="str">
        <x:v>STORE-001</x:v>
      </x:c>
      <x:c r="M4862" s="22" t="n">
        <x:v>46064</x:v>
      </x:c>
      <x:c r="N4862" t="str">
        <x:v>SKU-026</x:v>
      </x:c>
      <x:c r="O4862" t="n">
        <x:v>2</x:v>
      </x:c>
      <x:c r="P4862" s="26" t="n">
        <x:f>F4862/O4862</x:f>
        <x:v>48.93</x:v>
      </x:c>
    </x:row>
    <x:row r="4863">
      <x:c r="A4863" t="n">
        <x:v>4862</x:v>
      </x:c>
      <x:c r="B4863" t="n">
        <x:v>61</x:v>
      </x:c>
      <x:c r="C4863" t="str">
        <x:v>Male</x:v>
      </x:c>
      <x:c r="D4863" t="str">
        <x:v>Sports</x:v>
      </x:c>
      <x:c r="E4863" t="str">
        <x:v>Dumbbells</x:v>
      </x:c>
      <x:c r="F4863" s="24" t="n">
        <x:v>166.73</x:v>
      </x:c>
      <x:c r="G4863" t="str">
        <x:v>Spring</x:v>
      </x:c>
      <x:c r="H4863" t="str">
        <x:v>Card</x:v>
      </x:c>
      <x:c r="I4863" t="n">
        <x:v>3.5</x:v>
      </x:c>
      <x:c r="J4863" t="n">
        <x:v>12</x:v>
      </x:c>
      <x:c r="K4863" t="n">
        <x:v>1</x:v>
      </x:c>
      <x:c r="L4863" t="str">
        <x:v>STORE-001</x:v>
      </x:c>
      <x:c r="M4863" s="22" t="n">
        <x:v>46274</x:v>
      </x:c>
      <x:c r="N4863" t="str">
        <x:v>SKU-005</x:v>
      </x:c>
      <x:c r="O4863" t="n">
        <x:v>2</x:v>
      </x:c>
      <x:c r="P4863" s="26" t="n">
        <x:f>F4863/O4863</x:f>
        <x:v>83.365</x:v>
      </x:c>
    </x:row>
    <x:row r="4864">
      <x:c r="A4864" t="n">
        <x:v>4863</x:v>
      </x:c>
      <x:c r="B4864" t="n">
        <x:v>45</x:v>
      </x:c>
      <x:c r="C4864" t="str">
        <x:v>Male</x:v>
      </x:c>
      <x:c r="D4864" t="str">
        <x:v>Electronics</x:v>
      </x:c>
      <x:c r="E4864" t="str">
        <x:v>Mobile Phone</x:v>
      </x:c>
      <x:c r="F4864" s="24" t="n">
        <x:v>2482.54</x:v>
      </x:c>
      <x:c r="G4864" t="str">
        <x:v>Summer</x:v>
      </x:c>
      <x:c r="H4864" t="str">
        <x:v>Card</x:v>
      </x:c>
      <x:c r="I4864" t="n">
        <x:v>4.1</x:v>
      </x:c>
      <x:c r="J4864" t="n">
        <x:v>4</x:v>
      </x:c>
      <x:c r="K4864" t="n">
        <x:v>2</x:v>
      </x:c>
      <x:c r="L4864" t="str">
        <x:v>STORE-001</x:v>
      </x:c>
      <x:c r="M4864" s="22" t="n">
        <x:v>46028</x:v>
      </x:c>
      <x:c r="N4864" t="str">
        <x:v>SKU-016</x:v>
      </x:c>
      <x:c r="O4864" t="n">
        <x:v>1</x:v>
      </x:c>
      <x:c r="P4864" s="26" t="n">
        <x:f>F4864/O4864</x:f>
        <x:v>2482.54</x:v>
      </x:c>
    </x:row>
    <x:row r="4865">
      <x:c r="A4865" t="n">
        <x:v>4864</x:v>
      </x:c>
      <x:c r="B4865" t="n">
        <x:v>26</x:v>
      </x:c>
      <x:c r="C4865" t="str">
        <x:v>Male</x:v>
      </x:c>
      <x:c r="D4865" t="str">
        <x:v>Sports</x:v>
      </x:c>
      <x:c r="E4865" t="str">
        <x:v>Yoga Mat</x:v>
      </x:c>
      <x:c r="F4865" s="24" t="n">
        <x:v>125.43</x:v>
      </x:c>
      <x:c r="G4865" t="str">
        <x:v>Spring</x:v>
      </x:c>
      <x:c r="H4865" t="str">
        <x:v>Card</x:v>
      </x:c>
      <x:c r="I4865" t="n">
        <x:v>2.5</x:v>
      </x:c>
      <x:c r="J4865" t="n">
        <x:v>18</x:v>
      </x:c>
      <x:c r="K4865" t="n">
        <x:v>4</x:v>
      </x:c>
      <x:c r="L4865" t="str">
        <x:v>STORE-001</x:v>
      </x:c>
      <x:c r="M4865" s="22" t="n">
        <x:v>45931</x:v>
      </x:c>
      <x:c r="N4865" t="str">
        <x:v>SKU-030</x:v>
      </x:c>
      <x:c r="O4865" t="n">
        <x:v>3</x:v>
      </x:c>
      <x:c r="P4865" s="26" t="n">
        <x:f>F4865/O4865</x:f>
        <x:v>41.81</x:v>
      </x:c>
    </x:row>
    <x:row r="4866">
      <x:c r="A4866" t="n">
        <x:v>4865</x:v>
      </x:c>
      <x:c r="B4866" t="n">
        <x:v>25</x:v>
      </x:c>
      <x:c r="C4866" t="str">
        <x:v>Female</x:v>
      </x:c>
      <x:c r="D4866" t="str">
        <x:v>Beauty</x:v>
      </x:c>
      <x:c r="E4866" t="str">
        <x:v>Skincare Kit</x:v>
      </x:c>
      <x:c r="F4866" s="24" t="n">
        <x:v>62.35</x:v>
      </x:c>
      <x:c r="G4866" t="str">
        <x:v>Spring</x:v>
      </x:c>
      <x:c r="H4866" t="str">
        <x:v>Cash on Delivery</x:v>
      </x:c>
      <x:c r="I4866" t="n">
        <x:v>4</x:v>
      </x:c>
      <x:c r="J4866" t="n">
        <x:v>18</x:v>
      </x:c>
      <x:c r="K4866" t="n">
        <x:v>9</x:v>
      </x:c>
      <x:c r="L4866" t="str">
        <x:v>STORE-001</x:v>
      </x:c>
      <x:c r="M4866" s="22" t="n">
        <x:v>46292</x:v>
      </x:c>
      <x:c r="N4866" t="str">
        <x:v>SKU-021</x:v>
      </x:c>
      <x:c r="O4866" t="n">
        <x:v>1</x:v>
      </x:c>
      <x:c r="P4866" s="26" t="n">
        <x:f>F4866/O4866</x:f>
        <x:v>62.35</x:v>
      </x:c>
    </x:row>
    <x:row r="4867">
      <x:c r="A4867" t="n">
        <x:v>4866</x:v>
      </x:c>
      <x:c r="B4867" t="n">
        <x:v>22</x:v>
      </x:c>
      <x:c r="C4867" t="str">
        <x:v>Female</x:v>
      </x:c>
      <x:c r="D4867" t="str">
        <x:v>Beauty</x:v>
      </x:c>
      <x:c r="E4867" t="str">
        <x:v>Makeup Set</x:v>
      </x:c>
      <x:c r="F4867" s="24" t="n">
        <x:v>93.53</x:v>
      </x:c>
      <x:c r="G4867" t="str">
        <x:v>Autumn</x:v>
      </x:c>
      <x:c r="H4867" t="str">
        <x:v>Card</x:v>
      </x:c>
      <x:c r="I4867" t="n">
        <x:v>3.3</x:v>
      </x:c>
      <x:c r="J4867" t="n">
        <x:v>10</x:v>
      </x:c>
      <x:c r="K4867" t="n">
        <x:v>5</x:v>
      </x:c>
      <x:c r="L4867" t="str">
        <x:v>STORE-001</x:v>
      </x:c>
      <x:c r="M4867" s="22" t="n">
        <x:v>46134</x:v>
      </x:c>
      <x:c r="N4867" t="str">
        <x:v>SKU-015</x:v>
      </x:c>
      <x:c r="O4867" t="n">
        <x:v>1</x:v>
      </x:c>
      <x:c r="P4867" s="26" t="n">
        <x:f>F4867/O4867</x:f>
        <x:v>93.53</x:v>
      </x:c>
    </x:row>
    <x:row r="4868">
      <x:c r="A4868" t="n">
        <x:v>4867</x:v>
      </x:c>
      <x:c r="B4868" t="n">
        <x:v>61</x:v>
      </x:c>
      <x:c r="C4868" t="str">
        <x:v>Male</x:v>
      </x:c>
      <x:c r="D4868" t="str">
        <x:v>Sports</x:v>
      </x:c>
      <x:c r="E4868" t="str">
        <x:v>Football</x:v>
      </x:c>
      <x:c r="F4868" s="24" t="n">
        <x:v>193.47</x:v>
      </x:c>
      <x:c r="G4868" t="str">
        <x:v>Summer</x:v>
      </x:c>
      <x:c r="H4868" t="str">
        <x:v>Card</x:v>
      </x:c>
      <x:c r="I4868" t="n">
        <x:v>4.1</x:v>
      </x:c>
      <x:c r="J4868" t="n">
        <x:v>15</x:v>
      </x:c>
      <x:c r="K4868" t="n">
        <x:v>5</x:v>
      </x:c>
      <x:c r="L4868" t="str">
        <x:v>STORE-001</x:v>
      </x:c>
      <x:c r="M4868" s="22" t="n">
        <x:v>46072</x:v>
      </x:c>
      <x:c r="N4868" t="str">
        <x:v>SKU-006</x:v>
      </x:c>
      <x:c r="O4868" t="n">
        <x:v>2</x:v>
      </x:c>
      <x:c r="P4868" s="26" t="n">
        <x:f>F4868/O4868</x:f>
        <x:v>96.735</x:v>
      </x:c>
    </x:row>
    <x:row r="4869">
      <x:c r="A4869" t="n">
        <x:v>4868</x:v>
      </x:c>
      <x:c r="B4869" t="n">
        <x:v>34</x:v>
      </x:c>
      <x:c r="C4869" t="str">
        <x:v>Female</x:v>
      </x:c>
      <x:c r="D4869" t="str">
        <x:v>Womens Clothing</x:v>
      </x:c>
      <x:c r="E4869" t="str">
        <x:v>Jeans</x:v>
      </x:c>
      <x:c r="F4869" s="24" t="n">
        <x:v>86.21</x:v>
      </x:c>
      <x:c r="G4869" t="str">
        <x:v>Winter</x:v>
      </x:c>
      <x:c r="H4869" t="str">
        <x:v>Cash on Delivery</x:v>
      </x:c>
      <x:c r="I4869" t="n">
        <x:v>3.5</x:v>
      </x:c>
      <x:c r="J4869" t="n">
        <x:v>24</x:v>
      </x:c>
      <x:c r="K4869" t="n">
        <x:v>7</x:v>
      </x:c>
      <x:c r="L4869" t="str">
        <x:v>STORE-001</x:v>
      </x:c>
      <x:c r="M4869" s="22" t="n">
        <x:v>46187</x:v>
      </x:c>
      <x:c r="N4869" t="str">
        <x:v>SKU-011</x:v>
      </x:c>
      <x:c r="O4869" t="n">
        <x:v>3</x:v>
      </x:c>
      <x:c r="P4869" s="26" t="n">
        <x:f>F4869/O4869</x:f>
        <x:v>28.736666666666665</x:v>
      </x:c>
    </x:row>
    <x:row r="4870">
      <x:c r="A4870" t="n">
        <x:v>4869</x:v>
      </x:c>
      <x:c r="B4870" t="n">
        <x:v>56</x:v>
      </x:c>
      <x:c r="C4870" t="str">
        <x:v>Male</x:v>
      </x:c>
      <x:c r="D4870" t="str">
        <x:v>Sports</x:v>
      </x:c>
      <x:c r="E4870" t="str">
        <x:v>Dumbbells</x:v>
      </x:c>
      <x:c r="F4870" s="24" t="n">
        <x:v>184.93</x:v>
      </x:c>
      <x:c r="G4870" t="str">
        <x:v>Summer</x:v>
      </x:c>
      <x:c r="H4870" t="str">
        <x:v>Card</x:v>
      </x:c>
      <x:c r="I4870" t="n">
        <x:v>4.1</x:v>
      </x:c>
      <x:c r="J4870" t="n">
        <x:v>12</x:v>
      </x:c>
      <x:c r="K4870" t="n">
        <x:v>6</x:v>
      </x:c>
      <x:c r="L4870" t="str">
        <x:v>STORE-001</x:v>
      </x:c>
      <x:c r="M4870" s="22" t="n">
        <x:v>46032</x:v>
      </x:c>
      <x:c r="N4870" t="str">
        <x:v>SKU-005</x:v>
      </x:c>
      <x:c r="O4870" t="n">
        <x:v>2</x:v>
      </x:c>
      <x:c r="P4870" s="26" t="n">
        <x:f>F4870/O4870</x:f>
        <x:v>92.465</x:v>
      </x:c>
    </x:row>
    <x:row r="4871">
      <x:c r="A4871" t="n">
        <x:v>4870</x:v>
      </x:c>
      <x:c r="B4871" t="n">
        <x:v>53</x:v>
      </x:c>
      <x:c r="C4871" t="str">
        <x:v>Male</x:v>
      </x:c>
      <x:c r="D4871" t="str">
        <x:v>Mens Clothing</x:v>
      </x:c>
      <x:c r="E4871" t="str">
        <x:v>T-Shirt</x:v>
      </x:c>
      <x:c r="F4871" s="24" t="n">
        <x:v>162.06</x:v>
      </x:c>
      <x:c r="G4871" t="str">
        <x:v>Summer</x:v>
      </x:c>
      <x:c r="H4871" t="str">
        <x:v>Card</x:v>
      </x:c>
      <x:c r="I4871" t="n">
        <x:v>5</x:v>
      </x:c>
      <x:c r="J4871" t="n">
        <x:v>20</x:v>
      </x:c>
      <x:c r="K4871" t="n">
        <x:v>5</x:v>
      </x:c>
      <x:c r="L4871" t="str">
        <x:v>STORE-001</x:v>
      </x:c>
      <x:c r="M4871" s="22" t="n">
        <x:v>46041</x:v>
      </x:c>
      <x:c r="N4871" t="str">
        <x:v>SKU-027</x:v>
      </x:c>
      <x:c r="O4871" t="n">
        <x:v>1</x:v>
      </x:c>
      <x:c r="P4871" s="26" t="n">
        <x:f>F4871/O4871</x:f>
        <x:v>162.06</x:v>
      </x:c>
    </x:row>
    <x:row r="4872">
      <x:c r="A4872" t="n">
        <x:v>4871</x:v>
      </x:c>
      <x:c r="B4872" t="n">
        <x:v>34</x:v>
      </x:c>
      <x:c r="C4872" t="str">
        <x:v>Male</x:v>
      </x:c>
      <x:c r="D4872" t="str">
        <x:v>Sports</x:v>
      </x:c>
      <x:c r="E4872" t="str">
        <x:v>Yoga Mat</x:v>
      </x:c>
      <x:c r="F4872" s="24" t="n">
        <x:v>75.71</x:v>
      </x:c>
      <x:c r="G4872" t="str">
        <x:v>Spring</x:v>
      </x:c>
      <x:c r="H4872" t="str">
        <x:v>Cash on Delivery</x:v>
      </x:c>
      <x:c r="I4872" t="n">
        <x:v>4.3</x:v>
      </x:c>
      <x:c r="J4872" t="n">
        <x:v>26</x:v>
      </x:c>
      <x:c r="K4872" t="n">
        <x:v>8</x:v>
      </x:c>
      <x:c r="L4872" t="str">
        <x:v>STORE-001</x:v>
      </x:c>
      <x:c r="M4872" s="22" t="n">
        <x:v>46269</x:v>
      </x:c>
      <x:c r="N4872" t="str">
        <x:v>SKU-030</x:v>
      </x:c>
      <x:c r="O4872" t="n">
        <x:v>1</x:v>
      </x:c>
      <x:c r="P4872" s="26" t="n">
        <x:f>F4872/O4872</x:f>
        <x:v>75.71</x:v>
      </x:c>
    </x:row>
    <x:row r="4873">
      <x:c r="A4873" t="n">
        <x:v>4872</x:v>
      </x:c>
      <x:c r="B4873" t="n">
        <x:v>20</x:v>
      </x:c>
      <x:c r="C4873" t="str">
        <x:v>Male</x:v>
      </x:c>
      <x:c r="D4873" t="str">
        <x:v>Groceries</x:v>
      </x:c>
      <x:c r="E4873" t="str">
        <x:v>Snacks</x:v>
      </x:c>
      <x:c r="F4873" s="24" t="n">
        <x:v>59.59</x:v>
      </x:c>
      <x:c r="G4873" t="str">
        <x:v>Summer</x:v>
      </x:c>
      <x:c r="H4873" t="str">
        <x:v>Card</x:v>
      </x:c>
      <x:c r="I4873" t="n">
        <x:v>4.8</x:v>
      </x:c>
      <x:c r="J4873" t="n">
        <x:v>14</x:v>
      </x:c>
      <x:c r="K4873" t="n">
        <x:v>2</x:v>
      </x:c>
      <x:c r="L4873" t="str">
        <x:v>STORE-001</x:v>
      </x:c>
      <x:c r="M4873" s="22" t="n">
        <x:v>46010</x:v>
      </x:c>
      <x:c r="N4873" t="str">
        <x:v>SKU-024</x:v>
      </x:c>
      <x:c r="O4873" t="n">
        <x:v>1</x:v>
      </x:c>
      <x:c r="P4873" s="26" t="n">
        <x:f>F4873/O4873</x:f>
        <x:v>59.59</x:v>
      </x:c>
    </x:row>
    <x:row r="4874">
      <x:c r="A4874" t="n">
        <x:v>4873</x:v>
      </x:c>
      <x:c r="B4874" t="n">
        <x:v>30</x:v>
      </x:c>
      <x:c r="C4874" t="str">
        <x:v>Male</x:v>
      </x:c>
      <x:c r="D4874" t="str">
        <x:v>Footwear</x:v>
      </x:c>
      <x:c r="E4874" t="str">
        <x:v>Sandals</x:v>
      </x:c>
      <x:c r="F4874" s="24" t="n">
        <x:v>113.81</x:v>
      </x:c>
      <x:c r="G4874" t="str">
        <x:v>Spring</x:v>
      </x:c>
      <x:c r="H4874" t="str">
        <x:v>Card</x:v>
      </x:c>
      <x:c r="I4874" t="n">
        <x:v>3.6</x:v>
      </x:c>
      <x:c r="J4874" t="n">
        <x:v>13</x:v>
      </x:c>
      <x:c r="K4874" t="n">
        <x:v>4</x:v>
      </x:c>
      <x:c r="L4874" t="str">
        <x:v>STORE-001</x:v>
      </x:c>
      <x:c r="M4874" s="22" t="n">
        <x:v>46289</x:v>
      </x:c>
      <x:c r="N4874" t="str">
        <x:v>SKU-019</x:v>
      </x:c>
      <x:c r="O4874" t="n">
        <x:v>1</x:v>
      </x:c>
      <x:c r="P4874" s="26" t="n">
        <x:f>F4874/O4874</x:f>
        <x:v>113.81</x:v>
      </x:c>
    </x:row>
    <x:row r="4875">
      <x:c r="A4875" t="n">
        <x:v>4874</x:v>
      </x:c>
      <x:c r="B4875" t="n">
        <x:v>28</x:v>
      </x:c>
      <x:c r="C4875" t="str">
        <x:v>Male</x:v>
      </x:c>
      <x:c r="D4875" t="str">
        <x:v>Mens Clothing</x:v>
      </x:c>
      <x:c r="E4875" t="str">
        <x:v>T-Shirt</x:v>
      </x:c>
      <x:c r="F4875" s="24" t="n">
        <x:v>109.99</x:v>
      </x:c>
      <x:c r="G4875" t="str">
        <x:v>Spring</x:v>
      </x:c>
      <x:c r="H4875" t="str">
        <x:v>Card</x:v>
      </x:c>
      <x:c r="I4875" t="n">
        <x:v>4.6</x:v>
      </x:c>
      <x:c r="J4875" t="n">
        <x:v>19</x:v>
      </x:c>
      <x:c r="K4875" t="n">
        <x:v>7</x:v>
      </x:c>
      <x:c r="L4875" t="str">
        <x:v>STORE-001</x:v>
      </x:c>
      <x:c r="M4875" s="22" t="n">
        <x:v>45951</x:v>
      </x:c>
      <x:c r="N4875" t="str">
        <x:v>SKU-027</x:v>
      </x:c>
      <x:c r="O4875" t="n">
        <x:v>1</x:v>
      </x:c>
      <x:c r="P4875" s="26" t="n">
        <x:f>F4875/O4875</x:f>
        <x:v>109.99</x:v>
      </x:c>
    </x:row>
    <x:row r="4876">
      <x:c r="A4876" t="n">
        <x:v>4875</x:v>
      </x:c>
      <x:c r="B4876" t="n">
        <x:v>27</x:v>
      </x:c>
      <x:c r="C4876" t="str">
        <x:v>Female</x:v>
      </x:c>
      <x:c r="D4876" t="str">
        <x:v>Accessories</x:v>
      </x:c>
      <x:c r="E4876" t="str">
        <x:v>Sunglasses</x:v>
      </x:c>
      <x:c r="F4876" s="24" t="n">
        <x:v>161.53</x:v>
      </x:c>
      <x:c r="G4876" t="str">
        <x:v>Summer</x:v>
      </x:c>
      <x:c r="H4876" t="str">
        <x:v>Card</x:v>
      </x:c>
      <x:c r="I4876" t="n">
        <x:v>3.8</x:v>
      </x:c>
      <x:c r="J4876" t="n">
        <x:v>12</x:v>
      </x:c>
      <x:c r="K4876" t="n">
        <x:v>1</x:v>
      </x:c>
      <x:c r="L4876" t="str">
        <x:v>STORE-001</x:v>
      </x:c>
      <x:c r="M4876" s="22" t="n">
        <x:v>46010</x:v>
      </x:c>
      <x:c r="N4876" t="str">
        <x:v>SKU-026</x:v>
      </x:c>
      <x:c r="O4876" t="n">
        <x:v>1</x:v>
      </x:c>
      <x:c r="P4876" s="26" t="n">
        <x:f>F4876/O4876</x:f>
        <x:v>161.53</x:v>
      </x:c>
    </x:row>
    <x:row r="4877">
      <x:c r="A4877" t="n">
        <x:v>4876</x:v>
      </x:c>
      <x:c r="B4877" t="n">
        <x:v>38</x:v>
      </x:c>
      <x:c r="C4877" t="str">
        <x:v>Female</x:v>
      </x:c>
      <x:c r="D4877" t="str">
        <x:v>Footwear</x:v>
      </x:c>
      <x:c r="E4877" t="str">
        <x:v>Sandals</x:v>
      </x:c>
      <x:c r="F4877" s="24" t="n">
        <x:v>78.34</x:v>
      </x:c>
      <x:c r="G4877" t="str">
        <x:v>Winter</x:v>
      </x:c>
      <x:c r="H4877" t="str">
        <x:v>Card</x:v>
      </x:c>
      <x:c r="I4877" t="n">
        <x:v>3.7</x:v>
      </x:c>
      <x:c r="J4877" t="n">
        <x:v>15</x:v>
      </x:c>
      <x:c r="K4877" t="n">
        <x:v>5</x:v>
      </x:c>
      <x:c r="L4877" t="str">
        <x:v>STORE-001</x:v>
      </x:c>
      <x:c r="M4877" s="22" t="n">
        <x:v>46195</x:v>
      </x:c>
      <x:c r="N4877" t="str">
        <x:v>SKU-019</x:v>
      </x:c>
      <x:c r="O4877" t="n">
        <x:v>2</x:v>
      </x:c>
      <x:c r="P4877" s="26" t="n">
        <x:f>F4877/O4877</x:f>
        <x:v>39.17</x:v>
      </x:c>
    </x:row>
    <x:row r="4878">
      <x:c r="A4878" t="n">
        <x:v>4877</x:v>
      </x:c>
      <x:c r="B4878" t="n">
        <x:v>48</x:v>
      </x:c>
      <x:c r="C4878" t="str">
        <x:v>Male</x:v>
      </x:c>
      <x:c r="D4878" t="str">
        <x:v>Footwear</x:v>
      </x:c>
      <x:c r="E4878" t="str">
        <x:v>Sandals</x:v>
      </x:c>
      <x:c r="F4878" s="24" t="n">
        <x:v>228.07</x:v>
      </x:c>
      <x:c r="G4878" t="str">
        <x:v>Autumn</x:v>
      </x:c>
      <x:c r="H4878" t="str">
        <x:v>Card</x:v>
      </x:c>
      <x:c r="I4878" t="n">
        <x:v>3.4</x:v>
      </x:c>
      <x:c r="J4878" t="n">
        <x:v>21</x:v>
      </x:c>
      <x:c r="K4878" t="n">
        <x:v>8</x:v>
      </x:c>
      <x:c r="L4878" t="str">
        <x:v>STORE-001</x:v>
      </x:c>
      <x:c r="M4878" s="22" t="n">
        <x:v>46144</x:v>
      </x:c>
      <x:c r="N4878" t="str">
        <x:v>SKU-019</x:v>
      </x:c>
      <x:c r="O4878" t="n">
        <x:v>1</x:v>
      </x:c>
      <x:c r="P4878" s="26" t="n">
        <x:f>F4878/O4878</x:f>
        <x:v>228.07</x:v>
      </x:c>
    </x:row>
    <x:row r="4879">
      <x:c r="A4879" t="n">
        <x:v>4878</x:v>
      </x:c>
      <x:c r="B4879" t="n">
        <x:v>30</x:v>
      </x:c>
      <x:c r="C4879" t="str">
        <x:v>Female</x:v>
      </x:c>
      <x:c r="D4879" t="str">
        <x:v>Beauty</x:v>
      </x:c>
      <x:c r="E4879" t="str">
        <x:v>Perfume</x:v>
      </x:c>
      <x:c r="F4879" s="24" t="n">
        <x:v>45.1</x:v>
      </x:c>
      <x:c r="G4879" t="str">
        <x:v>Spring</x:v>
      </x:c>
      <x:c r="H4879" t="str">
        <x:v>Card</x:v>
      </x:c>
      <x:c r="I4879" t="n">
        <x:v>3.1</x:v>
      </x:c>
      <x:c r="J4879" t="n">
        <x:v>26</x:v>
      </x:c>
      <x:c r="K4879" t="n">
        <x:v>8</x:v>
      </x:c>
      <x:c r="L4879" t="str">
        <x:v>STORE-001</x:v>
      </x:c>
      <x:c r="M4879" s="22" t="n">
        <x:v>45938</x:v>
      </x:c>
      <x:c r="N4879" t="str">
        <x:v>SKU-017</x:v>
      </x:c>
      <x:c r="O4879" t="n">
        <x:v>2</x:v>
      </x:c>
      <x:c r="P4879" s="26" t="n">
        <x:f>F4879/O4879</x:f>
        <x:v>22.55</x:v>
      </x:c>
    </x:row>
    <x:row r="4880">
      <x:c r="A4880" t="n">
        <x:v>4879</x:v>
      </x:c>
      <x:c r="B4880" t="n">
        <x:v>50</x:v>
      </x:c>
      <x:c r="C4880" t="str">
        <x:v>Female</x:v>
      </x:c>
      <x:c r="D4880" t="str">
        <x:v>Womens Clothing</x:v>
      </x:c>
      <x:c r="E4880" t="str">
        <x:v>Dress</x:v>
      </x:c>
      <x:c r="F4880" s="24" t="n">
        <x:v>177.6</x:v>
      </x:c>
      <x:c r="G4880" t="str">
        <x:v>Summer</x:v>
      </x:c>
      <x:c r="H4880" t="str">
        <x:v>Card</x:v>
      </x:c>
      <x:c r="I4880" t="n">
        <x:v>3.1</x:v>
      </x:c>
      <x:c r="J4880" t="n">
        <x:v>8</x:v>
      </x:c>
      <x:c r="K4880" t="n">
        <x:v>4</x:v>
      </x:c>
      <x:c r="L4880" t="str">
        <x:v>STORE-001</x:v>
      </x:c>
      <x:c r="M4880" s="22" t="n">
        <x:v>46041</x:v>
      </x:c>
      <x:c r="N4880" t="str">
        <x:v>SKU-004</x:v>
      </x:c>
      <x:c r="O4880" t="n">
        <x:v>2</x:v>
      </x:c>
      <x:c r="P4880" s="26" t="n">
        <x:f>F4880/O4880</x:f>
        <x:v>88.8</x:v>
      </x:c>
    </x:row>
    <x:row r="4881">
      <x:c r="A4881" t="n">
        <x:v>4880</x:v>
      </x:c>
      <x:c r="B4881" t="n">
        <x:v>45</x:v>
      </x:c>
      <x:c r="C4881" t="str">
        <x:v>Male</x:v>
      </x:c>
      <x:c r="D4881" t="str">
        <x:v>Electronics</x:v>
      </x:c>
      <x:c r="E4881" t="str">
        <x:v>Mobile Phone</x:v>
      </x:c>
      <x:c r="F4881" s="24" t="n">
        <x:v>1054.2</x:v>
      </x:c>
      <x:c r="G4881" t="str">
        <x:v>Autumn</x:v>
      </x:c>
      <x:c r="H4881" t="str">
        <x:v>Card</x:v>
      </x:c>
      <x:c r="I4881" t="n">
        <x:v>4.6</x:v>
      </x:c>
      <x:c r="J4881" t="n">
        <x:v>10</x:v>
      </x:c>
      <x:c r="K4881" t="n">
        <x:v>5</x:v>
      </x:c>
      <x:c r="L4881" t="str">
        <x:v>STORE-001</x:v>
      </x:c>
      <x:c r="M4881" s="22" t="n">
        <x:v>46095</x:v>
      </x:c>
      <x:c r="N4881" t="str">
        <x:v>SKU-016</x:v>
      </x:c>
      <x:c r="O4881" t="n">
        <x:v>1</x:v>
      </x:c>
      <x:c r="P4881" s="26" t="n">
        <x:f>F4881/O4881</x:f>
        <x:v>1054.2</x:v>
      </x:c>
    </x:row>
    <x:row r="4882">
      <x:c r="A4882" t="n">
        <x:v>4881</x:v>
      </x:c>
      <x:c r="B4882" t="n">
        <x:v>67</x:v>
      </x:c>
      <x:c r="C4882" t="str">
        <x:v>Male</x:v>
      </x:c>
      <x:c r="D4882" t="str">
        <x:v>Footwear</x:v>
      </x:c>
      <x:c r="E4882" t="str">
        <x:v>Sandals</x:v>
      </x:c>
      <x:c r="F4882" s="24" t="n">
        <x:v>86.51</x:v>
      </x:c>
      <x:c r="G4882" t="str">
        <x:v>Summer</x:v>
      </x:c>
      <x:c r="H4882" t="str">
        <x:v>Cash on Delivery</x:v>
      </x:c>
      <x:c r="I4882" t="n">
        <x:v>4</x:v>
      </x:c>
      <x:c r="J4882" t="n">
        <x:v>10</x:v>
      </x:c>
      <x:c r="K4882" t="n">
        <x:v>5</x:v>
      </x:c>
      <x:c r="L4882" t="str">
        <x:v>STORE-001</x:v>
      </x:c>
      <x:c r="M4882" s="22" t="n">
        <x:v>46027</x:v>
      </x:c>
      <x:c r="N4882" t="str">
        <x:v>SKU-019</x:v>
      </x:c>
      <x:c r="O4882" t="n">
        <x:v>2</x:v>
      </x:c>
      <x:c r="P4882" s="26" t="n">
        <x:f>F4882/O4882</x:f>
        <x:v>43.255</x:v>
      </x:c>
    </x:row>
    <x:row r="4883">
      <x:c r="A4883" t="n">
        <x:v>4882</x:v>
      </x:c>
      <x:c r="B4883" t="n">
        <x:v>48</x:v>
      </x:c>
      <x:c r="C4883" t="str">
        <x:v>Male</x:v>
      </x:c>
      <x:c r="D4883" t="str">
        <x:v>Electronics</x:v>
      </x:c>
      <x:c r="E4883" t="str">
        <x:v>Mobile Phone</x:v>
      </x:c>
      <x:c r="F4883" s="24" t="n">
        <x:v>2184.4</x:v>
      </x:c>
      <x:c r="G4883" t="str">
        <x:v>Autumn</x:v>
      </x:c>
      <x:c r="H4883" t="str">
        <x:v>Card</x:v>
      </x:c>
      <x:c r="I4883" t="n">
        <x:v>4</x:v>
      </x:c>
      <x:c r="J4883" t="n">
        <x:v>8</x:v>
      </x:c>
      <x:c r="K4883" t="n">
        <x:v>4</x:v>
      </x:c>
      <x:c r="L4883" t="str">
        <x:v>STORE-001</x:v>
      </x:c>
      <x:c r="M4883" s="22" t="n">
        <x:v>46153</x:v>
      </x:c>
      <x:c r="N4883" t="str">
        <x:v>SKU-016</x:v>
      </x:c>
      <x:c r="O4883" t="n">
        <x:v>1</x:v>
      </x:c>
      <x:c r="P4883" s="26" t="n">
        <x:f>F4883/O4883</x:f>
        <x:v>2184.4</x:v>
      </x:c>
    </x:row>
    <x:row r="4884">
      <x:c r="A4884" t="n">
        <x:v>4883</x:v>
      </x:c>
      <x:c r="B4884" t="n">
        <x:v>42</x:v>
      </x:c>
      <x:c r="C4884" t="str">
        <x:v>Female</x:v>
      </x:c>
      <x:c r="D4884" t="str">
        <x:v>Accessories</x:v>
      </x:c>
      <x:c r="E4884" t="str">
        <x:v>Handbag</x:v>
      </x:c>
      <x:c r="F4884" s="24" t="n">
        <x:v>128.68</x:v>
      </x:c>
      <x:c r="G4884" t="str">
        <x:v>Spring</x:v>
      </x:c>
      <x:c r="H4884" t="str">
        <x:v>Card</x:v>
      </x:c>
      <x:c r="I4884" t="n">
        <x:v>5</x:v>
      </x:c>
      <x:c r="J4884" t="n">
        <x:v>19</x:v>
      </x:c>
      <x:c r="K4884" t="n">
        <x:v>7</x:v>
      </x:c>
      <x:c r="L4884" t="str">
        <x:v>STORE-001</x:v>
      </x:c>
      <x:c r="M4884" s="22" t="n">
        <x:v>46267</x:v>
      </x:c>
      <x:c r="N4884" t="str">
        <x:v>SKU-008</x:v>
      </x:c>
      <x:c r="O4884" t="n">
        <x:v>1</x:v>
      </x:c>
      <x:c r="P4884" s="26" t="n">
        <x:f>F4884/O4884</x:f>
        <x:v>128.68</x:v>
      </x:c>
    </x:row>
    <x:row r="4885">
      <x:c r="A4885" t="n">
        <x:v>4884</x:v>
      </x:c>
      <x:c r="B4885" t="n">
        <x:v>26</x:v>
      </x:c>
      <x:c r="C4885" t="str">
        <x:v>Female</x:v>
      </x:c>
      <x:c r="D4885" t="str">
        <x:v>Beauty</x:v>
      </x:c>
      <x:c r="E4885" t="str">
        <x:v>Skincare Kit</x:v>
      </x:c>
      <x:c r="F4885" s="24" t="n">
        <x:v>104.48</x:v>
      </x:c>
      <x:c r="G4885" t="str">
        <x:v>Autumn</x:v>
      </x:c>
      <x:c r="H4885" t="str">
        <x:v>Card</x:v>
      </x:c>
      <x:c r="I4885" t="n">
        <x:v>4.2</x:v>
      </x:c>
      <x:c r="J4885" t="n">
        <x:v>20</x:v>
      </x:c>
      <x:c r="K4885" t="n">
        <x:v>5</x:v>
      </x:c>
      <x:c r="L4885" t="str">
        <x:v>STORE-001</x:v>
      </x:c>
      <x:c r="M4885" s="22" t="n">
        <x:v>46121</x:v>
      </x:c>
      <x:c r="N4885" t="str">
        <x:v>SKU-021</x:v>
      </x:c>
      <x:c r="O4885" t="n">
        <x:v>1</x:v>
      </x:c>
      <x:c r="P4885" s="26" t="n">
        <x:f>F4885/O4885</x:f>
        <x:v>104.48</x:v>
      </x:c>
    </x:row>
    <x:row r="4886">
      <x:c r="A4886" t="n">
        <x:v>4885</x:v>
      </x:c>
      <x:c r="B4886" t="n">
        <x:v>47</x:v>
      </x:c>
      <x:c r="C4886" t="str">
        <x:v>Male</x:v>
      </x:c>
      <x:c r="D4886" t="str">
        <x:v>Mens Clothing</x:v>
      </x:c>
      <x:c r="E4886" t="str">
        <x:v>T-Shirt</x:v>
      </x:c>
      <x:c r="F4886" s="24" t="n">
        <x:v>77.72</x:v>
      </x:c>
      <x:c r="G4886" t="str">
        <x:v>Autumn</x:v>
      </x:c>
      <x:c r="H4886" t="str">
        <x:v>Card</x:v>
      </x:c>
      <x:c r="I4886" t="n">
        <x:v>4.4</x:v>
      </x:c>
      <x:c r="J4886" t="n">
        <x:v>20</x:v>
      </x:c>
      <x:c r="K4886" t="n">
        <x:v>5</x:v>
      </x:c>
      <x:c r="L4886" t="str">
        <x:v>STORE-001</x:v>
      </x:c>
      <x:c r="M4886" s="22" t="n">
        <x:v>46089</x:v>
      </x:c>
      <x:c r="N4886" t="str">
        <x:v>SKU-027</x:v>
      </x:c>
      <x:c r="O4886" t="n">
        <x:v>2</x:v>
      </x:c>
      <x:c r="P4886" s="26" t="n">
        <x:f>F4886/O4886</x:f>
        <x:v>38.86</x:v>
      </x:c>
    </x:row>
    <x:row r="4887">
      <x:c r="A4887" t="n">
        <x:v>4886</x:v>
      </x:c>
      <x:c r="B4887" t="n">
        <x:v>65</x:v>
      </x:c>
      <x:c r="C4887" t="str">
        <x:v>Female</x:v>
      </x:c>
      <x:c r="D4887" t="str">
        <x:v>Accessories</x:v>
      </x:c>
      <x:c r="E4887" t="str">
        <x:v>Wallet</x:v>
      </x:c>
      <x:c r="F4887" s="24" t="n">
        <x:v>44.5</x:v>
      </x:c>
      <x:c r="G4887" t="str">
        <x:v>Spring</x:v>
      </x:c>
      <x:c r="H4887" t="str">
        <x:v>Cash on Delivery</x:v>
      </x:c>
      <x:c r="I4887" t="n">
        <x:v>3.9</x:v>
      </x:c>
      <x:c r="J4887" t="n">
        <x:v>14</x:v>
      </x:c>
      <x:c r="K4887" t="n">
        <x:v>2</x:v>
      </x:c>
      <x:c r="L4887" t="str">
        <x:v>STORE-001</x:v>
      </x:c>
      <x:c r="M4887" s="22" t="n">
        <x:v>45976</x:v>
      </x:c>
      <x:c r="N4887" t="str">
        <x:v>SKU-029</x:v>
      </x:c>
      <x:c r="O4887" t="n">
        <x:v>1</x:v>
      </x:c>
      <x:c r="P4887" s="26" t="n">
        <x:f>F4887/O4887</x:f>
        <x:v>44.5</x:v>
      </x:c>
    </x:row>
    <x:row r="4888">
      <x:c r="A4888" t="n">
        <x:v>4887</x:v>
      </x:c>
      <x:c r="B4888" t="n">
        <x:v>67</x:v>
      </x:c>
      <x:c r="C4888" t="str">
        <x:v>Male</x:v>
      </x:c>
      <x:c r="D4888" t="str">
        <x:v>Mens Clothing</x:v>
      </x:c>
      <x:c r="E4888" t="str">
        <x:v>Jacket</x:v>
      </x:c>
      <x:c r="F4888" s="24" t="n">
        <x:v>194.11</x:v>
      </x:c>
      <x:c r="G4888" t="str">
        <x:v>Spring</x:v>
      </x:c>
      <x:c r="H4888" t="str">
        <x:v>Card</x:v>
      </x:c>
      <x:c r="I4888" t="n">
        <x:v>3.6</x:v>
      </x:c>
      <x:c r="J4888" t="n">
        <x:v>16</x:v>
      </x:c>
      <x:c r="K4888" t="n">
        <x:v>3</x:v>
      </x:c>
      <x:c r="L4888" t="str">
        <x:v>STORE-001</x:v>
      </x:c>
      <x:c r="M4888" s="22" t="n">
        <x:v>45953</x:v>
      </x:c>
      <x:c r="N4888" t="str">
        <x:v>SKU-010</x:v>
      </x:c>
      <x:c r="O4888" t="n">
        <x:v>2</x:v>
      </x:c>
      <x:c r="P4888" s="26" t="n">
        <x:f>F4888/O4888</x:f>
        <x:v>97.055</x:v>
      </x:c>
    </x:row>
    <x:row r="4889">
      <x:c r="A4889" t="n">
        <x:v>4888</x:v>
      </x:c>
      <x:c r="B4889" t="n">
        <x:v>42</x:v>
      </x:c>
      <x:c r="C4889" t="str">
        <x:v>Female</x:v>
      </x:c>
      <x:c r="D4889" t="str">
        <x:v>Beauty</x:v>
      </x:c>
      <x:c r="E4889" t="str">
        <x:v>Skincare Kit</x:v>
      </x:c>
      <x:c r="F4889" s="24" t="n">
        <x:v>125.66</x:v>
      </x:c>
      <x:c r="G4889" t="str">
        <x:v>Summer</x:v>
      </x:c>
      <x:c r="H4889" t="str">
        <x:v>Card</x:v>
      </x:c>
      <x:c r="I4889" t="n">
        <x:v>3.6</x:v>
      </x:c>
      <x:c r="J4889" t="n">
        <x:v>12</x:v>
      </x:c>
      <x:c r="K4889" t="n">
        <x:v>6</x:v>
      </x:c>
      <x:c r="L4889" t="str">
        <x:v>STORE-001</x:v>
      </x:c>
      <x:c r="M4889" s="22" t="n">
        <x:v>46028</x:v>
      </x:c>
      <x:c r="N4889" t="str">
        <x:v>SKU-021</x:v>
      </x:c>
      <x:c r="O4889" t="n">
        <x:v>1</x:v>
      </x:c>
      <x:c r="P4889" s="26" t="n">
        <x:f>F4889/O4889</x:f>
        <x:v>125.66</x:v>
      </x:c>
    </x:row>
    <x:row r="4890">
      <x:c r="A4890" t="n">
        <x:v>4889</x:v>
      </x:c>
      <x:c r="B4890" t="n">
        <x:v>57</x:v>
      </x:c>
      <x:c r="C4890" t="str">
        <x:v>Female</x:v>
      </x:c>
      <x:c r="D4890" t="str">
        <x:v>Beauty</x:v>
      </x:c>
      <x:c r="E4890" t="str">
        <x:v>Perfume</x:v>
      </x:c>
      <x:c r="F4890" s="24" t="n">
        <x:v>35.13</x:v>
      </x:c>
      <x:c r="G4890" t="str">
        <x:v>Spring</x:v>
      </x:c>
      <x:c r="H4890" t="str">
        <x:v>Card</x:v>
      </x:c>
      <x:c r="I4890" t="n">
        <x:v>3.8</x:v>
      </x:c>
      <x:c r="J4890" t="n">
        <x:v>11</x:v>
      </x:c>
      <x:c r="K4890" t="n">
        <x:v>3</x:v>
      </x:c>
      <x:c r="L4890" t="str">
        <x:v>STORE-001</x:v>
      </x:c>
      <x:c r="M4890" s="22" t="n">
        <x:v>45942</x:v>
      </x:c>
      <x:c r="N4890" t="str">
        <x:v>SKU-017</x:v>
      </x:c>
      <x:c r="O4890" t="n">
        <x:v>2</x:v>
      </x:c>
      <x:c r="P4890" s="26" t="n">
        <x:f>F4890/O4890</x:f>
        <x:v>17.565</x:v>
      </x:c>
    </x:row>
    <x:row r="4891">
      <x:c r="A4891" t="n">
        <x:v>4890</x:v>
      </x:c>
      <x:c r="B4891" t="n">
        <x:v>37</x:v>
      </x:c>
      <x:c r="C4891" t="str">
        <x:v>Male</x:v>
      </x:c>
      <x:c r="D4891" t="str">
        <x:v>Footwear</x:v>
      </x:c>
      <x:c r="E4891" t="str">
        <x:v>Sandals</x:v>
      </x:c>
      <x:c r="F4891" s="24" t="n">
        <x:v>62.42</x:v>
      </x:c>
      <x:c r="G4891" t="str">
        <x:v>Autumn</x:v>
      </x:c>
      <x:c r="H4891" t="str">
        <x:v>Cash on Delivery</x:v>
      </x:c>
      <x:c r="I4891" t="n">
        <x:v>3.7</x:v>
      </x:c>
      <x:c r="J4891" t="n">
        <x:v>12</x:v>
      </x:c>
      <x:c r="K4891" t="n">
        <x:v>6</x:v>
      </x:c>
      <x:c r="L4891" t="str">
        <x:v>STORE-001</x:v>
      </x:c>
      <x:c r="M4891" s="22" t="n">
        <x:v>46114</x:v>
      </x:c>
      <x:c r="N4891" t="str">
        <x:v>SKU-019</x:v>
      </x:c>
      <x:c r="O4891" t="n">
        <x:v>2</x:v>
      </x:c>
      <x:c r="P4891" s="26" t="n">
        <x:f>F4891/O4891</x:f>
        <x:v>31.21</x:v>
      </x:c>
    </x:row>
    <x:row r="4892">
      <x:c r="A4892" t="n">
        <x:v>4891</x:v>
      </x:c>
      <x:c r="B4892" t="n">
        <x:v>61</x:v>
      </x:c>
      <x:c r="C4892" t="str">
        <x:v>Female</x:v>
      </x:c>
      <x:c r="D4892" t="str">
        <x:v>Accessories</x:v>
      </x:c>
      <x:c r="E4892" t="str">
        <x:v>Handbag</x:v>
      </x:c>
      <x:c r="F4892" s="24" t="n">
        <x:v>148.01</x:v>
      </x:c>
      <x:c r="G4892" t="str">
        <x:v>Autumn</x:v>
      </x:c>
      <x:c r="H4892" t="str">
        <x:v>Card</x:v>
      </x:c>
      <x:c r="I4892" t="n">
        <x:v>3.5</x:v>
      </x:c>
      <x:c r="J4892" t="n">
        <x:v>10</x:v>
      </x:c>
      <x:c r="K4892" t="n">
        <x:v>5</x:v>
      </x:c>
      <x:c r="L4892" t="str">
        <x:v>STORE-001</x:v>
      </x:c>
      <x:c r="M4892" s="22" t="n">
        <x:v>46114</x:v>
      </x:c>
      <x:c r="N4892" t="str">
        <x:v>SKU-008</x:v>
      </x:c>
      <x:c r="O4892" t="n">
        <x:v>3</x:v>
      </x:c>
      <x:c r="P4892" s="26" t="n">
        <x:f>F4892/O4892</x:f>
        <x:v>49.336666666666666</x:v>
      </x:c>
    </x:row>
    <x:row r="4893">
      <x:c r="A4893" t="n">
        <x:v>4892</x:v>
      </x:c>
      <x:c r="B4893" t="n">
        <x:v>55</x:v>
      </x:c>
      <x:c r="C4893" t="str">
        <x:v>Female</x:v>
      </x:c>
      <x:c r="D4893" t="str">
        <x:v>Sports</x:v>
      </x:c>
      <x:c r="E4893" t="str">
        <x:v>Football</x:v>
      </x:c>
      <x:c r="F4893" s="24" t="n">
        <x:v>121.55</x:v>
      </x:c>
      <x:c r="G4893" t="str">
        <x:v>Autumn</x:v>
      </x:c>
      <x:c r="H4893" t="str">
        <x:v>Card</x:v>
      </x:c>
      <x:c r="I4893" t="n">
        <x:v>3.5</x:v>
      </x:c>
      <x:c r="J4893" t="n">
        <x:v>22</x:v>
      </x:c>
      <x:c r="K4893" t="n">
        <x:v>6</x:v>
      </x:c>
      <x:c r="L4893" t="str">
        <x:v>STORE-001</x:v>
      </x:c>
      <x:c r="M4893" s="22" t="n">
        <x:v>46087</x:v>
      </x:c>
      <x:c r="N4893" t="str">
        <x:v>SKU-006</x:v>
      </x:c>
      <x:c r="O4893" t="n">
        <x:v>1</x:v>
      </x:c>
      <x:c r="P4893" s="26" t="n">
        <x:f>F4893/O4893</x:f>
        <x:v>121.55</x:v>
      </x:c>
    </x:row>
    <x:row r="4894">
      <x:c r="A4894" t="n">
        <x:v>4893</x:v>
      </x:c>
      <x:c r="B4894" t="n">
        <x:v>70</x:v>
      </x:c>
      <x:c r="C4894" t="str">
        <x:v>Female</x:v>
      </x:c>
      <x:c r="D4894" t="str">
        <x:v>Sports</x:v>
      </x:c>
      <x:c r="E4894" t="str">
        <x:v>Football</x:v>
      </x:c>
      <x:c r="F4894" s="24" t="n">
        <x:v>126.71</x:v>
      </x:c>
      <x:c r="G4894" t="str">
        <x:v>Winter</x:v>
      </x:c>
      <x:c r="H4894" t="str">
        <x:v>Card</x:v>
      </x:c>
      <x:c r="I4894" t="n">
        <x:v>4.2</x:v>
      </x:c>
      <x:c r="J4894" t="n">
        <x:v>14</x:v>
      </x:c>
      <x:c r="K4894" t="n">
        <x:v>7</x:v>
      </x:c>
      <x:c r="L4894" t="str">
        <x:v>STORE-001</x:v>
      </x:c>
      <x:c r="M4894" s="22" t="n">
        <x:v>46201</x:v>
      </x:c>
      <x:c r="N4894" t="str">
        <x:v>SKU-006</x:v>
      </x:c>
      <x:c r="O4894" t="n">
        <x:v>1</x:v>
      </x:c>
      <x:c r="P4894" s="26" t="n">
        <x:f>F4894/O4894</x:f>
        <x:v>126.71</x:v>
      </x:c>
    </x:row>
    <x:row r="4895">
      <x:c r="A4895" t="n">
        <x:v>4894</x:v>
      </x:c>
      <x:c r="B4895" t="n">
        <x:v>47</x:v>
      </x:c>
      <x:c r="C4895" t="str">
        <x:v>Male</x:v>
      </x:c>
      <x:c r="D4895" t="str">
        <x:v>Sports</x:v>
      </x:c>
      <x:c r="E4895" t="str">
        <x:v>Football</x:v>
      </x:c>
      <x:c r="F4895" s="24" t="n">
        <x:v>187.3</x:v>
      </x:c>
      <x:c r="G4895" t="str">
        <x:v>Spring</x:v>
      </x:c>
      <x:c r="H4895" t="str">
        <x:v>Card</x:v>
      </x:c>
      <x:c r="I4895" t="n">
        <x:v>5</x:v>
      </x:c>
      <x:c r="J4895" t="n">
        <x:v>24</x:v>
      </x:c>
      <x:c r="K4895" t="n">
        <x:v>7</x:v>
      </x:c>
      <x:c r="L4895" t="str">
        <x:v>STORE-001</x:v>
      </x:c>
      <x:c r="M4895" s="22" t="n">
        <x:v>45934</x:v>
      </x:c>
      <x:c r="N4895" t="str">
        <x:v>SKU-006</x:v>
      </x:c>
      <x:c r="O4895" t="n">
        <x:v>1</x:v>
      </x:c>
      <x:c r="P4895" s="26" t="n">
        <x:f>F4895/O4895</x:f>
        <x:v>187.3</x:v>
      </x:c>
    </x:row>
    <x:row r="4896">
      <x:c r="A4896" t="n">
        <x:v>4895</x:v>
      </x:c>
      <x:c r="B4896" t="n">
        <x:v>31</x:v>
      </x:c>
      <x:c r="C4896" t="str">
        <x:v>Female</x:v>
      </x:c>
      <x:c r="D4896" t="str">
        <x:v>Womens Clothing</x:v>
      </x:c>
      <x:c r="E4896" t="str">
        <x:v>Skirt</x:v>
      </x:c>
      <x:c r="F4896" s="24" t="n">
        <x:v>128.52</x:v>
      </x:c>
      <x:c r="G4896" t="str">
        <x:v>Winter</x:v>
      </x:c>
      <x:c r="H4896" t="str">
        <x:v>Card</x:v>
      </x:c>
      <x:c r="I4896" t="n">
        <x:v>3.2</x:v>
      </x:c>
      <x:c r="J4896" t="n">
        <x:v>10</x:v>
      </x:c>
      <x:c r="K4896" t="n">
        <x:v>5</x:v>
      </x:c>
      <x:c r="L4896" t="str">
        <x:v>STORE-001</x:v>
      </x:c>
      <x:c r="M4896" s="22" t="n">
        <x:v>46183</x:v>
      </x:c>
      <x:c r="N4896" t="str">
        <x:v>SKU-022</x:v>
      </x:c>
      <x:c r="O4896" t="n">
        <x:v>1</x:v>
      </x:c>
      <x:c r="P4896" s="26" t="n">
        <x:f>F4896/O4896</x:f>
        <x:v>128.52</x:v>
      </x:c>
    </x:row>
    <x:row r="4897">
      <x:c r="A4897" t="n">
        <x:v>4896</x:v>
      </x:c>
      <x:c r="B4897" t="n">
        <x:v>40</x:v>
      </x:c>
      <x:c r="C4897" t="str">
        <x:v>Female</x:v>
      </x:c>
      <x:c r="D4897" t="str">
        <x:v>Beauty</x:v>
      </x:c>
      <x:c r="E4897" t="str">
        <x:v>Skincare Kit</x:v>
      </x:c>
      <x:c r="F4897" s="24" t="n">
        <x:v>125.95</x:v>
      </x:c>
      <x:c r="G4897" t="str">
        <x:v>Autumn</x:v>
      </x:c>
      <x:c r="H4897" t="str">
        <x:v>Card</x:v>
      </x:c>
      <x:c r="I4897" t="n">
        <x:v>4.1</x:v>
      </x:c>
      <x:c r="J4897" t="n">
        <x:v>15</x:v>
      </x:c>
      <x:c r="K4897" t="n">
        <x:v>5</x:v>
      </x:c>
      <x:c r="L4897" t="str">
        <x:v>STORE-001</x:v>
      </x:c>
      <x:c r="M4897" s="22" t="n">
        <x:v>46087</x:v>
      </x:c>
      <x:c r="N4897" t="str">
        <x:v>SKU-021</x:v>
      </x:c>
      <x:c r="O4897" t="n">
        <x:v>2</x:v>
      </x:c>
      <x:c r="P4897" s="26" t="n">
        <x:f>F4897/O4897</x:f>
        <x:v>62.975</x:v>
      </x:c>
    </x:row>
    <x:row r="4898">
      <x:c r="A4898" t="n">
        <x:v>4897</x:v>
      </x:c>
      <x:c r="B4898" t="n">
        <x:v>64</x:v>
      </x:c>
      <x:c r="C4898" t="str">
        <x:v>Male</x:v>
      </x:c>
      <x:c r="D4898" t="str">
        <x:v>Sports</x:v>
      </x:c>
      <x:c r="E4898" t="str">
        <x:v>Football</x:v>
      </x:c>
      <x:c r="F4898" s="24" t="n">
        <x:v>131.15</x:v>
      </x:c>
      <x:c r="G4898" t="str">
        <x:v>Winter</x:v>
      </x:c>
      <x:c r="H4898" t="str">
        <x:v>Card</x:v>
      </x:c>
      <x:c r="I4898" t="n">
        <x:v>3.8</x:v>
      </x:c>
      <x:c r="J4898" t="n">
        <x:v>18</x:v>
      </x:c>
      <x:c r="K4898" t="n">
        <x:v>4</x:v>
      </x:c>
      <x:c r="L4898" t="str">
        <x:v>STORE-001</x:v>
      </x:c>
      <x:c r="M4898" s="22" t="n">
        <x:v>46234</x:v>
      </x:c>
      <x:c r="N4898" t="str">
        <x:v>SKU-006</x:v>
      </x:c>
      <x:c r="O4898" t="n">
        <x:v>1</x:v>
      </x:c>
      <x:c r="P4898" s="26" t="n">
        <x:f>F4898/O4898</x:f>
        <x:v>131.15</x:v>
      </x:c>
    </x:row>
    <x:row r="4899">
      <x:c r="A4899" t="n">
        <x:v>4898</x:v>
      </x:c>
      <x:c r="B4899" t="n">
        <x:v>57</x:v>
      </x:c>
      <x:c r="C4899" t="str">
        <x:v>Female</x:v>
      </x:c>
      <x:c r="D4899" t="str">
        <x:v>Womens Clothing</x:v>
      </x:c>
      <x:c r="E4899" t="str">
        <x:v>Skirt</x:v>
      </x:c>
      <x:c r="F4899" s="24" t="n">
        <x:v>128.2</x:v>
      </x:c>
      <x:c r="G4899" t="str">
        <x:v>Autumn</x:v>
      </x:c>
      <x:c r="H4899" t="str">
        <x:v>Card</x:v>
      </x:c>
      <x:c r="I4899" t="n">
        <x:v>4.2</x:v>
      </x:c>
      <x:c r="J4899" t="n">
        <x:v>30</x:v>
      </x:c>
      <x:c r="K4899" t="n">
        <x:v>10</x:v>
      </x:c>
      <x:c r="L4899" t="str">
        <x:v>STORE-001</x:v>
      </x:c>
      <x:c r="M4899" s="22" t="n">
        <x:v>46111</x:v>
      </x:c>
      <x:c r="N4899" t="str">
        <x:v>SKU-022</x:v>
      </x:c>
      <x:c r="O4899" t="n">
        <x:v>1</x:v>
      </x:c>
      <x:c r="P4899" s="26" t="n">
        <x:f>F4899/O4899</x:f>
        <x:v>128.2</x:v>
      </x:c>
    </x:row>
    <x:row r="4900">
      <x:c r="A4900" t="n">
        <x:v>4899</x:v>
      </x:c>
      <x:c r="B4900" t="n">
        <x:v>55</x:v>
      </x:c>
      <x:c r="C4900" t="str">
        <x:v>Male</x:v>
      </x:c>
      <x:c r="D4900" t="str">
        <x:v>Electronics</x:v>
      </x:c>
      <x:c r="E4900" t="str">
        <x:v>Mobile Phone</x:v>
      </x:c>
      <x:c r="F4900" s="24" t="n">
        <x:v>1091.19</x:v>
      </x:c>
      <x:c r="G4900" t="str">
        <x:v>Summer</x:v>
      </x:c>
      <x:c r="H4900" t="str">
        <x:v>Card</x:v>
      </x:c>
      <x:c r="I4900" t="n">
        <x:v>4.7</x:v>
      </x:c>
      <x:c r="J4900" t="n">
        <x:v>16</x:v>
      </x:c>
      <x:c r="K4900" t="n">
        <x:v>3</x:v>
      </x:c>
      <x:c r="L4900" t="str">
        <x:v>STORE-001</x:v>
      </x:c>
      <x:c r="M4900" s="22" t="n">
        <x:v>45998</x:v>
      </x:c>
      <x:c r="N4900" t="str">
        <x:v>SKU-016</x:v>
      </x:c>
      <x:c r="O4900" t="n">
        <x:v>2</x:v>
      </x:c>
      <x:c r="P4900" s="26" t="n">
        <x:f>F4900/O4900</x:f>
        <x:v>545.595</x:v>
      </x:c>
    </x:row>
    <x:row r="4901">
      <x:c r="A4901" t="n">
        <x:v>4900</x:v>
      </x:c>
      <x:c r="B4901" t="n">
        <x:v>48</x:v>
      </x:c>
      <x:c r="C4901" t="str">
        <x:v>Male</x:v>
      </x:c>
      <x:c r="D4901" t="str">
        <x:v>Home</x:v>
      </x:c>
      <x:c r="E4901" t="str">
        <x:v>Curtains</x:v>
      </x:c>
      <x:c r="F4901" s="24" t="n">
        <x:v>212.33</x:v>
      </x:c>
      <x:c r="G4901" t="str">
        <x:v>Autumn</x:v>
      </x:c>
      <x:c r="H4901" t="str">
        <x:v>Card</x:v>
      </x:c>
      <x:c r="I4901" t="n">
        <x:v>3.7</x:v>
      </x:c>
      <x:c r="J4901" t="n">
        <x:v>12</x:v>
      </x:c>
      <x:c r="K4901" t="n">
        <x:v>6</x:v>
      </x:c>
      <x:c r="L4901" t="str">
        <x:v>STORE-001</x:v>
      </x:c>
      <x:c r="M4901" s="22" t="n">
        <x:v>46118</x:v>
      </x:c>
      <x:c r="N4901" t="str">
        <x:v>SKU-003</x:v>
      </x:c>
      <x:c r="O4901" t="n">
        <x:v>1</x:v>
      </x:c>
      <x:c r="P4901" s="26" t="n">
        <x:f>F4901/O4901</x:f>
        <x:v>212.33</x:v>
      </x:c>
    </x:row>
    <x:row r="4902">
      <x:c r="A4902" t="n">
        <x:v>4901</x:v>
      </x:c>
      <x:c r="B4902" t="n">
        <x:v>29</x:v>
      </x:c>
      <x:c r="C4902" t="str">
        <x:v>Male</x:v>
      </x:c>
      <x:c r="D4902" t="str">
        <x:v>Electronics</x:v>
      </x:c>
      <x:c r="E4902" t="str">
        <x:v>Smart Watch</x:v>
      </x:c>
      <x:c r="F4902" s="24" t="n">
        <x:v>2200.34</x:v>
      </x:c>
      <x:c r="G4902" t="str">
        <x:v>Autumn</x:v>
      </x:c>
      <x:c r="H4902" t="str">
        <x:v>Card</x:v>
      </x:c>
      <x:c r="I4902" t="n">
        <x:v>4.8</x:v>
      </x:c>
      <x:c r="J4902" t="n">
        <x:v>19</x:v>
      </x:c>
      <x:c r="K4902" t="n">
        <x:v>7</x:v>
      </x:c>
      <x:c r="L4902" t="str">
        <x:v>STORE-001</x:v>
      </x:c>
      <x:c r="M4902" s="22" t="n">
        <x:v>46105</x:v>
      </x:c>
      <x:c r="N4902" t="str">
        <x:v>SKU-023</x:v>
      </x:c>
      <x:c r="O4902" t="n">
        <x:v>1</x:v>
      </x:c>
      <x:c r="P4902" s="26" t="n">
        <x:f>F4902/O4902</x:f>
        <x:v>2200.34</x:v>
      </x:c>
    </x:row>
    <x:row r="4903">
      <x:c r="A4903" t="n">
        <x:v>4902</x:v>
      </x:c>
      <x:c r="B4903" t="n">
        <x:v>69</x:v>
      </x:c>
      <x:c r="C4903" t="str">
        <x:v>Male</x:v>
      </x:c>
      <x:c r="D4903" t="str">
        <x:v>Electronics</x:v>
      </x:c>
      <x:c r="E4903" t="str">
        <x:v>Mobile Phone</x:v>
      </x:c>
      <x:c r="F4903" s="24" t="n">
        <x:v>2612.62</x:v>
      </x:c>
      <x:c r="G4903" t="str">
        <x:v>Summer</x:v>
      </x:c>
      <x:c r="H4903" t="str">
        <x:v>Card</x:v>
      </x:c>
      <x:c r="I4903" t="n">
        <x:v>4.4</x:v>
      </x:c>
      <x:c r="J4903" t="n">
        <x:v>26</x:v>
      </x:c>
      <x:c r="K4903" t="n">
        <x:v>8</x:v>
      </x:c>
      <x:c r="L4903" t="str">
        <x:v>STORE-001</x:v>
      </x:c>
      <x:c r="M4903" s="22" t="n">
        <x:v>46024</x:v>
      </x:c>
      <x:c r="N4903" t="str">
        <x:v>SKU-016</x:v>
      </x:c>
      <x:c r="O4903" t="n">
        <x:v>1</x:v>
      </x:c>
      <x:c r="P4903" s="26" t="n">
        <x:f>F4903/O4903</x:f>
        <x:v>2612.62</x:v>
      </x:c>
    </x:row>
    <x:row r="4904">
      <x:c r="A4904" t="n">
        <x:v>4903</x:v>
      </x:c>
      <x:c r="B4904" t="n">
        <x:v>23</x:v>
      </x:c>
      <x:c r="C4904" t="str">
        <x:v>Female</x:v>
      </x:c>
      <x:c r="D4904" t="str">
        <x:v>Footwear</x:v>
      </x:c>
      <x:c r="E4904" t="str">
        <x:v>Sandals</x:v>
      </x:c>
      <x:c r="F4904" s="24" t="n">
        <x:v>115.83</x:v>
      </x:c>
      <x:c r="G4904" t="str">
        <x:v>Spring</x:v>
      </x:c>
      <x:c r="H4904" t="str">
        <x:v>Card</x:v>
      </x:c>
      <x:c r="I4904" t="n">
        <x:v>5</x:v>
      </x:c>
      <x:c r="J4904" t="n">
        <x:v>14</x:v>
      </x:c>
      <x:c r="K4904" t="n">
        <x:v>2</x:v>
      </x:c>
      <x:c r="L4904" t="str">
        <x:v>STORE-001</x:v>
      </x:c>
      <x:c r="M4904" s="22" t="n">
        <x:v>46277</x:v>
      </x:c>
      <x:c r="N4904" t="str">
        <x:v>SKU-019</x:v>
      </x:c>
      <x:c r="O4904" t="n">
        <x:v>1</x:v>
      </x:c>
      <x:c r="P4904" s="26" t="n">
        <x:f>F4904/O4904</x:f>
        <x:v>115.83</x:v>
      </x:c>
    </x:row>
    <x:row r="4905">
      <x:c r="A4905" t="n">
        <x:v>4904</x:v>
      </x:c>
      <x:c r="B4905" t="n">
        <x:v>23</x:v>
      </x:c>
      <x:c r="C4905" t="str">
        <x:v>Male</x:v>
      </x:c>
      <x:c r="D4905" t="str">
        <x:v>Mens Clothing</x:v>
      </x:c>
      <x:c r="E4905" t="str">
        <x:v>Shirt</x:v>
      </x:c>
      <x:c r="F4905" s="24" t="n">
        <x:v>75.36</x:v>
      </x:c>
      <x:c r="G4905" t="str">
        <x:v>Summer</x:v>
      </x:c>
      <x:c r="H4905" t="str">
        <x:v>Card</x:v>
      </x:c>
      <x:c r="I4905" t="n">
        <x:v>4.2</x:v>
      </x:c>
      <x:c r="J4905" t="n">
        <x:v>17</x:v>
      </x:c>
      <x:c r="K4905" t="n">
        <x:v>6</x:v>
      </x:c>
      <x:c r="L4905" t="str">
        <x:v>STORE-001</x:v>
      </x:c>
      <x:c r="M4905" s="22" t="n">
        <x:v>46011</x:v>
      </x:c>
      <x:c r="N4905" t="str">
        <x:v>SKU-020</x:v>
      </x:c>
      <x:c r="O4905" t="n">
        <x:v>1</x:v>
      </x:c>
      <x:c r="P4905" s="26" t="n">
        <x:f>F4905/O4905</x:f>
        <x:v>75.36</x:v>
      </x:c>
    </x:row>
    <x:row r="4906">
      <x:c r="A4906" t="n">
        <x:v>4905</x:v>
      </x:c>
      <x:c r="B4906" t="n">
        <x:v>30</x:v>
      </x:c>
      <x:c r="C4906" t="str">
        <x:v>Female</x:v>
      </x:c>
      <x:c r="D4906" t="str">
        <x:v>Beauty</x:v>
      </x:c>
      <x:c r="E4906" t="str">
        <x:v>Makeup Set</x:v>
      </x:c>
      <x:c r="F4906" s="24" t="n">
        <x:v>54.87</x:v>
      </x:c>
      <x:c r="G4906" t="str">
        <x:v>Summer</x:v>
      </x:c>
      <x:c r="H4906" t="str">
        <x:v>Cash on Delivery</x:v>
      </x:c>
      <x:c r="I4906" t="n">
        <x:v>4.1</x:v>
      </x:c>
      <x:c r="J4906" t="n">
        <x:v>6</x:v>
      </x:c>
      <x:c r="K4906" t="n">
        <x:v>3</x:v>
      </x:c>
      <x:c r="L4906" t="str">
        <x:v>STORE-001</x:v>
      </x:c>
      <x:c r="M4906" s="22" t="n">
        <x:v>46074</x:v>
      </x:c>
      <x:c r="N4906" t="str">
        <x:v>SKU-015</x:v>
      </x:c>
      <x:c r="O4906" t="n">
        <x:v>1</x:v>
      </x:c>
      <x:c r="P4906" s="26" t="n">
        <x:f>F4906/O4906</x:f>
        <x:v>54.87</x:v>
      </x:c>
    </x:row>
    <x:row r="4907">
      <x:c r="A4907" t="n">
        <x:v>4906</x:v>
      </x:c>
      <x:c r="B4907" t="n">
        <x:v>41</x:v>
      </x:c>
      <x:c r="C4907" t="str">
        <x:v>Female</x:v>
      </x:c>
      <x:c r="D4907" t="str">
        <x:v>Home</x:v>
      </x:c>
      <x:c r="E4907" t="str">
        <x:v>Lamp</x:v>
      </x:c>
      <x:c r="F4907" s="24" t="n">
        <x:v>151.15</x:v>
      </x:c>
      <x:c r="G4907" t="str">
        <x:v>Winter</x:v>
      </x:c>
      <x:c r="H4907" t="str">
        <x:v>Card</x:v>
      </x:c>
      <x:c r="I4907" t="n">
        <x:v>3.2</x:v>
      </x:c>
      <x:c r="J4907" t="n">
        <x:v>8</x:v>
      </x:c>
      <x:c r="K4907" t="n">
        <x:v>4</x:v>
      </x:c>
      <x:c r="L4907" t="str">
        <x:v>STORE-001</x:v>
      </x:c>
      <x:c r="M4907" s="22" t="n">
        <x:v>46216</x:v>
      </x:c>
      <x:c r="N4907" t="str">
        <x:v>SKU-013</x:v>
      </x:c>
      <x:c r="O4907" t="n">
        <x:v>2</x:v>
      </x:c>
      <x:c r="P4907" s="26" t="n">
        <x:f>F4907/O4907</x:f>
        <x:v>75.575</x:v>
      </x:c>
    </x:row>
    <x:row r="4908">
      <x:c r="A4908" t="n">
        <x:v>4907</x:v>
      </x:c>
      <x:c r="B4908" t="n">
        <x:v>69</x:v>
      </x:c>
      <x:c r="C4908" t="str">
        <x:v>Female</x:v>
      </x:c>
      <x:c r="D4908" t="str">
        <x:v>Groceries</x:v>
      </x:c>
      <x:c r="E4908" t="str">
        <x:v>Beverages</x:v>
      </x:c>
      <x:c r="F4908" s="24" t="n">
        <x:v>13.72</x:v>
      </x:c>
      <x:c r="G4908" t="str">
        <x:v>Winter</x:v>
      </x:c>
      <x:c r="H4908" t="str">
        <x:v>Cash on Delivery</x:v>
      </x:c>
      <x:c r="I4908" t="n">
        <x:v>3.5</x:v>
      </x:c>
      <x:c r="J4908" t="n">
        <x:v>17</x:v>
      </x:c>
      <x:c r="K4908" t="n">
        <x:v>6</x:v>
      </x:c>
      <x:c r="L4908" t="str">
        <x:v>STORE-001</x:v>
      </x:c>
      <x:c r="M4908" s="22" t="n">
        <x:v>46255</x:v>
      </x:c>
      <x:c r="N4908" t="str">
        <x:v>SKU-001</x:v>
      </x:c>
      <x:c r="O4908" t="n">
        <x:v>2</x:v>
      </x:c>
      <x:c r="P4908" s="26" t="n">
        <x:f>F4908/O4908</x:f>
        <x:v>6.86</x:v>
      </x:c>
    </x:row>
    <x:row r="4909">
      <x:c r="A4909" t="n">
        <x:v>4908</x:v>
      </x:c>
      <x:c r="B4909" t="n">
        <x:v>36</x:v>
      </x:c>
      <x:c r="C4909" t="str">
        <x:v>Female</x:v>
      </x:c>
      <x:c r="D4909" t="str">
        <x:v>Footwear</x:v>
      </x:c>
      <x:c r="E4909" t="str">
        <x:v>Sandals</x:v>
      </x:c>
      <x:c r="F4909" s="24" t="n">
        <x:v>46.3</x:v>
      </x:c>
      <x:c r="G4909" t="str">
        <x:v>Spring</x:v>
      </x:c>
      <x:c r="H4909" t="str">
        <x:v>Card</x:v>
      </x:c>
      <x:c r="I4909" t="n">
        <x:v>4.1</x:v>
      </x:c>
      <x:c r="J4909" t="n">
        <x:v>32</x:v>
      </x:c>
      <x:c r="K4909" t="n">
        <x:v>11</x:v>
      </x:c>
      <x:c r="L4909" t="str">
        <x:v>STORE-001</x:v>
      </x:c>
      <x:c r="M4909" s="22" t="n">
        <x:v>46278</x:v>
      </x:c>
      <x:c r="N4909" t="str">
        <x:v>SKU-019</x:v>
      </x:c>
      <x:c r="O4909" t="n">
        <x:v>1</x:v>
      </x:c>
      <x:c r="P4909" s="26" t="n">
        <x:f>F4909/O4909</x:f>
        <x:v>46.3</x:v>
      </x:c>
    </x:row>
    <x:row r="4910">
      <x:c r="A4910" t="n">
        <x:v>4909</x:v>
      </x:c>
      <x:c r="B4910" t="n">
        <x:v>68</x:v>
      </x:c>
      <x:c r="C4910" t="str">
        <x:v>Female</x:v>
      </x:c>
      <x:c r="D4910" t="str">
        <x:v>Accessories</x:v>
      </x:c>
      <x:c r="E4910" t="str">
        <x:v>Handbag</x:v>
      </x:c>
      <x:c r="F4910" s="24" t="n">
        <x:v>133.47</x:v>
      </x:c>
      <x:c r="G4910" t="str">
        <x:v>Summer</x:v>
      </x:c>
      <x:c r="H4910" t="str">
        <x:v>Card</x:v>
      </x:c>
      <x:c r="I4910" t="n">
        <x:v>4</x:v>
      </x:c>
      <x:c r="J4910" t="n">
        <x:v>26</x:v>
      </x:c>
      <x:c r="K4910" t="n">
        <x:v>8</x:v>
      </x:c>
      <x:c r="L4910" t="str">
        <x:v>STORE-001</x:v>
      </x:c>
      <x:c r="M4910" s="22" t="n">
        <x:v>46027</x:v>
      </x:c>
      <x:c r="N4910" t="str">
        <x:v>SKU-008</x:v>
      </x:c>
      <x:c r="O4910" t="n">
        <x:v>2</x:v>
      </x:c>
      <x:c r="P4910" s="26" t="n">
        <x:f>F4910/O4910</x:f>
        <x:v>66.735</x:v>
      </x:c>
    </x:row>
    <x:row r="4911">
      <x:c r="A4911" t="n">
        <x:v>4910</x:v>
      </x:c>
      <x:c r="B4911" t="n">
        <x:v>47</x:v>
      </x:c>
      <x:c r="C4911" t="str">
        <x:v>Female</x:v>
      </x:c>
      <x:c r="D4911" t="str">
        <x:v>Sports</x:v>
      </x:c>
      <x:c r="E4911" t="str">
        <x:v>Yoga Mat</x:v>
      </x:c>
      <x:c r="F4911" s="24" t="n">
        <x:v>61.86</x:v>
      </x:c>
      <x:c r="G4911" t="str">
        <x:v>Winter</x:v>
      </x:c>
      <x:c r="H4911" t="str">
        <x:v>Card</x:v>
      </x:c>
      <x:c r="I4911" t="n">
        <x:v>4.2</x:v>
      </x:c>
      <x:c r="J4911" t="n">
        <x:v>8</x:v>
      </x:c>
      <x:c r="K4911" t="n">
        <x:v>4</x:v>
      </x:c>
      <x:c r="L4911" t="str">
        <x:v>STORE-001</x:v>
      </x:c>
      <x:c r="M4911" s="22" t="n">
        <x:v>46189</x:v>
      </x:c>
      <x:c r="N4911" t="str">
        <x:v>SKU-030</x:v>
      </x:c>
      <x:c r="O4911" t="n">
        <x:v>1</x:v>
      </x:c>
      <x:c r="P4911" s="26" t="n">
        <x:f>F4911/O4911</x:f>
        <x:v>61.86</x:v>
      </x:c>
    </x:row>
    <x:row r="4912">
      <x:c r="A4912" t="n">
        <x:v>4911</x:v>
      </x:c>
      <x:c r="B4912" t="n">
        <x:v>26</x:v>
      </x:c>
      <x:c r="C4912" t="str">
        <x:v>Female</x:v>
      </x:c>
      <x:c r="D4912" t="str">
        <x:v>Sports</x:v>
      </x:c>
      <x:c r="E4912" t="str">
        <x:v>Yoga Mat</x:v>
      </x:c>
      <x:c r="F4912" s="24" t="n">
        <x:v>72.04</x:v>
      </x:c>
      <x:c r="G4912" t="str">
        <x:v>Spring</x:v>
      </x:c>
      <x:c r="H4912" t="str">
        <x:v>Card</x:v>
      </x:c>
      <x:c r="I4912" t="n">
        <x:v>3.7</x:v>
      </x:c>
      <x:c r="J4912" t="n">
        <x:v>18</x:v>
      </x:c>
      <x:c r="K4912" t="n">
        <x:v>4</x:v>
      </x:c>
      <x:c r="L4912" t="str">
        <x:v>STORE-001</x:v>
      </x:c>
      <x:c r="M4912" s="22" t="n">
        <x:v>45937</x:v>
      </x:c>
      <x:c r="N4912" t="str">
        <x:v>SKU-030</x:v>
      </x:c>
      <x:c r="O4912" t="n">
        <x:v>1</x:v>
      </x:c>
      <x:c r="P4912" s="26" t="n">
        <x:f>F4912/O4912</x:f>
        <x:v>72.04</x:v>
      </x:c>
    </x:row>
    <x:row r="4913">
      <x:c r="A4913" t="n">
        <x:v>4912</x:v>
      </x:c>
      <x:c r="B4913" t="n">
        <x:v>62</x:v>
      </x:c>
      <x:c r="C4913" t="str">
        <x:v>Male</x:v>
      </x:c>
      <x:c r="D4913" t="str">
        <x:v>Mens Clothing</x:v>
      </x:c>
      <x:c r="E4913" t="str">
        <x:v>Shirt</x:v>
      </x:c>
      <x:c r="F4913" s="24" t="n">
        <x:v>84.61</x:v>
      </x:c>
      <x:c r="G4913" t="str">
        <x:v>Autumn</x:v>
      </x:c>
      <x:c r="H4913" t="str">
        <x:v>Card</x:v>
      </x:c>
      <x:c r="I4913" t="n">
        <x:v>3.9</x:v>
      </x:c>
      <x:c r="J4913" t="n">
        <x:v>19</x:v>
      </x:c>
      <x:c r="K4913" t="n">
        <x:v>7</x:v>
      </x:c>
      <x:c r="L4913" t="str">
        <x:v>STORE-001</x:v>
      </x:c>
      <x:c r="M4913" s="22" t="n">
        <x:v>46159</x:v>
      </x:c>
      <x:c r="N4913" t="str">
        <x:v>SKU-020</x:v>
      </x:c>
      <x:c r="O4913" t="n">
        <x:v>1</x:v>
      </x:c>
      <x:c r="P4913" s="26" t="n">
        <x:f>F4913/O4913</x:f>
        <x:v>84.61</x:v>
      </x:c>
    </x:row>
    <x:row r="4914">
      <x:c r="A4914" t="n">
        <x:v>4913</x:v>
      </x:c>
      <x:c r="B4914" t="n">
        <x:v>30</x:v>
      </x:c>
      <x:c r="C4914" t="str">
        <x:v>Male</x:v>
      </x:c>
      <x:c r="D4914" t="str">
        <x:v>Mens Clothing</x:v>
      </x:c>
      <x:c r="E4914" t="str">
        <x:v>Jeans</x:v>
      </x:c>
      <x:c r="F4914" s="24" t="n">
        <x:v>123.73</x:v>
      </x:c>
      <x:c r="G4914" t="str">
        <x:v>Autumn</x:v>
      </x:c>
      <x:c r="H4914" t="str">
        <x:v>Card</x:v>
      </x:c>
      <x:c r="I4914" t="n">
        <x:v>2.1</x:v>
      </x:c>
      <x:c r="J4914" t="n">
        <x:v>11</x:v>
      </x:c>
      <x:c r="K4914" t="n">
        <x:v>3</x:v>
      </x:c>
      <x:c r="L4914" t="str">
        <x:v>STORE-001</x:v>
      </x:c>
      <x:c r="M4914" s="22" t="n">
        <x:v>46097</x:v>
      </x:c>
      <x:c r="N4914" t="str">
        <x:v>SKU-011</x:v>
      </x:c>
      <x:c r="O4914" t="n">
        <x:v>1</x:v>
      </x:c>
      <x:c r="P4914" s="26" t="n">
        <x:f>F4914/O4914</x:f>
        <x:v>123.73</x:v>
      </x:c>
    </x:row>
    <x:row r="4915">
      <x:c r="A4915" t="n">
        <x:v>4914</x:v>
      </x:c>
      <x:c r="B4915" t="n">
        <x:v>44</x:v>
      </x:c>
      <x:c r="C4915" t="str">
        <x:v>Male</x:v>
      </x:c>
      <x:c r="D4915" t="str">
        <x:v>Footwear</x:v>
      </x:c>
      <x:c r="E4915" t="str">
        <x:v>Formal Shoes</x:v>
      </x:c>
      <x:c r="F4915" s="24" t="n">
        <x:v>114.66</x:v>
      </x:c>
      <x:c r="G4915" t="str">
        <x:v>Summer</x:v>
      </x:c>
      <x:c r="H4915" t="str">
        <x:v>Card</x:v>
      </x:c>
      <x:c r="I4915" t="n">
        <x:v>4</x:v>
      </x:c>
      <x:c r="J4915" t="n">
        <x:v>22</x:v>
      </x:c>
      <x:c r="K4915" t="n">
        <x:v>6</x:v>
      </x:c>
      <x:c r="L4915" t="str">
        <x:v>STORE-001</x:v>
      </x:c>
      <x:c r="M4915" s="22" t="n">
        <x:v>46050</x:v>
      </x:c>
      <x:c r="N4915" t="str">
        <x:v>SKU-007</x:v>
      </x:c>
      <x:c r="O4915" t="n">
        <x:v>1</x:v>
      </x:c>
      <x:c r="P4915" s="26" t="n">
        <x:f>F4915/O4915</x:f>
        <x:v>114.66</x:v>
      </x:c>
    </x:row>
    <x:row r="4916">
      <x:c r="A4916" t="n">
        <x:v>4915</x:v>
      </x:c>
      <x:c r="B4916" t="n">
        <x:v>44</x:v>
      </x:c>
      <x:c r="C4916" t="str">
        <x:v>Female</x:v>
      </x:c>
      <x:c r="D4916" t="str">
        <x:v>Footwear</x:v>
      </x:c>
      <x:c r="E4916" t="str">
        <x:v>Sandals</x:v>
      </x:c>
      <x:c r="F4916" s="24" t="n">
        <x:v>235.77</x:v>
      </x:c>
      <x:c r="G4916" t="str">
        <x:v>Autumn</x:v>
      </x:c>
      <x:c r="H4916" t="str">
        <x:v>Card</x:v>
      </x:c>
      <x:c r="I4916" t="n">
        <x:v>2</x:v>
      </x:c>
      <x:c r="J4916" t="n">
        <x:v>12</x:v>
      </x:c>
      <x:c r="K4916" t="n">
        <x:v>6</x:v>
      </x:c>
      <x:c r="L4916" t="str">
        <x:v>STORE-001</x:v>
      </x:c>
      <x:c r="M4916" s="22" t="n">
        <x:v>46136</x:v>
      </x:c>
      <x:c r="N4916" t="str">
        <x:v>SKU-019</x:v>
      </x:c>
      <x:c r="O4916" t="n">
        <x:v>3</x:v>
      </x:c>
      <x:c r="P4916" s="26" t="n">
        <x:f>F4916/O4916</x:f>
        <x:v>78.59</x:v>
      </x:c>
    </x:row>
    <x:row r="4917">
      <x:c r="A4917" t="n">
        <x:v>4916</x:v>
      </x:c>
      <x:c r="B4917" t="n">
        <x:v>44</x:v>
      </x:c>
      <x:c r="C4917" t="str">
        <x:v>Female</x:v>
      </x:c>
      <x:c r="D4917" t="str">
        <x:v>Groceries</x:v>
      </x:c>
      <x:c r="E4917" t="str">
        <x:v>Cooking Oil</x:v>
      </x:c>
      <x:c r="F4917" s="24" t="n">
        <x:v>62.94</x:v>
      </x:c>
      <x:c r="G4917" t="str">
        <x:v>Summer</x:v>
      </x:c>
      <x:c r="H4917" t="str">
        <x:v>Cash on Delivery</x:v>
      </x:c>
      <x:c r="I4917" t="n">
        <x:v>3.6</x:v>
      </x:c>
      <x:c r="J4917" t="n">
        <x:v>2</x:v>
      </x:c>
      <x:c r="K4917" t="n">
        <x:v>1</x:v>
      </x:c>
      <x:c r="L4917" t="str">
        <x:v>STORE-001</x:v>
      </x:c>
      <x:c r="M4917" s="22" t="n">
        <x:v>46015</x:v>
      </x:c>
      <x:c r="N4917" t="str">
        <x:v>SKU-002</x:v>
      </x:c>
      <x:c r="O4917" t="n">
        <x:v>2</x:v>
      </x:c>
      <x:c r="P4917" s="26" t="n">
        <x:f>F4917/O4917</x:f>
        <x:v>31.47</x:v>
      </x:c>
    </x:row>
    <x:row r="4918">
      <x:c r="A4918" t="n">
        <x:v>4917</x:v>
      </x:c>
      <x:c r="B4918" t="n">
        <x:v>39</x:v>
      </x:c>
      <x:c r="C4918" t="str">
        <x:v>Female</x:v>
      </x:c>
      <x:c r="D4918" t="str">
        <x:v>Groceries</x:v>
      </x:c>
      <x:c r="E4918" t="str">
        <x:v>Cooking Oil</x:v>
      </x:c>
      <x:c r="F4918" s="24" t="n">
        <x:v>70.15</x:v>
      </x:c>
      <x:c r="G4918" t="str">
        <x:v>Autumn</x:v>
      </x:c>
      <x:c r="H4918" t="str">
        <x:v>Cash on Delivery</x:v>
      </x:c>
      <x:c r="I4918" t="n">
        <x:v>4.1</x:v>
      </x:c>
      <x:c r="J4918" t="n">
        <x:v>14</x:v>
      </x:c>
      <x:c r="K4918" t="n">
        <x:v>2</x:v>
      </x:c>
      <x:c r="L4918" t="str">
        <x:v>STORE-001</x:v>
      </x:c>
      <x:c r="M4918" s="22" t="n">
        <x:v>46145</x:v>
      </x:c>
      <x:c r="N4918" t="str">
        <x:v>SKU-002</x:v>
      </x:c>
      <x:c r="O4918" t="n">
        <x:v>3</x:v>
      </x:c>
      <x:c r="P4918" s="26" t="n">
        <x:f>F4918/O4918</x:f>
        <x:v>23.383333333333336</x:v>
      </x:c>
    </x:row>
    <x:row r="4919">
      <x:c r="A4919" t="n">
        <x:v>4918</x:v>
      </x:c>
      <x:c r="B4919" t="n">
        <x:v>35</x:v>
      </x:c>
      <x:c r="C4919" t="str">
        <x:v>Female</x:v>
      </x:c>
      <x:c r="D4919" t="str">
        <x:v>Groceries</x:v>
      </x:c>
      <x:c r="E4919" t="str">
        <x:v>Snacks</x:v>
      </x:c>
      <x:c r="F4919" s="24" t="n">
        <x:v>69.1</x:v>
      </x:c>
      <x:c r="G4919" t="str">
        <x:v>Autumn</x:v>
      </x:c>
      <x:c r="H4919" t="str">
        <x:v>Card</x:v>
      </x:c>
      <x:c r="I4919" t="n">
        <x:v>4.3</x:v>
      </x:c>
      <x:c r="J4919" t="n">
        <x:v>22</x:v>
      </x:c>
      <x:c r="K4919" t="n">
        <x:v>6</x:v>
      </x:c>
      <x:c r="L4919" t="str">
        <x:v>STORE-001</x:v>
      </x:c>
      <x:c r="M4919" s="22" t="n">
        <x:v>46102</x:v>
      </x:c>
      <x:c r="N4919" t="str">
        <x:v>SKU-024</x:v>
      </x:c>
      <x:c r="O4919" t="n">
        <x:v>1</x:v>
      </x:c>
      <x:c r="P4919" s="26" t="n">
        <x:f>F4919/O4919</x:f>
        <x:v>69.1</x:v>
      </x:c>
    </x:row>
    <x:row r="4920">
      <x:c r="A4920" t="n">
        <x:v>4919</x:v>
      </x:c>
      <x:c r="B4920" t="n">
        <x:v>43</x:v>
      </x:c>
      <x:c r="C4920" t="str">
        <x:v>Female</x:v>
      </x:c>
      <x:c r="D4920" t="str">
        <x:v>Footwear</x:v>
      </x:c>
      <x:c r="E4920" t="str">
        <x:v>Sneakers</x:v>
      </x:c>
      <x:c r="F4920" s="24" t="n">
        <x:v>63.79</x:v>
      </x:c>
      <x:c r="G4920" t="str">
        <x:v>Spring</x:v>
      </x:c>
      <x:c r="H4920" t="str">
        <x:v>Cash on Delivery</x:v>
      </x:c>
      <x:c r="I4920" t="n">
        <x:v>4.1</x:v>
      </x:c>
      <x:c r="J4920" t="n">
        <x:v>14</x:v>
      </x:c>
      <x:c r="K4920" t="n">
        <x:v>7</x:v>
      </x:c>
      <x:c r="L4920" t="str">
        <x:v>STORE-001</x:v>
      </x:c>
      <x:c r="M4920" s="22" t="n">
        <x:v>46293</x:v>
      </x:c>
      <x:c r="N4920" t="str">
        <x:v>SKU-025</x:v>
      </x:c>
      <x:c r="O4920" t="n">
        <x:v>1</x:v>
      </x:c>
      <x:c r="P4920" s="26" t="n">
        <x:f>F4920/O4920</x:f>
        <x:v>63.79</x:v>
      </x:c>
    </x:row>
    <x:row r="4921">
      <x:c r="A4921" t="n">
        <x:v>4920</x:v>
      </x:c>
      <x:c r="B4921" t="n">
        <x:v>44</x:v>
      </x:c>
      <x:c r="C4921" t="str">
        <x:v>Female</x:v>
      </x:c>
      <x:c r="D4921" t="str">
        <x:v>Womens Clothing</x:v>
      </x:c>
      <x:c r="E4921" t="str">
        <x:v>Jeans</x:v>
      </x:c>
      <x:c r="F4921" s="24" t="n">
        <x:v>47.12</x:v>
      </x:c>
      <x:c r="G4921" t="str">
        <x:v>Autumn</x:v>
      </x:c>
      <x:c r="H4921" t="str">
        <x:v>Cash on Delivery</x:v>
      </x:c>
      <x:c r="I4921" t="n">
        <x:v>2.3</x:v>
      </x:c>
      <x:c r="J4921" t="n">
        <x:v>9</x:v>
      </x:c>
      <x:c r="K4921" t="n">
        <x:v>2</x:v>
      </x:c>
      <x:c r="L4921" t="str">
        <x:v>STORE-001</x:v>
      </x:c>
      <x:c r="M4921" s="22" t="n">
        <x:v>46137</x:v>
      </x:c>
      <x:c r="N4921" t="str">
        <x:v>SKU-011</x:v>
      </x:c>
      <x:c r="O4921" t="n">
        <x:v>1</x:v>
      </x:c>
      <x:c r="P4921" s="26" t="n">
        <x:f>F4921/O4921</x:f>
        <x:v>47.12</x:v>
      </x:c>
    </x:row>
    <x:row r="4922">
      <x:c r="A4922" t="n">
        <x:v>4921</x:v>
      </x:c>
      <x:c r="B4922" t="n">
        <x:v>69</x:v>
      </x:c>
      <x:c r="C4922" t="str">
        <x:v>Male</x:v>
      </x:c>
      <x:c r="D4922" t="str">
        <x:v>Sports</x:v>
      </x:c>
      <x:c r="E4922" t="str">
        <x:v>Football</x:v>
      </x:c>
      <x:c r="F4922" s="24" t="n">
        <x:v>205.85</x:v>
      </x:c>
      <x:c r="G4922" t="str">
        <x:v>Winter</x:v>
      </x:c>
      <x:c r="H4922" t="str">
        <x:v>Card</x:v>
      </x:c>
      <x:c r="I4922" t="n">
        <x:v>3.3</x:v>
      </x:c>
      <x:c r="J4922" t="n">
        <x:v>16</x:v>
      </x:c>
      <x:c r="K4922" t="n">
        <x:v>3</x:v>
      </x:c>
      <x:c r="L4922" t="str">
        <x:v>STORE-001</x:v>
      </x:c>
      <x:c r="M4922" s="22" t="n">
        <x:v>46201</x:v>
      </x:c>
      <x:c r="N4922" t="str">
        <x:v>SKU-006</x:v>
      </x:c>
      <x:c r="O4922" t="n">
        <x:v>4</x:v>
      </x:c>
      <x:c r="P4922" s="26" t="n">
        <x:f>F4922/O4922</x:f>
        <x:v>51.4625</x:v>
      </x:c>
    </x:row>
    <x:row r="4923">
      <x:c r="A4923" t="n">
        <x:v>4922</x:v>
      </x:c>
      <x:c r="B4923" t="n">
        <x:v>25</x:v>
      </x:c>
      <x:c r="C4923" t="str">
        <x:v>Female</x:v>
      </x:c>
      <x:c r="D4923" t="str">
        <x:v>Accessories</x:v>
      </x:c>
      <x:c r="E4923" t="str">
        <x:v>Sunglasses</x:v>
      </x:c>
      <x:c r="F4923" s="24" t="n">
        <x:v>33.38</x:v>
      </x:c>
      <x:c r="G4923" t="str">
        <x:v>Autumn</x:v>
      </x:c>
      <x:c r="H4923" t="str">
        <x:v>Card</x:v>
      </x:c>
      <x:c r="I4923" t="n">
        <x:v>3.5</x:v>
      </x:c>
      <x:c r="J4923" t="n">
        <x:v>8</x:v>
      </x:c>
      <x:c r="K4923" t="n">
        <x:v>4</x:v>
      </x:c>
      <x:c r="L4923" t="str">
        <x:v>STORE-001</x:v>
      </x:c>
      <x:c r="M4923" s="22" t="n">
        <x:v>46130</x:v>
      </x:c>
      <x:c r="N4923" t="str">
        <x:v>SKU-026</x:v>
      </x:c>
      <x:c r="O4923" t="n">
        <x:v>1</x:v>
      </x:c>
      <x:c r="P4923" s="26" t="n">
        <x:f>F4923/O4923</x:f>
        <x:v>33.38</x:v>
      </x:c>
    </x:row>
    <x:row r="4924">
      <x:c r="A4924" t="n">
        <x:v>4923</x:v>
      </x:c>
      <x:c r="B4924" t="n">
        <x:v>24</x:v>
      </x:c>
      <x:c r="C4924" t="str">
        <x:v>Male</x:v>
      </x:c>
      <x:c r="D4924" t="str">
        <x:v>Groceries</x:v>
      </x:c>
      <x:c r="E4924" t="str">
        <x:v>Cooking Oil</x:v>
      </x:c>
      <x:c r="F4924" s="24" t="n">
        <x:v>60.32</x:v>
      </x:c>
      <x:c r="G4924" t="str">
        <x:v>Winter</x:v>
      </x:c>
      <x:c r="H4924" t="str">
        <x:v>Cash on Delivery</x:v>
      </x:c>
      <x:c r="I4924" t="n">
        <x:v>2.7</x:v>
      </x:c>
      <x:c r="J4924" t="n">
        <x:v>12</x:v>
      </x:c>
      <x:c r="K4924" t="n">
        <x:v>6</x:v>
      </x:c>
      <x:c r="L4924" t="str">
        <x:v>STORE-001</x:v>
      </x:c>
      <x:c r="M4924" s="22" t="n">
        <x:v>46262</x:v>
      </x:c>
      <x:c r="N4924" t="str">
        <x:v>SKU-002</x:v>
      </x:c>
      <x:c r="O4924" t="n">
        <x:v>3</x:v>
      </x:c>
      <x:c r="P4924" s="26" t="n">
        <x:f>F4924/O4924</x:f>
        <x:v>20.106666666666666</x:v>
      </x:c>
    </x:row>
    <x:row r="4925">
      <x:c r="A4925" t="n">
        <x:v>4924</x:v>
      </x:c>
      <x:c r="B4925" t="n">
        <x:v>45</x:v>
      </x:c>
      <x:c r="C4925" t="str">
        <x:v>Male</x:v>
      </x:c>
      <x:c r="D4925" t="str">
        <x:v>Sports</x:v>
      </x:c>
      <x:c r="E4925" t="str">
        <x:v>Dumbbells</x:v>
      </x:c>
      <x:c r="F4925" s="24" t="n">
        <x:v>82.4</x:v>
      </x:c>
      <x:c r="G4925" t="str">
        <x:v>Spring</x:v>
      </x:c>
      <x:c r="H4925" t="str">
        <x:v>Card</x:v>
      </x:c>
      <x:c r="I4925" t="n">
        <x:v>3.4</x:v>
      </x:c>
      <x:c r="J4925" t="n">
        <x:v>10</x:v>
      </x:c>
      <x:c r="K4925" t="n">
        <x:v>5</x:v>
      </x:c>
      <x:c r="L4925" t="str">
        <x:v>STORE-001</x:v>
      </x:c>
      <x:c r="M4925" s="22" t="n">
        <x:v>45991</x:v>
      </x:c>
      <x:c r="N4925" t="str">
        <x:v>SKU-005</x:v>
      </x:c>
      <x:c r="O4925" t="n">
        <x:v>1</x:v>
      </x:c>
      <x:c r="P4925" s="26" t="n">
        <x:f>F4925/O4925</x:f>
        <x:v>82.4</x:v>
      </x:c>
    </x:row>
    <x:row r="4926">
      <x:c r="A4926" t="n">
        <x:v>4925</x:v>
      </x:c>
      <x:c r="B4926" t="n">
        <x:v>55</x:v>
      </x:c>
      <x:c r="C4926" t="str">
        <x:v>Male</x:v>
      </x:c>
      <x:c r="D4926" t="str">
        <x:v>Groceries</x:v>
      </x:c>
      <x:c r="E4926" t="str">
        <x:v>Snacks</x:v>
      </x:c>
      <x:c r="F4926" s="24" t="n">
        <x:v>32.01</x:v>
      </x:c>
      <x:c r="G4926" t="str">
        <x:v>Winter</x:v>
      </x:c>
      <x:c r="H4926" t="str">
        <x:v>Card</x:v>
      </x:c>
      <x:c r="I4926" t="n">
        <x:v>3.7</x:v>
      </x:c>
      <x:c r="J4926" t="n">
        <x:v>15</x:v>
      </x:c>
      <x:c r="K4926" t="n">
        <x:v>5</x:v>
      </x:c>
      <x:c r="L4926" t="str">
        <x:v>STORE-001</x:v>
      </x:c>
      <x:c r="M4926" s="22" t="n">
        <x:v>46192</x:v>
      </x:c>
      <x:c r="N4926" t="str">
        <x:v>SKU-024</x:v>
      </x:c>
      <x:c r="O4926" t="n">
        <x:v>2</x:v>
      </x:c>
      <x:c r="P4926" s="26" t="n">
        <x:f>F4926/O4926</x:f>
        <x:v>16.005</x:v>
      </x:c>
    </x:row>
    <x:row r="4927">
      <x:c r="A4927" t="n">
        <x:v>4926</x:v>
      </x:c>
      <x:c r="B4927" t="n">
        <x:v>33</x:v>
      </x:c>
      <x:c r="C4927" t="str">
        <x:v>Male</x:v>
      </x:c>
      <x:c r="D4927" t="str">
        <x:v>Sports</x:v>
      </x:c>
      <x:c r="E4927" t="str">
        <x:v>Dumbbells</x:v>
      </x:c>
      <x:c r="F4927" s="24" t="n">
        <x:v>40.55</x:v>
      </x:c>
      <x:c r="G4927" t="str">
        <x:v>Winter</x:v>
      </x:c>
      <x:c r="H4927" t="str">
        <x:v>Cash on Delivery</x:v>
      </x:c>
      <x:c r="I4927" t="n">
        <x:v>4.6</x:v>
      </x:c>
      <x:c r="J4927" t="n">
        <x:v>4</x:v>
      </x:c>
      <x:c r="K4927" t="n">
        <x:v>2</x:v>
      </x:c>
      <x:c r="L4927" t="str">
        <x:v>STORE-001</x:v>
      </x:c>
      <x:c r="M4927" s="22" t="n">
        <x:v>46236</x:v>
      </x:c>
      <x:c r="N4927" t="str">
        <x:v>SKU-005</x:v>
      </x:c>
      <x:c r="O4927" t="n">
        <x:v>1</x:v>
      </x:c>
      <x:c r="P4927" s="26" t="n">
        <x:f>F4927/O4927</x:f>
        <x:v>40.55</x:v>
      </x:c>
    </x:row>
    <x:row r="4928">
      <x:c r="A4928" t="n">
        <x:v>4927</x:v>
      </x:c>
      <x:c r="B4928" t="n">
        <x:v>47</x:v>
      </x:c>
      <x:c r="C4928" t="str">
        <x:v>Female</x:v>
      </x:c>
      <x:c r="D4928" t="str">
        <x:v>Beauty</x:v>
      </x:c>
      <x:c r="E4928" t="str">
        <x:v>Makeup Set</x:v>
      </x:c>
      <x:c r="F4928" s="24" t="n">
        <x:v>100.37</x:v>
      </x:c>
      <x:c r="G4928" t="str">
        <x:v>Spring</x:v>
      </x:c>
      <x:c r="H4928" t="str">
        <x:v>Card</x:v>
      </x:c>
      <x:c r="I4928" t="n">
        <x:v>3</x:v>
      </x:c>
      <x:c r="J4928" t="n">
        <x:v>4</x:v>
      </x:c>
      <x:c r="K4928" t="n">
        <x:v>2</x:v>
      </x:c>
      <x:c r="L4928" t="str">
        <x:v>STORE-001</x:v>
      </x:c>
      <x:c r="M4928" s="22" t="n">
        <x:v>46276</x:v>
      </x:c>
      <x:c r="N4928" t="str">
        <x:v>SKU-015</x:v>
      </x:c>
      <x:c r="O4928" t="n">
        <x:v>2</x:v>
      </x:c>
      <x:c r="P4928" s="26" t="n">
        <x:f>F4928/O4928</x:f>
        <x:v>50.185</x:v>
      </x:c>
    </x:row>
    <x:row r="4929">
      <x:c r="A4929" t="n">
        <x:v>4928</x:v>
      </x:c>
      <x:c r="B4929" t="n">
        <x:v>67</x:v>
      </x:c>
      <x:c r="C4929" t="str">
        <x:v>Male</x:v>
      </x:c>
      <x:c r="D4929" t="str">
        <x:v>Electronics</x:v>
      </x:c>
      <x:c r="E4929" t="str">
        <x:v>Mobile Phone</x:v>
      </x:c>
      <x:c r="F4929" s="24" t="n">
        <x:v>1360.46</x:v>
      </x:c>
      <x:c r="G4929" t="str">
        <x:v>Summer</x:v>
      </x:c>
      <x:c r="H4929" t="str">
        <x:v>Card</x:v>
      </x:c>
      <x:c r="I4929" t="n">
        <x:v>5</x:v>
      </x:c>
      <x:c r="J4929" t="n">
        <x:v>24</x:v>
      </x:c>
      <x:c r="K4929" t="n">
        <x:v>7</x:v>
      </x:c>
      <x:c r="L4929" t="str">
        <x:v>STORE-001</x:v>
      </x:c>
      <x:c r="M4929" s="22" t="n">
        <x:v>46032</x:v>
      </x:c>
      <x:c r="N4929" t="str">
        <x:v>SKU-016</x:v>
      </x:c>
      <x:c r="O4929" t="n">
        <x:v>1</x:v>
      </x:c>
      <x:c r="P4929" s="26" t="n">
        <x:f>F4929/O4929</x:f>
        <x:v>1360.46</x:v>
      </x:c>
    </x:row>
    <x:row r="4930">
      <x:c r="A4930" t="n">
        <x:v>4929</x:v>
      </x:c>
      <x:c r="B4930" t="n">
        <x:v>36</x:v>
      </x:c>
      <x:c r="C4930" t="str">
        <x:v>Female</x:v>
      </x:c>
      <x:c r="D4930" t="str">
        <x:v>Accessories</x:v>
      </x:c>
      <x:c r="E4930" t="str">
        <x:v>Sunglasses</x:v>
      </x:c>
      <x:c r="F4930" s="24" t="n">
        <x:v>141.63</x:v>
      </x:c>
      <x:c r="G4930" t="str">
        <x:v>Autumn</x:v>
      </x:c>
      <x:c r="H4930" t="str">
        <x:v>Card</x:v>
      </x:c>
      <x:c r="I4930" t="n">
        <x:v>4.4</x:v>
      </x:c>
      <x:c r="J4930" t="n">
        <x:v>17</x:v>
      </x:c>
      <x:c r="K4930" t="n">
        <x:v>6</x:v>
      </x:c>
      <x:c r="L4930" t="str">
        <x:v>STORE-001</x:v>
      </x:c>
      <x:c r="M4930" s="22" t="n">
        <x:v>46090</x:v>
      </x:c>
      <x:c r="N4930" t="str">
        <x:v>SKU-026</x:v>
      </x:c>
      <x:c r="O4930" t="n">
        <x:v>3</x:v>
      </x:c>
      <x:c r="P4930" s="26" t="n">
        <x:f>F4930/O4930</x:f>
        <x:v>47.21</x:v>
      </x:c>
    </x:row>
    <x:row r="4931">
      <x:c r="A4931" t="n">
        <x:v>4930</x:v>
      </x:c>
      <x:c r="B4931" t="n">
        <x:v>30</x:v>
      </x:c>
      <x:c r="C4931" t="str">
        <x:v>Male</x:v>
      </x:c>
      <x:c r="D4931" t="str">
        <x:v>Footwear</x:v>
      </x:c>
      <x:c r="E4931" t="str">
        <x:v>Formal Shoes</x:v>
      </x:c>
      <x:c r="F4931" s="24" t="n">
        <x:v>131.47</x:v>
      </x:c>
      <x:c r="G4931" t="str">
        <x:v>Summer</x:v>
      </x:c>
      <x:c r="H4931" t="str">
        <x:v>Card</x:v>
      </x:c>
      <x:c r="I4931" t="n">
        <x:v>3.9</x:v>
      </x:c>
      <x:c r="J4931" t="n">
        <x:v>18</x:v>
      </x:c>
      <x:c r="K4931" t="n">
        <x:v>4</x:v>
      </x:c>
      <x:c r="L4931" t="str">
        <x:v>STORE-001</x:v>
      </x:c>
      <x:c r="M4931" s="22" t="n">
        <x:v>46060</x:v>
      </x:c>
      <x:c r="N4931" t="str">
        <x:v>SKU-007</x:v>
      </x:c>
      <x:c r="O4931" t="n">
        <x:v>2</x:v>
      </x:c>
      <x:c r="P4931" s="26" t="n">
        <x:f>F4931/O4931</x:f>
        <x:v>65.735</x:v>
      </x:c>
    </x:row>
    <x:row r="4932">
      <x:c r="A4932" t="n">
        <x:v>4931</x:v>
      </x:c>
      <x:c r="B4932" t="n">
        <x:v>36</x:v>
      </x:c>
      <x:c r="C4932" t="str">
        <x:v>Male</x:v>
      </x:c>
      <x:c r="D4932" t="str">
        <x:v>Mens Clothing</x:v>
      </x:c>
      <x:c r="E4932" t="str">
        <x:v>Jeans</x:v>
      </x:c>
      <x:c r="F4932" s="24" t="n">
        <x:v>106.54</x:v>
      </x:c>
      <x:c r="G4932" t="str">
        <x:v>Winter</x:v>
      </x:c>
      <x:c r="H4932" t="str">
        <x:v>Card</x:v>
      </x:c>
      <x:c r="I4932" t="n">
        <x:v>5</x:v>
      </x:c>
      <x:c r="J4932" t="n">
        <x:v>22</x:v>
      </x:c>
      <x:c r="K4932" t="n">
        <x:v>6</x:v>
      </x:c>
      <x:c r="L4932" t="str">
        <x:v>STORE-001</x:v>
      </x:c>
      <x:c r="M4932" s="22" t="n">
        <x:v>46210</x:v>
      </x:c>
      <x:c r="N4932" t="str">
        <x:v>SKU-011</x:v>
      </x:c>
      <x:c r="O4932" t="n">
        <x:v>2</x:v>
      </x:c>
      <x:c r="P4932" s="26" t="n">
        <x:f>F4932/O4932</x:f>
        <x:v>53.27</x:v>
      </x:c>
    </x:row>
    <x:row r="4933">
      <x:c r="A4933" t="n">
        <x:v>4932</x:v>
      </x:c>
      <x:c r="B4933" t="n">
        <x:v>21</x:v>
      </x:c>
      <x:c r="C4933" t="str">
        <x:v>Male</x:v>
      </x:c>
      <x:c r="D4933" t="str">
        <x:v>Electronics</x:v>
      </x:c>
      <x:c r="E4933" t="str">
        <x:v>Mobile Phone</x:v>
      </x:c>
      <x:c r="F4933" s="24" t="n">
        <x:v>845.23</x:v>
      </x:c>
      <x:c r="G4933" t="str">
        <x:v>Winter</x:v>
      </x:c>
      <x:c r="H4933" t="str">
        <x:v>Card</x:v>
      </x:c>
      <x:c r="I4933" t="n">
        <x:v>3.7</x:v>
      </x:c>
      <x:c r="J4933" t="n">
        <x:v>16</x:v>
      </x:c>
      <x:c r="K4933" t="n">
        <x:v>8</x:v>
      </x:c>
      <x:c r="L4933" t="str">
        <x:v>STORE-001</x:v>
      </x:c>
      <x:c r="M4933" s="22" t="n">
        <x:v>46176</x:v>
      </x:c>
      <x:c r="N4933" t="str">
        <x:v>SKU-016</x:v>
      </x:c>
      <x:c r="O4933" t="n">
        <x:v>1</x:v>
      </x:c>
      <x:c r="P4933" s="26" t="n">
        <x:f>F4933/O4933</x:f>
        <x:v>845.23</x:v>
      </x:c>
    </x:row>
    <x:row r="4934">
      <x:c r="A4934" t="n">
        <x:v>4933</x:v>
      </x:c>
      <x:c r="B4934" t="n">
        <x:v>49</x:v>
      </x:c>
      <x:c r="C4934" t="str">
        <x:v>Male</x:v>
      </x:c>
      <x:c r="D4934" t="str">
        <x:v>Electronics</x:v>
      </x:c>
      <x:c r="E4934" t="str">
        <x:v>Mobile Phone</x:v>
      </x:c>
      <x:c r="F4934" s="24" t="n">
        <x:v>2662.07</x:v>
      </x:c>
      <x:c r="G4934" t="str">
        <x:v>Winter</x:v>
      </x:c>
      <x:c r="H4934" t="str">
        <x:v>Card</x:v>
      </x:c>
      <x:c r="I4934" t="n">
        <x:v>4.7</x:v>
      </x:c>
      <x:c r="J4934" t="n">
        <x:v>20</x:v>
      </x:c>
      <x:c r="K4934" t="n">
        <x:v>5</x:v>
      </x:c>
      <x:c r="L4934" t="str">
        <x:v>STORE-001</x:v>
      </x:c>
      <x:c r="M4934" s="22" t="n">
        <x:v>46228</x:v>
      </x:c>
      <x:c r="N4934" t="str">
        <x:v>SKU-016</x:v>
      </x:c>
      <x:c r="O4934" t="n">
        <x:v>1</x:v>
      </x:c>
      <x:c r="P4934" s="26" t="n">
        <x:f>F4934/O4934</x:f>
        <x:v>2662.07</x:v>
      </x:c>
    </x:row>
    <x:row r="4935">
      <x:c r="A4935" t="n">
        <x:v>4934</x:v>
      </x:c>
      <x:c r="B4935" t="n">
        <x:v>50</x:v>
      </x:c>
      <x:c r="C4935" t="str">
        <x:v>Male</x:v>
      </x:c>
      <x:c r="D4935" t="str">
        <x:v>Sports</x:v>
      </x:c>
      <x:c r="E4935" t="str">
        <x:v>Dumbbells</x:v>
      </x:c>
      <x:c r="F4935" s="24" t="n">
        <x:v>186.83</x:v>
      </x:c>
      <x:c r="G4935" t="str">
        <x:v>Spring</x:v>
      </x:c>
      <x:c r="H4935" t="str">
        <x:v>Card</x:v>
      </x:c>
      <x:c r="I4935" t="n">
        <x:v>3</x:v>
      </x:c>
      <x:c r="J4935" t="n">
        <x:v>11</x:v>
      </x:c>
      <x:c r="K4935" t="n">
        <x:v>3</x:v>
      </x:c>
      <x:c r="L4935" t="str">
        <x:v>STORE-001</x:v>
      </x:c>
      <x:c r="M4935" s="22" t="n">
        <x:v>45945</x:v>
      </x:c>
      <x:c r="N4935" t="str">
        <x:v>SKU-005</x:v>
      </x:c>
      <x:c r="O4935" t="n">
        <x:v>1</x:v>
      </x:c>
      <x:c r="P4935" s="26" t="n">
        <x:f>F4935/O4935</x:f>
        <x:v>186.83</x:v>
      </x:c>
    </x:row>
    <x:row r="4936">
      <x:c r="A4936" t="n">
        <x:v>4935</x:v>
      </x:c>
      <x:c r="B4936" t="n">
        <x:v>66</x:v>
      </x:c>
      <x:c r="C4936" t="str">
        <x:v>Female</x:v>
      </x:c>
      <x:c r="D4936" t="str">
        <x:v>Accessories</x:v>
      </x:c>
      <x:c r="E4936" t="str">
        <x:v>Handbag</x:v>
      </x:c>
      <x:c r="F4936" s="24" t="n">
        <x:v>143.75</x:v>
      </x:c>
      <x:c r="G4936" t="str">
        <x:v>Autumn</x:v>
      </x:c>
      <x:c r="H4936" t="str">
        <x:v>Card</x:v>
      </x:c>
      <x:c r="I4936" t="n">
        <x:v>3.7</x:v>
      </x:c>
      <x:c r="J4936" t="n">
        <x:v>20</x:v>
      </x:c>
      <x:c r="K4936" t="n">
        <x:v>5</x:v>
      </x:c>
      <x:c r="L4936" t="str">
        <x:v>STORE-001</x:v>
      </x:c>
      <x:c r="M4936" s="22" t="n">
        <x:v>46144</x:v>
      </x:c>
      <x:c r="N4936" t="str">
        <x:v>SKU-008</x:v>
      </x:c>
      <x:c r="O4936" t="n">
        <x:v>1</x:v>
      </x:c>
      <x:c r="P4936" s="26" t="n">
        <x:f>F4936/O4936</x:f>
        <x:v>143.75</x:v>
      </x:c>
    </x:row>
    <x:row r="4937">
      <x:c r="A4937" t="n">
        <x:v>4936</x:v>
      </x:c>
      <x:c r="B4937" t="n">
        <x:v>23</x:v>
      </x:c>
      <x:c r="C4937" t="str">
        <x:v>Male</x:v>
      </x:c>
      <x:c r="D4937" t="str">
        <x:v>Electronics</x:v>
      </x:c>
      <x:c r="E4937" t="str">
        <x:v>Mobile Phone</x:v>
      </x:c>
      <x:c r="F4937" s="24" t="n">
        <x:v>2876.27</x:v>
      </x:c>
      <x:c r="G4937" t="str">
        <x:v>Spring</x:v>
      </x:c>
      <x:c r="H4937" t="str">
        <x:v>Card</x:v>
      </x:c>
      <x:c r="I4937" t="n">
        <x:v>3</x:v>
      </x:c>
      <x:c r="J4937" t="n">
        <x:v>16</x:v>
      </x:c>
      <x:c r="K4937" t="n">
        <x:v>3</x:v>
      </x:c>
      <x:c r="L4937" t="str">
        <x:v>STORE-001</x:v>
      </x:c>
      <x:c r="M4937" s="22" t="n">
        <x:v>45967</x:v>
      </x:c>
      <x:c r="N4937" t="str">
        <x:v>SKU-016</x:v>
      </x:c>
      <x:c r="O4937" t="n">
        <x:v>2</x:v>
      </x:c>
      <x:c r="P4937" s="26" t="n">
        <x:f>F4937/O4937</x:f>
        <x:v>1438.135</x:v>
      </x:c>
    </x:row>
    <x:row r="4938">
      <x:c r="A4938" t="n">
        <x:v>4937</x:v>
      </x:c>
      <x:c r="B4938" t="n">
        <x:v>31</x:v>
      </x:c>
      <x:c r="C4938" t="str">
        <x:v>Male</x:v>
      </x:c>
      <x:c r="D4938" t="str">
        <x:v>Electronics</x:v>
      </x:c>
      <x:c r="E4938" t="str">
        <x:v>Laptop</x:v>
      </x:c>
      <x:c r="F4938" s="24" t="n">
        <x:v>2686.88</x:v>
      </x:c>
      <x:c r="G4938" t="str">
        <x:v>Winter</x:v>
      </x:c>
      <x:c r="H4938" t="str">
        <x:v>Card</x:v>
      </x:c>
      <x:c r="I4938" t="n">
        <x:v>3.3</x:v>
      </x:c>
      <x:c r="J4938" t="n">
        <x:v>9</x:v>
      </x:c>
      <x:c r="K4938" t="n">
        <x:v>2</x:v>
      </x:c>
      <x:c r="L4938" t="str">
        <x:v>STORE-001</x:v>
      </x:c>
      <x:c r="M4938" s="22" t="n">
        <x:v>46261</x:v>
      </x:c>
      <x:c r="N4938" t="str">
        <x:v>SKU-014</x:v>
      </x:c>
      <x:c r="O4938" t="n">
        <x:v>1</x:v>
      </x:c>
      <x:c r="P4938" s="26" t="n">
        <x:f>F4938/O4938</x:f>
        <x:v>2686.88</x:v>
      </x:c>
    </x:row>
    <x:row r="4939">
      <x:c r="A4939" t="n">
        <x:v>4938</x:v>
      </x:c>
      <x:c r="B4939" t="n">
        <x:v>54</x:v>
      </x:c>
      <x:c r="C4939" t="str">
        <x:v>Female</x:v>
      </x:c>
      <x:c r="D4939" t="str">
        <x:v>Womens Clothing</x:v>
      </x:c>
      <x:c r="E4939" t="str">
        <x:v>Jeans</x:v>
      </x:c>
      <x:c r="F4939" s="24" t="n">
        <x:v>35.3</x:v>
      </x:c>
      <x:c r="G4939" t="str">
        <x:v>Autumn</x:v>
      </x:c>
      <x:c r="H4939" t="str">
        <x:v>Card</x:v>
      </x:c>
      <x:c r="I4939" t="n">
        <x:v>3.6</x:v>
      </x:c>
      <x:c r="J4939" t="n">
        <x:v>26</x:v>
      </x:c>
      <x:c r="K4939" t="n">
        <x:v>8</x:v>
      </x:c>
      <x:c r="L4939" t="str">
        <x:v>STORE-001</x:v>
      </x:c>
      <x:c r="M4939" s="22" t="n">
        <x:v>46126</x:v>
      </x:c>
      <x:c r="N4939" t="str">
        <x:v>SKU-011</x:v>
      </x:c>
      <x:c r="O4939" t="n">
        <x:v>1</x:v>
      </x:c>
      <x:c r="P4939" s="26" t="n">
        <x:f>F4939/O4939</x:f>
        <x:v>35.3</x:v>
      </x:c>
    </x:row>
    <x:row r="4940">
      <x:c r="A4940" t="n">
        <x:v>4939</x:v>
      </x:c>
      <x:c r="B4940" t="n">
        <x:v>64</x:v>
      </x:c>
      <x:c r="C4940" t="str">
        <x:v>Male</x:v>
      </x:c>
      <x:c r="D4940" t="str">
        <x:v>Electronics</x:v>
      </x:c>
      <x:c r="E4940" t="str">
        <x:v>Headphones</x:v>
      </x:c>
      <x:c r="F4940" s="24" t="n">
        <x:v>2546.26</x:v>
      </x:c>
      <x:c r="G4940" t="str">
        <x:v>Autumn</x:v>
      </x:c>
      <x:c r="H4940" t="str">
        <x:v>Card</x:v>
      </x:c>
      <x:c r="I4940" t="n">
        <x:v>4.9</x:v>
      </x:c>
      <x:c r="J4940" t="n">
        <x:v>15</x:v>
      </x:c>
      <x:c r="K4940" t="n">
        <x:v>5</x:v>
      </x:c>
      <x:c r="L4940" t="str">
        <x:v>STORE-001</x:v>
      </x:c>
      <x:c r="M4940" s="22" t="n">
        <x:v>46164</x:v>
      </x:c>
      <x:c r="N4940" t="str">
        <x:v>SKU-009</x:v>
      </x:c>
      <x:c r="O4940" t="n">
        <x:v>2</x:v>
      </x:c>
      <x:c r="P4940" s="26" t="n">
        <x:f>F4940/O4940</x:f>
        <x:v>1273.13</x:v>
      </x:c>
    </x:row>
    <x:row r="4941">
      <x:c r="A4941" t="n">
        <x:v>4940</x:v>
      </x:c>
      <x:c r="B4941" t="n">
        <x:v>31</x:v>
      </x:c>
      <x:c r="C4941" t="str">
        <x:v>Male</x:v>
      </x:c>
      <x:c r="D4941" t="str">
        <x:v>Footwear</x:v>
      </x:c>
      <x:c r="E4941" t="str">
        <x:v>Sandals</x:v>
      </x:c>
      <x:c r="F4941" s="24" t="n">
        <x:v>248.37</x:v>
      </x:c>
      <x:c r="G4941" t="str">
        <x:v>Summer</x:v>
      </x:c>
      <x:c r="H4941" t="str">
        <x:v>Card</x:v>
      </x:c>
      <x:c r="I4941" t="n">
        <x:v>4.4</x:v>
      </x:c>
      <x:c r="J4941" t="n">
        <x:v>20</x:v>
      </x:c>
      <x:c r="K4941" t="n">
        <x:v>5</x:v>
      </x:c>
      <x:c r="L4941" t="str">
        <x:v>STORE-001</x:v>
      </x:c>
      <x:c r="M4941" s="22" t="n">
        <x:v>46038</x:v>
      </x:c>
      <x:c r="N4941" t="str">
        <x:v>SKU-019</x:v>
      </x:c>
      <x:c r="O4941" t="n">
        <x:v>2</x:v>
      </x:c>
      <x:c r="P4941" s="26" t="n">
        <x:f>F4941/O4941</x:f>
        <x:v>124.185</x:v>
      </x:c>
    </x:row>
    <x:row r="4942">
      <x:c r="A4942" t="n">
        <x:v>4941</x:v>
      </x:c>
      <x:c r="B4942" t="n">
        <x:v>31</x:v>
      </x:c>
      <x:c r="C4942" t="str">
        <x:v>Female</x:v>
      </x:c>
      <x:c r="D4942" t="str">
        <x:v>Beauty</x:v>
      </x:c>
      <x:c r="E4942" t="str">
        <x:v>Perfume</x:v>
      </x:c>
      <x:c r="F4942" s="24" t="n">
        <x:v>45.08</x:v>
      </x:c>
      <x:c r="G4942" t="str">
        <x:v>Winter</x:v>
      </x:c>
      <x:c r="H4942" t="str">
        <x:v>Cash on Delivery</x:v>
      </x:c>
      <x:c r="I4942" t="n">
        <x:v>4.1</x:v>
      </x:c>
      <x:c r="J4942" t="n">
        <x:v>22</x:v>
      </x:c>
      <x:c r="K4942" t="n">
        <x:v>6</x:v>
      </x:c>
      <x:c r="L4942" t="str">
        <x:v>STORE-001</x:v>
      </x:c>
      <x:c r="M4942" s="22" t="n">
        <x:v>46174</x:v>
      </x:c>
      <x:c r="N4942" t="str">
        <x:v>SKU-017</x:v>
      </x:c>
      <x:c r="O4942" t="n">
        <x:v>1</x:v>
      </x:c>
      <x:c r="P4942" s="26" t="n">
        <x:f>F4942/O4942</x:f>
        <x:v>45.08</x:v>
      </x:c>
    </x:row>
    <x:row r="4943">
      <x:c r="A4943" t="n">
        <x:v>4942</x:v>
      </x:c>
      <x:c r="B4943" t="n">
        <x:v>22</x:v>
      </x:c>
      <x:c r="C4943" t="str">
        <x:v>Male</x:v>
      </x:c>
      <x:c r="D4943" t="str">
        <x:v>Sports</x:v>
      </x:c>
      <x:c r="E4943" t="str">
        <x:v>Yoga Mat</x:v>
      </x:c>
      <x:c r="F4943" s="24" t="n">
        <x:v>193.77</x:v>
      </x:c>
      <x:c r="G4943" t="str">
        <x:v>Autumn</x:v>
      </x:c>
      <x:c r="H4943" t="str">
        <x:v>Card</x:v>
      </x:c>
      <x:c r="I4943" t="n">
        <x:v>4.9</x:v>
      </x:c>
      <x:c r="J4943" t="n">
        <x:v>14</x:v>
      </x:c>
      <x:c r="K4943" t="n">
        <x:v>7</x:v>
      </x:c>
      <x:c r="L4943" t="str">
        <x:v>STORE-001</x:v>
      </x:c>
      <x:c r="M4943" s="22" t="n">
        <x:v>46163</x:v>
      </x:c>
      <x:c r="N4943" t="str">
        <x:v>SKU-030</x:v>
      </x:c>
      <x:c r="O4943" t="n">
        <x:v>2</x:v>
      </x:c>
      <x:c r="P4943" s="26" t="n">
        <x:f>F4943/O4943</x:f>
        <x:v>96.885</x:v>
      </x:c>
    </x:row>
    <x:row r="4944">
      <x:c r="A4944" t="n">
        <x:v>4943</x:v>
      </x:c>
      <x:c r="B4944" t="n">
        <x:v>40</x:v>
      </x:c>
      <x:c r="C4944" t="str">
        <x:v>Female</x:v>
      </x:c>
      <x:c r="D4944" t="str">
        <x:v>Beauty</x:v>
      </x:c>
      <x:c r="E4944" t="str">
        <x:v>Perfume</x:v>
      </x:c>
      <x:c r="F4944" s="24" t="n">
        <x:v>98.85</x:v>
      </x:c>
      <x:c r="G4944" t="str">
        <x:v>Autumn</x:v>
      </x:c>
      <x:c r="H4944" t="str">
        <x:v>Card</x:v>
      </x:c>
      <x:c r="I4944" t="n">
        <x:v>4.7</x:v>
      </x:c>
      <x:c r="J4944" t="n">
        <x:v>16</x:v>
      </x:c>
      <x:c r="K4944" t="n">
        <x:v>3</x:v>
      </x:c>
      <x:c r="L4944" t="str">
        <x:v>STORE-001</x:v>
      </x:c>
      <x:c r="M4944" s="22" t="n">
        <x:v>46140</x:v>
      </x:c>
      <x:c r="N4944" t="str">
        <x:v>SKU-017</x:v>
      </x:c>
      <x:c r="O4944" t="n">
        <x:v>2</x:v>
      </x:c>
      <x:c r="P4944" s="26" t="n">
        <x:f>F4944/O4944</x:f>
        <x:v>49.425</x:v>
      </x:c>
    </x:row>
    <x:row r="4945">
      <x:c r="A4945" t="n">
        <x:v>4944</x:v>
      </x:c>
      <x:c r="B4945" t="n">
        <x:v>28</x:v>
      </x:c>
      <x:c r="C4945" t="str">
        <x:v>Male</x:v>
      </x:c>
      <x:c r="D4945" t="str">
        <x:v>Footwear</x:v>
      </x:c>
      <x:c r="E4945" t="str">
        <x:v>Sneakers</x:v>
      </x:c>
      <x:c r="F4945" s="24" t="n">
        <x:v>216.39</x:v>
      </x:c>
      <x:c r="G4945" t="str">
        <x:v>Autumn</x:v>
      </x:c>
      <x:c r="H4945" t="str">
        <x:v>Card</x:v>
      </x:c>
      <x:c r="I4945" t="n">
        <x:v>1.5</x:v>
      </x:c>
      <x:c r="J4945" t="n">
        <x:v>7</x:v>
      </x:c>
      <x:c r="K4945" t="n">
        <x:v>1</x:v>
      </x:c>
      <x:c r="L4945" t="str">
        <x:v>STORE-001</x:v>
      </x:c>
      <x:c r="M4945" s="22" t="n">
        <x:v>46090</x:v>
      </x:c>
      <x:c r="N4945" t="str">
        <x:v>SKU-025</x:v>
      </x:c>
      <x:c r="O4945" t="n">
        <x:v>2</x:v>
      </x:c>
      <x:c r="P4945" s="26" t="n">
        <x:f>F4945/O4945</x:f>
        <x:v>108.195</x:v>
      </x:c>
    </x:row>
    <x:row r="4946">
      <x:c r="A4946" t="n">
        <x:v>4945</x:v>
      </x:c>
      <x:c r="B4946" t="n">
        <x:v>64</x:v>
      </x:c>
      <x:c r="C4946" t="str">
        <x:v>Female</x:v>
      </x:c>
      <x:c r="D4946" t="str">
        <x:v>Footwear</x:v>
      </x:c>
      <x:c r="E4946" t="str">
        <x:v>Sandals</x:v>
      </x:c>
      <x:c r="F4946" s="24" t="n">
        <x:v>197.46</x:v>
      </x:c>
      <x:c r="G4946" t="str">
        <x:v>Autumn</x:v>
      </x:c>
      <x:c r="H4946" t="str">
        <x:v>Card</x:v>
      </x:c>
      <x:c r="I4946" t="n">
        <x:v>4.4</x:v>
      </x:c>
      <x:c r="J4946" t="n">
        <x:v>10</x:v>
      </x:c>
      <x:c r="K4946" t="n">
        <x:v>5</x:v>
      </x:c>
      <x:c r="L4946" t="str">
        <x:v>STORE-001</x:v>
      </x:c>
      <x:c r="M4946" s="22" t="n">
        <x:v>46082</x:v>
      </x:c>
      <x:c r="N4946" t="str">
        <x:v>SKU-019</x:v>
      </x:c>
      <x:c r="O4946" t="n">
        <x:v>1</x:v>
      </x:c>
      <x:c r="P4946" s="26" t="n">
        <x:f>F4946/O4946</x:f>
        <x:v>197.46</x:v>
      </x:c>
    </x:row>
    <x:row r="4947">
      <x:c r="A4947" t="n">
        <x:v>4946</x:v>
      </x:c>
      <x:c r="B4947" t="n">
        <x:v>48</x:v>
      </x:c>
      <x:c r="C4947" t="str">
        <x:v>Female</x:v>
      </x:c>
      <x:c r="D4947" t="str">
        <x:v>Groceries</x:v>
      </x:c>
      <x:c r="E4947" t="str">
        <x:v>Rice Pack</x:v>
      </x:c>
      <x:c r="F4947" s="24" t="n">
        <x:v>75.4</x:v>
      </x:c>
      <x:c r="G4947" t="str">
        <x:v>Spring</x:v>
      </x:c>
      <x:c r="H4947" t="str">
        <x:v>Card</x:v>
      </x:c>
      <x:c r="I4947" t="n">
        <x:v>3.7</x:v>
      </x:c>
      <x:c r="J4947" t="n">
        <x:v>8</x:v>
      </x:c>
      <x:c r="K4947" t="n">
        <x:v>4</x:v>
      </x:c>
      <x:c r="L4947" t="str">
        <x:v>STORE-001</x:v>
      </x:c>
      <x:c r="M4947" s="22" t="n">
        <x:v>45962</x:v>
      </x:c>
      <x:c r="N4947" t="str">
        <x:v>SKU-018</x:v>
      </x:c>
      <x:c r="O4947" t="n">
        <x:v>3</x:v>
      </x:c>
      <x:c r="P4947" s="26" t="n">
        <x:f>F4947/O4947</x:f>
        <x:v>25.133333333333336</x:v>
      </x:c>
    </x:row>
    <x:row r="4948">
      <x:c r="A4948" t="n">
        <x:v>4947</x:v>
      </x:c>
      <x:c r="B4948" t="n">
        <x:v>24</x:v>
      </x:c>
      <x:c r="C4948" t="str">
        <x:v>Female</x:v>
      </x:c>
      <x:c r="D4948" t="str">
        <x:v>Beauty</x:v>
      </x:c>
      <x:c r="E4948" t="str">
        <x:v>Skincare Kit</x:v>
      </x:c>
      <x:c r="F4948" s="24" t="n">
        <x:v>78.11</x:v>
      </x:c>
      <x:c r="G4948" t="str">
        <x:v>Summer</x:v>
      </x:c>
      <x:c r="H4948" t="str">
        <x:v>Cash on Delivery</x:v>
      </x:c>
      <x:c r="I4948" t="n">
        <x:v>3.6</x:v>
      </x:c>
      <x:c r="J4948" t="n">
        <x:v>12</x:v>
      </x:c>
      <x:c r="K4948" t="n">
        <x:v>6</x:v>
      </x:c>
      <x:c r="L4948" t="str">
        <x:v>STORE-001</x:v>
      </x:c>
      <x:c r="M4948" s="22" t="n">
        <x:v>46016</x:v>
      </x:c>
      <x:c r="N4948" t="str">
        <x:v>SKU-021</x:v>
      </x:c>
      <x:c r="O4948" t="n">
        <x:v>2</x:v>
      </x:c>
      <x:c r="P4948" s="26" t="n">
        <x:f>F4948/O4948</x:f>
        <x:v>39.055</x:v>
      </x:c>
    </x:row>
    <x:row r="4949">
      <x:c r="A4949" t="n">
        <x:v>4948</x:v>
      </x:c>
      <x:c r="B4949" t="n">
        <x:v>20</x:v>
      </x:c>
      <x:c r="C4949" t="str">
        <x:v>Female</x:v>
      </x:c>
      <x:c r="D4949" t="str">
        <x:v>Beauty</x:v>
      </x:c>
      <x:c r="E4949" t="str">
        <x:v>Skincare Kit</x:v>
      </x:c>
      <x:c r="F4949" s="24" t="n">
        <x:v>32.66</x:v>
      </x:c>
      <x:c r="G4949" t="str">
        <x:v>Spring</x:v>
      </x:c>
      <x:c r="H4949" t="str">
        <x:v>Cash on Delivery</x:v>
      </x:c>
      <x:c r="I4949" t="n">
        <x:v>2.9</x:v>
      </x:c>
      <x:c r="J4949" t="n">
        <x:v>8</x:v>
      </x:c>
      <x:c r="K4949" t="n">
        <x:v>4</x:v>
      </x:c>
      <x:c r="L4949" t="str">
        <x:v>STORE-001</x:v>
      </x:c>
      <x:c r="M4949" s="22" t="n">
        <x:v>46289</x:v>
      </x:c>
      <x:c r="N4949" t="str">
        <x:v>SKU-021</x:v>
      </x:c>
      <x:c r="O4949" t="n">
        <x:v>3</x:v>
      </x:c>
      <x:c r="P4949" s="26" t="n">
        <x:f>F4949/O4949</x:f>
        <x:v>10.886666666666665</x:v>
      </x:c>
    </x:row>
    <x:row r="4950">
      <x:c r="A4950" t="n">
        <x:v>4949</x:v>
      </x:c>
      <x:c r="B4950" t="n">
        <x:v>21</x:v>
      </x:c>
      <x:c r="C4950" t="str">
        <x:v>Female</x:v>
      </x:c>
      <x:c r="D4950" t="str">
        <x:v>Footwear</x:v>
      </x:c>
      <x:c r="E4950" t="str">
        <x:v>Formal Shoes</x:v>
      </x:c>
      <x:c r="F4950" s="24" t="n">
        <x:v>91.71</x:v>
      </x:c>
      <x:c r="G4950" t="str">
        <x:v>Autumn</x:v>
      </x:c>
      <x:c r="H4950" t="str">
        <x:v>Cash on Delivery</x:v>
      </x:c>
      <x:c r="I4950" t="n">
        <x:v>3</x:v>
      </x:c>
      <x:c r="J4950" t="n">
        <x:v>8</x:v>
      </x:c>
      <x:c r="K4950" t="n">
        <x:v>4</x:v>
      </x:c>
      <x:c r="L4950" t="str">
        <x:v>STORE-001</x:v>
      </x:c>
      <x:c r="M4950" s="22" t="n">
        <x:v>46120</x:v>
      </x:c>
      <x:c r="N4950" t="str">
        <x:v>SKU-007</x:v>
      </x:c>
      <x:c r="O4950" t="n">
        <x:v>1</x:v>
      </x:c>
      <x:c r="P4950" s="26" t="n">
        <x:f>F4950/O4950</x:f>
        <x:v>91.71</x:v>
      </x:c>
    </x:row>
    <x:row r="4951">
      <x:c r="A4951" t="n">
        <x:v>4950</x:v>
      </x:c>
      <x:c r="B4951" t="n">
        <x:v>70</x:v>
      </x:c>
      <x:c r="C4951" t="str">
        <x:v>Female</x:v>
      </x:c>
      <x:c r="D4951" t="str">
        <x:v>Beauty</x:v>
      </x:c>
      <x:c r="E4951" t="str">
        <x:v>Skincare Kit</x:v>
      </x:c>
      <x:c r="F4951" s="24" t="n">
        <x:v>70.74</x:v>
      </x:c>
      <x:c r="G4951" t="str">
        <x:v>Autumn</x:v>
      </x:c>
      <x:c r="H4951" t="str">
        <x:v>Cash on Delivery</x:v>
      </x:c>
      <x:c r="I4951" t="n">
        <x:v>4.7</x:v>
      </x:c>
      <x:c r="J4951" t="n">
        <x:v>28</x:v>
      </x:c>
      <x:c r="K4951" t="n">
        <x:v>9</x:v>
      </x:c>
      <x:c r="L4951" t="str">
        <x:v>STORE-001</x:v>
      </x:c>
      <x:c r="M4951" s="22" t="n">
        <x:v>46096</x:v>
      </x:c>
      <x:c r="N4951" t="str">
        <x:v>SKU-021</x:v>
      </x:c>
      <x:c r="O4951" t="n">
        <x:v>1</x:v>
      </x:c>
      <x:c r="P4951" s="26" t="n">
        <x:f>F4951/O4951</x:f>
        <x:v>70.74</x:v>
      </x:c>
    </x:row>
    <x:row r="4952">
      <x:c r="A4952" t="n">
        <x:v>4951</x:v>
      </x:c>
      <x:c r="B4952" t="n">
        <x:v>39</x:v>
      </x:c>
      <x:c r="C4952" t="str">
        <x:v>Female</x:v>
      </x:c>
      <x:c r="D4952" t="str">
        <x:v>Footwear</x:v>
      </x:c>
      <x:c r="E4952" t="str">
        <x:v>Sandals</x:v>
      </x:c>
      <x:c r="F4952" s="24" t="n">
        <x:v>92.58</x:v>
      </x:c>
      <x:c r="G4952" t="str">
        <x:v>Summer</x:v>
      </x:c>
      <x:c r="H4952" t="str">
        <x:v>Card</x:v>
      </x:c>
      <x:c r="I4952" t="n">
        <x:v>3.6</x:v>
      </x:c>
      <x:c r="J4952" t="n">
        <x:v>11</x:v>
      </x:c>
      <x:c r="K4952" t="n">
        <x:v>3</x:v>
      </x:c>
      <x:c r="L4952" t="str">
        <x:v>STORE-001</x:v>
      </x:c>
      <x:c r="M4952" s="22" t="n">
        <x:v>46021</x:v>
      </x:c>
      <x:c r="N4952" t="str">
        <x:v>SKU-019</x:v>
      </x:c>
      <x:c r="O4952" t="n">
        <x:v>1</x:v>
      </x:c>
      <x:c r="P4952" s="26" t="n">
        <x:f>F4952/O4952</x:f>
        <x:v>92.58</x:v>
      </x:c>
    </x:row>
    <x:row r="4953">
      <x:c r="A4953" t="n">
        <x:v>4952</x:v>
      </x:c>
      <x:c r="B4953" t="n">
        <x:v>53</x:v>
      </x:c>
      <x:c r="C4953" t="str">
        <x:v>Female</x:v>
      </x:c>
      <x:c r="D4953" t="str">
        <x:v>Beauty</x:v>
      </x:c>
      <x:c r="E4953" t="str">
        <x:v>Makeup Set</x:v>
      </x:c>
      <x:c r="F4953" s="24" t="n">
        <x:v>92.62</x:v>
      </x:c>
      <x:c r="G4953" t="str">
        <x:v>Summer</x:v>
      </x:c>
      <x:c r="H4953" t="str">
        <x:v>Card</x:v>
      </x:c>
      <x:c r="I4953" t="n">
        <x:v>4.9</x:v>
      </x:c>
      <x:c r="J4953" t="n">
        <x:v>11</x:v>
      </x:c>
      <x:c r="K4953" t="n">
        <x:v>3</x:v>
      </x:c>
      <x:c r="L4953" t="str">
        <x:v>STORE-001</x:v>
      </x:c>
      <x:c r="M4953" s="22" t="n">
        <x:v>46044</x:v>
      </x:c>
      <x:c r="N4953" t="str">
        <x:v>SKU-015</x:v>
      </x:c>
      <x:c r="O4953" t="n">
        <x:v>1</x:v>
      </x:c>
      <x:c r="P4953" s="26" t="n">
        <x:f>F4953/O4953</x:f>
        <x:v>92.62</x:v>
      </x:c>
    </x:row>
    <x:row r="4954">
      <x:c r="A4954" t="n">
        <x:v>4953</x:v>
      </x:c>
      <x:c r="B4954" t="n">
        <x:v>24</x:v>
      </x:c>
      <x:c r="C4954" t="str">
        <x:v>Male</x:v>
      </x:c>
      <x:c r="D4954" t="str">
        <x:v>Footwear</x:v>
      </x:c>
      <x:c r="E4954" t="str">
        <x:v>Sneakers</x:v>
      </x:c>
      <x:c r="F4954" s="24" t="n">
        <x:v>201.33</x:v>
      </x:c>
      <x:c r="G4954" t="str">
        <x:v>Winter</x:v>
      </x:c>
      <x:c r="H4954" t="str">
        <x:v>Card</x:v>
      </x:c>
      <x:c r="I4954" t="n">
        <x:v>3.4</x:v>
      </x:c>
      <x:c r="J4954" t="n">
        <x:v>0</x:v>
      </x:c>
      <x:c r="K4954" t="n">
        <x:v>0</x:v>
      </x:c>
      <x:c r="L4954" t="str">
        <x:v>STORE-001</x:v>
      </x:c>
      <x:c r="M4954" s="22" t="n">
        <x:v>46184</x:v>
      </x:c>
      <x:c r="N4954" t="str">
        <x:v>SKU-025</x:v>
      </x:c>
      <x:c r="O4954" t="n">
        <x:v>1</x:v>
      </x:c>
      <x:c r="P4954" s="26" t="n">
        <x:f>F4954/O4954</x:f>
        <x:v>201.33</x:v>
      </x:c>
    </x:row>
    <x:row r="4955">
      <x:c r="A4955" t="n">
        <x:v>4954</x:v>
      </x:c>
      <x:c r="B4955" t="n">
        <x:v>22</x:v>
      </x:c>
      <x:c r="C4955" t="str">
        <x:v>Female</x:v>
      </x:c>
      <x:c r="D4955" t="str">
        <x:v>Womens Clothing</x:v>
      </x:c>
      <x:c r="E4955" t="str">
        <x:v>Skirt</x:v>
      </x:c>
      <x:c r="F4955" s="24" t="n">
        <x:v>107.7</x:v>
      </x:c>
      <x:c r="G4955" t="str">
        <x:v>Autumn</x:v>
      </x:c>
      <x:c r="H4955" t="str">
        <x:v>Card</x:v>
      </x:c>
      <x:c r="I4955" t="n">
        <x:v>3.2</x:v>
      </x:c>
      <x:c r="J4955" t="n">
        <x:v>28</x:v>
      </x:c>
      <x:c r="K4955" t="n">
        <x:v>9</x:v>
      </x:c>
      <x:c r="L4955" t="str">
        <x:v>STORE-001</x:v>
      </x:c>
      <x:c r="M4955" s="22" t="n">
        <x:v>46126</x:v>
      </x:c>
      <x:c r="N4955" t="str">
        <x:v>SKU-022</x:v>
      </x:c>
      <x:c r="O4955" t="n">
        <x:v>2</x:v>
      </x:c>
      <x:c r="P4955" s="26" t="n">
        <x:f>F4955/O4955</x:f>
        <x:v>53.85</x:v>
      </x:c>
    </x:row>
    <x:row r="4956">
      <x:c r="A4956" t="n">
        <x:v>4955</x:v>
      </x:c>
      <x:c r="B4956" t="n">
        <x:v>29</x:v>
      </x:c>
      <x:c r="C4956" t="str">
        <x:v>Male</x:v>
      </x:c>
      <x:c r="D4956" t="str">
        <x:v>Sports</x:v>
      </x:c>
      <x:c r="E4956" t="str">
        <x:v>Football</x:v>
      </x:c>
      <x:c r="F4956" s="24" t="n">
        <x:v>48.66</x:v>
      </x:c>
      <x:c r="G4956" t="str">
        <x:v>Spring</x:v>
      </x:c>
      <x:c r="H4956" t="str">
        <x:v>Card</x:v>
      </x:c>
      <x:c r="I4956" t="n">
        <x:v>3.5</x:v>
      </x:c>
      <x:c r="J4956" t="n">
        <x:v>4</x:v>
      </x:c>
      <x:c r="K4956" t="n">
        <x:v>2</x:v>
      </x:c>
      <x:c r="L4956" t="str">
        <x:v>STORE-001</x:v>
      </x:c>
      <x:c r="M4956" s="22" t="n">
        <x:v>46289</x:v>
      </x:c>
      <x:c r="N4956" t="str">
        <x:v>SKU-006</x:v>
      </x:c>
      <x:c r="O4956" t="n">
        <x:v>2</x:v>
      </x:c>
      <x:c r="P4956" s="26" t="n">
        <x:f>F4956/O4956</x:f>
        <x:v>24.33</x:v>
      </x:c>
    </x:row>
    <x:row r="4957">
      <x:c r="A4957" t="n">
        <x:v>4956</x:v>
      </x:c>
      <x:c r="B4957" t="n">
        <x:v>37</x:v>
      </x:c>
      <x:c r="C4957" t="str">
        <x:v>Male</x:v>
      </x:c>
      <x:c r="D4957" t="str">
        <x:v>Groceries</x:v>
      </x:c>
      <x:c r="E4957" t="str">
        <x:v>Rice Pack</x:v>
      </x:c>
      <x:c r="F4957" s="24" t="n">
        <x:v>43.47</x:v>
      </x:c>
      <x:c r="G4957" t="str">
        <x:v>Autumn</x:v>
      </x:c>
      <x:c r="H4957" t="str">
        <x:v>Cash on Delivery</x:v>
      </x:c>
      <x:c r="I4957" t="n">
        <x:v>4.1</x:v>
      </x:c>
      <x:c r="J4957" t="n">
        <x:v>16</x:v>
      </x:c>
      <x:c r="K4957" t="n">
        <x:v>3</x:v>
      </x:c>
      <x:c r="L4957" t="str">
        <x:v>STORE-001</x:v>
      </x:c>
      <x:c r="M4957" s="22" t="n">
        <x:v>46113</x:v>
      </x:c>
      <x:c r="N4957" t="str">
        <x:v>SKU-018</x:v>
      </x:c>
      <x:c r="O4957" t="n">
        <x:v>4</x:v>
      </x:c>
      <x:c r="P4957" s="26" t="n">
        <x:f>F4957/O4957</x:f>
        <x:v>10.8675</x:v>
      </x:c>
    </x:row>
    <x:row r="4958">
      <x:c r="A4958" t="n">
        <x:v>4957</x:v>
      </x:c>
      <x:c r="B4958" t="n">
        <x:v>47</x:v>
      </x:c>
      <x:c r="C4958" t="str">
        <x:v>Male</x:v>
      </x:c>
      <x:c r="D4958" t="str">
        <x:v>Mens Clothing</x:v>
      </x:c>
      <x:c r="E4958" t="str">
        <x:v>Jeans</x:v>
      </x:c>
      <x:c r="F4958" s="24" t="n">
        <x:v>179.91</x:v>
      </x:c>
      <x:c r="G4958" t="str">
        <x:v>Summer</x:v>
      </x:c>
      <x:c r="H4958" t="str">
        <x:v>Card</x:v>
      </x:c>
      <x:c r="I4958" t="n">
        <x:v>4.4</x:v>
      </x:c>
      <x:c r="J4958" t="n">
        <x:v>12</x:v>
      </x:c>
      <x:c r="K4958" t="n">
        <x:v>6</x:v>
      </x:c>
      <x:c r="L4958" t="str">
        <x:v>STORE-001</x:v>
      </x:c>
      <x:c r="M4958" s="22" t="n">
        <x:v>46000</x:v>
      </x:c>
      <x:c r="N4958" t="str">
        <x:v>SKU-011</x:v>
      </x:c>
      <x:c r="O4958" t="n">
        <x:v>1</x:v>
      </x:c>
      <x:c r="P4958" s="26" t="n">
        <x:f>F4958/O4958</x:f>
        <x:v>179.91</x:v>
      </x:c>
    </x:row>
    <x:row r="4959">
      <x:c r="A4959" t="n">
        <x:v>4958</x:v>
      </x:c>
      <x:c r="B4959" t="n">
        <x:v>69</x:v>
      </x:c>
      <x:c r="C4959" t="str">
        <x:v>Male</x:v>
      </x:c>
      <x:c r="D4959" t="str">
        <x:v>Groceries</x:v>
      </x:c>
      <x:c r="E4959" t="str">
        <x:v>Beverages</x:v>
      </x:c>
      <x:c r="F4959" s="24" t="n">
        <x:v>60.23</x:v>
      </x:c>
      <x:c r="G4959" t="str">
        <x:v>Autumn</x:v>
      </x:c>
      <x:c r="H4959" t="str">
        <x:v>Cash on Delivery</x:v>
      </x:c>
      <x:c r="I4959" t="n">
        <x:v>3.3</x:v>
      </x:c>
      <x:c r="J4959" t="n">
        <x:v>14</x:v>
      </x:c>
      <x:c r="K4959" t="n">
        <x:v>7</x:v>
      </x:c>
      <x:c r="L4959" t="str">
        <x:v>STORE-001</x:v>
      </x:c>
      <x:c r="M4959" s="22" t="n">
        <x:v>46129</x:v>
      </x:c>
      <x:c r="N4959" t="str">
        <x:v>SKU-001</x:v>
      </x:c>
      <x:c r="O4959" t="n">
        <x:v>1</x:v>
      </x:c>
      <x:c r="P4959" s="26" t="n">
        <x:f>F4959/O4959</x:f>
        <x:v>60.23</x:v>
      </x:c>
    </x:row>
    <x:row r="4960">
      <x:c r="A4960" t="n">
        <x:v>4959</x:v>
      </x:c>
      <x:c r="B4960" t="n">
        <x:v>36</x:v>
      </x:c>
      <x:c r="C4960" t="str">
        <x:v>Female</x:v>
      </x:c>
      <x:c r="D4960" t="str">
        <x:v>Groceries</x:v>
      </x:c>
      <x:c r="E4960" t="str">
        <x:v>Beverages</x:v>
      </x:c>
      <x:c r="F4960" s="24" t="n">
        <x:v>33.12</x:v>
      </x:c>
      <x:c r="G4960" t="str">
        <x:v>Spring</x:v>
      </x:c>
      <x:c r="H4960" t="str">
        <x:v>Card</x:v>
      </x:c>
      <x:c r="I4960" t="n">
        <x:v>4.3</x:v>
      </x:c>
      <x:c r="J4960" t="n">
        <x:v>15</x:v>
      </x:c>
      <x:c r="K4960" t="n">
        <x:v>5</x:v>
      </x:c>
      <x:c r="L4960" t="str">
        <x:v>STORE-001</x:v>
      </x:c>
      <x:c r="M4960" s="22" t="n">
        <x:v>46270</x:v>
      </x:c>
      <x:c r="N4960" t="str">
        <x:v>SKU-001</x:v>
      </x:c>
      <x:c r="O4960" t="n">
        <x:v>2</x:v>
      </x:c>
      <x:c r="P4960" s="26" t="n">
        <x:f>F4960/O4960</x:f>
        <x:v>16.56</x:v>
      </x:c>
    </x:row>
    <x:row r="4961">
      <x:c r="A4961" t="n">
        <x:v>4960</x:v>
      </x:c>
      <x:c r="B4961" t="n">
        <x:v>42</x:v>
      </x:c>
      <x:c r="C4961" t="str">
        <x:v>Male</x:v>
      </x:c>
      <x:c r="D4961" t="str">
        <x:v>Electronics</x:v>
      </x:c>
      <x:c r="E4961" t="str">
        <x:v>Mobile Phone</x:v>
      </x:c>
      <x:c r="F4961" s="24" t="n">
        <x:v>2340.63</x:v>
      </x:c>
      <x:c r="G4961" t="str">
        <x:v>Autumn</x:v>
      </x:c>
      <x:c r="H4961" t="str">
        <x:v>Card</x:v>
      </x:c>
      <x:c r="I4961" t="n">
        <x:v>3.1</x:v>
      </x:c>
      <x:c r="J4961" t="n">
        <x:v>9</x:v>
      </x:c>
      <x:c r="K4961" t="n">
        <x:v>2</x:v>
      </x:c>
      <x:c r="L4961" t="str">
        <x:v>STORE-001</x:v>
      </x:c>
      <x:c r="M4961" s="22" t="n">
        <x:v>46104</x:v>
      </x:c>
      <x:c r="N4961" t="str">
        <x:v>SKU-016</x:v>
      </x:c>
      <x:c r="O4961" t="n">
        <x:v>1</x:v>
      </x:c>
      <x:c r="P4961" s="26" t="n">
        <x:f>F4961/O4961</x:f>
        <x:v>2340.63</x:v>
      </x:c>
    </x:row>
    <x:row r="4962">
      <x:c r="A4962" t="n">
        <x:v>4961</x:v>
      </x:c>
      <x:c r="B4962" t="n">
        <x:v>23</x:v>
      </x:c>
      <x:c r="C4962" t="str">
        <x:v>Female</x:v>
      </x:c>
      <x:c r="D4962" t="str">
        <x:v>Sports</x:v>
      </x:c>
      <x:c r="E4962" t="str">
        <x:v>Dumbbells</x:v>
      </x:c>
      <x:c r="F4962" s="24" t="n">
        <x:v>124.64</x:v>
      </x:c>
      <x:c r="G4962" t="str">
        <x:v>Spring</x:v>
      </x:c>
      <x:c r="H4962" t="str">
        <x:v>Card</x:v>
      </x:c>
      <x:c r="I4962" t="n">
        <x:v>4.9</x:v>
      </x:c>
      <x:c r="J4962" t="n">
        <x:v>20</x:v>
      </x:c>
      <x:c r="K4962" t="n">
        <x:v>5</x:v>
      </x:c>
      <x:c r="L4962" t="str">
        <x:v>STORE-001</x:v>
      </x:c>
      <x:c r="M4962" s="22" t="n">
        <x:v>46288</x:v>
      </x:c>
      <x:c r="N4962" t="str">
        <x:v>SKU-005</x:v>
      </x:c>
      <x:c r="O4962" t="n">
        <x:v>1</x:v>
      </x:c>
      <x:c r="P4962" s="26" t="n">
        <x:f>F4962/O4962</x:f>
        <x:v>124.64</x:v>
      </x:c>
    </x:row>
    <x:row r="4963">
      <x:c r="A4963" t="n">
        <x:v>4962</x:v>
      </x:c>
      <x:c r="B4963" t="n">
        <x:v>52</x:v>
      </x:c>
      <x:c r="C4963" t="str">
        <x:v>Male</x:v>
      </x:c>
      <x:c r="D4963" t="str">
        <x:v>Groceries</x:v>
      </x:c>
      <x:c r="E4963" t="str">
        <x:v>Snacks</x:v>
      </x:c>
      <x:c r="F4963" s="24" t="n">
        <x:v>69.01</x:v>
      </x:c>
      <x:c r="G4963" t="str">
        <x:v>Summer</x:v>
      </x:c>
      <x:c r="H4963" t="str">
        <x:v>Cash on Delivery</x:v>
      </x:c>
      <x:c r="I4963" t="n">
        <x:v>3.6</x:v>
      </x:c>
      <x:c r="J4963" t="n">
        <x:v>8</x:v>
      </x:c>
      <x:c r="K4963" t="n">
        <x:v>4</x:v>
      </x:c>
      <x:c r="L4963" t="str">
        <x:v>STORE-001</x:v>
      </x:c>
      <x:c r="M4963" s="22" t="n">
        <x:v>46013</x:v>
      </x:c>
      <x:c r="N4963" t="str">
        <x:v>SKU-024</x:v>
      </x:c>
      <x:c r="O4963" t="n">
        <x:v>1</x:v>
      </x:c>
      <x:c r="P4963" s="26" t="n">
        <x:f>F4963/O4963</x:f>
        <x:v>69.01</x:v>
      </x:c>
    </x:row>
    <x:row r="4964">
      <x:c r="A4964" t="n">
        <x:v>4963</x:v>
      </x:c>
      <x:c r="B4964" t="n">
        <x:v>59</x:v>
      </x:c>
      <x:c r="C4964" t="str">
        <x:v>Female</x:v>
      </x:c>
      <x:c r="D4964" t="str">
        <x:v>Accessories</x:v>
      </x:c>
      <x:c r="E4964" t="str">
        <x:v>Sunglasses</x:v>
      </x:c>
      <x:c r="F4964" s="24" t="n">
        <x:v>67.83</x:v>
      </x:c>
      <x:c r="G4964" t="str">
        <x:v>Winter</x:v>
      </x:c>
      <x:c r="H4964" t="str">
        <x:v>Cash on Delivery</x:v>
      </x:c>
      <x:c r="I4964" t="n">
        <x:v>2.7</x:v>
      </x:c>
      <x:c r="J4964" t="n">
        <x:v>13</x:v>
      </x:c>
      <x:c r="K4964" t="n">
        <x:v>4</x:v>
      </x:c>
      <x:c r="L4964" t="str">
        <x:v>STORE-001</x:v>
      </x:c>
      <x:c r="M4964" s="22" t="n">
        <x:v>46232</x:v>
      </x:c>
      <x:c r="N4964" t="str">
        <x:v>SKU-026</x:v>
      </x:c>
      <x:c r="O4964" t="n">
        <x:v>2</x:v>
      </x:c>
      <x:c r="P4964" s="26" t="n">
        <x:f>F4964/O4964</x:f>
        <x:v>33.915</x:v>
      </x:c>
    </x:row>
    <x:row r="4965">
      <x:c r="A4965" t="n">
        <x:v>4964</x:v>
      </x:c>
      <x:c r="B4965" t="n">
        <x:v>21</x:v>
      </x:c>
      <x:c r="C4965" t="str">
        <x:v>Male</x:v>
      </x:c>
      <x:c r="D4965" t="str">
        <x:v>Mens Clothing</x:v>
      </x:c>
      <x:c r="E4965" t="str">
        <x:v>T-Shirt</x:v>
      </x:c>
      <x:c r="F4965" s="24" t="n">
        <x:v>80.01</x:v>
      </x:c>
      <x:c r="G4965" t="str">
        <x:v>Spring</x:v>
      </x:c>
      <x:c r="H4965" t="str">
        <x:v>Card</x:v>
      </x:c>
      <x:c r="I4965" t="n">
        <x:v>4.5</x:v>
      </x:c>
      <x:c r="J4965" t="n">
        <x:v>19</x:v>
      </x:c>
      <x:c r="K4965" t="n">
        <x:v>7</x:v>
      </x:c>
      <x:c r="L4965" t="str">
        <x:v>STORE-001</x:v>
      </x:c>
      <x:c r="M4965" s="22" t="n">
        <x:v>46276</x:v>
      </x:c>
      <x:c r="N4965" t="str">
        <x:v>SKU-027</x:v>
      </x:c>
      <x:c r="O4965" t="n">
        <x:v>1</x:v>
      </x:c>
      <x:c r="P4965" s="26" t="n">
        <x:f>F4965/O4965</x:f>
        <x:v>80.01</x:v>
      </x:c>
    </x:row>
    <x:row r="4966">
      <x:c r="A4966" t="n">
        <x:v>4965</x:v>
      </x:c>
      <x:c r="B4966" t="n">
        <x:v>50</x:v>
      </x:c>
      <x:c r="C4966" t="str">
        <x:v>Male</x:v>
      </x:c>
      <x:c r="D4966" t="str">
        <x:v>Sports</x:v>
      </x:c>
      <x:c r="E4966" t="str">
        <x:v>Yoga Mat</x:v>
      </x:c>
      <x:c r="F4966" s="24" t="n">
        <x:v>65.65</x:v>
      </x:c>
      <x:c r="G4966" t="str">
        <x:v>Autumn</x:v>
      </x:c>
      <x:c r="H4966" t="str">
        <x:v>Cash on Delivery</x:v>
      </x:c>
      <x:c r="I4966" t="n">
        <x:v>4</x:v>
      </x:c>
      <x:c r="J4966" t="n">
        <x:v>16</x:v>
      </x:c>
      <x:c r="K4966" t="n">
        <x:v>8</x:v>
      </x:c>
      <x:c r="L4966" t="str">
        <x:v>STORE-001</x:v>
      </x:c>
      <x:c r="M4966" s="22" t="n">
        <x:v>46099</x:v>
      </x:c>
      <x:c r="N4966" t="str">
        <x:v>SKU-030</x:v>
      </x:c>
      <x:c r="O4966" t="n">
        <x:v>2</x:v>
      </x:c>
      <x:c r="P4966" s="26" t="n">
        <x:f>F4966/O4966</x:f>
        <x:v>32.825</x:v>
      </x:c>
    </x:row>
    <x:row r="4967">
      <x:c r="A4967" t="n">
        <x:v>4966</x:v>
      </x:c>
      <x:c r="B4967" t="n">
        <x:v>50</x:v>
      </x:c>
      <x:c r="C4967" t="str">
        <x:v>Male</x:v>
      </x:c>
      <x:c r="D4967" t="str">
        <x:v>Footwear</x:v>
      </x:c>
      <x:c r="E4967" t="str">
        <x:v>Formal Shoes</x:v>
      </x:c>
      <x:c r="F4967" s="24" t="n">
        <x:v>64.93</x:v>
      </x:c>
      <x:c r="G4967" t="str">
        <x:v>Spring</x:v>
      </x:c>
      <x:c r="H4967" t="str">
        <x:v>Card</x:v>
      </x:c>
      <x:c r="I4967" t="n">
        <x:v>4.4</x:v>
      </x:c>
      <x:c r="J4967" t="n">
        <x:v>9</x:v>
      </x:c>
      <x:c r="K4967" t="n">
        <x:v>2</x:v>
      </x:c>
      <x:c r="L4967" t="str">
        <x:v>STORE-001</x:v>
      </x:c>
      <x:c r="M4967" s="22" t="n">
        <x:v>46287</x:v>
      </x:c>
      <x:c r="N4967" t="str">
        <x:v>SKU-007</x:v>
      </x:c>
      <x:c r="O4967" t="n">
        <x:v>1</x:v>
      </x:c>
      <x:c r="P4967" s="26" t="n">
        <x:f>F4967/O4967</x:f>
        <x:v>64.93</x:v>
      </x:c>
    </x:row>
    <x:row r="4968">
      <x:c r="A4968" t="n">
        <x:v>4967</x:v>
      </x:c>
      <x:c r="B4968" t="n">
        <x:v>57</x:v>
      </x:c>
      <x:c r="C4968" t="str">
        <x:v>Male</x:v>
      </x:c>
      <x:c r="D4968" t="str">
        <x:v>Mens Clothing</x:v>
      </x:c>
      <x:c r="E4968" t="str">
        <x:v>Jeans</x:v>
      </x:c>
      <x:c r="F4968" s="24" t="n">
        <x:v>185.82</x:v>
      </x:c>
      <x:c r="G4968" t="str">
        <x:v>Spring</x:v>
      </x:c>
      <x:c r="H4968" t="str">
        <x:v>Card</x:v>
      </x:c>
      <x:c r="I4968" t="n">
        <x:v>3.6</x:v>
      </x:c>
      <x:c r="J4968" t="n">
        <x:v>17</x:v>
      </x:c>
      <x:c r="K4968" t="n">
        <x:v>6</x:v>
      </x:c>
      <x:c r="L4968" t="str">
        <x:v>STORE-001</x:v>
      </x:c>
      <x:c r="M4968" s="22" t="n">
        <x:v>46281</x:v>
      </x:c>
      <x:c r="N4968" t="str">
        <x:v>SKU-011</x:v>
      </x:c>
      <x:c r="O4968" t="n">
        <x:v>2</x:v>
      </x:c>
      <x:c r="P4968" s="26" t="n">
        <x:f>F4968/O4968</x:f>
        <x:v>92.91</x:v>
      </x:c>
    </x:row>
    <x:row r="4969">
      <x:c r="A4969" t="n">
        <x:v>4968</x:v>
      </x:c>
      <x:c r="B4969" t="n">
        <x:v>58</x:v>
      </x:c>
      <x:c r="C4969" t="str">
        <x:v>Female</x:v>
      </x:c>
      <x:c r="D4969" t="str">
        <x:v>Accessories</x:v>
      </x:c>
      <x:c r="E4969" t="str">
        <x:v>Handbag</x:v>
      </x:c>
      <x:c r="F4969" s="24" t="n">
        <x:v>60.51</x:v>
      </x:c>
      <x:c r="G4969" t="str">
        <x:v>Summer</x:v>
      </x:c>
      <x:c r="H4969" t="str">
        <x:v>Card</x:v>
      </x:c>
      <x:c r="I4969" t="n">
        <x:v>3.9</x:v>
      </x:c>
      <x:c r="J4969" t="n">
        <x:v>8</x:v>
      </x:c>
      <x:c r="K4969" t="n">
        <x:v>4</x:v>
      </x:c>
      <x:c r="L4969" t="str">
        <x:v>STORE-001</x:v>
      </x:c>
      <x:c r="M4969" s="22" t="n">
        <x:v>46041</x:v>
      </x:c>
      <x:c r="N4969" t="str">
        <x:v>SKU-008</x:v>
      </x:c>
      <x:c r="O4969" t="n">
        <x:v>1</x:v>
      </x:c>
      <x:c r="P4969" s="26" t="n">
        <x:f>F4969/O4969</x:f>
        <x:v>60.51</x:v>
      </x:c>
    </x:row>
    <x:row r="4970">
      <x:c r="A4970" t="n">
        <x:v>4969</x:v>
      </x:c>
      <x:c r="B4970" t="n">
        <x:v>34</x:v>
      </x:c>
      <x:c r="C4970" t="str">
        <x:v>Male</x:v>
      </x:c>
      <x:c r="D4970" t="str">
        <x:v>Home</x:v>
      </x:c>
      <x:c r="E4970" t="str">
        <x:v>Lamp</x:v>
      </x:c>
      <x:c r="F4970" s="24" t="n">
        <x:v>34.95</x:v>
      </x:c>
      <x:c r="G4970" t="str">
        <x:v>Winter</x:v>
      </x:c>
      <x:c r="H4970" t="str">
        <x:v>Cash on Delivery</x:v>
      </x:c>
      <x:c r="I4970" t="n">
        <x:v>3.6</x:v>
      </x:c>
      <x:c r="J4970" t="n">
        <x:v>8</x:v>
      </x:c>
      <x:c r="K4970" t="n">
        <x:v>4</x:v>
      </x:c>
      <x:c r="L4970" t="str">
        <x:v>STORE-001</x:v>
      </x:c>
      <x:c r="M4970" s="22" t="n">
        <x:v>46201</x:v>
      </x:c>
      <x:c r="N4970" t="str">
        <x:v>SKU-013</x:v>
      </x:c>
      <x:c r="O4970" t="n">
        <x:v>1</x:v>
      </x:c>
      <x:c r="P4970" s="26" t="n">
        <x:f>F4970/O4970</x:f>
        <x:v>34.95</x:v>
      </x:c>
    </x:row>
    <x:row r="4971">
      <x:c r="A4971" t="n">
        <x:v>4970</x:v>
      </x:c>
      <x:c r="B4971" t="n">
        <x:v>41</x:v>
      </x:c>
      <x:c r="C4971" t="str">
        <x:v>Male</x:v>
      </x:c>
      <x:c r="D4971" t="str">
        <x:v>Electronics</x:v>
      </x:c>
      <x:c r="E4971" t="str">
        <x:v>Laptop</x:v>
      </x:c>
      <x:c r="F4971" s="24" t="n">
        <x:v>2442.98</x:v>
      </x:c>
      <x:c r="G4971" t="str">
        <x:v>Spring</x:v>
      </x:c>
      <x:c r="H4971" t="str">
        <x:v>Card</x:v>
      </x:c>
      <x:c r="I4971" t="n">
        <x:v>4.8</x:v>
      </x:c>
      <x:c r="J4971" t="n">
        <x:v>10</x:v>
      </x:c>
      <x:c r="K4971" t="n">
        <x:v>5</x:v>
      </x:c>
      <x:c r="L4971" t="str">
        <x:v>STORE-001</x:v>
      </x:c>
      <x:c r="M4971" s="22" t="n">
        <x:v>46271</x:v>
      </x:c>
      <x:c r="N4971" t="str">
        <x:v>SKU-014</x:v>
      </x:c>
      <x:c r="O4971" t="n">
        <x:v>2</x:v>
      </x:c>
      <x:c r="P4971" s="26" t="n">
        <x:f>F4971/O4971</x:f>
        <x:v>1221.49</x:v>
      </x:c>
    </x:row>
    <x:row r="4972">
      <x:c r="A4972" t="n">
        <x:v>4971</x:v>
      </x:c>
      <x:c r="B4972" t="n">
        <x:v>52</x:v>
      </x:c>
      <x:c r="C4972" t="str">
        <x:v>Female</x:v>
      </x:c>
      <x:c r="D4972" t="str">
        <x:v>Accessories</x:v>
      </x:c>
      <x:c r="E4972" t="str">
        <x:v>Wallet</x:v>
      </x:c>
      <x:c r="F4972" s="24" t="n">
        <x:v>177.26</x:v>
      </x:c>
      <x:c r="G4972" t="str">
        <x:v>Summer</x:v>
      </x:c>
      <x:c r="H4972" t="str">
        <x:v>Card</x:v>
      </x:c>
      <x:c r="I4972" t="n">
        <x:v>3.3</x:v>
      </x:c>
      <x:c r="J4972" t="n">
        <x:v>16</x:v>
      </x:c>
      <x:c r="K4972" t="n">
        <x:v>3</x:v>
      </x:c>
      <x:c r="L4972" t="str">
        <x:v>STORE-001</x:v>
      </x:c>
      <x:c r="M4972" s="22" t="n">
        <x:v>46024</x:v>
      </x:c>
      <x:c r="N4972" t="str">
        <x:v>SKU-029</x:v>
      </x:c>
      <x:c r="O4972" t="n">
        <x:v>1</x:v>
      </x:c>
      <x:c r="P4972" s="26" t="n">
        <x:f>F4972/O4972</x:f>
        <x:v>177.26</x:v>
      </x:c>
    </x:row>
    <x:row r="4973">
      <x:c r="A4973" t="n">
        <x:v>4972</x:v>
      </x:c>
      <x:c r="B4973" t="n">
        <x:v>24</x:v>
      </x:c>
      <x:c r="C4973" t="str">
        <x:v>Male</x:v>
      </x:c>
      <x:c r="D4973" t="str">
        <x:v>Mens Clothing</x:v>
      </x:c>
      <x:c r="E4973" t="str">
        <x:v>Jacket</x:v>
      </x:c>
      <x:c r="F4973" s="24" t="n">
        <x:v>161.44</x:v>
      </x:c>
      <x:c r="G4973" t="str">
        <x:v>Winter</x:v>
      </x:c>
      <x:c r="H4973" t="str">
        <x:v>Card</x:v>
      </x:c>
      <x:c r="I4973" t="n">
        <x:v>3.7</x:v>
      </x:c>
      <x:c r="J4973" t="n">
        <x:v>16</x:v>
      </x:c>
      <x:c r="K4973" t="n">
        <x:v>3</x:v>
      </x:c>
      <x:c r="L4973" t="str">
        <x:v>STORE-001</x:v>
      </x:c>
      <x:c r="M4973" s="22" t="n">
        <x:v>46205</x:v>
      </x:c>
      <x:c r="N4973" t="str">
        <x:v>SKU-010</x:v>
      </x:c>
      <x:c r="O4973" t="n">
        <x:v>1</x:v>
      </x:c>
      <x:c r="P4973" s="26" t="n">
        <x:f>F4973/O4973</x:f>
        <x:v>161.44</x:v>
      </x:c>
    </x:row>
    <x:row r="4974">
      <x:c r="A4974" t="n">
        <x:v>4973</x:v>
      </x:c>
      <x:c r="B4974" t="n">
        <x:v>42</x:v>
      </x:c>
      <x:c r="C4974" t="str">
        <x:v>Female</x:v>
      </x:c>
      <x:c r="D4974" t="str">
        <x:v>Beauty</x:v>
      </x:c>
      <x:c r="E4974" t="str">
        <x:v>Perfume</x:v>
      </x:c>
      <x:c r="F4974" s="24" t="n">
        <x:v>106.4</x:v>
      </x:c>
      <x:c r="G4974" t="str">
        <x:v>Autumn</x:v>
      </x:c>
      <x:c r="H4974" t="str">
        <x:v>Card</x:v>
      </x:c>
      <x:c r="I4974" t="n">
        <x:v>3.4</x:v>
      </x:c>
      <x:c r="J4974" t="n">
        <x:v>6</x:v>
      </x:c>
      <x:c r="K4974" t="n">
        <x:v>3</x:v>
      </x:c>
      <x:c r="L4974" t="str">
        <x:v>STORE-001</x:v>
      </x:c>
      <x:c r="M4974" s="22" t="n">
        <x:v>46156</x:v>
      </x:c>
      <x:c r="N4974" t="str">
        <x:v>SKU-017</x:v>
      </x:c>
      <x:c r="O4974" t="n">
        <x:v>3</x:v>
      </x:c>
      <x:c r="P4974" s="26" t="n">
        <x:f>F4974/O4974</x:f>
        <x:v>35.46666666666667</x:v>
      </x:c>
    </x:row>
    <x:row r="4975">
      <x:c r="A4975" t="n">
        <x:v>4974</x:v>
      </x:c>
      <x:c r="B4975" t="n">
        <x:v>53</x:v>
      </x:c>
      <x:c r="C4975" t="str">
        <x:v>Male</x:v>
      </x:c>
      <x:c r="D4975" t="str">
        <x:v>Sports</x:v>
      </x:c>
      <x:c r="E4975" t="str">
        <x:v>Football</x:v>
      </x:c>
      <x:c r="F4975" s="24" t="n">
        <x:v>130.37</x:v>
      </x:c>
      <x:c r="G4975" t="str">
        <x:v>Spring</x:v>
      </x:c>
      <x:c r="H4975" t="str">
        <x:v>Card</x:v>
      </x:c>
      <x:c r="I4975" t="n">
        <x:v>4.5</x:v>
      </x:c>
      <x:c r="J4975" t="n">
        <x:v>6</x:v>
      </x:c>
      <x:c r="K4975" t="n">
        <x:v>3</x:v>
      </x:c>
      <x:c r="L4975" t="str">
        <x:v>STORE-001</x:v>
      </x:c>
      <x:c r="M4975" s="22" t="n">
        <x:v>45988</x:v>
      </x:c>
      <x:c r="N4975" t="str">
        <x:v>SKU-006</x:v>
      </x:c>
      <x:c r="O4975" t="n">
        <x:v>2</x:v>
      </x:c>
      <x:c r="P4975" s="26" t="n">
        <x:f>F4975/O4975</x:f>
        <x:v>65.185</x:v>
      </x:c>
    </x:row>
    <x:row r="4976">
      <x:c r="A4976" t="n">
        <x:v>4975</x:v>
      </x:c>
      <x:c r="B4976" t="n">
        <x:v>50</x:v>
      </x:c>
      <x:c r="C4976" t="str">
        <x:v>Female</x:v>
      </x:c>
      <x:c r="D4976" t="str">
        <x:v>Footwear</x:v>
      </x:c>
      <x:c r="E4976" t="str">
        <x:v>Sneakers</x:v>
      </x:c>
      <x:c r="F4976" s="24" t="n">
        <x:v>243.99</x:v>
      </x:c>
      <x:c r="G4976" t="str">
        <x:v>Spring</x:v>
      </x:c>
      <x:c r="H4976" t="str">
        <x:v>Card</x:v>
      </x:c>
      <x:c r="I4976" t="n">
        <x:v>3.7</x:v>
      </x:c>
      <x:c r="J4976" t="n">
        <x:v>18</x:v>
      </x:c>
      <x:c r="K4976" t="n">
        <x:v>4</x:v>
      </x:c>
      <x:c r="L4976" t="str">
        <x:v>STORE-001</x:v>
      </x:c>
      <x:c r="M4976" s="22" t="n">
        <x:v>45956</x:v>
      </x:c>
      <x:c r="N4976" t="str">
        <x:v>SKU-025</x:v>
      </x:c>
      <x:c r="O4976" t="n">
        <x:v>1</x:v>
      </x:c>
      <x:c r="P4976" s="26" t="n">
        <x:f>F4976/O4976</x:f>
        <x:v>243.99</x:v>
      </x:c>
    </x:row>
    <x:row r="4977">
      <x:c r="A4977" t="n">
        <x:v>4976</x:v>
      </x:c>
      <x:c r="B4977" t="n">
        <x:v>47</x:v>
      </x:c>
      <x:c r="C4977" t="str">
        <x:v>Female</x:v>
      </x:c>
      <x:c r="D4977" t="str">
        <x:v>Accessories</x:v>
      </x:c>
      <x:c r="E4977" t="str">
        <x:v>Handbag</x:v>
      </x:c>
      <x:c r="F4977" s="24" t="n">
        <x:v>162.51</x:v>
      </x:c>
      <x:c r="G4977" t="str">
        <x:v>Summer</x:v>
      </x:c>
      <x:c r="H4977" t="str">
        <x:v>Card</x:v>
      </x:c>
      <x:c r="I4977" t="n">
        <x:v>5</x:v>
      </x:c>
      <x:c r="J4977" t="n">
        <x:v>22</x:v>
      </x:c>
      <x:c r="K4977" t="n">
        <x:v>6</x:v>
      </x:c>
      <x:c r="L4977" t="str">
        <x:v>STORE-001</x:v>
      </x:c>
      <x:c r="M4977" s="22" t="n">
        <x:v>46076</x:v>
      </x:c>
      <x:c r="N4977" t="str">
        <x:v>SKU-008</x:v>
      </x:c>
      <x:c r="O4977" t="n">
        <x:v>1</x:v>
      </x:c>
      <x:c r="P4977" s="26" t="n">
        <x:f>F4977/O4977</x:f>
        <x:v>162.51</x:v>
      </x:c>
    </x:row>
    <x:row r="4978">
      <x:c r="A4978" t="n">
        <x:v>4977</x:v>
      </x:c>
      <x:c r="B4978" t="n">
        <x:v>32</x:v>
      </x:c>
      <x:c r="C4978" t="str">
        <x:v>Male</x:v>
      </x:c>
      <x:c r="D4978" t="str">
        <x:v>Sports</x:v>
      </x:c>
      <x:c r="E4978" t="str">
        <x:v>Yoga Mat</x:v>
      </x:c>
      <x:c r="F4978" s="24" t="n">
        <x:v>49.17</x:v>
      </x:c>
      <x:c r="G4978" t="str">
        <x:v>Autumn</x:v>
      </x:c>
      <x:c r="H4978" t="str">
        <x:v>Card</x:v>
      </x:c>
      <x:c r="I4978" t="n">
        <x:v>4.1</x:v>
      </x:c>
      <x:c r="J4978" t="n">
        <x:v>10</x:v>
      </x:c>
      <x:c r="K4978" t="n">
        <x:v>5</x:v>
      </x:c>
      <x:c r="L4978" t="str">
        <x:v>STORE-001</x:v>
      </x:c>
      <x:c r="M4978" s="22" t="n">
        <x:v>46085</x:v>
      </x:c>
      <x:c r="N4978" t="str">
        <x:v>SKU-030</x:v>
      </x:c>
      <x:c r="O4978" t="n">
        <x:v>1</x:v>
      </x:c>
      <x:c r="P4978" s="26" t="n">
        <x:f>F4978/O4978</x:f>
        <x:v>49.17</x:v>
      </x:c>
    </x:row>
    <x:row r="4979">
      <x:c r="A4979" t="n">
        <x:v>4978</x:v>
      </x:c>
      <x:c r="B4979" t="n">
        <x:v>28</x:v>
      </x:c>
      <x:c r="C4979" t="str">
        <x:v>Female</x:v>
      </x:c>
      <x:c r="D4979" t="str">
        <x:v>Footwear</x:v>
      </x:c>
      <x:c r="E4979" t="str">
        <x:v>Sneakers</x:v>
      </x:c>
      <x:c r="F4979" s="24" t="n">
        <x:v>46.58</x:v>
      </x:c>
      <x:c r="G4979" t="str">
        <x:v>Summer</x:v>
      </x:c>
      <x:c r="H4979" t="str">
        <x:v>Cash on Delivery</x:v>
      </x:c>
      <x:c r="I4979" t="n">
        <x:v>4.3</x:v>
      </x:c>
      <x:c r="J4979" t="n">
        <x:v>15</x:v>
      </x:c>
      <x:c r="K4979" t="n">
        <x:v>5</x:v>
      </x:c>
      <x:c r="L4979" t="str">
        <x:v>STORE-001</x:v>
      </x:c>
      <x:c r="M4979" s="22" t="n">
        <x:v>46006</x:v>
      </x:c>
      <x:c r="N4979" t="str">
        <x:v>SKU-025</x:v>
      </x:c>
      <x:c r="O4979" t="n">
        <x:v>1</x:v>
      </x:c>
      <x:c r="P4979" s="26" t="n">
        <x:f>F4979/O4979</x:f>
        <x:v>46.58</x:v>
      </x:c>
    </x:row>
    <x:row r="4980">
      <x:c r="A4980" t="n">
        <x:v>4979</x:v>
      </x:c>
      <x:c r="B4980" t="n">
        <x:v>48</x:v>
      </x:c>
      <x:c r="C4980" t="str">
        <x:v>Male</x:v>
      </x:c>
      <x:c r="D4980" t="str">
        <x:v>Electronics</x:v>
      </x:c>
      <x:c r="E4980" t="str">
        <x:v>Mobile Phone</x:v>
      </x:c>
      <x:c r="F4980" s="24" t="n">
        <x:v>1886.39</x:v>
      </x:c>
      <x:c r="G4980" t="str">
        <x:v>Spring</x:v>
      </x:c>
      <x:c r="H4980" t="str">
        <x:v>Card</x:v>
      </x:c>
      <x:c r="I4980" t="n">
        <x:v>4.2</x:v>
      </x:c>
      <x:c r="J4980" t="n">
        <x:v>22</x:v>
      </x:c>
      <x:c r="K4980" t="n">
        <x:v>6</x:v>
      </x:c>
      <x:c r="L4980" t="str">
        <x:v>STORE-001</x:v>
      </x:c>
      <x:c r="M4980" s="22" t="n">
        <x:v>45969</x:v>
      </x:c>
      <x:c r="N4980" t="str">
        <x:v>SKU-016</x:v>
      </x:c>
      <x:c r="O4980" t="n">
        <x:v>1</x:v>
      </x:c>
      <x:c r="P4980" s="26" t="n">
        <x:f>F4980/O4980</x:f>
        <x:v>1886.39</x:v>
      </x:c>
    </x:row>
    <x:row r="4981">
      <x:c r="A4981" t="n">
        <x:v>4980</x:v>
      </x:c>
      <x:c r="B4981" t="n">
        <x:v>65</x:v>
      </x:c>
      <x:c r="C4981" t="str">
        <x:v>Female</x:v>
      </x:c>
      <x:c r="D4981" t="str">
        <x:v>Womens Clothing</x:v>
      </x:c>
      <x:c r="E4981" t="str">
        <x:v>Jeans</x:v>
      </x:c>
      <x:c r="F4981" s="24" t="n">
        <x:v>150.06</x:v>
      </x:c>
      <x:c r="G4981" t="str">
        <x:v>Winter</x:v>
      </x:c>
      <x:c r="H4981" t="str">
        <x:v>Card</x:v>
      </x:c>
      <x:c r="I4981" t="n">
        <x:v>3.4</x:v>
      </x:c>
      <x:c r="J4981" t="n">
        <x:v>12</x:v>
      </x:c>
      <x:c r="K4981" t="n">
        <x:v>6</x:v>
      </x:c>
      <x:c r="L4981" t="str">
        <x:v>STORE-001</x:v>
      </x:c>
      <x:c r="M4981" s="22" t="n">
        <x:v>46247</x:v>
      </x:c>
      <x:c r="N4981" t="str">
        <x:v>SKU-011</x:v>
      </x:c>
      <x:c r="O4981" t="n">
        <x:v>2</x:v>
      </x:c>
      <x:c r="P4981" s="26" t="n">
        <x:f>F4981/O4981</x:f>
        <x:v>75.03</x:v>
      </x:c>
    </x:row>
    <x:row r="4982">
      <x:c r="A4982" t="n">
        <x:v>4981</x:v>
      </x:c>
      <x:c r="B4982" t="n">
        <x:v>58</x:v>
      </x:c>
      <x:c r="C4982" t="str">
        <x:v>Female</x:v>
      </x:c>
      <x:c r="D4982" t="str">
        <x:v>Beauty</x:v>
      </x:c>
      <x:c r="E4982" t="str">
        <x:v>Makeup Set</x:v>
      </x:c>
      <x:c r="F4982" s="24" t="n">
        <x:v>21.63</x:v>
      </x:c>
      <x:c r="G4982" t="str">
        <x:v>Autumn</x:v>
      </x:c>
      <x:c r="H4982" t="str">
        <x:v>Card</x:v>
      </x:c>
      <x:c r="I4982" t="n">
        <x:v>3.8</x:v>
      </x:c>
      <x:c r="J4982" t="n">
        <x:v>18</x:v>
      </x:c>
      <x:c r="K4982" t="n">
        <x:v>4</x:v>
      </x:c>
      <x:c r="L4982" t="str">
        <x:v>STORE-001</x:v>
      </x:c>
      <x:c r="M4982" s="22" t="n">
        <x:v>46116</x:v>
      </x:c>
      <x:c r="N4982" t="str">
        <x:v>SKU-015</x:v>
      </x:c>
      <x:c r="O4982" t="n">
        <x:v>2</x:v>
      </x:c>
      <x:c r="P4982" s="26" t="n">
        <x:f>F4982/O4982</x:f>
        <x:v>10.815</x:v>
      </x:c>
    </x:row>
    <x:row r="4983">
      <x:c r="A4983" t="n">
        <x:v>4982</x:v>
      </x:c>
      <x:c r="B4983" t="n">
        <x:v>31</x:v>
      </x:c>
      <x:c r="C4983" t="str">
        <x:v>Female</x:v>
      </x:c>
      <x:c r="D4983" t="str">
        <x:v>Footwear</x:v>
      </x:c>
      <x:c r="E4983" t="str">
        <x:v>Sneakers</x:v>
      </x:c>
      <x:c r="F4983" s="24" t="n">
        <x:v>180.25</x:v>
      </x:c>
      <x:c r="G4983" t="str">
        <x:v>Summer</x:v>
      </x:c>
      <x:c r="H4983" t="str">
        <x:v>Card</x:v>
      </x:c>
      <x:c r="I4983" t="n">
        <x:v>5</x:v>
      </x:c>
      <x:c r="J4983" t="n">
        <x:v>29</x:v>
      </x:c>
      <x:c r="K4983" t="n">
        <x:v>12</x:v>
      </x:c>
      <x:c r="L4983" t="str">
        <x:v>STORE-001</x:v>
      </x:c>
      <x:c r="M4983" s="22" t="n">
        <x:v>46052</x:v>
      </x:c>
      <x:c r="N4983" t="str">
        <x:v>SKU-025</x:v>
      </x:c>
      <x:c r="O4983" t="n">
        <x:v>1</x:v>
      </x:c>
      <x:c r="P4983" s="26" t="n">
        <x:f>F4983/O4983</x:f>
        <x:v>180.25</x:v>
      </x:c>
    </x:row>
    <x:row r="4984">
      <x:c r="A4984" t="n">
        <x:v>4983</x:v>
      </x:c>
      <x:c r="B4984" t="n">
        <x:v>31</x:v>
      </x:c>
      <x:c r="C4984" t="str">
        <x:v>Male</x:v>
      </x:c>
      <x:c r="D4984" t="str">
        <x:v>Electronics</x:v>
      </x:c>
      <x:c r="E4984" t="str">
        <x:v>Smart Watch</x:v>
      </x:c>
      <x:c r="F4984" s="24" t="n">
        <x:v>2163.69</x:v>
      </x:c>
      <x:c r="G4984" t="str">
        <x:v>Summer</x:v>
      </x:c>
      <x:c r="H4984" t="str">
        <x:v>Card</x:v>
      </x:c>
      <x:c r="I4984" t="n">
        <x:v>4.1</x:v>
      </x:c>
      <x:c r="J4984" t="n">
        <x:v>10</x:v>
      </x:c>
      <x:c r="K4984" t="n">
        <x:v>5</x:v>
      </x:c>
      <x:c r="L4984" t="str">
        <x:v>STORE-001</x:v>
      </x:c>
      <x:c r="M4984" s="22" t="n">
        <x:v>46040</x:v>
      </x:c>
      <x:c r="N4984" t="str">
        <x:v>SKU-023</x:v>
      </x:c>
      <x:c r="O4984" t="n">
        <x:v>1</x:v>
      </x:c>
      <x:c r="P4984" s="26" t="n">
        <x:f>F4984/O4984</x:f>
        <x:v>2163.69</x:v>
      </x:c>
    </x:row>
    <x:row r="4985">
      <x:c r="A4985" t="n">
        <x:v>4984</x:v>
      </x:c>
      <x:c r="B4985" t="n">
        <x:v>47</x:v>
      </x:c>
      <x:c r="C4985" t="str">
        <x:v>Female</x:v>
      </x:c>
      <x:c r="D4985" t="str">
        <x:v>Footwear</x:v>
      </x:c>
      <x:c r="E4985" t="str">
        <x:v>Formal Shoes</x:v>
      </x:c>
      <x:c r="F4985" s="24" t="n">
        <x:v>231.35</x:v>
      </x:c>
      <x:c r="G4985" t="str">
        <x:v>Spring</x:v>
      </x:c>
      <x:c r="H4985" t="str">
        <x:v>Card</x:v>
      </x:c>
      <x:c r="I4985" t="n">
        <x:v>2.7</x:v>
      </x:c>
      <x:c r="J4985" t="n">
        <x:v>16</x:v>
      </x:c>
      <x:c r="K4985" t="n">
        <x:v>3</x:v>
      </x:c>
      <x:c r="L4985" t="str">
        <x:v>STORE-001</x:v>
      </x:c>
      <x:c r="M4985" s="22" t="n">
        <x:v>45936</x:v>
      </x:c>
      <x:c r="N4985" t="str">
        <x:v>SKU-007</x:v>
      </x:c>
      <x:c r="O4985" t="n">
        <x:v>1</x:v>
      </x:c>
      <x:c r="P4985" s="26" t="n">
        <x:f>F4985/O4985</x:f>
        <x:v>231.35</x:v>
      </x:c>
    </x:row>
    <x:row r="4986">
      <x:c r="A4986" t="n">
        <x:v>4985</x:v>
      </x:c>
      <x:c r="B4986" t="n">
        <x:v>50</x:v>
      </x:c>
      <x:c r="C4986" t="str">
        <x:v>Male</x:v>
      </x:c>
      <x:c r="D4986" t="str">
        <x:v>Sports</x:v>
      </x:c>
      <x:c r="E4986" t="str">
        <x:v>Yoga Mat</x:v>
      </x:c>
      <x:c r="F4986" s="24" t="n">
        <x:v>133.91</x:v>
      </x:c>
      <x:c r="G4986" t="str">
        <x:v>Autumn</x:v>
      </x:c>
      <x:c r="H4986" t="str">
        <x:v>Card</x:v>
      </x:c>
      <x:c r="I4986" t="n">
        <x:v>5</x:v>
      </x:c>
      <x:c r="J4986" t="n">
        <x:v>12</x:v>
      </x:c>
      <x:c r="K4986" t="n">
        <x:v>6</x:v>
      </x:c>
      <x:c r="L4986" t="str">
        <x:v>STORE-001</x:v>
      </x:c>
      <x:c r="M4986" s="22" t="n">
        <x:v>46114</x:v>
      </x:c>
      <x:c r="N4986" t="str">
        <x:v>SKU-030</x:v>
      </x:c>
      <x:c r="O4986" t="n">
        <x:v>3</x:v>
      </x:c>
      <x:c r="P4986" s="26" t="n">
        <x:f>F4986/O4986</x:f>
        <x:v>44.63666666666666</x:v>
      </x:c>
    </x:row>
    <x:row r="4987">
      <x:c r="A4987" t="n">
        <x:v>4986</x:v>
      </x:c>
      <x:c r="B4987" t="n">
        <x:v>22</x:v>
      </x:c>
      <x:c r="C4987" t="str">
        <x:v>Female</x:v>
      </x:c>
      <x:c r="D4987" t="str">
        <x:v>Footwear</x:v>
      </x:c>
      <x:c r="E4987" t="str">
        <x:v>Sneakers</x:v>
      </x:c>
      <x:c r="F4987" s="24" t="n">
        <x:v>158.23</x:v>
      </x:c>
      <x:c r="G4987" t="str">
        <x:v>Summer</x:v>
      </x:c>
      <x:c r="H4987" t="str">
        <x:v>Card</x:v>
      </x:c>
      <x:c r="I4987" t="n">
        <x:v>3.7</x:v>
      </x:c>
      <x:c r="J4987" t="n">
        <x:v>9</x:v>
      </x:c>
      <x:c r="K4987" t="n">
        <x:v>2</x:v>
      </x:c>
      <x:c r="L4987" t="str">
        <x:v>STORE-001</x:v>
      </x:c>
      <x:c r="M4987" s="22" t="n">
        <x:v>46081</x:v>
      </x:c>
      <x:c r="N4987" t="str">
        <x:v>SKU-025</x:v>
      </x:c>
      <x:c r="O4987" t="n">
        <x:v>1</x:v>
      </x:c>
      <x:c r="P4987" s="26" t="n">
        <x:f>F4987/O4987</x:f>
        <x:v>158.23</x:v>
      </x:c>
    </x:row>
    <x:row r="4988">
      <x:c r="A4988" t="n">
        <x:v>4987</x:v>
      </x:c>
      <x:c r="B4988" t="n">
        <x:v>29</x:v>
      </x:c>
      <x:c r="C4988" t="str">
        <x:v>Male</x:v>
      </x:c>
      <x:c r="D4988" t="str">
        <x:v>Mens Clothing</x:v>
      </x:c>
      <x:c r="E4988" t="str">
        <x:v>Jacket</x:v>
      </x:c>
      <x:c r="F4988" s="24" t="n">
        <x:v>62.95</x:v>
      </x:c>
      <x:c r="G4988" t="str">
        <x:v>Winter</x:v>
      </x:c>
      <x:c r="H4988" t="str">
        <x:v>Cash on Delivery</x:v>
      </x:c>
      <x:c r="I4988" t="n">
        <x:v>5</x:v>
      </x:c>
      <x:c r="J4988" t="n">
        <x:v>22</x:v>
      </x:c>
      <x:c r="K4988" t="n">
        <x:v>6</x:v>
      </x:c>
      <x:c r="L4988" t="str">
        <x:v>STORE-001</x:v>
      </x:c>
      <x:c r="M4988" s="22" t="n">
        <x:v>46229</x:v>
      </x:c>
      <x:c r="N4988" t="str">
        <x:v>SKU-010</x:v>
      </x:c>
      <x:c r="O4988" t="n">
        <x:v>1</x:v>
      </x:c>
      <x:c r="P4988" s="26" t="n">
        <x:f>F4988/O4988</x:f>
        <x:v>62.95</x:v>
      </x:c>
    </x:row>
    <x:row r="4989">
      <x:c r="A4989" t="n">
        <x:v>4988</x:v>
      </x:c>
      <x:c r="B4989" t="n">
        <x:v>45</x:v>
      </x:c>
      <x:c r="C4989" t="str">
        <x:v>Male</x:v>
      </x:c>
      <x:c r="D4989" t="str">
        <x:v>Footwear</x:v>
      </x:c>
      <x:c r="E4989" t="str">
        <x:v>Formal Shoes</x:v>
      </x:c>
      <x:c r="F4989" s="24" t="n">
        <x:v>214.69</x:v>
      </x:c>
      <x:c r="G4989" t="str">
        <x:v>Summer</x:v>
      </x:c>
      <x:c r="H4989" t="str">
        <x:v>Card</x:v>
      </x:c>
      <x:c r="I4989" t="n">
        <x:v>4.5</x:v>
      </x:c>
      <x:c r="J4989" t="n">
        <x:v>20</x:v>
      </x:c>
      <x:c r="K4989" t="n">
        <x:v>5</x:v>
      </x:c>
      <x:c r="L4989" t="str">
        <x:v>STORE-001</x:v>
      </x:c>
      <x:c r="M4989" s="22" t="n">
        <x:v>45994</x:v>
      </x:c>
      <x:c r="N4989" t="str">
        <x:v>SKU-007</x:v>
      </x:c>
      <x:c r="O4989" t="n">
        <x:v>2</x:v>
      </x:c>
      <x:c r="P4989" s="26" t="n">
        <x:f>F4989/O4989</x:f>
        <x:v>107.345</x:v>
      </x:c>
    </x:row>
    <x:row r="4990">
      <x:c r="A4990" t="n">
        <x:v>4989</x:v>
      </x:c>
      <x:c r="B4990" t="n">
        <x:v>69</x:v>
      </x:c>
      <x:c r="C4990" t="str">
        <x:v>Male</x:v>
      </x:c>
      <x:c r="D4990" t="str">
        <x:v>Footwear</x:v>
      </x:c>
      <x:c r="E4990" t="str">
        <x:v>Formal Shoes</x:v>
      </x:c>
      <x:c r="F4990" s="24" t="n">
        <x:v>172.99</x:v>
      </x:c>
      <x:c r="G4990" t="str">
        <x:v>Spring</x:v>
      </x:c>
      <x:c r="H4990" t="str">
        <x:v>Card</x:v>
      </x:c>
      <x:c r="I4990" t="n">
        <x:v>3.9</x:v>
      </x:c>
      <x:c r="J4990" t="n">
        <x:v>2</x:v>
      </x:c>
      <x:c r="K4990" t="n">
        <x:v>1</x:v>
      </x:c>
      <x:c r="L4990" t="str">
        <x:v>STORE-001</x:v>
      </x:c>
      <x:c r="M4990" s="22" t="n">
        <x:v>46278</x:v>
      </x:c>
      <x:c r="N4990" t="str">
        <x:v>SKU-007</x:v>
      </x:c>
      <x:c r="O4990" t="n">
        <x:v>1</x:v>
      </x:c>
      <x:c r="P4990" s="26" t="n">
        <x:f>F4990/O4990</x:f>
        <x:v>172.99</x:v>
      </x:c>
    </x:row>
    <x:row r="4991">
      <x:c r="A4991" t="n">
        <x:v>4990</x:v>
      </x:c>
      <x:c r="B4991" t="n">
        <x:v>39</x:v>
      </x:c>
      <x:c r="C4991" t="str">
        <x:v>Female</x:v>
      </x:c>
      <x:c r="D4991" t="str">
        <x:v>Accessories</x:v>
      </x:c>
      <x:c r="E4991" t="str">
        <x:v>Sunglasses</x:v>
      </x:c>
      <x:c r="F4991" s="24" t="n">
        <x:v>147.24</x:v>
      </x:c>
      <x:c r="G4991" t="str">
        <x:v>Winter</x:v>
      </x:c>
      <x:c r="H4991" t="str">
        <x:v>Card</x:v>
      </x:c>
      <x:c r="I4991" t="n">
        <x:v>3.7</x:v>
      </x:c>
      <x:c r="J4991" t="n">
        <x:v>4</x:v>
      </x:c>
      <x:c r="K4991" t="n">
        <x:v>2</x:v>
      </x:c>
      <x:c r="L4991" t="str">
        <x:v>STORE-001</x:v>
      </x:c>
      <x:c r="M4991" s="22" t="n">
        <x:v>46231</x:v>
      </x:c>
      <x:c r="N4991" t="str">
        <x:v>SKU-026</x:v>
      </x:c>
      <x:c r="O4991" t="n">
        <x:v>1</x:v>
      </x:c>
      <x:c r="P4991" s="26" t="n">
        <x:f>F4991/O4991</x:f>
        <x:v>147.24</x:v>
      </x:c>
    </x:row>
    <x:row r="4992">
      <x:c r="A4992" t="n">
        <x:v>4991</x:v>
      </x:c>
      <x:c r="B4992" t="n">
        <x:v>28</x:v>
      </x:c>
      <x:c r="C4992" t="str">
        <x:v>Female</x:v>
      </x:c>
      <x:c r="D4992" t="str">
        <x:v>Groceries</x:v>
      </x:c>
      <x:c r="E4992" t="str">
        <x:v>Snacks</x:v>
      </x:c>
      <x:c r="F4992" s="24" t="n">
        <x:v>55.74</x:v>
      </x:c>
      <x:c r="G4992" t="str">
        <x:v>Winter</x:v>
      </x:c>
      <x:c r="H4992" t="str">
        <x:v>Card</x:v>
      </x:c>
      <x:c r="I4992" t="n">
        <x:v>2.6</x:v>
      </x:c>
      <x:c r="J4992" t="n">
        <x:v>24</x:v>
      </x:c>
      <x:c r="K4992" t="n">
        <x:v>7</x:v>
      </x:c>
      <x:c r="L4992" t="str">
        <x:v>STORE-001</x:v>
      </x:c>
      <x:c r="M4992" s="22" t="n">
        <x:v>46210</x:v>
      </x:c>
      <x:c r="N4992" t="str">
        <x:v>SKU-024</x:v>
      </x:c>
      <x:c r="O4992" t="n">
        <x:v>1</x:v>
      </x:c>
      <x:c r="P4992" s="26" t="n">
        <x:f>F4992/O4992</x:f>
        <x:v>55.74</x:v>
      </x:c>
    </x:row>
    <x:row r="4993">
      <x:c r="A4993" t="n">
        <x:v>4992</x:v>
      </x:c>
      <x:c r="B4993" t="n">
        <x:v>41</x:v>
      </x:c>
      <x:c r="C4993" t="str">
        <x:v>Male</x:v>
      </x:c>
      <x:c r="D4993" t="str">
        <x:v>Sports</x:v>
      </x:c>
      <x:c r="E4993" t="str">
        <x:v>Football</x:v>
      </x:c>
      <x:c r="F4993" s="24" t="n">
        <x:v>167.22</x:v>
      </x:c>
      <x:c r="G4993" t="str">
        <x:v>Summer</x:v>
      </x:c>
      <x:c r="H4993" t="str">
        <x:v>Card</x:v>
      </x:c>
      <x:c r="I4993" t="n">
        <x:v>3</x:v>
      </x:c>
      <x:c r="J4993" t="n">
        <x:v>11</x:v>
      </x:c>
      <x:c r="K4993" t="n">
        <x:v>3</x:v>
      </x:c>
      <x:c r="L4993" t="str">
        <x:v>STORE-001</x:v>
      </x:c>
      <x:c r="M4993" s="22" t="n">
        <x:v>46054</x:v>
      </x:c>
      <x:c r="N4993" t="str">
        <x:v>SKU-006</x:v>
      </x:c>
      <x:c r="O4993" t="n">
        <x:v>1</x:v>
      </x:c>
      <x:c r="P4993" s="26" t="n">
        <x:f>F4993/O4993</x:f>
        <x:v>167.22</x:v>
      </x:c>
    </x:row>
    <x:row r="4994">
      <x:c r="A4994" t="n">
        <x:v>4993</x:v>
      </x:c>
      <x:c r="B4994" t="n">
        <x:v>48</x:v>
      </x:c>
      <x:c r="C4994" t="str">
        <x:v>Male</x:v>
      </x:c>
      <x:c r="D4994" t="str">
        <x:v>Sports</x:v>
      </x:c>
      <x:c r="E4994" t="str">
        <x:v>Football</x:v>
      </x:c>
      <x:c r="F4994" s="24" t="n">
        <x:v>152.94</x:v>
      </x:c>
      <x:c r="G4994" t="str">
        <x:v>Winter</x:v>
      </x:c>
      <x:c r="H4994" t="str">
        <x:v>Card</x:v>
      </x:c>
      <x:c r="I4994" t="n">
        <x:v>4.7</x:v>
      </x:c>
      <x:c r="J4994" t="n">
        <x:v>12</x:v>
      </x:c>
      <x:c r="K4994" t="n">
        <x:v>6</x:v>
      </x:c>
      <x:c r="L4994" t="str">
        <x:v>STORE-001</x:v>
      </x:c>
      <x:c r="M4994" s="22" t="n">
        <x:v>46179</x:v>
      </x:c>
      <x:c r="N4994" t="str">
        <x:v>SKU-006</x:v>
      </x:c>
      <x:c r="O4994" t="n">
        <x:v>1</x:v>
      </x:c>
      <x:c r="P4994" s="26" t="n">
        <x:f>F4994/O4994</x:f>
        <x:v>152.94</x:v>
      </x:c>
    </x:row>
    <x:row r="4995">
      <x:c r="A4995" t="n">
        <x:v>4994</x:v>
      </x:c>
      <x:c r="B4995" t="n">
        <x:v>69</x:v>
      </x:c>
      <x:c r="C4995" t="str">
        <x:v>Female</x:v>
      </x:c>
      <x:c r="D4995" t="str">
        <x:v>Womens Clothing</x:v>
      </x:c>
      <x:c r="E4995" t="str">
        <x:v>Jeans</x:v>
      </x:c>
      <x:c r="F4995" s="24" t="n">
        <x:v>63.26</x:v>
      </x:c>
      <x:c r="G4995" t="str">
        <x:v>Autumn</x:v>
      </x:c>
      <x:c r="H4995" t="str">
        <x:v>Cash on Delivery</x:v>
      </x:c>
      <x:c r="I4995" t="n">
        <x:v>3.2</x:v>
      </x:c>
      <x:c r="J4995" t="n">
        <x:v>28</x:v>
      </x:c>
      <x:c r="K4995" t="n">
        <x:v>9</x:v>
      </x:c>
      <x:c r="L4995" t="str">
        <x:v>STORE-001</x:v>
      </x:c>
      <x:c r="M4995" s="22" t="n">
        <x:v>46118</x:v>
      </x:c>
      <x:c r="N4995" t="str">
        <x:v>SKU-011</x:v>
      </x:c>
      <x:c r="O4995" t="n">
        <x:v>2</x:v>
      </x:c>
      <x:c r="P4995" s="26" t="n">
        <x:f>F4995/O4995</x:f>
        <x:v>31.63</x:v>
      </x:c>
    </x:row>
    <x:row r="4996">
      <x:c r="A4996" t="n">
        <x:v>4995</x:v>
      </x:c>
      <x:c r="B4996" t="n">
        <x:v>20</x:v>
      </x:c>
      <x:c r="C4996" t="str">
        <x:v>Male</x:v>
      </x:c>
      <x:c r="D4996" t="str">
        <x:v>Sports</x:v>
      </x:c>
      <x:c r="E4996" t="str">
        <x:v>Dumbbells</x:v>
      </x:c>
      <x:c r="F4996" s="24" t="n">
        <x:v>124.24</x:v>
      </x:c>
      <x:c r="G4996" t="str">
        <x:v>Spring</x:v>
      </x:c>
      <x:c r="H4996" t="str">
        <x:v>Card</x:v>
      </x:c>
      <x:c r="I4996" t="n">
        <x:v>4.4</x:v>
      </x:c>
      <x:c r="J4996" t="n">
        <x:v>14</x:v>
      </x:c>
      <x:c r="K4996" t="n">
        <x:v>2</x:v>
      </x:c>
      <x:c r="L4996" t="str">
        <x:v>STORE-001</x:v>
      </x:c>
      <x:c r="M4996" s="22" t="n">
        <x:v>46282</x:v>
      </x:c>
      <x:c r="N4996" t="str">
        <x:v>SKU-005</x:v>
      </x:c>
      <x:c r="O4996" t="n">
        <x:v>2</x:v>
      </x:c>
      <x:c r="P4996" s="26" t="n">
        <x:f>F4996/O4996</x:f>
        <x:v>62.12</x:v>
      </x:c>
    </x:row>
    <x:row r="4997">
      <x:c r="A4997" t="n">
        <x:v>4996</x:v>
      </x:c>
      <x:c r="B4997" t="n">
        <x:v>44</x:v>
      </x:c>
      <x:c r="C4997" t="str">
        <x:v>Female</x:v>
      </x:c>
      <x:c r="D4997" t="str">
        <x:v>Accessories</x:v>
      </x:c>
      <x:c r="E4997" t="str">
        <x:v>Sunglasses</x:v>
      </x:c>
      <x:c r="F4997" s="24" t="n">
        <x:v>172.64</x:v>
      </x:c>
      <x:c r="G4997" t="str">
        <x:v>Winter</x:v>
      </x:c>
      <x:c r="H4997" t="str">
        <x:v>Card</x:v>
      </x:c>
      <x:c r="I4997" t="n">
        <x:v>3.6</x:v>
      </x:c>
      <x:c r="J4997" t="n">
        <x:v>20</x:v>
      </x:c>
      <x:c r="K4997" t="n">
        <x:v>5</x:v>
      </x:c>
      <x:c r="L4997" t="str">
        <x:v>STORE-001</x:v>
      </x:c>
      <x:c r="M4997" s="22" t="n">
        <x:v>46176</x:v>
      </x:c>
      <x:c r="N4997" t="str">
        <x:v>SKU-026</x:v>
      </x:c>
      <x:c r="O4997" t="n">
        <x:v>4</x:v>
      </x:c>
      <x:c r="P4997" s="26" t="n">
        <x:f>F4997/O4997</x:f>
        <x:v>43.16</x:v>
      </x:c>
    </x:row>
    <x:row r="4998">
      <x:c r="A4998" t="n">
        <x:v>4997</x:v>
      </x:c>
      <x:c r="B4998" t="n">
        <x:v>59</x:v>
      </x:c>
      <x:c r="C4998" t="str">
        <x:v>Male</x:v>
      </x:c>
      <x:c r="D4998" t="str">
        <x:v>Groceries</x:v>
      </x:c>
      <x:c r="E4998" t="str">
        <x:v>Beverages</x:v>
      </x:c>
      <x:c r="F4998" s="24" t="n">
        <x:v>54</x:v>
      </x:c>
      <x:c r="G4998" t="str">
        <x:v>Spring</x:v>
      </x:c>
      <x:c r="H4998" t="str">
        <x:v>Cash on Delivery</x:v>
      </x:c>
      <x:c r="I4998" t="n">
        <x:v>3.8</x:v>
      </x:c>
      <x:c r="J4998" t="n">
        <x:v>14</x:v>
      </x:c>
      <x:c r="K4998" t="n">
        <x:v>2</x:v>
      </x:c>
      <x:c r="L4998" t="str">
        <x:v>STORE-001</x:v>
      </x:c>
      <x:c r="M4998" s="22" t="n">
        <x:v>45965</x:v>
      </x:c>
      <x:c r="N4998" t="str">
        <x:v>SKU-001</x:v>
      </x:c>
      <x:c r="O4998" t="n">
        <x:v>3</x:v>
      </x:c>
      <x:c r="P4998" s="26" t="n">
        <x:f>F4998/O4998</x:f>
        <x:v>18</x:v>
      </x:c>
    </x:row>
    <x:row r="4999">
      <x:c r="A4999" t="n">
        <x:v>4998</x:v>
      </x:c>
      <x:c r="B4999" t="n">
        <x:v>41</x:v>
      </x:c>
      <x:c r="C4999" t="str">
        <x:v>Female</x:v>
      </x:c>
      <x:c r="D4999" t="str">
        <x:v>Accessories</x:v>
      </x:c>
      <x:c r="E4999" t="str">
        <x:v>Handbag</x:v>
      </x:c>
      <x:c r="F4999" s="24" t="n">
        <x:v>159.33</x:v>
      </x:c>
      <x:c r="G4999" t="str">
        <x:v>Autumn</x:v>
      </x:c>
      <x:c r="H4999" t="str">
        <x:v>Card</x:v>
      </x:c>
      <x:c r="I4999" t="n">
        <x:v>4.3</x:v>
      </x:c>
      <x:c r="J4999" t="n">
        <x:v>26</x:v>
      </x:c>
      <x:c r="K4999" t="n">
        <x:v>8</x:v>
      </x:c>
      <x:c r="L4999" t="str">
        <x:v>STORE-001</x:v>
      </x:c>
      <x:c r="M4999" s="22" t="n">
        <x:v>46104</x:v>
      </x:c>
      <x:c r="N4999" t="str">
        <x:v>SKU-008</x:v>
      </x:c>
      <x:c r="O4999" t="n">
        <x:v>1</x:v>
      </x:c>
      <x:c r="P4999" s="26" t="n">
        <x:f>F4999/O4999</x:f>
        <x:v>159.33</x:v>
      </x:c>
    </x:row>
    <x:row r="5000">
      <x:c r="A5000" t="n">
        <x:v>4999</x:v>
      </x:c>
      <x:c r="B5000" t="n">
        <x:v>63</x:v>
      </x:c>
      <x:c r="C5000" t="str">
        <x:v>Female</x:v>
      </x:c>
      <x:c r="D5000" t="str">
        <x:v>Womens Clothing</x:v>
      </x:c>
      <x:c r="E5000" t="str">
        <x:v>Skirt</x:v>
      </x:c>
      <x:c r="F5000" s="24" t="n">
        <x:v>173.82</x:v>
      </x:c>
      <x:c r="G5000" t="str">
        <x:v>Autumn</x:v>
      </x:c>
      <x:c r="H5000" t="str">
        <x:v>Card</x:v>
      </x:c>
      <x:c r="I5000" t="n">
        <x:v>4.8</x:v>
      </x:c>
      <x:c r="J5000" t="n">
        <x:v>26</x:v>
      </x:c>
      <x:c r="K5000" t="n">
        <x:v>8</x:v>
      </x:c>
      <x:c r="L5000" t="str">
        <x:v>STORE-001</x:v>
      </x:c>
      <x:c r="M5000" s="22" t="n">
        <x:v>46135</x:v>
      </x:c>
      <x:c r="N5000" t="str">
        <x:v>SKU-022</x:v>
      </x:c>
      <x:c r="O5000" t="n">
        <x:v>1</x:v>
      </x:c>
      <x:c r="P5000" s="26" t="n">
        <x:f>F5000/O5000</x:f>
        <x:v>173.82</x:v>
      </x:c>
    </x:row>
    <x:row r="5001">
      <x:c r="A5001" t="n">
        <x:v>5000</x:v>
      </x:c>
      <x:c r="B5001" t="n">
        <x:v>41</x:v>
      </x:c>
      <x:c r="C5001" t="str">
        <x:v>Female</x:v>
      </x:c>
      <x:c r="D5001" t="str">
        <x:v>Footwear</x:v>
      </x:c>
      <x:c r="E5001" t="str">
        <x:v>Sandals</x:v>
      </x:c>
      <x:c r="F5001" s="24" t="n">
        <x:v>55.39</x:v>
      </x:c>
      <x:c r="G5001" t="str">
        <x:v>Autumn</x:v>
      </x:c>
      <x:c r="H5001" t="str">
        <x:v>Cash on Delivery</x:v>
      </x:c>
      <x:c r="I5001" t="n">
        <x:v>4.1</x:v>
      </x:c>
      <x:c r="J5001" t="n">
        <x:v>19</x:v>
      </x:c>
      <x:c r="K5001" t="n">
        <x:v>7</x:v>
      </x:c>
      <x:c r="L5001" t="str">
        <x:v>STORE-001</x:v>
      </x:c>
      <x:c r="M5001" s="22" t="n">
        <x:v>46113</x:v>
      </x:c>
      <x:c r="N5001" t="str">
        <x:v>SKU-019</x:v>
      </x:c>
      <x:c r="O5001" t="n">
        <x:v>2</x:v>
      </x:c>
      <x:c r="P5001" s="26" t="n">
        <x:f>F5001/O5001</x:f>
        <x:v>27.695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3" t="str">
        <x:v>StoreID</x:v>
      </x:c>
      <x:c r="B1" s="13" t="str">
        <x:v>DeliveryID</x:v>
      </x:c>
      <x:c r="C1" s="13" t="str">
        <x:v>SKU</x:v>
      </x:c>
      <x:c r="D1" s="13" t="str">
        <x:v>Category</x:v>
      </x:c>
      <x:c r="E1" s="13" t="str">
        <x:v>ItemPurchased</x:v>
      </x:c>
      <x:c r="F1" s="13" t="str">
        <x:v>DeliveryStatus</x:v>
      </x:c>
      <x:c r="G1" s="13" t="str">
        <x:v>ExpectedDeliveryDate</x:v>
      </x:c>
      <x:c r="H1" s="13" t="str">
        <x:v>ActualDeliveryDate</x:v>
      </x:c>
      <x:c r="I1" s="13" t="str">
        <x:v>DeliveredQuantity</x:v>
      </x:c>
      <x:c r="J1" s="13" t="str">
        <x:v>SupplierLeadTimeDays</x:v>
      </x:c>
    </x:row>
    <x:row r="2">
      <x:c r="A2" t="str">
        <x:v>STORE-001</x:v>
      </x:c>
      <x:c r="B2" t="str">
        <x:v>DEL-0001</x:v>
      </x:c>
      <x:c r="C2" t="str">
        <x:v>SKU-001</x:v>
      </x:c>
      <x:c r="D2" t="str">
        <x:v>Groceries</x:v>
      </x:c>
      <x:c r="E2" t="str">
        <x:v>Beverages</x:v>
      </x:c>
      <x:c r="F2" t="str">
        <x:v>Received</x:v>
      </x:c>
      <x:c r="G2" s="22" t="n">
        <x:v>46291</x:v>
      </x:c>
      <x:c r="H2" s="22" t="n">
        <x:v>46290</x:v>
      </x:c>
      <x:c r="I2" t="n">
        <x:v>2</x:v>
      </x:c>
      <x:c r="J2" t="n">
        <x:v>5</x:v>
      </x:c>
    </x:row>
    <x:row r="3">
      <x:c r="A3" t="str">
        <x:v>STORE-001</x:v>
      </x:c>
      <x:c r="B3" t="str">
        <x:v>DEL-0002</x:v>
      </x:c>
      <x:c r="C3" t="str">
        <x:v>SKU-002</x:v>
      </x:c>
      <x:c r="D3" t="str">
        <x:v>Groceries</x:v>
      </x:c>
      <x:c r="E3" t="str">
        <x:v>Cooking Oil</x:v>
      </x:c>
      <x:c r="F3" t="str">
        <x:v>Received</x:v>
      </x:c>
      <x:c r="G3" s="22" t="n">
        <x:v>46293</x:v>
      </x:c>
      <x:c r="H3" s="22" t="n">
        <x:v>46293</x:v>
      </x:c>
      <x:c r="I3" t="n">
        <x:v>3</x:v>
      </x:c>
      <x:c r="J3" t="n">
        <x:v>4</x:v>
      </x:c>
    </x:row>
    <x:row r="4">
      <x:c r="A4" t="str">
        <x:v>STORE-001</x:v>
      </x:c>
      <x:c r="B4" t="str">
        <x:v>DEL-0003</x:v>
      </x:c>
      <x:c r="C4" t="str">
        <x:v>SKU-002</x:v>
      </x:c>
      <x:c r="D4" t="str">
        <x:v>Groceries</x:v>
      </x:c>
      <x:c r="E4" t="str">
        <x:v>Cooking Oil</x:v>
      </x:c>
      <x:c r="F4" t="str">
        <x:v>Pending</x:v>
      </x:c>
      <x:c r="G4" s="22" t="n">
        <x:v>46296</x:v>
      </x:c>
      <x:c r="H4" s="22"/>
      <x:c r="I4" t="n">
        <x:v>9</x:v>
      </x:c>
      <x:c r="J4" t="n">
        <x:v>2</x:v>
      </x:c>
    </x:row>
    <x:row r="5">
      <x:c r="A5" t="str">
        <x:v>STORE-001</x:v>
      </x:c>
      <x:c r="B5" t="str">
        <x:v>DEL-0004</x:v>
      </x:c>
      <x:c r="C5" t="str">
        <x:v>SKU-003</x:v>
      </x:c>
      <x:c r="D5" t="str">
        <x:v>Home</x:v>
      </x:c>
      <x:c r="E5" t="str">
        <x:v>Curtains</x:v>
      </x:c>
      <x:c r="F5" t="str">
        <x:v>Pending</x:v>
      </x:c>
      <x:c r="G5" s="22" t="n">
        <x:v>46298</x:v>
      </x:c>
      <x:c r="H5" s="22"/>
      <x:c r="I5" t="n">
        <x:v>10</x:v>
      </x:c>
      <x:c r="J5" t="n">
        <x:v>2</x:v>
      </x:c>
    </x:row>
    <x:row r="6">
      <x:c r="A6" t="str">
        <x:v>STORE-001</x:v>
      </x:c>
      <x:c r="B6" t="str">
        <x:v>DEL-0005</x:v>
      </x:c>
      <x:c r="C6" t="str">
        <x:v>SKU-004</x:v>
      </x:c>
      <x:c r="D6" t="str">
        <x:v>Womens Clothing</x:v>
      </x:c>
      <x:c r="E6" t="str">
        <x:v>Dress</x:v>
      </x:c>
      <x:c r="F6" t="str">
        <x:v>Received</x:v>
      </x:c>
      <x:c r="G6" s="22" t="n">
        <x:v>46289</x:v>
      </x:c>
      <x:c r="H6" s="22" t="n">
        <x:v>46289</x:v>
      </x:c>
      <x:c r="I6" t="n">
        <x:v>3</x:v>
      </x:c>
      <x:c r="J6" t="n">
        <x:v>4</x:v>
      </x:c>
    </x:row>
    <x:row r="7">
      <x:c r="A7" t="str">
        <x:v>STORE-001</x:v>
      </x:c>
      <x:c r="B7" t="str">
        <x:v>DEL-0006</x:v>
      </x:c>
      <x:c r="C7" t="str">
        <x:v>SKU-005</x:v>
      </x:c>
      <x:c r="D7" t="str">
        <x:v>Sports</x:v>
      </x:c>
      <x:c r="E7" t="str">
        <x:v>Dumbbells</x:v>
      </x:c>
      <x:c r="F7" t="str">
        <x:v>Received</x:v>
      </x:c>
      <x:c r="G7" s="22" t="n">
        <x:v>46290</x:v>
      </x:c>
      <x:c r="H7" s="22" t="n">
        <x:v>46290</x:v>
      </x:c>
      <x:c r="I7" t="n">
        <x:v>3</x:v>
      </x:c>
      <x:c r="J7" t="n">
        <x:v>4</x:v>
      </x:c>
    </x:row>
    <x:row r="8">
      <x:c r="A8" t="str">
        <x:v>STORE-001</x:v>
      </x:c>
      <x:c r="B8" t="str">
        <x:v>DEL-0007</x:v>
      </x:c>
      <x:c r="C8" t="str">
        <x:v>SKU-006</x:v>
      </x:c>
      <x:c r="D8" t="str">
        <x:v>Sports</x:v>
      </x:c>
      <x:c r="E8" t="str">
        <x:v>Football</x:v>
      </x:c>
      <x:c r="F8" t="str">
        <x:v>Pending</x:v>
      </x:c>
      <x:c r="G8" s="22" t="n">
        <x:v>46299</x:v>
      </x:c>
      <x:c r="H8" s="22"/>
      <x:c r="I8" t="n">
        <x:v>29</x:v>
      </x:c>
      <x:c r="J8" t="n">
        <x:v>4</x:v>
      </x:c>
    </x:row>
    <x:row r="9">
      <x:c r="A9" t="str">
        <x:v>STORE-001</x:v>
      </x:c>
      <x:c r="B9" t="str">
        <x:v>DEL-0008</x:v>
      </x:c>
      <x:c r="C9" t="str">
        <x:v>SKU-007</x:v>
      </x:c>
      <x:c r="D9" t="str">
        <x:v>Footwear</x:v>
      </x:c>
      <x:c r="E9" t="str">
        <x:v>Formal Shoes</x:v>
      </x:c>
      <x:c r="F9" t="str">
        <x:v>Received</x:v>
      </x:c>
      <x:c r="G9" s="22" t="n">
        <x:v>46295</x:v>
      </x:c>
      <x:c r="H9" s="22" t="n">
        <x:v>46295</x:v>
      </x:c>
      <x:c r="I9" t="n">
        <x:v>6</x:v>
      </x:c>
      <x:c r="J9" t="n">
        <x:v>4</x:v>
      </x:c>
    </x:row>
    <x:row r="10">
      <x:c r="A10" t="str">
        <x:v>STORE-001</x:v>
      </x:c>
      <x:c r="B10" t="str">
        <x:v>DEL-0009</x:v>
      </x:c>
      <x:c r="C10" t="str">
        <x:v>SKU-007</x:v>
      </x:c>
      <x:c r="D10" t="str">
        <x:v>Footwear</x:v>
      </x:c>
      <x:c r="E10" t="str">
        <x:v>Formal Shoes</x:v>
      </x:c>
      <x:c r="F10" t="str">
        <x:v>Pending</x:v>
      </x:c>
      <x:c r="G10" s="22" t="n">
        <x:v>46298</x:v>
      </x:c>
      <x:c r="H10" s="22"/>
      <x:c r="I10" t="n">
        <x:v>26</x:v>
      </x:c>
      <x:c r="J10" t="n">
        <x:v>3</x:v>
      </x:c>
    </x:row>
    <x:row r="11">
      <x:c r="A11" t="str">
        <x:v>STORE-001</x:v>
      </x:c>
      <x:c r="B11" t="str">
        <x:v>DEL-0010</x:v>
      </x:c>
      <x:c r="C11" t="str">
        <x:v>SKU-008</x:v>
      </x:c>
      <x:c r="D11" t="str">
        <x:v>Accessories</x:v>
      </x:c>
      <x:c r="E11" t="str">
        <x:v>Handbag</x:v>
      </x:c>
      <x:c r="F11" t="str">
        <x:v>Received</x:v>
      </x:c>
      <x:c r="G11" s="22" t="n">
        <x:v>46290</x:v>
      </x:c>
      <x:c r="H11" s="22" t="n">
        <x:v>46289</x:v>
      </x:c>
      <x:c r="I11" t="n">
        <x:v>4</x:v>
      </x:c>
      <x:c r="J11" t="n">
        <x:v>1</x:v>
      </x:c>
    </x:row>
    <x:row r="12">
      <x:c r="A12" t="str">
        <x:v>STORE-001</x:v>
      </x:c>
      <x:c r="B12" t="str">
        <x:v>DEL-0011</x:v>
      </x:c>
      <x:c r="C12" t="str">
        <x:v>SKU-009</x:v>
      </x:c>
      <x:c r="D12" t="str">
        <x:v>Electronics</x:v>
      </x:c>
      <x:c r="E12" t="str">
        <x:v>Headphones</x:v>
      </x:c>
      <x:c r="F12" t="str">
        <x:v>Received</x:v>
      </x:c>
      <x:c r="G12" s="22" t="n">
        <x:v>46294</x:v>
      </x:c>
      <x:c r="H12" s="22" t="n">
        <x:v>46293</x:v>
      </x:c>
      <x:c r="I12" t="n">
        <x:v>3</x:v>
      </x:c>
      <x:c r="J12" t="n">
        <x:v>2</x:v>
      </x:c>
    </x:row>
    <x:row r="13">
      <x:c r="A13" t="str">
        <x:v>STORE-001</x:v>
      </x:c>
      <x:c r="B13" t="str">
        <x:v>DEL-0012</x:v>
      </x:c>
      <x:c r="C13" t="str">
        <x:v>SKU-009</x:v>
      </x:c>
      <x:c r="D13" t="str">
        <x:v>Electronics</x:v>
      </x:c>
      <x:c r="E13" t="str">
        <x:v>Headphones</x:v>
      </x:c>
      <x:c r="F13" t="str">
        <x:v>Pending</x:v>
      </x:c>
      <x:c r="G13" s="22" t="n">
        <x:v>46297</x:v>
      </x:c>
      <x:c r="H13" s="22"/>
      <x:c r="I13" t="n">
        <x:v>10</x:v>
      </x:c>
      <x:c r="J13" t="n">
        <x:v>3</x:v>
      </x:c>
    </x:row>
    <x:row r="14">
      <x:c r="A14" t="str">
        <x:v>STORE-001</x:v>
      </x:c>
      <x:c r="B14" t="str">
        <x:v>DEL-0013</x:v>
      </x:c>
      <x:c r="C14" t="str">
        <x:v>SKU-010</x:v>
      </x:c>
      <x:c r="D14" t="str">
        <x:v>Mens Clothing</x:v>
      </x:c>
      <x:c r="E14" t="str">
        <x:v>Jacket</x:v>
      </x:c>
      <x:c r="F14" t="str">
        <x:v>Received</x:v>
      </x:c>
      <x:c r="G14" s="22" t="n">
        <x:v>46293</x:v>
      </x:c>
      <x:c r="H14" s="22" t="n">
        <x:v>46292</x:v>
      </x:c>
      <x:c r="I14" t="n">
        <x:v>4</x:v>
      </x:c>
      <x:c r="J14" t="n">
        <x:v>5</x:v>
      </x:c>
    </x:row>
    <x:row r="15">
      <x:c r="A15" t="str">
        <x:v>STORE-001</x:v>
      </x:c>
      <x:c r="B15" t="str">
        <x:v>DEL-0014</x:v>
      </x:c>
      <x:c r="C15" t="str">
        <x:v>SKU-011</x:v>
      </x:c>
      <x:c r="D15" t="str">
        <x:v>Womens Clothing</x:v>
      </x:c>
      <x:c r="E15" t="str">
        <x:v>Jeans</x:v>
      </x:c>
      <x:c r="F15" t="str">
        <x:v>Pending</x:v>
      </x:c>
      <x:c r="G15" s="22" t="n">
        <x:v>46296</x:v>
      </x:c>
      <x:c r="H15" s="22"/>
      <x:c r="I15" t="n">
        <x:v>16</x:v>
      </x:c>
      <x:c r="J15" t="n">
        <x:v>4</x:v>
      </x:c>
    </x:row>
    <x:row r="16">
      <x:c r="A16" t="str">
        <x:v>STORE-001</x:v>
      </x:c>
      <x:c r="B16" t="str">
        <x:v>DEL-0015</x:v>
      </x:c>
      <x:c r="C16" t="str">
        <x:v>SKU-013</x:v>
      </x:c>
      <x:c r="D16" t="str">
        <x:v>Home</x:v>
      </x:c>
      <x:c r="E16" t="str">
        <x:v>Lamp</x:v>
      </x:c>
      <x:c r="F16" t="str">
        <x:v>Received</x:v>
      </x:c>
      <x:c r="G16" s="22" t="n">
        <x:v>46290</x:v>
      </x:c>
      <x:c r="H16" s="22" t="n">
        <x:v>46290</x:v>
      </x:c>
      <x:c r="I16" t="n">
        <x:v>1</x:v>
      </x:c>
      <x:c r="J16" t="n">
        <x:v>3</x:v>
      </x:c>
    </x:row>
    <x:row r="17">
      <x:c r="A17" t="str">
        <x:v>STORE-001</x:v>
      </x:c>
      <x:c r="B17" t="str">
        <x:v>DEL-0016</x:v>
      </x:c>
      <x:c r="C17" t="str">
        <x:v>SKU-014</x:v>
      </x:c>
      <x:c r="D17" t="str">
        <x:v>Electronics</x:v>
      </x:c>
      <x:c r="E17" t="str">
        <x:v>Laptop</x:v>
      </x:c>
      <x:c r="F17" t="str">
        <x:v>Received</x:v>
      </x:c>
      <x:c r="G17" s="22" t="n">
        <x:v>46288</x:v>
      </x:c>
      <x:c r="H17" s="22" t="n">
        <x:v>46289</x:v>
      </x:c>
      <x:c r="I17" t="n">
        <x:v>2</x:v>
      </x:c>
      <x:c r="J17" t="n">
        <x:v>1</x:v>
      </x:c>
    </x:row>
    <x:row r="18">
      <x:c r="A18" t="str">
        <x:v>STORE-001</x:v>
      </x:c>
      <x:c r="B18" t="str">
        <x:v>DEL-0017</x:v>
      </x:c>
      <x:c r="C18" t="str">
        <x:v>SKU-016</x:v>
      </x:c>
      <x:c r="D18" t="str">
        <x:v>Electronics</x:v>
      </x:c>
      <x:c r="E18" t="str">
        <x:v>Mobile Phone</x:v>
      </x:c>
      <x:c r="F18" t="str">
        <x:v>Received</x:v>
      </x:c>
      <x:c r="G18" s="22" t="n">
        <x:v>46295</x:v>
      </x:c>
      <x:c r="H18" s="22" t="n">
        <x:v>46295</x:v>
      </x:c>
      <x:c r="I18" t="n">
        <x:v>3</x:v>
      </x:c>
      <x:c r="J18" t="n">
        <x:v>4</x:v>
      </x:c>
    </x:row>
    <x:row r="19">
      <x:c r="A19" t="str">
        <x:v>STORE-001</x:v>
      </x:c>
      <x:c r="B19" t="str">
        <x:v>DEL-0018</x:v>
      </x:c>
      <x:c r="C19" t="str">
        <x:v>SKU-017</x:v>
      </x:c>
      <x:c r="D19" t="str">
        <x:v>Beauty</x:v>
      </x:c>
      <x:c r="E19" t="str">
        <x:v>Perfume</x:v>
      </x:c>
      <x:c r="F19" t="str">
        <x:v>Received</x:v>
      </x:c>
      <x:c r="G19" s="22" t="n">
        <x:v>46289</x:v>
      </x:c>
      <x:c r="H19" s="22" t="n">
        <x:v>46289</x:v>
      </x:c>
      <x:c r="I19" t="n">
        <x:v>3</x:v>
      </x:c>
      <x:c r="J19" t="n">
        <x:v>5</x:v>
      </x:c>
    </x:row>
    <x:row r="20">
      <x:c r="A20" t="str">
        <x:v>STORE-001</x:v>
      </x:c>
      <x:c r="B20" t="str">
        <x:v>DEL-0019</x:v>
      </x:c>
      <x:c r="C20" t="str">
        <x:v>SKU-017</x:v>
      </x:c>
      <x:c r="D20" t="str">
        <x:v>Beauty</x:v>
      </x:c>
      <x:c r="E20" t="str">
        <x:v>Perfume</x:v>
      </x:c>
      <x:c r="F20" t="str">
        <x:v>Pending</x:v>
      </x:c>
      <x:c r="G20" s="22" t="n">
        <x:v>46297</x:v>
      </x:c>
      <x:c r="H20" s="22"/>
      <x:c r="I20" t="n">
        <x:v>7</x:v>
      </x:c>
      <x:c r="J20" t="n">
        <x:v>2</x:v>
      </x:c>
    </x:row>
    <x:row r="21">
      <x:c r="A21" t="str">
        <x:v>STORE-001</x:v>
      </x:c>
      <x:c r="B21" t="str">
        <x:v>DEL-0020</x:v>
      </x:c>
      <x:c r="C21" t="str">
        <x:v>SKU-019</x:v>
      </x:c>
      <x:c r="D21" t="str">
        <x:v>Footwear</x:v>
      </x:c>
      <x:c r="E21" t="str">
        <x:v>Sandals</x:v>
      </x:c>
      <x:c r="F21" t="str">
        <x:v>Received</x:v>
      </x:c>
      <x:c r="G21" s="22" t="n">
        <x:v>46292</x:v>
      </x:c>
      <x:c r="H21" s="22" t="n">
        <x:v>46292</x:v>
      </x:c>
      <x:c r="I21" t="n">
        <x:v>11</x:v>
      </x:c>
      <x:c r="J21" t="n">
        <x:v>4</x:v>
      </x:c>
    </x:row>
    <x:row r="22">
      <x:c r="A22" t="str">
        <x:v>STORE-001</x:v>
      </x:c>
      <x:c r="B22" t="str">
        <x:v>DEL-0021</x:v>
      </x:c>
      <x:c r="C22" t="str">
        <x:v>SKU-019</x:v>
      </x:c>
      <x:c r="D22" t="str">
        <x:v>Footwear</x:v>
      </x:c>
      <x:c r="E22" t="str">
        <x:v>Sandals</x:v>
      </x:c>
      <x:c r="F22" t="str">
        <x:v>Pending</x:v>
      </x:c>
      <x:c r="G22" s="22" t="n">
        <x:v>46296</x:v>
      </x:c>
      <x:c r="H22" s="22"/>
      <x:c r="I22" t="n">
        <x:v>20</x:v>
      </x:c>
      <x:c r="J22" t="n">
        <x:v>2</x:v>
      </x:c>
    </x:row>
    <x:row r="23">
      <x:c r="A23" t="str">
        <x:v>STORE-001</x:v>
      </x:c>
      <x:c r="B23" t="str">
        <x:v>DEL-0022</x:v>
      </x:c>
      <x:c r="C23" t="str">
        <x:v>SKU-020</x:v>
      </x:c>
      <x:c r="D23" t="str">
        <x:v>Mens Clothing</x:v>
      </x:c>
      <x:c r="E23" t="str">
        <x:v>Shirt</x:v>
      </x:c>
      <x:c r="F23" t="str">
        <x:v>Received</x:v>
      </x:c>
      <x:c r="G23" s="22" t="n">
        <x:v>46291</x:v>
      </x:c>
      <x:c r="H23" s="22" t="n">
        <x:v>46291</x:v>
      </x:c>
      <x:c r="I23" t="n">
        <x:v>4</x:v>
      </x:c>
      <x:c r="J23" t="n">
        <x:v>3</x:v>
      </x:c>
    </x:row>
    <x:row r="24">
      <x:c r="A24" t="str">
        <x:v>STORE-001</x:v>
      </x:c>
      <x:c r="B24" t="str">
        <x:v>DEL-0023</x:v>
      </x:c>
      <x:c r="C24" t="str">
        <x:v>SKU-021</x:v>
      </x:c>
      <x:c r="D24" t="str">
        <x:v>Beauty</x:v>
      </x:c>
      <x:c r="E24" t="str">
        <x:v>Skincare Kit</x:v>
      </x:c>
      <x:c r="F24" t="str">
        <x:v>Received</x:v>
      </x:c>
      <x:c r="G24" s="22" t="n">
        <x:v>46294</x:v>
      </x:c>
      <x:c r="H24" s="22" t="n">
        <x:v>46293</x:v>
      </x:c>
      <x:c r="I24" t="n">
        <x:v>5</x:v>
      </x:c>
      <x:c r="J24" t="n">
        <x:v>4</x:v>
      </x:c>
    </x:row>
    <x:row r="25">
      <x:c r="A25" t="str">
        <x:v>STORE-001</x:v>
      </x:c>
      <x:c r="B25" t="str">
        <x:v>DEL-0024</x:v>
      </x:c>
      <x:c r="C25" t="str">
        <x:v>SKU-021</x:v>
      </x:c>
      <x:c r="D25" t="str">
        <x:v>Beauty</x:v>
      </x:c>
      <x:c r="E25" t="str">
        <x:v>Skincare Kit</x:v>
      </x:c>
      <x:c r="F25" t="str">
        <x:v>Pending</x:v>
      </x:c>
      <x:c r="G25" s="22" t="n">
        <x:v>46299</x:v>
      </x:c>
      <x:c r="H25" s="22"/>
      <x:c r="I25" t="n">
        <x:v>21</x:v>
      </x:c>
      <x:c r="J25" t="n">
        <x:v>1</x:v>
      </x:c>
    </x:row>
    <x:row r="26">
      <x:c r="A26" t="str">
        <x:v>STORE-001</x:v>
      </x:c>
      <x:c r="B26" t="str">
        <x:v>DEL-0025</x:v>
      </x:c>
      <x:c r="C26" t="str">
        <x:v>SKU-023</x:v>
      </x:c>
      <x:c r="D26" t="str">
        <x:v>Electronics</x:v>
      </x:c>
      <x:c r="E26" t="str">
        <x:v>Smart Watch</x:v>
      </x:c>
      <x:c r="F26" t="str">
        <x:v>Received</x:v>
      </x:c>
      <x:c r="G26" s="22" t="n">
        <x:v>46290</x:v>
      </x:c>
      <x:c r="H26" s="22" t="n">
        <x:v>46290</x:v>
      </x:c>
      <x:c r="I26" t="n">
        <x:v>2</x:v>
      </x:c>
      <x:c r="J26" t="n">
        <x:v>1</x:v>
      </x:c>
    </x:row>
    <x:row r="27">
      <x:c r="A27" t="str">
        <x:v>STORE-001</x:v>
      </x:c>
      <x:c r="B27" t="str">
        <x:v>DEL-0026</x:v>
      </x:c>
      <x:c r="C27" t="str">
        <x:v>SKU-024</x:v>
      </x:c>
      <x:c r="D27" t="str">
        <x:v>Groceries</x:v>
      </x:c>
      <x:c r="E27" t="str">
        <x:v>Snacks</x:v>
      </x:c>
      <x:c r="F27" t="str">
        <x:v>Pending</x:v>
      </x:c>
      <x:c r="G27" s="22" t="n">
        <x:v>46297</x:v>
      </x:c>
      <x:c r="H27" s="22"/>
      <x:c r="I27" t="n">
        <x:v>12</x:v>
      </x:c>
      <x:c r="J27" t="n">
        <x:v>3</x:v>
      </x:c>
    </x:row>
    <x:row r="28">
      <x:c r="A28" t="str">
        <x:v>STORE-001</x:v>
      </x:c>
      <x:c r="B28" t="str">
        <x:v>DEL-0027</x:v>
      </x:c>
      <x:c r="C28" t="str">
        <x:v>SKU-025</x:v>
      </x:c>
      <x:c r="D28" t="str">
        <x:v>Footwear</x:v>
      </x:c>
      <x:c r="E28" t="str">
        <x:v>Sneakers</x:v>
      </x:c>
      <x:c r="F28" t="str">
        <x:v>Received</x:v>
      </x:c>
      <x:c r="G28" s="22" t="n">
        <x:v>46292</x:v>
      </x:c>
      <x:c r="H28" s="22" t="n">
        <x:v>46292</x:v>
      </x:c>
      <x:c r="I28" t="n">
        <x:v>8</x:v>
      </x:c>
      <x:c r="J28" t="n">
        <x:v>5</x:v>
      </x:c>
    </x:row>
    <x:row r="29">
      <x:c r="A29" t="str">
        <x:v>STORE-001</x:v>
      </x:c>
      <x:c r="B29" t="str">
        <x:v>DEL-0028</x:v>
      </x:c>
      <x:c r="C29" t="str">
        <x:v>SKU-025</x:v>
      </x:c>
      <x:c r="D29" t="str">
        <x:v>Footwear</x:v>
      </x:c>
      <x:c r="E29" t="str">
        <x:v>Sneakers</x:v>
      </x:c>
      <x:c r="F29" t="str">
        <x:v>Pending</x:v>
      </x:c>
      <x:c r="G29" s="22" t="n">
        <x:v>46297</x:v>
      </x:c>
      <x:c r="H29" s="22"/>
      <x:c r="I29" t="n">
        <x:v>17</x:v>
      </x:c>
      <x:c r="J29" t="n">
        <x:v>2</x:v>
      </x:c>
    </x:row>
    <x:row r="30">
      <x:c r="A30" t="str">
        <x:v>STORE-001</x:v>
      </x:c>
      <x:c r="B30" t="str">
        <x:v>DEL-0029</x:v>
      </x:c>
      <x:c r="C30" t="str">
        <x:v>SKU-026</x:v>
      </x:c>
      <x:c r="D30" t="str">
        <x:v>Accessories</x:v>
      </x:c>
      <x:c r="E30" t="str">
        <x:v>Sunglasses</x:v>
      </x:c>
      <x:c r="F30" t="str">
        <x:v>Pending</x:v>
      </x:c>
      <x:c r="G30" s="22" t="n">
        <x:v>46296</x:v>
      </x:c>
      <x:c r="H30" s="22"/>
      <x:c r="I30" t="n">
        <x:v>11</x:v>
      </x:c>
      <x:c r="J30" t="n">
        <x:v>1</x:v>
      </x:c>
    </x:row>
    <x:row r="31">
      <x:c r="A31" t="str">
        <x:v>STORE-001</x:v>
      </x:c>
      <x:c r="B31" t="str">
        <x:v>DEL-0030</x:v>
      </x:c>
      <x:c r="C31" t="str">
        <x:v>SKU-027</x:v>
      </x:c>
      <x:c r="D31" t="str">
        <x:v>Mens Clothing</x:v>
      </x:c>
      <x:c r="E31" t="str">
        <x:v>T-Shirt</x:v>
      </x:c>
      <x:c r="F31" t="str">
        <x:v>Pending</x:v>
      </x:c>
      <x:c r="G31" s="22" t="n">
        <x:v>46299</x:v>
      </x:c>
      <x:c r="H31" s="22"/>
      <x:c r="I31" t="n">
        <x:v>6</x:v>
      </x:c>
      <x:c r="J31" t="n">
        <x:v>1</x:v>
      </x:c>
    </x:row>
    <x:row r="32">
      <x:c r="A32" t="str">
        <x:v>STORE-001</x:v>
      </x:c>
      <x:c r="B32" t="str">
        <x:v>DEL-0031</x:v>
      </x:c>
      <x:c r="C32" t="str">
        <x:v>SKU-028</x:v>
      </x:c>
      <x:c r="D32" t="str">
        <x:v>Womens Clothing</x:v>
      </x:c>
      <x:c r="E32" t="str">
        <x:v>Top</x:v>
      </x:c>
      <x:c r="F32" t="str">
        <x:v>Received</x:v>
      </x:c>
      <x:c r="G32" s="22" t="n">
        <x:v>46289</x:v>
      </x:c>
      <x:c r="H32" s="22" t="n">
        <x:v>46289</x:v>
      </x:c>
      <x:c r="I32" t="n">
        <x:v>3</x:v>
      </x:c>
      <x:c r="J32" t="n">
        <x:v>4</x:v>
      </x:c>
    </x:row>
    <x:row r="33">
      <x:c r="A33" t="str">
        <x:v>STORE-001</x:v>
      </x:c>
      <x:c r="B33" t="str">
        <x:v>DEL-0032</x:v>
      </x:c>
      <x:c r="C33" t="str">
        <x:v>SKU-028</x:v>
      </x:c>
      <x:c r="D33" t="str">
        <x:v>Womens Clothing</x:v>
      </x:c>
      <x:c r="E33" t="str">
        <x:v>Top</x:v>
      </x:c>
      <x:c r="F33" t="str">
        <x:v>Pending</x:v>
      </x:c>
      <x:c r="G33" s="22" t="n">
        <x:v>46298</x:v>
      </x:c>
      <x:c r="H33" s="22"/>
      <x:c r="I33" t="n">
        <x:v>13</x:v>
      </x:c>
      <x:c r="J33" t="n">
        <x:v>2</x:v>
      </x:c>
    </x:row>
    <x:row r="34">
      <x:c r="A34" t="str">
        <x:v>STORE-001</x:v>
      </x:c>
      <x:c r="B34" t="str">
        <x:v>DEL-0033</x:v>
      </x:c>
      <x:c r="C34" t="str">
        <x:v>SKU-029</x:v>
      </x:c>
      <x:c r="D34" t="str">
        <x:v>Accessories</x:v>
      </x:c>
      <x:c r="E34" t="str">
        <x:v>Wallet</x:v>
      </x:c>
      <x:c r="F34" t="str">
        <x:v>Pending</x:v>
      </x:c>
      <x:c r="G34" s="22" t="n">
        <x:v>46298</x:v>
      </x:c>
      <x:c r="H34" s="22"/>
      <x:c r="I34" t="n">
        <x:v>14</x:v>
      </x:c>
      <x:c r="J34" t="n">
        <x:v>4</x:v>
      </x:c>
    </x:row>
    <x:row r="35">
      <x:c r="A35" t="str">
        <x:v>STORE-001</x:v>
      </x:c>
      <x:c r="B35" t="str">
        <x:v>DEL-0034</x:v>
      </x:c>
      <x:c r="C35" t="str">
        <x:v>SKU-030</x:v>
      </x:c>
      <x:c r="D35" t="str">
        <x:v>Sports</x:v>
      </x:c>
      <x:c r="E35" t="str">
        <x:v>Yoga Mat</x:v>
      </x:c>
      <x:c r="F35" t="str">
        <x:v>Received</x:v>
      </x:c>
      <x:c r="G35" s="22" t="n">
        <x:v>46289</x:v>
      </x:c>
      <x:c r="H35" s="22" t="n">
        <x:v>46289</x:v>
      </x:c>
      <x:c r="I35" t="n">
        <x:v>7</x:v>
      </x:c>
      <x:c r="J35" t="n">
        <x:v>4</x:v>
      </x:c>
    </x:row>
    <x:row r="36">
      <x:c r="A36" t="str">
        <x:v>STORE-001</x:v>
      </x:c>
      <x:c r="B36" t="str">
        <x:v>DEL-0035</x:v>
      </x:c>
      <x:c r="C36" t="str">
        <x:v>SKU-030</x:v>
      </x:c>
      <x:c r="D36" t="str">
        <x:v>Sports</x:v>
      </x:c>
      <x:c r="E36" t="str">
        <x:v>Yoga Mat</x:v>
      </x:c>
      <x:c r="F36" t="str">
        <x:v>Pending</x:v>
      </x:c>
      <x:c r="G36" s="22" t="n">
        <x:v>46297</x:v>
      </x:c>
      <x:c r="H36" s="22"/>
      <x:c r="I36" t="n">
        <x:v>26</x:v>
      </x:c>
      <x:c r="J36" t="n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8" hidden="0" customWidth="1"/>
  </x:cols>
  <x:sheetData>
    <x:row r="1">
      <x:c r="A1" s="13" t="str">
        <x:v>StoreID</x:v>
      </x:c>
      <x:c r="B1" s="13" t="str">
        <x:v>SKU</x:v>
      </x:c>
      <x:c r="C1" s="13" t="str">
        <x:v>Category</x:v>
      </x:c>
      <x:c r="D1" s="13" t="str">
        <x:v>ItemPurchased</x:v>
      </x:c>
      <x:c r="E1" s="13" t="str">
        <x:v>SnapshotDate</x:v>
      </x:c>
      <x:c r="F1" s="13" t="str">
        <x:v>OpeningStock7D</x:v>
      </x:c>
      <x:c r="G1" s="13" t="str">
        <x:v>Sales7D</x:v>
      </x:c>
      <x:c r="H1" s="13" t="str">
        <x:v>Received7D</x:v>
      </x:c>
      <x:c r="I1" s="13" t="str">
        <x:v>CurrentStock</x:v>
      </x:c>
      <x:c r="J1" s="13" t="str">
        <x:v>ReorderPoint</x:v>
      </x:c>
      <x:c r="K1" s="13" t="str">
        <x:v>MaxStockLevel</x:v>
      </x:c>
      <x:c r="L1" s="13" t="str">
        <x:v>IncomingStock</x:v>
      </x:c>
      <x:c r="M1" s="13" t="str">
        <x:v>ExpectedDeliveryDate</x:v>
      </x:c>
      <x:c r="N1" s="13" t="str">
        <x:v>SalesVelocity7D</x:v>
      </x:c>
      <x:c r="O1" s="13" t="str">
        <x:v>DaysLeft</x:v>
      </x:c>
      <x:c r="P1" s="13" t="str">
        <x:v>RecordedStock</x:v>
      </x:c>
      <x:c r="Q1" s="13" t="str">
        <x:v>PhysicalCount</x:v>
      </x:c>
      <x:c r="R1" s="13" t="str">
        <x:v>PhysicalCountDate</x:v>
      </x:c>
      <x:c r="S1" s="13" t="str">
        <x:v>InventoryDiscrepancy</x:v>
      </x:c>
      <x:c r="T1" s="13" t="str">
        <x:v>CountMatch</x:v>
      </x:c>
      <x:c r="U1" s="13" t="str">
        <x:v>SKUInventoryAccuracyPct</x:v>
      </x:c>
      <x:c r="V1" s="13" t="str">
        <x:v>Status</x:v>
      </x:c>
    </x:row>
    <x:row r="2">
      <x:c r="A2" t="str">
        <x:v>STORE-001</x:v>
      </x:c>
      <x:c r="B2" t="str">
        <x:v>SKU-001</x:v>
      </x:c>
      <x:c r="C2" t="str">
        <x:v>Groceries</x:v>
      </x:c>
      <x:c r="D2" t="str">
        <x:v>Beverages</x:v>
      </x:c>
      <x:c r="E2" s="22" t="n">
        <x:v>46295</x:v>
      </x:c>
      <x:c r="F2" t="n">
        <x:v>15</x:v>
      </x:c>
      <x:c r="G2" t="n">
        <x:f>SUMIFS(Sales_Transactions!$O$2:$O$5001,Sales_Transactions!$N$2:$N$5001,$B2,Sales_Transactions!$M$2:$M$5001,"&gt;="&amp;DATE(2026,9,24),Sales_Transactions!$M$2:$M$5001,"&lt;="&amp;DATE(2026,9,30))</x:f>
        <x:v>6</x:v>
      </x:c>
      <x:c r="H2" t="n">
        <x:f>SUMIFS(Deliveries!$I$2:$I$36,Deliveries!$C$2:$C$36,$B2,Deliveries!$F$2:$F$36,"Received",Deliveries!$H$2:$H$36,"&gt;="&amp;DATE(2026,9,24),Deliveries!$H$2:$H$36,"&lt;="&amp;DATE(2026,9,30))</x:f>
        <x:v>2</x:v>
      </x:c>
      <x:c r="I2" t="n">
        <x:f>F2+H2-G2</x:f>
        <x:v>11</x:v>
      </x:c>
      <x:c r="J2" t="n">
        <x:v>5</x:v>
      </x:c>
      <x:c r="K2" t="n">
        <x:v>18</x:v>
      </x:c>
      <x:c r="L2" t="n">
        <x:f>SUMIFS(Deliveries!$I$2:$I$36,Deliveries!$C$2:$C$36,$B2,Deliveries!$F$2:$F$36,"Pending")</x:f>
        <x:v>0</x:v>
      </x:c>
      <x:c r="M2" s="22"/>
      <x:c r="N2" s="28" t="n">
        <x:f>G2/7</x:f>
        <x:v>0.8571428571428571</x:v>
      </x:c>
      <x:c r="O2" s="28" t="n">
        <x:f>IF(N2=0,999,I2/N2)</x:f>
        <x:v>12.833333333333334</x:v>
      </x:c>
      <x:c r="P2" t="n">
        <x:v>11</x:v>
      </x:c>
      <x:c r="Q2" t="n">
        <x:v>9</x:v>
      </x:c>
      <x:c r="R2" s="22" t="n">
        <x:v>46295</x:v>
      </x:c>
      <x:c r="S2" t="n">
        <x:f>Q2-P2</x:f>
        <x:v>-2</x:v>
      </x:c>
      <x:c r="T2" t="n">
        <x:f>IF(S2=0,1,0)</x:f>
        <x:v>0</x:v>
      </x:c>
      <x:c r="U2" s="30" t="n">
        <x:f>IF(P2=0,IF(Q2=0,1,0),MAX(0,1-ABS(S2)/P2))</x:f>
        <x:v>0.8181818181818181</x:v>
      </x:c>
      <x:c r="V2" t="str">
        <x:f>IF(I2=0,"Out of Stock",IF(I2&gt;K2,"Overstock",IF(O2&lt;3,"Urgent Reorder",IF(OR(O2&lt;7,I2&lt;=J2),"Reorder Soon","Healthy"))))</x:f>
        <x:v>Healthy</x:v>
      </x:c>
    </x:row>
    <x:row r="3">
      <x:c r="A3" t="str">
        <x:v>STORE-001</x:v>
      </x:c>
      <x:c r="B3" t="str">
        <x:v>SKU-002</x:v>
      </x:c>
      <x:c r="C3" t="str">
        <x:v>Groceries</x:v>
      </x:c>
      <x:c r="D3" t="str">
        <x:v>Cooking Oil</x:v>
      </x:c>
      <x:c r="E3" s="22" t="n">
        <x:v>46295</x:v>
      </x:c>
      <x:c r="F3" t="n">
        <x:v>12</x:v>
      </x:c>
      <x:c r="G3" t="n">
        <x:f>SUMIFS(Sales_Transactions!$O$2:$O$5001,Sales_Transactions!$N$2:$N$5001,$B3,Sales_Transactions!$M$2:$M$5001,"&gt;="&amp;DATE(2026,9,24),Sales_Transactions!$M$2:$M$5001,"&lt;="&amp;DATE(2026,9,30))</x:f>
        <x:v>8</x:v>
      </x:c>
      <x:c r="H3" t="n">
        <x:f>SUMIFS(Deliveries!$I$2:$I$36,Deliveries!$C$2:$C$36,$B3,Deliveries!$F$2:$F$36,"Received",Deliveries!$H$2:$H$36,"&gt;="&amp;DATE(2026,9,24),Deliveries!$H$2:$H$36,"&lt;="&amp;DATE(2026,9,30))</x:f>
        <x:v>3</x:v>
      </x:c>
      <x:c r="I3" t="n">
        <x:f>F3+H3-G3</x:f>
        <x:v>7</x:v>
      </x:c>
      <x:c r="J3" t="n">
        <x:v>6</x:v>
      </x:c>
      <x:c r="K3" t="n">
        <x:v>24</x:v>
      </x:c>
      <x:c r="L3" t="n">
        <x:f>SUMIFS(Deliveries!$I$2:$I$36,Deliveries!$C$2:$C$36,$B3,Deliveries!$F$2:$F$36,"Pending")</x:f>
        <x:v>9</x:v>
      </x:c>
      <x:c r="M3" s="22" t="n">
        <x:v>46296</x:v>
      </x:c>
      <x:c r="N3" s="28" t="n">
        <x:f>G3/7</x:f>
        <x:v>1.1428571428571428</x:v>
      </x:c>
      <x:c r="O3" s="28" t="n">
        <x:f>IF(N3=0,999,I3/N3)</x:f>
        <x:v>6.125</x:v>
      </x:c>
      <x:c r="P3" t="n">
        <x:v>7</x:v>
      </x:c>
      <x:c r="Q3" t="n">
        <x:v>8</x:v>
      </x:c>
      <x:c r="R3" s="22" t="n">
        <x:v>46295</x:v>
      </x:c>
      <x:c r="S3" t="n">
        <x:f>Q3-P3</x:f>
        <x:v>1</x:v>
      </x:c>
      <x:c r="T3" t="n">
        <x:f>IF(S3=0,1,0)</x:f>
        <x:v>0</x:v>
      </x:c>
      <x:c r="U3" s="30" t="n">
        <x:f>IF(P3=0,IF(Q3=0,1,0),MAX(0,1-ABS(S3)/P3))</x:f>
        <x:v>0.8571428571428572</x:v>
      </x:c>
      <x:c r="V3" t="str">
        <x:f>IF(I3=0,"Out of Stock",IF(I3&gt;K3,"Overstock",IF(O3&lt;3,"Urgent Reorder",IF(OR(O3&lt;7,I3&lt;=J3),"Reorder Soon","Healthy"))))</x:f>
        <x:v>Reorder Soon</x:v>
      </x:c>
    </x:row>
    <x:row r="4">
      <x:c r="A4" t="str">
        <x:v>STORE-001</x:v>
      </x:c>
      <x:c r="B4" t="str">
        <x:v>SKU-003</x:v>
      </x:c>
      <x:c r="C4" t="str">
        <x:v>Home</x:v>
      </x:c>
      <x:c r="D4" t="str">
        <x:v>Curtains</x:v>
      </x:c>
      <x:c r="E4" s="22" t="n">
        <x:v>46295</x:v>
      </x:c>
      <x:c r="F4" t="n">
        <x:v>14</x:v>
      </x:c>
      <x:c r="G4" t="n">
        <x:f>SUMIFS(Sales_Transactions!$O$2:$O$5001,Sales_Transactions!$N$2:$N$5001,$B4,Sales_Transactions!$M$2:$M$5001,"&gt;="&amp;DATE(2026,9,24),Sales_Transactions!$M$2:$M$5001,"&lt;="&amp;DATE(2026,9,30))</x:f>
        <x:v>8</x:v>
      </x:c>
      <x:c r="H4" t="n">
        <x:f>SUMIFS(Deliveries!$I$2:$I$36,Deliveries!$C$2:$C$36,$B4,Deliveries!$F$2:$F$36,"Received",Deliveries!$H$2:$H$36,"&gt;="&amp;DATE(2026,9,24),Deliveries!$H$2:$H$36,"&lt;="&amp;DATE(2026,9,30))</x:f>
        <x:v>0</x:v>
      </x:c>
      <x:c r="I4" t="n">
        <x:f>F4+H4-G4</x:f>
        <x:v>6</x:v>
      </x:c>
      <x:c r="J4" t="n">
        <x:v>6</x:v>
      </x:c>
      <x:c r="K4" t="n">
        <x:v>24</x:v>
      </x:c>
      <x:c r="L4" t="n">
        <x:f>SUMIFS(Deliveries!$I$2:$I$36,Deliveries!$C$2:$C$36,$B4,Deliveries!$F$2:$F$36,"Pending")</x:f>
        <x:v>10</x:v>
      </x:c>
      <x:c r="M4" s="22" t="n">
        <x:v>46298</x:v>
      </x:c>
      <x:c r="N4" s="28" t="n">
        <x:f>G4/7</x:f>
        <x:v>1.1428571428571428</x:v>
      </x:c>
      <x:c r="O4" s="28" t="n">
        <x:f>IF(N4=0,999,I4/N4)</x:f>
        <x:v>5.25</x:v>
      </x:c>
      <x:c r="P4" t="n">
        <x:v>6</x:v>
      </x:c>
      <x:c r="Q4" t="n">
        <x:v>6</x:v>
      </x:c>
      <x:c r="R4" s="22" t="n">
        <x:v>46295</x:v>
      </x:c>
      <x:c r="S4" t="n">
        <x:f>Q4-P4</x:f>
        <x:v>0</x:v>
      </x:c>
      <x:c r="T4" t="n">
        <x:f>IF(S4=0,1,0)</x:f>
        <x:v>1</x:v>
      </x:c>
      <x:c r="U4" s="30" t="n">
        <x:f>IF(P4=0,IF(Q4=0,1,0),MAX(0,1-ABS(S4)/P4))</x:f>
        <x:v>1</x:v>
      </x:c>
      <x:c r="V4" t="str">
        <x:f>IF(I4=0,"Out of Stock",IF(I4&gt;K4,"Overstock",IF(O4&lt;3,"Urgent Reorder",IF(OR(O4&lt;7,I4&lt;=J4),"Reorder Soon","Healthy"))))</x:f>
        <x:v>Reorder Soon</x:v>
      </x:c>
    </x:row>
    <x:row r="5">
      <x:c r="A5" t="str">
        <x:v>STORE-001</x:v>
      </x:c>
      <x:c r="B5" t="str">
        <x:v>SKU-004</x:v>
      </x:c>
      <x:c r="C5" t="str">
        <x:v>Womens Clothing</x:v>
      </x:c>
      <x:c r="D5" t="str">
        <x:v>Dress</x:v>
      </x:c>
      <x:c r="E5" s="22" t="n">
        <x:v>46295</x:v>
      </x:c>
      <x:c r="F5" t="n">
        <x:v>9</x:v>
      </x:c>
      <x:c r="G5" t="n">
        <x:f>SUMIFS(Sales_Transactions!$O$2:$O$5001,Sales_Transactions!$N$2:$N$5001,$B5,Sales_Transactions!$M$2:$M$5001,"&gt;="&amp;DATE(2026,9,24),Sales_Transactions!$M$2:$M$5001,"&lt;="&amp;DATE(2026,9,30))</x:f>
        <x:v>5</x:v>
      </x:c>
      <x:c r="H5" t="n">
        <x:f>SUMIFS(Deliveries!$I$2:$I$36,Deliveries!$C$2:$C$36,$B5,Deliveries!$F$2:$F$36,"Received",Deliveries!$H$2:$H$36,"&gt;="&amp;DATE(2026,9,24),Deliveries!$H$2:$H$36,"&lt;="&amp;DATE(2026,9,30))</x:f>
        <x:v>3</x:v>
      </x:c>
      <x:c r="I5" t="n">
        <x:f>F5+H5-G5</x:f>
        <x:v>7</x:v>
      </x:c>
      <x:c r="J5" t="n">
        <x:v>4</x:v>
      </x:c>
      <x:c r="K5" t="n">
        <x:v>15</x:v>
      </x:c>
      <x:c r="L5" t="n">
        <x:f>SUMIFS(Deliveries!$I$2:$I$36,Deliveries!$C$2:$C$36,$B5,Deliveries!$F$2:$F$36,"Pending")</x:f>
        <x:v>0</x:v>
      </x:c>
      <x:c r="M5" s="22"/>
      <x:c r="N5" s="28" t="n">
        <x:f>G5/7</x:f>
        <x:v>0.7142857142857143</x:v>
      </x:c>
      <x:c r="O5" s="28" t="n">
        <x:f>IF(N5=0,999,I5/N5)</x:f>
        <x:v>9.799999999999999</x:v>
      </x:c>
      <x:c r="P5" t="n">
        <x:v>7</x:v>
      </x:c>
      <x:c r="Q5" t="n">
        <x:v>4</x:v>
      </x:c>
      <x:c r="R5" s="22" t="n">
        <x:v>46295</x:v>
      </x:c>
      <x:c r="S5" t="n">
        <x:f>Q5-P5</x:f>
        <x:v>-3</x:v>
      </x:c>
      <x:c r="T5" t="n">
        <x:f>IF(S5=0,1,0)</x:f>
        <x:v>0</x:v>
      </x:c>
      <x:c r="U5" s="30" t="n">
        <x:f>IF(P5=0,IF(Q5=0,1,0),MAX(0,1-ABS(S5)/P5))</x:f>
        <x:v>0.5714285714285714</x:v>
      </x:c>
      <x:c r="V5" t="str">
        <x:f>IF(I5=0,"Out of Stock",IF(I5&gt;K5,"Overstock",IF(O5&lt;3,"Urgent Reorder",IF(OR(O5&lt;7,I5&lt;=J5),"Reorder Soon","Healthy"))))</x:f>
        <x:v>Healthy</x:v>
      </x:c>
    </x:row>
    <x:row r="6">
      <x:c r="A6" t="str">
        <x:v>STORE-001</x:v>
      </x:c>
      <x:c r="B6" t="str">
        <x:v>SKU-005</x:v>
      </x:c>
      <x:c r="C6" t="str">
        <x:v>Sports</x:v>
      </x:c>
      <x:c r="D6" t="str">
        <x:v>Dumbbells</x:v>
      </x:c>
      <x:c r="E6" s="22" t="n">
        <x:v>46295</x:v>
      </x:c>
      <x:c r="F6" t="n">
        <x:v>12</x:v>
      </x:c>
      <x:c r="G6" t="n">
        <x:f>SUMIFS(Sales_Transactions!$O$2:$O$5001,Sales_Transactions!$N$2:$N$5001,$B6,Sales_Transactions!$M$2:$M$5001,"&gt;="&amp;DATE(2026,9,24),Sales_Transactions!$M$2:$M$5001,"&lt;="&amp;DATE(2026,9,30))</x:f>
        <x:v>5</x:v>
      </x:c>
      <x:c r="H6" t="n">
        <x:f>SUMIFS(Deliveries!$I$2:$I$36,Deliveries!$C$2:$C$36,$B6,Deliveries!$F$2:$F$36,"Received",Deliveries!$H$2:$H$36,"&gt;="&amp;DATE(2026,9,24),Deliveries!$H$2:$H$36,"&lt;="&amp;DATE(2026,9,30))</x:f>
        <x:v>3</x:v>
      </x:c>
      <x:c r="I6" t="n">
        <x:f>F6+H6-G6</x:f>
        <x:v>10</x:v>
      </x:c>
      <x:c r="J6" t="n">
        <x:v>4</x:v>
      </x:c>
      <x:c r="K6" t="n">
        <x:v>15</x:v>
      </x:c>
      <x:c r="L6" t="n">
        <x:f>SUMIFS(Deliveries!$I$2:$I$36,Deliveries!$C$2:$C$36,$B6,Deliveries!$F$2:$F$36,"Pending")</x:f>
        <x:v>0</x:v>
      </x:c>
      <x:c r="M6" s="22"/>
      <x:c r="N6" s="28" t="n">
        <x:f>G6/7</x:f>
        <x:v>0.7142857142857143</x:v>
      </x:c>
      <x:c r="O6" s="28" t="n">
        <x:f>IF(N6=0,999,I6/N6)</x:f>
        <x:v>14</x:v>
      </x:c>
      <x:c r="P6" t="n">
        <x:v>10</x:v>
      </x:c>
      <x:c r="Q6" t="n">
        <x:v>10</x:v>
      </x:c>
      <x:c r="R6" s="22" t="n">
        <x:v>46295</x:v>
      </x:c>
      <x:c r="S6" t="n">
        <x:f>Q6-P6</x:f>
        <x:v>0</x:v>
      </x:c>
      <x:c r="T6" t="n">
        <x:f>IF(S6=0,1,0)</x:f>
        <x:v>1</x:v>
      </x:c>
      <x:c r="U6" s="30" t="n">
        <x:f>IF(P6=0,IF(Q6=0,1,0),MAX(0,1-ABS(S6)/P6))</x:f>
        <x:v>1</x:v>
      </x:c>
      <x:c r="V6" t="str">
        <x:f>IF(I6=0,"Out of Stock",IF(I6&gt;K6,"Overstock",IF(O6&lt;3,"Urgent Reorder",IF(OR(O6&lt;7,I6&lt;=J6),"Reorder Soon","Healthy"))))</x:f>
        <x:v>Healthy</x:v>
      </x:c>
    </x:row>
    <x:row r="7">
      <x:c r="A7" t="str">
        <x:v>STORE-001</x:v>
      </x:c>
      <x:c r="B7" t="str">
        <x:v>SKU-006</x:v>
      </x:c>
      <x:c r="C7" t="str">
        <x:v>Sports</x:v>
      </x:c>
      <x:c r="D7" t="str">
        <x:v>Football</x:v>
      </x:c>
      <x:c r="E7" s="22" t="n">
        <x:v>46295</x:v>
      </x:c>
      <x:c r="F7" t="n">
        <x:v>21</x:v>
      </x:c>
      <x:c r="G7" t="n">
        <x:f>SUMIFS(Sales_Transactions!$O$2:$O$5001,Sales_Transactions!$N$2:$N$5001,$B7,Sales_Transactions!$M$2:$M$5001,"&gt;="&amp;DATE(2026,9,24),Sales_Transactions!$M$2:$M$5001,"&lt;="&amp;DATE(2026,9,30))</x:f>
        <x:v>21</x:v>
      </x:c>
      <x:c r="H7" t="n">
        <x:f>SUMIFS(Deliveries!$I$2:$I$36,Deliveries!$C$2:$C$36,$B7,Deliveries!$F$2:$F$36,"Received",Deliveries!$H$2:$H$36,"&gt;="&amp;DATE(2026,9,24),Deliveries!$H$2:$H$36,"&lt;="&amp;DATE(2026,9,30))</x:f>
        <x:v>0</x:v>
      </x:c>
      <x:c r="I7" t="n">
        <x:f>F7+H7-G7</x:f>
        <x:v>0</x:v>
      </x:c>
      <x:c r="J7" t="n">
        <x:v>15</x:v>
      </x:c>
      <x:c r="K7" t="n">
        <x:v>63</x:v>
      </x:c>
      <x:c r="L7" t="n">
        <x:f>SUMIFS(Deliveries!$I$2:$I$36,Deliveries!$C$2:$C$36,$B7,Deliveries!$F$2:$F$36,"Pending")</x:f>
        <x:v>29</x:v>
      </x:c>
      <x:c r="M7" s="22" t="n">
        <x:v>46299</x:v>
      </x:c>
      <x:c r="N7" s="28" t="n">
        <x:f>G7/7</x:f>
        <x:v>3</x:v>
      </x:c>
      <x:c r="O7" s="28" t="n">
        <x:f>IF(N7=0,999,I7/N7)</x:f>
        <x:v>0</x:v>
      </x:c>
      <x:c r="P7" t="n">
        <x:v>0</x:v>
      </x:c>
      <x:c r="Q7" t="n">
        <x:v>0</x:v>
      </x:c>
      <x:c r="R7" s="22" t="n">
        <x:v>46295</x:v>
      </x:c>
      <x:c r="S7" t="n">
        <x:f>Q7-P7</x:f>
        <x:v>0</x:v>
      </x:c>
      <x:c r="T7" t="n">
        <x:f>IF(S7=0,1,0)</x:f>
        <x:v>1</x:v>
      </x:c>
      <x:c r="U7" s="30" t="n">
        <x:f>IF(P7=0,IF(Q7=0,1,0),MAX(0,1-ABS(S7)/P7))</x:f>
        <x:v>1</x:v>
      </x:c>
      <x:c r="V7" t="str">
        <x:f>IF(I7=0,"Out of Stock",IF(I7&gt;K7,"Overstock",IF(O7&lt;3,"Urgent Reorder",IF(OR(O7&lt;7,I7&lt;=J7),"Reorder Soon","Healthy"))))</x:f>
        <x:v>Out of Stock</x:v>
      </x:c>
    </x:row>
    <x:row r="8">
      <x:c r="A8" t="str">
        <x:v>STORE-001</x:v>
      </x:c>
      <x:c r="B8" t="str">
        <x:v>SKU-007</x:v>
      </x:c>
      <x:c r="C8" t="str">
        <x:v>Footwear</x:v>
      </x:c>
      <x:c r="D8" t="str">
        <x:v>Formal Shoes</x:v>
      </x:c>
      <x:c r="E8" s="22" t="n">
        <x:v>46295</x:v>
      </x:c>
      <x:c r="F8" t="n">
        <x:v>12</x:v>
      </x:c>
      <x:c r="G8" t="n">
        <x:f>SUMIFS(Sales_Transactions!$O$2:$O$5001,Sales_Transactions!$N$2:$N$5001,$B8,Sales_Transactions!$M$2:$M$5001,"&gt;="&amp;DATE(2026,9,24),Sales_Transactions!$M$2:$M$5001,"&lt;="&amp;DATE(2026,9,30))</x:f>
        <x:v>18</x:v>
      </x:c>
      <x:c r="H8" t="n">
        <x:f>SUMIFS(Deliveries!$I$2:$I$36,Deliveries!$C$2:$C$36,$B8,Deliveries!$F$2:$F$36,"Received",Deliveries!$H$2:$H$36,"&gt;="&amp;DATE(2026,9,24),Deliveries!$H$2:$H$36,"&lt;="&amp;DATE(2026,9,30))</x:f>
        <x:v>6</x:v>
      </x:c>
      <x:c r="I8" t="n">
        <x:f>F8+H8-G8</x:f>
        <x:v>0</x:v>
      </x:c>
      <x:c r="J8" t="n">
        <x:v>13</x:v>
      </x:c>
      <x:c r="K8" t="n">
        <x:v>55</x:v>
      </x:c>
      <x:c r="L8" t="n">
        <x:f>SUMIFS(Deliveries!$I$2:$I$36,Deliveries!$C$2:$C$36,$B8,Deliveries!$F$2:$F$36,"Pending")</x:f>
        <x:v>26</x:v>
      </x:c>
      <x:c r="M8" s="22" t="n">
        <x:v>46298</x:v>
      </x:c>
      <x:c r="N8" s="28" t="n">
        <x:f>G8/7</x:f>
        <x:v>2.5714285714285716</x:v>
      </x:c>
      <x:c r="O8" s="28" t="n">
        <x:f>IF(N8=0,999,I8/N8)</x:f>
        <x:v>0</x:v>
      </x:c>
      <x:c r="P8" t="n">
        <x:v>0</x:v>
      </x:c>
      <x:c r="Q8" t="n">
        <x:v>0</x:v>
      </x:c>
      <x:c r="R8" s="22" t="n">
        <x:v>46295</x:v>
      </x:c>
      <x:c r="S8" t="n">
        <x:f>Q8-P8</x:f>
        <x:v>0</x:v>
      </x:c>
      <x:c r="T8" t="n">
        <x:f>IF(S8=0,1,0)</x:f>
        <x:v>1</x:v>
      </x:c>
      <x:c r="U8" s="30" t="n">
        <x:f>IF(P8=0,IF(Q8=0,1,0),MAX(0,1-ABS(S8)/P8))</x:f>
        <x:v>1</x:v>
      </x:c>
      <x:c r="V8" t="str">
        <x:f>IF(I8=0,"Out of Stock",IF(I8&gt;K8,"Overstock",IF(O8&lt;3,"Urgent Reorder",IF(OR(O8&lt;7,I8&lt;=J8),"Reorder Soon","Healthy"))))</x:f>
        <x:v>Out of Stock</x:v>
      </x:c>
    </x:row>
    <x:row r="9">
      <x:c r="A9" t="str">
        <x:v>STORE-001</x:v>
      </x:c>
      <x:c r="B9" t="str">
        <x:v>SKU-008</x:v>
      </x:c>
      <x:c r="C9" t="str">
        <x:v>Accessories</x:v>
      </x:c>
      <x:c r="D9" t="str">
        <x:v>Handbag</x:v>
      </x:c>
      <x:c r="E9" s="22" t="n">
        <x:v>46295</x:v>
      </x:c>
      <x:c r="F9" t="n">
        <x:v>12</x:v>
      </x:c>
      <x:c r="G9" t="n">
        <x:f>SUMIFS(Sales_Transactions!$O$2:$O$5001,Sales_Transactions!$N$2:$N$5001,$B9,Sales_Transactions!$M$2:$M$5001,"&gt;="&amp;DATE(2026,9,24),Sales_Transactions!$M$2:$M$5001,"&lt;="&amp;DATE(2026,9,30))</x:f>
        <x:v>6</x:v>
      </x:c>
      <x:c r="H9" t="n">
        <x:f>SUMIFS(Deliveries!$I$2:$I$36,Deliveries!$C$2:$C$36,$B9,Deliveries!$F$2:$F$36,"Received",Deliveries!$H$2:$H$36,"&gt;="&amp;DATE(2026,9,24),Deliveries!$H$2:$H$36,"&lt;="&amp;DATE(2026,9,30))</x:f>
        <x:v>4</x:v>
      </x:c>
      <x:c r="I9" t="n">
        <x:f>F9+H9-G9</x:f>
        <x:v>10</x:v>
      </x:c>
      <x:c r="J9" t="n">
        <x:v>5</x:v>
      </x:c>
      <x:c r="K9" t="n">
        <x:v>18</x:v>
      </x:c>
      <x:c r="L9" t="n">
        <x:f>SUMIFS(Deliveries!$I$2:$I$36,Deliveries!$C$2:$C$36,$B9,Deliveries!$F$2:$F$36,"Pending")</x:f>
        <x:v>0</x:v>
      </x:c>
      <x:c r="M9" s="22"/>
      <x:c r="N9" s="28" t="n">
        <x:f>G9/7</x:f>
        <x:v>0.8571428571428571</x:v>
      </x:c>
      <x:c r="O9" s="28" t="n">
        <x:f>IF(N9=0,999,I9/N9)</x:f>
        <x:v>11.666666666666668</x:v>
      </x:c>
      <x:c r="P9" t="n">
        <x:v>10</x:v>
      </x:c>
      <x:c r="Q9" t="n">
        <x:v>10</x:v>
      </x:c>
      <x:c r="R9" s="22" t="n">
        <x:v>46295</x:v>
      </x:c>
      <x:c r="S9" t="n">
        <x:f>Q9-P9</x:f>
        <x:v>0</x:v>
      </x:c>
      <x:c r="T9" t="n">
        <x:f>IF(S9=0,1,0)</x:f>
        <x:v>1</x:v>
      </x:c>
      <x:c r="U9" s="30" t="n">
        <x:f>IF(P9=0,IF(Q9=0,1,0),MAX(0,1-ABS(S9)/P9))</x:f>
        <x:v>1</x:v>
      </x:c>
      <x:c r="V9" t="str">
        <x:f>IF(I9=0,"Out of Stock",IF(I9&gt;K9,"Overstock",IF(O9&lt;3,"Urgent Reorder",IF(OR(O9&lt;7,I9&lt;=J9),"Reorder Soon","Healthy"))))</x:f>
        <x:v>Healthy</x:v>
      </x:c>
    </x:row>
    <x:row r="10">
      <x:c r="A10" t="str">
        <x:v>STORE-001</x:v>
      </x:c>
      <x:c r="B10" t="str">
        <x:v>SKU-009</x:v>
      </x:c>
      <x:c r="C10" t="str">
        <x:v>Electronics</x:v>
      </x:c>
      <x:c r="D10" t="str">
        <x:v>Headphones</x:v>
      </x:c>
      <x:c r="E10" s="22" t="n">
        <x:v>46295</x:v>
      </x:c>
      <x:c r="F10" t="n">
        <x:v>11</x:v>
      </x:c>
      <x:c r="G10" t="n">
        <x:f>SUMIFS(Sales_Transactions!$O$2:$O$5001,Sales_Transactions!$N$2:$N$5001,$B10,Sales_Transactions!$M$2:$M$5001,"&gt;="&amp;DATE(2026,9,24),Sales_Transactions!$M$2:$M$5001,"&lt;="&amp;DATE(2026,9,30))</x:f>
        <x:v>8</x:v>
      </x:c>
      <x:c r="H10" t="n">
        <x:f>SUMIFS(Deliveries!$I$2:$I$36,Deliveries!$C$2:$C$36,$B10,Deliveries!$F$2:$F$36,"Received",Deliveries!$H$2:$H$36,"&gt;="&amp;DATE(2026,9,24),Deliveries!$H$2:$H$36,"&lt;="&amp;DATE(2026,9,30))</x:f>
        <x:v>3</x:v>
      </x:c>
      <x:c r="I10" t="n">
        <x:f>F10+H10-G10</x:f>
        <x:v>6</x:v>
      </x:c>
      <x:c r="J10" t="n">
        <x:v>6</x:v>
      </x:c>
      <x:c r="K10" t="n">
        <x:v>24</x:v>
      </x:c>
      <x:c r="L10" t="n">
        <x:f>SUMIFS(Deliveries!$I$2:$I$36,Deliveries!$C$2:$C$36,$B10,Deliveries!$F$2:$F$36,"Pending")</x:f>
        <x:v>10</x:v>
      </x:c>
      <x:c r="M10" s="22" t="n">
        <x:v>46297</x:v>
      </x:c>
      <x:c r="N10" s="28" t="n">
        <x:f>G10/7</x:f>
        <x:v>1.1428571428571428</x:v>
      </x:c>
      <x:c r="O10" s="28" t="n">
        <x:f>IF(N10=0,999,I10/N10)</x:f>
        <x:v>5.25</x:v>
      </x:c>
      <x:c r="P10" t="n">
        <x:v>6</x:v>
      </x:c>
      <x:c r="Q10" t="n">
        <x:v>9</x:v>
      </x:c>
      <x:c r="R10" s="22" t="n">
        <x:v>46295</x:v>
      </x:c>
      <x:c r="S10" t="n">
        <x:f>Q10-P10</x:f>
        <x:v>3</x:v>
      </x:c>
      <x:c r="T10" t="n">
        <x:f>IF(S10=0,1,0)</x:f>
        <x:v>0</x:v>
      </x:c>
      <x:c r="U10" s="30" t="n">
        <x:f>IF(P10=0,IF(Q10=0,1,0),MAX(0,1-ABS(S10)/P10))</x:f>
        <x:v>0.5</x:v>
      </x:c>
      <x:c r="V10" t="str">
        <x:f>IF(I10=0,"Out of Stock",IF(I10&gt;K10,"Overstock",IF(O10&lt;3,"Urgent Reorder",IF(OR(O10&lt;7,I10&lt;=J10),"Reorder Soon","Healthy"))))</x:f>
        <x:v>Reorder Soon</x:v>
      </x:c>
    </x:row>
    <x:row r="11">
      <x:c r="A11" t="str">
        <x:v>STORE-001</x:v>
      </x:c>
      <x:c r="B11" t="str">
        <x:v>SKU-010</x:v>
      </x:c>
      <x:c r="C11" t="str">
        <x:v>Mens Clothing</x:v>
      </x:c>
      <x:c r="D11" t="str">
        <x:v>Jacket</x:v>
      </x:c>
      <x:c r="E11" s="22" t="n">
        <x:v>46295</x:v>
      </x:c>
      <x:c r="F11" t="n">
        <x:v>13</x:v>
      </x:c>
      <x:c r="G11" t="n">
        <x:f>SUMIFS(Sales_Transactions!$O$2:$O$5001,Sales_Transactions!$N$2:$N$5001,$B11,Sales_Transactions!$M$2:$M$5001,"&gt;="&amp;DATE(2026,9,24),Sales_Transactions!$M$2:$M$5001,"&lt;="&amp;DATE(2026,9,30))</x:f>
        <x:v>6</x:v>
      </x:c>
      <x:c r="H11" t="n">
        <x:f>SUMIFS(Deliveries!$I$2:$I$36,Deliveries!$C$2:$C$36,$B11,Deliveries!$F$2:$F$36,"Received",Deliveries!$H$2:$H$36,"&gt;="&amp;DATE(2026,9,24),Deliveries!$H$2:$H$36,"&lt;="&amp;DATE(2026,9,30))</x:f>
        <x:v>4</x:v>
      </x:c>
      <x:c r="I11" t="n">
        <x:f>F11+H11-G11</x:f>
        <x:v>11</x:v>
      </x:c>
      <x:c r="J11" t="n">
        <x:v>5</x:v>
      </x:c>
      <x:c r="K11" t="n">
        <x:v>18</x:v>
      </x:c>
      <x:c r="L11" t="n">
        <x:f>SUMIFS(Deliveries!$I$2:$I$36,Deliveries!$C$2:$C$36,$B11,Deliveries!$F$2:$F$36,"Pending")</x:f>
        <x:v>0</x:v>
      </x:c>
      <x:c r="M11" s="22"/>
      <x:c r="N11" s="28" t="n">
        <x:f>G11/7</x:f>
        <x:v>0.8571428571428571</x:v>
      </x:c>
      <x:c r="O11" s="28" t="n">
        <x:f>IF(N11=0,999,I11/N11)</x:f>
        <x:v>12.833333333333334</x:v>
      </x:c>
      <x:c r="P11" t="n">
        <x:v>11</x:v>
      </x:c>
      <x:c r="Q11" t="n">
        <x:v>11</x:v>
      </x:c>
      <x:c r="R11" s="22" t="n">
        <x:v>46295</x:v>
      </x:c>
      <x:c r="S11" t="n">
        <x:f>Q11-P11</x:f>
        <x:v>0</x:v>
      </x:c>
      <x:c r="T11" t="n">
        <x:f>IF(S11=0,1,0)</x:f>
        <x:v>1</x:v>
      </x:c>
      <x:c r="U11" s="30" t="n">
        <x:f>IF(P11=0,IF(Q11=0,1,0),MAX(0,1-ABS(S11)/P11))</x:f>
        <x:v>1</x:v>
      </x:c>
      <x:c r="V11" t="str">
        <x:f>IF(I11=0,"Out of Stock",IF(I11&gt;K11,"Overstock",IF(O11&lt;3,"Urgent Reorder",IF(OR(O11&lt;7,I11&lt;=J11),"Reorder Soon","Healthy"))))</x:f>
        <x:v>Healthy</x:v>
      </x:c>
    </x:row>
    <x:row r="12">
      <x:c r="A12" t="str">
        <x:v>STORE-001</x:v>
      </x:c>
      <x:c r="B12" t="str">
        <x:v>SKU-011</x:v>
      </x:c>
      <x:c r="C12" t="str">
        <x:v>Womens Clothing</x:v>
      </x:c>
      <x:c r="D12" t="str">
        <x:v>Jeans</x:v>
      </x:c>
      <x:c r="E12" s="22" t="n">
        <x:v>46295</x:v>
      </x:c>
      <x:c r="F12" t="n">
        <x:v>18</x:v>
      </x:c>
      <x:c r="G12" t="n">
        <x:f>SUMIFS(Sales_Transactions!$O$2:$O$5001,Sales_Transactions!$N$2:$N$5001,$B12,Sales_Transactions!$M$2:$M$5001,"&gt;="&amp;DATE(2026,9,24),Sales_Transactions!$M$2:$M$5001,"&lt;="&amp;DATE(2026,9,30))</x:f>
        <x:v>16</x:v>
      </x:c>
      <x:c r="H12" t="n">
        <x:f>SUMIFS(Deliveries!$I$2:$I$36,Deliveries!$C$2:$C$36,$B12,Deliveries!$F$2:$F$36,"Received",Deliveries!$H$2:$H$36,"&gt;="&amp;DATE(2026,9,24),Deliveries!$H$2:$H$36,"&lt;="&amp;DATE(2026,9,30))</x:f>
        <x:v>0</x:v>
      </x:c>
      <x:c r="I12" t="n">
        <x:f>F12+H12-G12</x:f>
        <x:v>2</x:v>
      </x:c>
      <x:c r="J12" t="n">
        <x:v>12</x:v>
      </x:c>
      <x:c r="K12" t="n">
        <x:v>48</x:v>
      </x:c>
      <x:c r="L12" t="n">
        <x:f>SUMIFS(Deliveries!$I$2:$I$36,Deliveries!$C$2:$C$36,$B12,Deliveries!$F$2:$F$36,"Pending")</x:f>
        <x:v>16</x:v>
      </x:c>
      <x:c r="M12" s="22" t="n">
        <x:v>46296</x:v>
      </x:c>
      <x:c r="N12" s="28" t="n">
        <x:f>G12/7</x:f>
        <x:v>2.2857142857142856</x:v>
      </x:c>
      <x:c r="O12" s="28" t="n">
        <x:f>IF(N12=0,999,I12/N12)</x:f>
        <x:v>0.875</x:v>
      </x:c>
      <x:c r="P12" t="n">
        <x:v>2</x:v>
      </x:c>
      <x:c r="Q12" t="n">
        <x:v>2</x:v>
      </x:c>
      <x:c r="R12" s="22" t="n">
        <x:v>46295</x:v>
      </x:c>
      <x:c r="S12" t="n">
        <x:f>Q12-P12</x:f>
        <x:v>0</x:v>
      </x:c>
      <x:c r="T12" t="n">
        <x:f>IF(S12=0,1,0)</x:f>
        <x:v>1</x:v>
      </x:c>
      <x:c r="U12" s="30" t="n">
        <x:f>IF(P12=0,IF(Q12=0,1,0),MAX(0,1-ABS(S12)/P12))</x:f>
        <x:v>1</x:v>
      </x:c>
      <x:c r="V12" t="str">
        <x:f>IF(I12=0,"Out of Stock",IF(I12&gt;K12,"Overstock",IF(O12&lt;3,"Urgent Reorder",IF(OR(O12&lt;7,I12&lt;=J12),"Reorder Soon","Healthy"))))</x:f>
        <x:v>Urgent Reorder</x:v>
      </x:c>
    </x:row>
    <x:row r="13">
      <x:c r="A13" t="str">
        <x:v>STORE-001</x:v>
      </x:c>
      <x:c r="B13" t="str">
        <x:v>SKU-012</x:v>
      </x:c>
      <x:c r="C13" t="str">
        <x:v>Home</x:v>
      </x:c>
      <x:c r="D13" t="str">
        <x:v>Kitchen Set</x:v>
      </x:c>
      <x:c r="E13" s="22" t="n">
        <x:v>46295</x:v>
      </x:c>
      <x:c r="F13" t="n">
        <x:v>14</x:v>
      </x:c>
      <x:c r="G13" t="n">
        <x:f>SUMIFS(Sales_Transactions!$O$2:$O$5001,Sales_Transactions!$N$2:$N$5001,$B13,Sales_Transactions!$M$2:$M$5001,"&gt;="&amp;DATE(2026,9,24),Sales_Transactions!$M$2:$M$5001,"&lt;="&amp;DATE(2026,9,30))</x:f>
        <x:v>3</x:v>
      </x:c>
      <x:c r="H13" t="n">
        <x:f>SUMIFS(Deliveries!$I$2:$I$36,Deliveries!$C$2:$C$36,$B13,Deliveries!$F$2:$F$36,"Received",Deliveries!$H$2:$H$36,"&gt;="&amp;DATE(2026,9,24),Deliveries!$H$2:$H$36,"&lt;="&amp;DATE(2026,9,30))</x:f>
        <x:v>0</x:v>
      </x:c>
      <x:c r="I13" t="n">
        <x:f>F13+H13-G13</x:f>
        <x:v>11</x:v>
      </x:c>
      <x:c r="J13" t="n">
        <x:v>3</x:v>
      </x:c>
      <x:c r="K13" t="n">
        <x:v>9</x:v>
      </x:c>
      <x:c r="L13" t="n">
        <x:f>SUMIFS(Deliveries!$I$2:$I$36,Deliveries!$C$2:$C$36,$B13,Deliveries!$F$2:$F$36,"Pending")</x:f>
        <x:v>0</x:v>
      </x:c>
      <x:c r="M13" s="22"/>
      <x:c r="N13" s="28" t="n">
        <x:f>G13/7</x:f>
        <x:v>0.42857142857142855</x:v>
      </x:c>
      <x:c r="O13" s="28" t="n">
        <x:f>IF(N13=0,999,I13/N13)</x:f>
        <x:v>25.666666666666668</x:v>
      </x:c>
      <x:c r="P13" t="n">
        <x:v>11</x:v>
      </x:c>
      <x:c r="Q13" t="n">
        <x:v>11</x:v>
      </x:c>
      <x:c r="R13" s="22" t="n">
        <x:v>46295</x:v>
      </x:c>
      <x:c r="S13" t="n">
        <x:f>Q13-P13</x:f>
        <x:v>0</x:v>
      </x:c>
      <x:c r="T13" t="n">
        <x:f>IF(S13=0,1,0)</x:f>
        <x:v>1</x:v>
      </x:c>
      <x:c r="U13" s="30" t="n">
        <x:f>IF(P13=0,IF(Q13=0,1,0),MAX(0,1-ABS(S13)/P13))</x:f>
        <x:v>1</x:v>
      </x:c>
      <x:c r="V13" t="str">
        <x:f>IF(I13=0,"Out of Stock",IF(I13&gt;K13,"Overstock",IF(O13&lt;3,"Urgent Reorder",IF(OR(O13&lt;7,I13&lt;=J13),"Reorder Soon","Healthy"))))</x:f>
        <x:v>Overstock</x:v>
      </x:c>
    </x:row>
    <x:row r="14">
      <x:c r="A14" t="str">
        <x:v>STORE-001</x:v>
      </x:c>
      <x:c r="B14" t="str">
        <x:v>SKU-013</x:v>
      </x:c>
      <x:c r="C14" t="str">
        <x:v>Home</x:v>
      </x:c>
      <x:c r="D14" t="str">
        <x:v>Lamp</x:v>
      </x:c>
      <x:c r="E14" s="22" t="n">
        <x:v>46295</x:v>
      </x:c>
      <x:c r="F14" t="n">
        <x:v>13</x:v>
      </x:c>
      <x:c r="G14" t="n">
        <x:f>SUMIFS(Sales_Transactions!$O$2:$O$5001,Sales_Transactions!$N$2:$N$5001,$B14,Sales_Transactions!$M$2:$M$5001,"&gt;="&amp;DATE(2026,9,24),Sales_Transactions!$M$2:$M$5001,"&lt;="&amp;DATE(2026,9,30))</x:f>
        <x:v>3</x:v>
      </x:c>
      <x:c r="H14" t="n">
        <x:f>SUMIFS(Deliveries!$I$2:$I$36,Deliveries!$C$2:$C$36,$B14,Deliveries!$F$2:$F$36,"Received",Deliveries!$H$2:$H$36,"&gt;="&amp;DATE(2026,9,24),Deliveries!$H$2:$H$36,"&lt;="&amp;DATE(2026,9,30))</x:f>
        <x:v>1</x:v>
      </x:c>
      <x:c r="I14" t="n">
        <x:f>F14+H14-G14</x:f>
        <x:v>11</x:v>
      </x:c>
      <x:c r="J14" t="n">
        <x:v>3</x:v>
      </x:c>
      <x:c r="K14" t="n">
        <x:v>9</x:v>
      </x:c>
      <x:c r="L14" t="n">
        <x:f>SUMIFS(Deliveries!$I$2:$I$36,Deliveries!$C$2:$C$36,$B14,Deliveries!$F$2:$F$36,"Pending")</x:f>
        <x:v>0</x:v>
      </x:c>
      <x:c r="M14" s="22"/>
      <x:c r="N14" s="28" t="n">
        <x:f>G14/7</x:f>
        <x:v>0.42857142857142855</x:v>
      </x:c>
      <x:c r="O14" s="28" t="n">
        <x:f>IF(N14=0,999,I14/N14)</x:f>
        <x:v>25.666666666666668</x:v>
      </x:c>
      <x:c r="P14" t="n">
        <x:v>11</x:v>
      </x:c>
      <x:c r="Q14" t="n">
        <x:v>9</x:v>
      </x:c>
      <x:c r="R14" s="22" t="n">
        <x:v>46295</x:v>
      </x:c>
      <x:c r="S14" t="n">
        <x:f>Q14-P14</x:f>
        <x:v>-2</x:v>
      </x:c>
      <x:c r="T14" t="n">
        <x:f>IF(S14=0,1,0)</x:f>
        <x:v>0</x:v>
      </x:c>
      <x:c r="U14" s="30" t="n">
        <x:f>IF(P14=0,IF(Q14=0,1,0),MAX(0,1-ABS(S14)/P14))</x:f>
        <x:v>0.8181818181818181</x:v>
      </x:c>
      <x:c r="V14" t="str">
        <x:f>IF(I14=0,"Out of Stock",IF(I14&gt;K14,"Overstock",IF(O14&lt;3,"Urgent Reorder",IF(OR(O14&lt;7,I14&lt;=J14),"Reorder Soon","Healthy"))))</x:f>
        <x:v>Overstock</x:v>
      </x:c>
    </x:row>
    <x:row r="15">
      <x:c r="A15" t="str">
        <x:v>STORE-001</x:v>
      </x:c>
      <x:c r="B15" t="str">
        <x:v>SKU-014</x:v>
      </x:c>
      <x:c r="C15" t="str">
        <x:v>Electronics</x:v>
      </x:c>
      <x:c r="D15" t="str">
        <x:v>Laptop</x:v>
      </x:c>
      <x:c r="E15" s="22" t="n">
        <x:v>46295</x:v>
      </x:c>
      <x:c r="F15" t="n">
        <x:v>12</x:v>
      </x:c>
      <x:c r="G15" t="n">
        <x:f>SUMIFS(Sales_Transactions!$O$2:$O$5001,Sales_Transactions!$N$2:$N$5001,$B15,Sales_Transactions!$M$2:$M$5001,"&gt;="&amp;DATE(2026,9,24),Sales_Transactions!$M$2:$M$5001,"&lt;="&amp;DATE(2026,9,30))</x:f>
        <x:v>3</x:v>
      </x:c>
      <x:c r="H15" t="n">
        <x:f>SUMIFS(Deliveries!$I$2:$I$36,Deliveries!$C$2:$C$36,$B15,Deliveries!$F$2:$F$36,"Received",Deliveries!$H$2:$H$36,"&gt;="&amp;DATE(2026,9,24),Deliveries!$H$2:$H$36,"&lt;="&amp;DATE(2026,9,30))</x:f>
        <x:v>2</x:v>
      </x:c>
      <x:c r="I15" t="n">
        <x:f>F15+H15-G15</x:f>
        <x:v>11</x:v>
      </x:c>
      <x:c r="J15" t="n">
        <x:v>3</x:v>
      </x:c>
      <x:c r="K15" t="n">
        <x:v>9</x:v>
      </x:c>
      <x:c r="L15" t="n">
        <x:f>SUMIFS(Deliveries!$I$2:$I$36,Deliveries!$C$2:$C$36,$B15,Deliveries!$F$2:$F$36,"Pending")</x:f>
        <x:v>0</x:v>
      </x:c>
      <x:c r="M15" s="22"/>
      <x:c r="N15" s="28" t="n">
        <x:f>G15/7</x:f>
        <x:v>0.42857142857142855</x:v>
      </x:c>
      <x:c r="O15" s="28" t="n">
        <x:f>IF(N15=0,999,I15/N15)</x:f>
        <x:v>25.666666666666668</x:v>
      </x:c>
      <x:c r="P15" t="n">
        <x:v>11</x:v>
      </x:c>
      <x:c r="Q15" t="n">
        <x:v>11</x:v>
      </x:c>
      <x:c r="R15" s="22" t="n">
        <x:v>46295</x:v>
      </x:c>
      <x:c r="S15" t="n">
        <x:f>Q15-P15</x:f>
        <x:v>0</x:v>
      </x:c>
      <x:c r="T15" t="n">
        <x:f>IF(S15=0,1,0)</x:f>
        <x:v>1</x:v>
      </x:c>
      <x:c r="U15" s="30" t="n">
        <x:f>IF(P15=0,IF(Q15=0,1,0),MAX(0,1-ABS(S15)/P15))</x:f>
        <x:v>1</x:v>
      </x:c>
      <x:c r="V15" t="str">
        <x:f>IF(I15=0,"Out of Stock",IF(I15&gt;K15,"Overstock",IF(O15&lt;3,"Urgent Reorder",IF(OR(O15&lt;7,I15&lt;=J15),"Reorder Soon","Healthy"))))</x:f>
        <x:v>Overstock</x:v>
      </x:c>
    </x:row>
    <x:row r="16">
      <x:c r="A16" t="str">
        <x:v>STORE-001</x:v>
      </x:c>
      <x:c r="B16" t="str">
        <x:v>SKU-015</x:v>
      </x:c>
      <x:c r="C16" t="str">
        <x:v>Beauty</x:v>
      </x:c>
      <x:c r="D16" t="str">
        <x:v>Makeup Set</x:v>
      </x:c>
      <x:c r="E16" s="22" t="n">
        <x:v>46295</x:v>
      </x:c>
      <x:c r="F16" t="n">
        <x:v>18</x:v>
      </x:c>
      <x:c r="G16" t="n">
        <x:f>SUMIFS(Sales_Transactions!$O$2:$O$5001,Sales_Transactions!$N$2:$N$5001,$B16,Sales_Transactions!$M$2:$M$5001,"&gt;="&amp;DATE(2026,9,24),Sales_Transactions!$M$2:$M$5001,"&lt;="&amp;DATE(2026,9,30))</x:f>
        <x:v>4</x:v>
      </x:c>
      <x:c r="H16" t="n">
        <x:f>SUMIFS(Deliveries!$I$2:$I$36,Deliveries!$C$2:$C$36,$B16,Deliveries!$F$2:$F$36,"Received",Deliveries!$H$2:$H$36,"&gt;="&amp;DATE(2026,9,24),Deliveries!$H$2:$H$36,"&lt;="&amp;DATE(2026,9,30))</x:f>
        <x:v>0</x:v>
      </x:c>
      <x:c r="I16" t="n">
        <x:f>F16+H16-G16</x:f>
        <x:v>14</x:v>
      </x:c>
      <x:c r="J16" t="n">
        <x:v>3</x:v>
      </x:c>
      <x:c r="K16" t="n">
        <x:v>12</x:v>
      </x:c>
      <x:c r="L16" t="n">
        <x:f>SUMIFS(Deliveries!$I$2:$I$36,Deliveries!$C$2:$C$36,$B16,Deliveries!$F$2:$F$36,"Pending")</x:f>
        <x:v>0</x:v>
      </x:c>
      <x:c r="M16" s="22"/>
      <x:c r="N16" s="28" t="n">
        <x:f>G16/7</x:f>
        <x:v>0.5714285714285714</x:v>
      </x:c>
      <x:c r="O16" s="28" t="n">
        <x:f>IF(N16=0,999,I16/N16)</x:f>
        <x:v>24.5</x:v>
      </x:c>
      <x:c r="P16" t="n">
        <x:v>14</x:v>
      </x:c>
      <x:c r="Q16" t="n">
        <x:v>14</x:v>
      </x:c>
      <x:c r="R16" s="22" t="n">
        <x:v>46295</x:v>
      </x:c>
      <x:c r="S16" t="n">
        <x:f>Q16-P16</x:f>
        <x:v>0</x:v>
      </x:c>
      <x:c r="T16" t="n">
        <x:f>IF(S16=0,1,0)</x:f>
        <x:v>1</x:v>
      </x:c>
      <x:c r="U16" s="30" t="n">
        <x:f>IF(P16=0,IF(Q16=0,1,0),MAX(0,1-ABS(S16)/P16))</x:f>
        <x:v>1</x:v>
      </x:c>
      <x:c r="V16" t="str">
        <x:f>IF(I16=0,"Out of Stock",IF(I16&gt;K16,"Overstock",IF(O16&lt;3,"Urgent Reorder",IF(OR(O16&lt;7,I16&lt;=J16),"Reorder Soon","Healthy"))))</x:f>
        <x:v>Overstock</x:v>
      </x:c>
    </x:row>
    <x:row r="17">
      <x:c r="A17" t="str">
        <x:v>STORE-001</x:v>
      </x:c>
      <x:c r="B17" t="str">
        <x:v>SKU-016</x:v>
      </x:c>
      <x:c r="C17" t="str">
        <x:v>Electronics</x:v>
      </x:c>
      <x:c r="D17" t="str">
        <x:v>Mobile Phone</x:v>
      </x:c>
      <x:c r="E17" s="22" t="n">
        <x:v>46295</x:v>
      </x:c>
      <x:c r="F17" t="n">
        <x:v>16</x:v>
      </x:c>
      <x:c r="G17" t="n">
        <x:f>SUMIFS(Sales_Transactions!$O$2:$O$5001,Sales_Transactions!$N$2:$N$5001,$B17,Sales_Transactions!$M$2:$M$5001,"&gt;="&amp;DATE(2026,9,24),Sales_Transactions!$M$2:$M$5001,"&lt;="&amp;DATE(2026,9,30))</x:f>
        <x:v>4</x:v>
      </x:c>
      <x:c r="H17" t="n">
        <x:f>SUMIFS(Deliveries!$I$2:$I$36,Deliveries!$C$2:$C$36,$B17,Deliveries!$F$2:$F$36,"Received",Deliveries!$H$2:$H$36,"&gt;="&amp;DATE(2026,9,24),Deliveries!$H$2:$H$36,"&lt;="&amp;DATE(2026,9,30))</x:f>
        <x:v>3</x:v>
      </x:c>
      <x:c r="I17" t="n">
        <x:f>F17+H17-G17</x:f>
        <x:v>15</x:v>
      </x:c>
      <x:c r="J17" t="n">
        <x:v>3</x:v>
      </x:c>
      <x:c r="K17" t="n">
        <x:v>12</x:v>
      </x:c>
      <x:c r="L17" t="n">
        <x:f>SUMIFS(Deliveries!$I$2:$I$36,Deliveries!$C$2:$C$36,$B17,Deliveries!$F$2:$F$36,"Pending")</x:f>
        <x:v>0</x:v>
      </x:c>
      <x:c r="M17" s="22"/>
      <x:c r="N17" s="28" t="n">
        <x:f>G17/7</x:f>
        <x:v>0.5714285714285714</x:v>
      </x:c>
      <x:c r="O17" s="28" t="n">
        <x:f>IF(N17=0,999,I17/N17)</x:f>
        <x:v>26.25</x:v>
      </x:c>
      <x:c r="P17" t="n">
        <x:v>15</x:v>
      </x:c>
      <x:c r="Q17" t="n">
        <x:v>15</x:v>
      </x:c>
      <x:c r="R17" s="22" t="n">
        <x:v>46295</x:v>
      </x:c>
      <x:c r="S17" t="n">
        <x:f>Q17-P17</x:f>
        <x:v>0</x:v>
      </x:c>
      <x:c r="T17" t="n">
        <x:f>IF(S17=0,1,0)</x:f>
        <x:v>1</x:v>
      </x:c>
      <x:c r="U17" s="30" t="n">
        <x:f>IF(P17=0,IF(Q17=0,1,0),MAX(0,1-ABS(S17)/P17))</x:f>
        <x:v>1</x:v>
      </x:c>
      <x:c r="V17" t="str">
        <x:f>IF(I17=0,"Out of Stock",IF(I17&gt;K17,"Overstock",IF(O17&lt;3,"Urgent Reorder",IF(OR(O17&lt;7,I17&lt;=J17),"Reorder Soon","Healthy"))))</x:f>
        <x:v>Overstock</x:v>
      </x:c>
    </x:row>
    <x:row r="18">
      <x:c r="A18" t="str">
        <x:v>STORE-001</x:v>
      </x:c>
      <x:c r="B18" t="str">
        <x:v>SKU-017</x:v>
      </x:c>
      <x:c r="C18" t="str">
        <x:v>Beauty</x:v>
      </x:c>
      <x:c r="D18" t="str">
        <x:v>Perfume</x:v>
      </x:c>
      <x:c r="E18" s="22" t="n">
        <x:v>46295</x:v>
      </x:c>
      <x:c r="F18" t="n">
        <x:v>11</x:v>
      </x:c>
      <x:c r="G18" t="n">
        <x:f>SUMIFS(Sales_Transactions!$O$2:$O$5001,Sales_Transactions!$N$2:$N$5001,$B18,Sales_Transactions!$M$2:$M$5001,"&gt;="&amp;DATE(2026,9,24),Sales_Transactions!$M$2:$M$5001,"&lt;="&amp;DATE(2026,9,30))</x:f>
        <x:v>8</x:v>
      </x:c>
      <x:c r="H18" t="n">
        <x:f>SUMIFS(Deliveries!$I$2:$I$36,Deliveries!$C$2:$C$36,$B18,Deliveries!$F$2:$F$36,"Received",Deliveries!$H$2:$H$36,"&gt;="&amp;DATE(2026,9,24),Deliveries!$H$2:$H$36,"&lt;="&amp;DATE(2026,9,30))</x:f>
        <x:v>3</x:v>
      </x:c>
      <x:c r="I18" t="n">
        <x:f>F18+H18-G18</x:f>
        <x:v>6</x:v>
      </x:c>
      <x:c r="J18" t="n">
        <x:v>6</x:v>
      </x:c>
      <x:c r="K18" t="n">
        <x:v>24</x:v>
      </x:c>
      <x:c r="L18" t="n">
        <x:f>SUMIFS(Deliveries!$I$2:$I$36,Deliveries!$C$2:$C$36,$B18,Deliveries!$F$2:$F$36,"Pending")</x:f>
        <x:v>7</x:v>
      </x:c>
      <x:c r="M18" s="22" t="n">
        <x:v>46297</x:v>
      </x:c>
      <x:c r="N18" s="28" t="n">
        <x:f>G18/7</x:f>
        <x:v>1.1428571428571428</x:v>
      </x:c>
      <x:c r="O18" s="28" t="n">
        <x:f>IF(N18=0,999,I18/N18)</x:f>
        <x:v>5.25</x:v>
      </x:c>
      <x:c r="P18" t="n">
        <x:v>6</x:v>
      </x:c>
      <x:c r="Q18" t="n">
        <x:v>7</x:v>
      </x:c>
      <x:c r="R18" s="22" t="n">
        <x:v>46295</x:v>
      </x:c>
      <x:c r="S18" t="n">
        <x:f>Q18-P18</x:f>
        <x:v>1</x:v>
      </x:c>
      <x:c r="T18" t="n">
        <x:f>IF(S18=0,1,0)</x:f>
        <x:v>0</x:v>
      </x:c>
      <x:c r="U18" s="30" t="n">
        <x:f>IF(P18=0,IF(Q18=0,1,0),MAX(0,1-ABS(S18)/P18))</x:f>
        <x:v>0.8333333333333334</x:v>
      </x:c>
      <x:c r="V18" t="str">
        <x:f>IF(I18=0,"Out of Stock",IF(I18&gt;K18,"Overstock",IF(O18&lt;3,"Urgent Reorder",IF(OR(O18&lt;7,I18&lt;=J18),"Reorder Soon","Healthy"))))</x:f>
        <x:v>Reorder Soon</x:v>
      </x:c>
    </x:row>
    <x:row r="19">
      <x:c r="A19" t="str">
        <x:v>STORE-001</x:v>
      </x:c>
      <x:c r="B19" t="str">
        <x:v>SKU-018</x:v>
      </x:c>
      <x:c r="C19" t="str">
        <x:v>Groceries</x:v>
      </x:c>
      <x:c r="D19" t="str">
        <x:v>Rice Pack</x:v>
      </x:c>
      <x:c r="E19" s="22" t="n">
        <x:v>46295</x:v>
      </x:c>
      <x:c r="F19" t="n">
        <x:v>18</x:v>
      </x:c>
      <x:c r="G19" t="n">
        <x:f>SUMIFS(Sales_Transactions!$O$2:$O$5001,Sales_Transactions!$N$2:$N$5001,$B19,Sales_Transactions!$M$2:$M$5001,"&gt;="&amp;DATE(2026,9,24),Sales_Transactions!$M$2:$M$5001,"&lt;="&amp;DATE(2026,9,30))</x:f>
        <x:v>7</x:v>
      </x:c>
      <x:c r="H19" t="n">
        <x:f>SUMIFS(Deliveries!$I$2:$I$36,Deliveries!$C$2:$C$36,$B19,Deliveries!$F$2:$F$36,"Received",Deliveries!$H$2:$H$36,"&gt;="&amp;DATE(2026,9,24),Deliveries!$H$2:$H$36,"&lt;="&amp;DATE(2026,9,30))</x:f>
        <x:v>0</x:v>
      </x:c>
      <x:c r="I19" t="n">
        <x:f>F19+H19-G19</x:f>
        <x:v>11</x:v>
      </x:c>
      <x:c r="J19" t="n">
        <x:v>5</x:v>
      </x:c>
      <x:c r="K19" t="n">
        <x:v>21</x:v>
      </x:c>
      <x:c r="L19" t="n">
        <x:f>SUMIFS(Deliveries!$I$2:$I$36,Deliveries!$C$2:$C$36,$B19,Deliveries!$F$2:$F$36,"Pending")</x:f>
        <x:v>0</x:v>
      </x:c>
      <x:c r="M19" s="22"/>
      <x:c r="N19" s="28" t="n">
        <x:f>G19/7</x:f>
        <x:v>1</x:v>
      </x:c>
      <x:c r="O19" s="28" t="n">
        <x:f>IF(N19=0,999,I19/N19)</x:f>
        <x:v>11</x:v>
      </x:c>
      <x:c r="P19" t="n">
        <x:v>11</x:v>
      </x:c>
      <x:c r="Q19" t="n">
        <x:v>14</x:v>
      </x:c>
      <x:c r="R19" s="22" t="n">
        <x:v>46295</x:v>
      </x:c>
      <x:c r="S19" t="n">
        <x:f>Q19-P19</x:f>
        <x:v>3</x:v>
      </x:c>
      <x:c r="T19" t="n">
        <x:f>IF(S19=0,1,0)</x:f>
        <x:v>0</x:v>
      </x:c>
      <x:c r="U19" s="30" t="n">
        <x:f>IF(P19=0,IF(Q19=0,1,0),MAX(0,1-ABS(S19)/P19))</x:f>
        <x:v>0.7272727272727273</x:v>
      </x:c>
      <x:c r="V19" t="str">
        <x:f>IF(I19=0,"Out of Stock",IF(I19&gt;K19,"Overstock",IF(O19&lt;3,"Urgent Reorder",IF(OR(O19&lt;7,I19&lt;=J19),"Reorder Soon","Healthy"))))</x:f>
        <x:v>Healthy</x:v>
      </x:c>
    </x:row>
    <x:row r="20">
      <x:c r="A20" t="str">
        <x:v>STORE-001</x:v>
      </x:c>
      <x:c r="B20" t="str">
        <x:v>SKU-019</x:v>
      </x:c>
      <x:c r="C20" t="str">
        <x:v>Footwear</x:v>
      </x:c>
      <x:c r="D20" t="str">
        <x:v>Sandals</x:v>
      </x:c>
      <x:c r="E20" s="22" t="n">
        <x:v>46295</x:v>
      </x:c>
      <x:c r="F20" t="n">
        <x:v>7</x:v>
      </x:c>
      <x:c r="G20" t="n">
        <x:f>SUMIFS(Sales_Transactions!$O$2:$O$5001,Sales_Transactions!$N$2:$N$5001,$B20,Sales_Transactions!$M$2:$M$5001,"&gt;="&amp;DATE(2026,9,24),Sales_Transactions!$M$2:$M$5001,"&lt;="&amp;DATE(2026,9,30))</x:f>
        <x:v>18</x:v>
      </x:c>
      <x:c r="H20" t="n">
        <x:f>SUMIFS(Deliveries!$I$2:$I$36,Deliveries!$C$2:$C$36,$B20,Deliveries!$F$2:$F$36,"Received",Deliveries!$H$2:$H$36,"&gt;="&amp;DATE(2026,9,24),Deliveries!$H$2:$H$36,"&lt;="&amp;DATE(2026,9,30))</x:f>
        <x:v>11</x:v>
      </x:c>
      <x:c r="I20" t="n">
        <x:f>F20+H20-G20</x:f>
        <x:v>0</x:v>
      </x:c>
      <x:c r="J20" t="n">
        <x:v>13</x:v>
      </x:c>
      <x:c r="K20" t="n">
        <x:v>55</x:v>
      </x:c>
      <x:c r="L20" t="n">
        <x:f>SUMIFS(Deliveries!$I$2:$I$36,Deliveries!$C$2:$C$36,$B20,Deliveries!$F$2:$F$36,"Pending")</x:f>
        <x:v>20</x:v>
      </x:c>
      <x:c r="M20" s="22" t="n">
        <x:v>46296</x:v>
      </x:c>
      <x:c r="N20" s="28" t="n">
        <x:f>G20/7</x:f>
        <x:v>2.5714285714285716</x:v>
      </x:c>
      <x:c r="O20" s="28" t="n">
        <x:f>IF(N20=0,999,I20/N20)</x:f>
        <x:v>0</x:v>
      </x:c>
      <x:c r="P20" t="n">
        <x:v>0</x:v>
      </x:c>
      <x:c r="Q20" t="n">
        <x:v>0</x:v>
      </x:c>
      <x:c r="R20" s="22" t="n">
        <x:v>46295</x:v>
      </x:c>
      <x:c r="S20" t="n">
        <x:f>Q20-P20</x:f>
        <x:v>0</x:v>
      </x:c>
      <x:c r="T20" t="n">
        <x:f>IF(S20=0,1,0)</x:f>
        <x:v>1</x:v>
      </x:c>
      <x:c r="U20" s="30" t="n">
        <x:f>IF(P20=0,IF(Q20=0,1,0),MAX(0,1-ABS(S20)/P20))</x:f>
        <x:v>1</x:v>
      </x:c>
      <x:c r="V20" t="str">
        <x:f>IF(I20=0,"Out of Stock",IF(I20&gt;K20,"Overstock",IF(O20&lt;3,"Urgent Reorder",IF(OR(O20&lt;7,I20&lt;=J20),"Reorder Soon","Healthy"))))</x:f>
        <x:v>Out of Stock</x:v>
      </x:c>
    </x:row>
    <x:row r="21">
      <x:c r="A21" t="str">
        <x:v>STORE-001</x:v>
      </x:c>
      <x:c r="B21" t="str">
        <x:v>SKU-020</x:v>
      </x:c>
      <x:c r="C21" t="str">
        <x:v>Mens Clothing</x:v>
      </x:c>
      <x:c r="D21" t="str">
        <x:v>Shirt</x:v>
      </x:c>
      <x:c r="E21" s="22" t="n">
        <x:v>46295</x:v>
      </x:c>
      <x:c r="F21" t="n">
        <x:v>14</x:v>
      </x:c>
      <x:c r="G21" t="n">
        <x:f>SUMIFS(Sales_Transactions!$O$2:$O$5001,Sales_Transactions!$N$2:$N$5001,$B21,Sales_Transactions!$M$2:$M$5001,"&gt;="&amp;DATE(2026,9,24),Sales_Transactions!$M$2:$M$5001,"&lt;="&amp;DATE(2026,9,30))</x:f>
        <x:v>7</x:v>
      </x:c>
      <x:c r="H21" t="n">
        <x:f>SUMIFS(Deliveries!$I$2:$I$36,Deliveries!$C$2:$C$36,$B21,Deliveries!$F$2:$F$36,"Received",Deliveries!$H$2:$H$36,"&gt;="&amp;DATE(2026,9,24),Deliveries!$H$2:$H$36,"&lt;="&amp;DATE(2026,9,30))</x:f>
        <x:v>4</x:v>
      </x:c>
      <x:c r="I21" t="n">
        <x:f>F21+H21-G21</x:f>
        <x:v>11</x:v>
      </x:c>
      <x:c r="J21" t="n">
        <x:v>5</x:v>
      </x:c>
      <x:c r="K21" t="n">
        <x:v>21</x:v>
      </x:c>
      <x:c r="L21" t="n">
        <x:f>SUMIFS(Deliveries!$I$2:$I$36,Deliveries!$C$2:$C$36,$B21,Deliveries!$F$2:$F$36,"Pending")</x:f>
        <x:v>0</x:v>
      </x:c>
      <x:c r="M21" s="22"/>
      <x:c r="N21" s="28" t="n">
        <x:f>G21/7</x:f>
        <x:v>1</x:v>
      </x:c>
      <x:c r="O21" s="28" t="n">
        <x:f>IF(N21=0,999,I21/N21)</x:f>
        <x:v>11</x:v>
      </x:c>
      <x:c r="P21" t="n">
        <x:v>11</x:v>
      </x:c>
      <x:c r="Q21" t="n">
        <x:v>11</x:v>
      </x:c>
      <x:c r="R21" s="22" t="n">
        <x:v>46295</x:v>
      </x:c>
      <x:c r="S21" t="n">
        <x:f>Q21-P21</x:f>
        <x:v>0</x:v>
      </x:c>
      <x:c r="T21" t="n">
        <x:f>IF(S21=0,1,0)</x:f>
        <x:v>1</x:v>
      </x:c>
      <x:c r="U21" s="30" t="n">
        <x:f>IF(P21=0,IF(Q21=0,1,0),MAX(0,1-ABS(S21)/P21))</x:f>
        <x:v>1</x:v>
      </x:c>
      <x:c r="V21" t="str">
        <x:f>IF(I21=0,"Out of Stock",IF(I21&gt;K21,"Overstock",IF(O21&lt;3,"Urgent Reorder",IF(OR(O21&lt;7,I21&lt;=J21),"Reorder Soon","Healthy"))))</x:f>
        <x:v>Healthy</x:v>
      </x:c>
    </x:row>
    <x:row r="22">
      <x:c r="A22" t="str">
        <x:v>STORE-001</x:v>
      </x:c>
      <x:c r="B22" t="str">
        <x:v>SKU-021</x:v>
      </x:c>
      <x:c r="C22" t="str">
        <x:v>Beauty</x:v>
      </x:c>
      <x:c r="D22" t="str">
        <x:v>Skincare Kit</x:v>
      </x:c>
      <x:c r="E22" s="22" t="n">
        <x:v>46295</x:v>
      </x:c>
      <x:c r="F22" t="n">
        <x:v>13</x:v>
      </x:c>
      <x:c r="G22" t="n">
        <x:f>SUMIFS(Sales_Transactions!$O$2:$O$5001,Sales_Transactions!$N$2:$N$5001,$B22,Sales_Transactions!$M$2:$M$5001,"&gt;="&amp;DATE(2026,9,24),Sales_Transactions!$M$2:$M$5001,"&lt;="&amp;DATE(2026,9,30))</x:f>
        <x:v>15</x:v>
      </x:c>
      <x:c r="H22" t="n">
        <x:f>SUMIFS(Deliveries!$I$2:$I$36,Deliveries!$C$2:$C$36,$B22,Deliveries!$F$2:$F$36,"Received",Deliveries!$H$2:$H$36,"&gt;="&amp;DATE(2026,9,24),Deliveries!$H$2:$H$36,"&lt;="&amp;DATE(2026,9,30))</x:f>
        <x:v>5</x:v>
      </x:c>
      <x:c r="I22" t="n">
        <x:f>F22+H22-G22</x:f>
        <x:v>3</x:v>
      </x:c>
      <x:c r="J22" t="n">
        <x:v>11</x:v>
      </x:c>
      <x:c r="K22" t="n">
        <x:v>45</x:v>
      </x:c>
      <x:c r="L22" t="n">
        <x:f>SUMIFS(Deliveries!$I$2:$I$36,Deliveries!$C$2:$C$36,$B22,Deliveries!$F$2:$F$36,"Pending")</x:f>
        <x:v>21</x:v>
      </x:c>
      <x:c r="M22" s="22" t="n">
        <x:v>46299</x:v>
      </x:c>
      <x:c r="N22" s="28" t="n">
        <x:f>G22/7</x:f>
        <x:v>2.142857142857143</x:v>
      </x:c>
      <x:c r="O22" s="28" t="n">
        <x:f>IF(N22=0,999,I22/N22)</x:f>
        <x:v>1.4000000000000001</x:v>
      </x:c>
      <x:c r="P22" t="n">
        <x:v>3</x:v>
      </x:c>
      <x:c r="Q22" t="n">
        <x:v>4</x:v>
      </x:c>
      <x:c r="R22" s="22" t="n">
        <x:v>46295</x:v>
      </x:c>
      <x:c r="S22" t="n">
        <x:f>Q22-P22</x:f>
        <x:v>1</x:v>
      </x:c>
      <x:c r="T22" t="n">
        <x:f>IF(S22=0,1,0)</x:f>
        <x:v>0</x:v>
      </x:c>
      <x:c r="U22" s="30" t="n">
        <x:f>IF(P22=0,IF(Q22=0,1,0),MAX(0,1-ABS(S22)/P22))</x:f>
        <x:v>0.6666666666666667</x:v>
      </x:c>
      <x:c r="V22" t="str">
        <x:f>IF(I22=0,"Out of Stock",IF(I22&gt;K22,"Overstock",IF(O22&lt;3,"Urgent Reorder",IF(OR(O22&lt;7,I22&lt;=J22),"Reorder Soon","Healthy"))))</x:f>
        <x:v>Urgent Reorder</x:v>
      </x:c>
    </x:row>
    <x:row r="23">
      <x:c r="A23" t="str">
        <x:v>STORE-001</x:v>
      </x:c>
      <x:c r="B23" t="str">
        <x:v>SKU-022</x:v>
      </x:c>
      <x:c r="C23" t="str">
        <x:v>Womens Clothing</x:v>
      </x:c>
      <x:c r="D23" t="str">
        <x:v>Skirt</x:v>
      </x:c>
      <x:c r="E23" s="22" t="n">
        <x:v>46295</x:v>
      </x:c>
      <x:c r="F23" t="n">
        <x:v>14</x:v>
      </x:c>
      <x:c r="G23" t="n">
        <x:f>SUMIFS(Sales_Transactions!$O$2:$O$5001,Sales_Transactions!$N$2:$N$5001,$B23,Sales_Transactions!$M$2:$M$5001,"&gt;="&amp;DATE(2026,9,24),Sales_Transactions!$M$2:$M$5001,"&lt;="&amp;DATE(2026,9,30))</x:f>
        <x:v>5</x:v>
      </x:c>
      <x:c r="H23" t="n">
        <x:f>SUMIFS(Deliveries!$I$2:$I$36,Deliveries!$C$2:$C$36,$B23,Deliveries!$F$2:$F$36,"Received",Deliveries!$H$2:$H$36,"&gt;="&amp;DATE(2026,9,24),Deliveries!$H$2:$H$36,"&lt;="&amp;DATE(2026,9,30))</x:f>
        <x:v>0</x:v>
      </x:c>
      <x:c r="I23" t="n">
        <x:f>F23+H23-G23</x:f>
        <x:v>9</x:v>
      </x:c>
      <x:c r="J23" t="n">
        <x:v>4</x:v>
      </x:c>
      <x:c r="K23" t="n">
        <x:v>15</x:v>
      </x:c>
      <x:c r="L23" t="n">
        <x:f>SUMIFS(Deliveries!$I$2:$I$36,Deliveries!$C$2:$C$36,$B23,Deliveries!$F$2:$F$36,"Pending")</x:f>
        <x:v>0</x:v>
      </x:c>
      <x:c r="M23" s="22"/>
      <x:c r="N23" s="28" t="n">
        <x:f>G23/7</x:f>
        <x:v>0.7142857142857143</x:v>
      </x:c>
      <x:c r="O23" s="28" t="n">
        <x:f>IF(N23=0,999,I23/N23)</x:f>
        <x:v>12.6</x:v>
      </x:c>
      <x:c r="P23" t="n">
        <x:v>9</x:v>
      </x:c>
      <x:c r="Q23" t="n">
        <x:v>9</x:v>
      </x:c>
      <x:c r="R23" s="22" t="n">
        <x:v>46295</x:v>
      </x:c>
      <x:c r="S23" t="n">
        <x:f>Q23-P23</x:f>
        <x:v>0</x:v>
      </x:c>
      <x:c r="T23" t="n">
        <x:f>IF(S23=0,1,0)</x:f>
        <x:v>1</x:v>
      </x:c>
      <x:c r="U23" s="30" t="n">
        <x:f>IF(P23=0,IF(Q23=0,1,0),MAX(0,1-ABS(S23)/P23))</x:f>
        <x:v>1</x:v>
      </x:c>
      <x:c r="V23" t="str">
        <x:f>IF(I23=0,"Out of Stock",IF(I23&gt;K23,"Overstock",IF(O23&lt;3,"Urgent Reorder",IF(OR(O23&lt;7,I23&lt;=J23),"Reorder Soon","Healthy"))))</x:f>
        <x:v>Healthy</x:v>
      </x:c>
    </x:row>
    <x:row r="24">
      <x:c r="A24" t="str">
        <x:v>STORE-001</x:v>
      </x:c>
      <x:c r="B24" t="str">
        <x:v>SKU-023</x:v>
      </x:c>
      <x:c r="C24" t="str">
        <x:v>Electronics</x:v>
      </x:c>
      <x:c r="D24" t="str">
        <x:v>Smart Watch</x:v>
      </x:c>
      <x:c r="E24" s="22" t="n">
        <x:v>46295</x:v>
      </x:c>
      <x:c r="F24" t="n">
        <x:v>18</x:v>
      </x:c>
      <x:c r="G24" t="n">
        <x:f>SUMIFS(Sales_Transactions!$O$2:$O$5001,Sales_Transactions!$N$2:$N$5001,$B24,Sales_Transactions!$M$2:$M$5001,"&gt;="&amp;DATE(2026,9,24),Sales_Transactions!$M$2:$M$5001,"&lt;="&amp;DATE(2026,9,30))</x:f>
        <x:v>7</x:v>
      </x:c>
      <x:c r="H24" t="n">
        <x:f>SUMIFS(Deliveries!$I$2:$I$36,Deliveries!$C$2:$C$36,$B24,Deliveries!$F$2:$F$36,"Received",Deliveries!$H$2:$H$36,"&gt;="&amp;DATE(2026,9,24),Deliveries!$H$2:$H$36,"&lt;="&amp;DATE(2026,9,30))</x:f>
        <x:v>2</x:v>
      </x:c>
      <x:c r="I24" t="n">
        <x:f>F24+H24-G24</x:f>
        <x:v>13</x:v>
      </x:c>
      <x:c r="J24" t="n">
        <x:v>5</x:v>
      </x:c>
      <x:c r="K24" t="n">
        <x:v>21</x:v>
      </x:c>
      <x:c r="L24" t="n">
        <x:f>SUMIFS(Deliveries!$I$2:$I$36,Deliveries!$C$2:$C$36,$B24,Deliveries!$F$2:$F$36,"Pending")</x:f>
        <x:v>0</x:v>
      </x:c>
      <x:c r="M24" s="22"/>
      <x:c r="N24" s="28" t="n">
        <x:f>G24/7</x:f>
        <x:v>1</x:v>
      </x:c>
      <x:c r="O24" s="28" t="n">
        <x:f>IF(N24=0,999,I24/N24)</x:f>
        <x:v>13</x:v>
      </x:c>
      <x:c r="P24" t="n">
        <x:v>13</x:v>
      </x:c>
      <x:c r="Q24" t="n">
        <x:v>12</x:v>
      </x:c>
      <x:c r="R24" s="22" t="n">
        <x:v>46295</x:v>
      </x:c>
      <x:c r="S24" t="n">
        <x:f>Q24-P24</x:f>
        <x:v>-1</x:v>
      </x:c>
      <x:c r="T24" t="n">
        <x:f>IF(S24=0,1,0)</x:f>
        <x:v>0</x:v>
      </x:c>
      <x:c r="U24" s="30" t="n">
        <x:f>IF(P24=0,IF(Q24=0,1,0),MAX(0,1-ABS(S24)/P24))</x:f>
        <x:v>0.9230769230769231</x:v>
      </x:c>
      <x:c r="V24" t="str">
        <x:f>IF(I24=0,"Out of Stock",IF(I24&gt;K24,"Overstock",IF(O24&lt;3,"Urgent Reorder",IF(OR(O24&lt;7,I24&lt;=J24),"Reorder Soon","Healthy"))))</x:f>
        <x:v>Healthy</x:v>
      </x:c>
    </x:row>
    <x:row r="25">
      <x:c r="A25" t="str">
        <x:v>STORE-001</x:v>
      </x:c>
      <x:c r="B25" t="str">
        <x:v>SKU-024</x:v>
      </x:c>
      <x:c r="C25" t="str">
        <x:v>Groceries</x:v>
      </x:c>
      <x:c r="D25" t="str">
        <x:v>Snacks</x:v>
      </x:c>
      <x:c r="E25" s="22" t="n">
        <x:v>46295</x:v>
      </x:c>
      <x:c r="F25" t="n">
        <x:v>12</x:v>
      </x:c>
      <x:c r="G25" t="n">
        <x:f>SUMIFS(Sales_Transactions!$O$2:$O$5001,Sales_Transactions!$N$2:$N$5001,$B25,Sales_Transactions!$M$2:$M$5001,"&gt;="&amp;DATE(2026,9,24),Sales_Transactions!$M$2:$M$5001,"&lt;="&amp;DATE(2026,9,30))</x:f>
        <x:v>9</x:v>
      </x:c>
      <x:c r="H25" t="n">
        <x:f>SUMIFS(Deliveries!$I$2:$I$36,Deliveries!$C$2:$C$36,$B25,Deliveries!$F$2:$F$36,"Received",Deliveries!$H$2:$H$36,"&gt;="&amp;DATE(2026,9,24),Deliveries!$H$2:$H$36,"&lt;="&amp;DATE(2026,9,30))</x:f>
        <x:v>0</x:v>
      </x:c>
      <x:c r="I25" t="n">
        <x:f>F25+H25-G25</x:f>
        <x:v>3</x:v>
      </x:c>
      <x:c r="J25" t="n">
        <x:v>7</x:v>
      </x:c>
      <x:c r="K25" t="n">
        <x:v>28</x:v>
      </x:c>
      <x:c r="L25" t="n">
        <x:f>SUMIFS(Deliveries!$I$2:$I$36,Deliveries!$C$2:$C$36,$B25,Deliveries!$F$2:$F$36,"Pending")</x:f>
        <x:v>12</x:v>
      </x:c>
      <x:c r="M25" s="22" t="n">
        <x:v>46297</x:v>
      </x:c>
      <x:c r="N25" s="28" t="n">
        <x:f>G25/7</x:f>
        <x:v>1.2857142857142858</x:v>
      </x:c>
      <x:c r="O25" s="28" t="n">
        <x:f>IF(N25=0,999,I25/N25)</x:f>
        <x:v>2.333333333333333</x:v>
      </x:c>
      <x:c r="P25" t="n">
        <x:v>3</x:v>
      </x:c>
      <x:c r="Q25" t="n">
        <x:v>3</x:v>
      </x:c>
      <x:c r="R25" s="22" t="n">
        <x:v>46295</x:v>
      </x:c>
      <x:c r="S25" t="n">
        <x:f>Q25-P25</x:f>
        <x:v>0</x:v>
      </x:c>
      <x:c r="T25" t="n">
        <x:f>IF(S25=0,1,0)</x:f>
        <x:v>1</x:v>
      </x:c>
      <x:c r="U25" s="30" t="n">
        <x:f>IF(P25=0,IF(Q25=0,1,0),MAX(0,1-ABS(S25)/P25))</x:f>
        <x:v>1</x:v>
      </x:c>
      <x:c r="V25" t="str">
        <x:f>IF(I25=0,"Out of Stock",IF(I25&gt;K25,"Overstock",IF(O25&lt;3,"Urgent Reorder",IF(OR(O25&lt;7,I25&lt;=J25),"Reorder Soon","Healthy"))))</x:f>
        <x:v>Urgent Reorder</x:v>
      </x:c>
    </x:row>
    <x:row r="26">
      <x:c r="A26" t="str">
        <x:v>STORE-001</x:v>
      </x:c>
      <x:c r="B26" t="str">
        <x:v>SKU-025</x:v>
      </x:c>
      <x:c r="C26" t="str">
        <x:v>Footwear</x:v>
      </x:c>
      <x:c r="D26" t="str">
        <x:v>Sneakers</x:v>
      </x:c>
      <x:c r="E26" s="22" t="n">
        <x:v>46295</x:v>
      </x:c>
      <x:c r="F26" t="n">
        <x:v>9</x:v>
      </x:c>
      <x:c r="G26" t="n">
        <x:f>SUMIFS(Sales_Transactions!$O$2:$O$5001,Sales_Transactions!$N$2:$N$5001,$B26,Sales_Transactions!$M$2:$M$5001,"&gt;="&amp;DATE(2026,9,24),Sales_Transactions!$M$2:$M$5001,"&lt;="&amp;DATE(2026,9,30))</x:f>
        <x:v>14</x:v>
      </x:c>
      <x:c r="H26" t="n">
        <x:f>SUMIFS(Deliveries!$I$2:$I$36,Deliveries!$C$2:$C$36,$B26,Deliveries!$F$2:$F$36,"Received",Deliveries!$H$2:$H$36,"&gt;="&amp;DATE(2026,9,24),Deliveries!$H$2:$H$36,"&lt;="&amp;DATE(2026,9,30))</x:f>
        <x:v>8</x:v>
      </x:c>
      <x:c r="I26" t="n">
        <x:f>F26+H26-G26</x:f>
        <x:v>3</x:v>
      </x:c>
      <x:c r="J26" t="n">
        <x:v>10</x:v>
      </x:c>
      <x:c r="K26" t="n">
        <x:v>42</x:v>
      </x:c>
      <x:c r="L26" t="n">
        <x:f>SUMIFS(Deliveries!$I$2:$I$36,Deliveries!$C$2:$C$36,$B26,Deliveries!$F$2:$F$36,"Pending")</x:f>
        <x:v>17</x:v>
      </x:c>
      <x:c r="M26" s="22" t="n">
        <x:v>46297</x:v>
      </x:c>
      <x:c r="N26" s="28" t="n">
        <x:f>G26/7</x:f>
        <x:v>2</x:v>
      </x:c>
      <x:c r="O26" s="28" t="n">
        <x:f>IF(N26=0,999,I26/N26)</x:f>
        <x:v>1.5</x:v>
      </x:c>
      <x:c r="P26" t="n">
        <x:v>3</x:v>
      </x:c>
      <x:c r="Q26" t="n">
        <x:v>3</x:v>
      </x:c>
      <x:c r="R26" s="22" t="n">
        <x:v>46295</x:v>
      </x:c>
      <x:c r="S26" t="n">
        <x:f>Q26-P26</x:f>
        <x:v>0</x:v>
      </x:c>
      <x:c r="T26" t="n">
        <x:f>IF(S26=0,1,0)</x:f>
        <x:v>1</x:v>
      </x:c>
      <x:c r="U26" s="30" t="n">
        <x:f>IF(P26=0,IF(Q26=0,1,0),MAX(0,1-ABS(S26)/P26))</x:f>
        <x:v>1</x:v>
      </x:c>
      <x:c r="V26" t="str">
        <x:f>IF(I26=0,"Out of Stock",IF(I26&gt;K26,"Overstock",IF(O26&lt;3,"Urgent Reorder",IF(OR(O26&lt;7,I26&lt;=J26),"Reorder Soon","Healthy"))))</x:f>
        <x:v>Urgent Reorder</x:v>
      </x:c>
    </x:row>
    <x:row r="27">
      <x:c r="A27" t="str">
        <x:v>STORE-001</x:v>
      </x:c>
      <x:c r="B27" t="str">
        <x:v>SKU-026</x:v>
      </x:c>
      <x:c r="C27" t="str">
        <x:v>Accessories</x:v>
      </x:c>
      <x:c r="D27" t="str">
        <x:v>Sunglasses</x:v>
      </x:c>
      <x:c r="E27" s="22" t="n">
        <x:v>46295</x:v>
      </x:c>
      <x:c r="F27" t="n">
        <x:v>14</x:v>
      </x:c>
      <x:c r="G27" t="n">
        <x:f>SUMIFS(Sales_Transactions!$O$2:$O$5001,Sales_Transactions!$N$2:$N$5001,$B27,Sales_Transactions!$M$2:$M$5001,"&gt;="&amp;DATE(2026,9,24),Sales_Transactions!$M$2:$M$5001,"&lt;="&amp;DATE(2026,9,30))</x:f>
        <x:v>8</x:v>
      </x:c>
      <x:c r="H27" t="n">
        <x:f>SUMIFS(Deliveries!$I$2:$I$36,Deliveries!$C$2:$C$36,$B27,Deliveries!$F$2:$F$36,"Received",Deliveries!$H$2:$H$36,"&gt;="&amp;DATE(2026,9,24),Deliveries!$H$2:$H$36,"&lt;="&amp;DATE(2026,9,30))</x:f>
        <x:v>0</x:v>
      </x:c>
      <x:c r="I27" t="n">
        <x:f>F27+H27-G27</x:f>
        <x:v>6</x:v>
      </x:c>
      <x:c r="J27" t="n">
        <x:v>6</x:v>
      </x:c>
      <x:c r="K27" t="n">
        <x:v>24</x:v>
      </x:c>
      <x:c r="L27" t="n">
        <x:f>SUMIFS(Deliveries!$I$2:$I$36,Deliveries!$C$2:$C$36,$B27,Deliveries!$F$2:$F$36,"Pending")</x:f>
        <x:v>11</x:v>
      </x:c>
      <x:c r="M27" s="22" t="n">
        <x:v>46296</x:v>
      </x:c>
      <x:c r="N27" s="28" t="n">
        <x:f>G27/7</x:f>
        <x:v>1.1428571428571428</x:v>
      </x:c>
      <x:c r="O27" s="28" t="n">
        <x:f>IF(N27=0,999,I27/N27)</x:f>
        <x:v>5.25</x:v>
      </x:c>
      <x:c r="P27" t="n">
        <x:v>6</x:v>
      </x:c>
      <x:c r="Q27" t="n">
        <x:v>6</x:v>
      </x:c>
      <x:c r="R27" s="22" t="n">
        <x:v>46295</x:v>
      </x:c>
      <x:c r="S27" t="n">
        <x:f>Q27-P27</x:f>
        <x:v>0</x:v>
      </x:c>
      <x:c r="T27" t="n">
        <x:f>IF(S27=0,1,0)</x:f>
        <x:v>1</x:v>
      </x:c>
      <x:c r="U27" s="30" t="n">
        <x:f>IF(P27=0,IF(Q27=0,1,0),MAX(0,1-ABS(S27)/P27))</x:f>
        <x:v>1</x:v>
      </x:c>
      <x:c r="V27" t="str">
        <x:f>IF(I27=0,"Out of Stock",IF(I27&gt;K27,"Overstock",IF(O27&lt;3,"Urgent Reorder",IF(OR(O27&lt;7,I27&lt;=J27),"Reorder Soon","Healthy"))))</x:f>
        <x:v>Reorder Soon</x:v>
      </x:c>
    </x:row>
    <x:row r="28">
      <x:c r="A28" t="str">
        <x:v>STORE-001</x:v>
      </x:c>
      <x:c r="B28" t="str">
        <x:v>SKU-027</x:v>
      </x:c>
      <x:c r="C28" t="str">
        <x:v>Mens Clothing</x:v>
      </x:c>
      <x:c r="D28" t="str">
        <x:v>T-Shirt</x:v>
      </x:c>
      <x:c r="E28" s="22" t="n">
        <x:v>46295</x:v>
      </x:c>
      <x:c r="F28" t="n">
        <x:v>14</x:v>
      </x:c>
      <x:c r="G28" t="n">
        <x:f>SUMIFS(Sales_Transactions!$O$2:$O$5001,Sales_Transactions!$N$2:$N$5001,$B28,Sales_Transactions!$M$2:$M$5001,"&gt;="&amp;DATE(2026,9,24),Sales_Transactions!$M$2:$M$5001,"&lt;="&amp;DATE(2026,9,30))</x:f>
        <x:v>8</x:v>
      </x:c>
      <x:c r="H28" t="n">
        <x:f>SUMIFS(Deliveries!$I$2:$I$36,Deliveries!$C$2:$C$36,$B28,Deliveries!$F$2:$F$36,"Received",Deliveries!$H$2:$H$36,"&gt;="&amp;DATE(2026,9,24),Deliveries!$H$2:$H$36,"&lt;="&amp;DATE(2026,9,30))</x:f>
        <x:v>0</x:v>
      </x:c>
      <x:c r="I28" t="n">
        <x:f>F28+H28-G28</x:f>
        <x:v>6</x:v>
      </x:c>
      <x:c r="J28" t="n">
        <x:v>6</x:v>
      </x:c>
      <x:c r="K28" t="n">
        <x:v>24</x:v>
      </x:c>
      <x:c r="L28" t="n">
        <x:f>SUMIFS(Deliveries!$I$2:$I$36,Deliveries!$C$2:$C$36,$B28,Deliveries!$F$2:$F$36,"Pending")</x:f>
        <x:v>6</x:v>
      </x:c>
      <x:c r="M28" s="22" t="n">
        <x:v>46299</x:v>
      </x:c>
      <x:c r="N28" s="28" t="n">
        <x:f>G28/7</x:f>
        <x:v>1.1428571428571428</x:v>
      </x:c>
      <x:c r="O28" s="28" t="n">
        <x:f>IF(N28=0,999,I28/N28)</x:f>
        <x:v>5.25</x:v>
      </x:c>
      <x:c r="P28" t="n">
        <x:v>6</x:v>
      </x:c>
      <x:c r="Q28" t="n">
        <x:v>6</x:v>
      </x:c>
      <x:c r="R28" s="22" t="n">
        <x:v>46295</x:v>
      </x:c>
      <x:c r="S28" t="n">
        <x:f>Q28-P28</x:f>
        <x:v>0</x:v>
      </x:c>
      <x:c r="T28" t="n">
        <x:f>IF(S28=0,1,0)</x:f>
        <x:v>1</x:v>
      </x:c>
      <x:c r="U28" s="30" t="n">
        <x:f>IF(P28=0,IF(Q28=0,1,0),MAX(0,1-ABS(S28)/P28))</x:f>
        <x:v>1</x:v>
      </x:c>
      <x:c r="V28" t="str">
        <x:f>IF(I28=0,"Out of Stock",IF(I28&gt;K28,"Overstock",IF(O28&lt;3,"Urgent Reorder",IF(OR(O28&lt;7,I28&lt;=J28),"Reorder Soon","Healthy"))))</x:f>
        <x:v>Reorder Soon</x:v>
      </x:c>
    </x:row>
    <x:row r="29">
      <x:c r="A29" t="str">
        <x:v>STORE-001</x:v>
      </x:c>
      <x:c r="B29" t="str">
        <x:v>SKU-028</x:v>
      </x:c>
      <x:c r="C29" t="str">
        <x:v>Womens Clothing</x:v>
      </x:c>
      <x:c r="D29" t="str">
        <x:v>Top</x:v>
      </x:c>
      <x:c r="E29" s="22" t="n">
        <x:v>46295</x:v>
      </x:c>
      <x:c r="F29" t="n">
        <x:v>8</x:v>
      </x:c>
      <x:c r="G29" t="n">
        <x:f>SUMIFS(Sales_Transactions!$O$2:$O$5001,Sales_Transactions!$N$2:$N$5001,$B29,Sales_Transactions!$M$2:$M$5001,"&gt;="&amp;DATE(2026,9,24),Sales_Transactions!$M$2:$M$5001,"&lt;="&amp;DATE(2026,9,30))</x:f>
        <x:v>9</x:v>
      </x:c>
      <x:c r="H29" t="n">
        <x:f>SUMIFS(Deliveries!$I$2:$I$36,Deliveries!$C$2:$C$36,$B29,Deliveries!$F$2:$F$36,"Received",Deliveries!$H$2:$H$36,"&gt;="&amp;DATE(2026,9,24),Deliveries!$H$2:$H$36,"&lt;="&amp;DATE(2026,9,30))</x:f>
        <x:v>3</x:v>
      </x:c>
      <x:c r="I29" t="n">
        <x:f>F29+H29-G29</x:f>
        <x:v>2</x:v>
      </x:c>
      <x:c r="J29" t="n">
        <x:v>7</x:v>
      </x:c>
      <x:c r="K29" t="n">
        <x:v>28</x:v>
      </x:c>
      <x:c r="L29" t="n">
        <x:f>SUMIFS(Deliveries!$I$2:$I$36,Deliveries!$C$2:$C$36,$B29,Deliveries!$F$2:$F$36,"Pending")</x:f>
        <x:v>13</x:v>
      </x:c>
      <x:c r="M29" s="22" t="n">
        <x:v>46298</x:v>
      </x:c>
      <x:c r="N29" s="28" t="n">
        <x:f>G29/7</x:f>
        <x:v>1.2857142857142858</x:v>
      </x:c>
      <x:c r="O29" s="28" t="n">
        <x:f>IF(N29=0,999,I29/N29)</x:f>
        <x:v>1.5555555555555554</x:v>
      </x:c>
      <x:c r="P29" t="n">
        <x:v>2</x:v>
      </x:c>
      <x:c r="Q29" t="n">
        <x:v>0</x:v>
      </x:c>
      <x:c r="R29" s="22" t="n">
        <x:v>46295</x:v>
      </x:c>
      <x:c r="S29" t="n">
        <x:f>Q29-P29</x:f>
        <x:v>-2</x:v>
      </x:c>
      <x:c r="T29" t="n">
        <x:f>IF(S29=0,1,0)</x:f>
        <x:v>0</x:v>
      </x:c>
      <x:c r="U29" s="30" t="n">
        <x:f>IF(P29=0,IF(Q29=0,1,0),MAX(0,1-ABS(S29)/P29))</x:f>
        <x:v>0</x:v>
      </x:c>
      <x:c r="V29" t="str">
        <x:f>IF(I29=0,"Out of Stock",IF(I29&gt;K29,"Overstock",IF(O29&lt;3,"Urgent Reorder",IF(OR(O29&lt;7,I29&lt;=J29),"Reorder Soon","Healthy"))))</x:f>
        <x:v>Urgent Reorder</x:v>
      </x:c>
    </x:row>
    <x:row r="30">
      <x:c r="A30" t="str">
        <x:v>STORE-001</x:v>
      </x:c>
      <x:c r="B30" t="str">
        <x:v>SKU-029</x:v>
      </x:c>
      <x:c r="C30" t="str">
        <x:v>Accessories</x:v>
      </x:c>
      <x:c r="D30" t="str">
        <x:v>Wallet</x:v>
      </x:c>
      <x:c r="E30" s="22" t="n">
        <x:v>46295</x:v>
      </x:c>
      <x:c r="F30" t="n">
        <x:v>13</x:v>
      </x:c>
      <x:c r="G30" t="n">
        <x:f>SUMIFS(Sales_Transactions!$O$2:$O$5001,Sales_Transactions!$N$2:$N$5001,$B30,Sales_Transactions!$M$2:$M$5001,"&gt;="&amp;DATE(2026,9,24),Sales_Transactions!$M$2:$M$5001,"&lt;="&amp;DATE(2026,9,30))</x:f>
        <x:v>10</x:v>
      </x:c>
      <x:c r="H30" t="n">
        <x:f>SUMIFS(Deliveries!$I$2:$I$36,Deliveries!$C$2:$C$36,$B30,Deliveries!$F$2:$F$36,"Received",Deliveries!$H$2:$H$36,"&gt;="&amp;DATE(2026,9,24),Deliveries!$H$2:$H$36,"&lt;="&amp;DATE(2026,9,30))</x:f>
        <x:v>0</x:v>
      </x:c>
      <x:c r="I30" t="n">
        <x:f>F30+H30-G30</x:f>
        <x:v>3</x:v>
      </x:c>
      <x:c r="J30" t="n">
        <x:v>8</x:v>
      </x:c>
      <x:c r="K30" t="n">
        <x:v>30</x:v>
      </x:c>
      <x:c r="L30" t="n">
        <x:f>SUMIFS(Deliveries!$I$2:$I$36,Deliveries!$C$2:$C$36,$B30,Deliveries!$F$2:$F$36,"Pending")</x:f>
        <x:v>14</x:v>
      </x:c>
      <x:c r="M30" s="22" t="n">
        <x:v>46298</x:v>
      </x:c>
      <x:c r="N30" s="28" t="n">
        <x:f>G30/7</x:f>
        <x:v>1.4285714285714286</x:v>
      </x:c>
      <x:c r="O30" s="28" t="n">
        <x:f>IF(N30=0,999,I30/N30)</x:f>
        <x:v>2.1</x:v>
      </x:c>
      <x:c r="P30" t="n">
        <x:v>3</x:v>
      </x:c>
      <x:c r="Q30" t="n">
        <x:v>3</x:v>
      </x:c>
      <x:c r="R30" s="22" t="n">
        <x:v>46295</x:v>
      </x:c>
      <x:c r="S30" t="n">
        <x:f>Q30-P30</x:f>
        <x:v>0</x:v>
      </x:c>
      <x:c r="T30" t="n">
        <x:f>IF(S30=0,1,0)</x:f>
        <x:v>1</x:v>
      </x:c>
      <x:c r="U30" s="30" t="n">
        <x:f>IF(P30=0,IF(Q30=0,1,0),MAX(0,1-ABS(S30)/P30))</x:f>
        <x:v>1</x:v>
      </x:c>
      <x:c r="V30" t="str">
        <x:f>IF(I30=0,"Out of Stock",IF(I30&gt;K30,"Overstock",IF(O30&lt;3,"Urgent Reorder",IF(OR(O30&lt;7,I30&lt;=J30),"Reorder Soon","Healthy"))))</x:f>
        <x:v>Urgent Reorder</x:v>
      </x:c>
    </x:row>
    <x:row r="31">
      <x:c r="A31" t="str">
        <x:v>STORE-001</x:v>
      </x:c>
      <x:c r="B31" t="str">
        <x:v>SKU-030</x:v>
      </x:c>
      <x:c r="C31" t="str">
        <x:v>Sports</x:v>
      </x:c>
      <x:c r="D31" t="str">
        <x:v>Yoga Mat</x:v>
      </x:c>
      <x:c r="E31" s="22" t="n">
        <x:v>46295</x:v>
      </x:c>
      <x:c r="F31" t="n">
        <x:v>15</x:v>
      </x:c>
      <x:c r="G31" t="n">
        <x:f>SUMIFS(Sales_Transactions!$O$2:$O$5001,Sales_Transactions!$N$2:$N$5001,$B31,Sales_Transactions!$M$2:$M$5001,"&gt;="&amp;DATE(2026,9,24),Sales_Transactions!$M$2:$M$5001,"&lt;="&amp;DATE(2026,9,30))</x:f>
        <x:v>22</x:v>
      </x:c>
      <x:c r="H31" t="n">
        <x:f>SUMIFS(Deliveries!$I$2:$I$36,Deliveries!$C$2:$C$36,$B31,Deliveries!$F$2:$F$36,"Received",Deliveries!$H$2:$H$36,"&gt;="&amp;DATE(2026,9,24),Deliveries!$H$2:$H$36,"&lt;="&amp;DATE(2026,9,30))</x:f>
        <x:v>7</x:v>
      </x:c>
      <x:c r="I31" t="n">
        <x:f>F31+H31-G31</x:f>
        <x:v>0</x:v>
      </x:c>
      <x:c r="J31" t="n">
        <x:v>16</x:v>
      </x:c>
      <x:c r="K31" t="n">
        <x:v>66</x:v>
      </x:c>
      <x:c r="L31" t="n">
        <x:f>SUMIFS(Deliveries!$I$2:$I$36,Deliveries!$C$2:$C$36,$B31,Deliveries!$F$2:$F$36,"Pending")</x:f>
        <x:v>26</x:v>
      </x:c>
      <x:c r="M31" s="22" t="n">
        <x:v>46297</x:v>
      </x:c>
      <x:c r="N31" s="28" t="n">
        <x:f>G31/7</x:f>
        <x:v>3.142857142857143</x:v>
      </x:c>
      <x:c r="O31" s="28" t="n">
        <x:f>IF(N31=0,999,I31/N31)</x:f>
        <x:v>0</x:v>
      </x:c>
      <x:c r="P31" t="n">
        <x:v>0</x:v>
      </x:c>
      <x:c r="Q31" t="n">
        <x:v>2</x:v>
      </x:c>
      <x:c r="R31" s="22" t="n">
        <x:v>46295</x:v>
      </x:c>
      <x:c r="S31" t="n">
        <x:f>Q31-P31</x:f>
        <x:v>2</x:v>
      </x:c>
      <x:c r="T31" t="n">
        <x:f>IF(S31=0,1,0)</x:f>
        <x:v>0</x:v>
      </x:c>
      <x:c r="U31" s="30" t="n">
        <x:f>IF(P31=0,IF(Q31=0,1,0),MAX(0,1-ABS(S31)/P31))</x:f>
        <x:v>0</x:v>
      </x:c>
      <x:c r="V31" t="str">
        <x:f>IF(I31=0,"Out of Stock",IF(I31&gt;K31,"Overstock",IF(O31&lt;3,"Urgent Reorder",IF(OR(O31&lt;7,I31&lt;=J31),"Reorder Soon","Healthy"))))</x:f>
        <x:v>Out of Stock</x:v>
      </x:c>
    </x:row>
  </x:sheetData>
  <x:conditionalFormatting sqref="V2:V31">
    <x:cfRule type="expression" dxfId="0" priority="1">
      <x:formula>V2="Out of Stock"</x:formula>
    </x:cfRule>
    <x:cfRule type="expression" dxfId="1" priority="2">
      <x:formula>V2="Urgent Reorder"</x:formula>
    </x:cfRule>
    <x:cfRule type="expression" dxfId="2" priority="3">
      <x:formula>V2="Overstock"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6" hidden="0" customWidth="1"/>
    <x:col min="4" max="4" width="22" hidden="0" customWidth="1"/>
  </x:cols>
  <x:sheetData>
    <x:row r="1">
      <x:c r="A1" s="13" t="str">
        <x:v>Metric</x:v>
      </x:c>
      <x:c r="B1" s="13" t="str">
        <x:v>Value</x:v>
      </x:c>
      <x:c r="C1" s="13" t="str">
        <x:v>Definition</x:v>
      </x:c>
      <x:c r="D1" s="13" t="str">
        <x:v>Dashboard Use</x:v>
      </x:c>
    </x:row>
    <x:row r="2">
      <x:c r="A2" s="19" t="str">
        <x:v>Store</x:v>
      </x:c>
      <x:c r="B2" s="19" t="str">
        <x:v>STORE-001</x:v>
      </x:c>
      <x:c r="C2" s="19" t="str">
        <x:v>Single-store prototype</x:v>
      </x:c>
      <x:c r="D2" s="19" t="str">
        <x:v>Header</x:v>
      </x:c>
    </x:row>
    <x:row r="3">
      <x:c r="A3" s="19" t="str">
        <x:v>Snapshot Date</x:v>
      </x:c>
      <x:c r="B3" s="32" t="n">
        <x:v>46295</x:v>
      </x:c>
      <x:c r="C3" s="19" t="str">
        <x:v>Inventory snapshot date</x:v>
      </x:c>
      <x:c r="D3" s="19" t="str">
        <x:v>Header</x:v>
      </x:c>
    </x:row>
    <x:row r="4">
      <x:c r="A4" s="19" t="str">
        <x:v>Sales Window</x:v>
      </x:c>
      <x:c r="B4" s="19" t="str">
        <x:v>2026-09-24 to 2026-09-30</x:v>
      </x:c>
      <x:c r="C4" s="19" t="str">
        <x:v>Default sales-analysis period</x:v>
      </x:c>
      <x:c r="D4" s="19" t="str">
        <x:v>Filter label</x:v>
      </x:c>
    </x:row>
    <x:row r="5">
      <x:c r="A5" s="19" t="str">
        <x:v>Urgent Reorder</x:v>
      </x:c>
      <x:c r="B5" s="19" t="n">
        <x:f>COUNTIF(Inventory_Snapshot!$V$2:$V$31,"Urgent Reorder")</x:f>
        <x:v>6</x:v>
      </x:c>
      <x:c r="C5" s="19" t="str">
        <x:v>COUNTIF(Status,"Urgent Reorder")</x:v>
      </x:c>
      <x:c r="D5" s="19" t="str">
        <x:v>KPI card</x:v>
      </x:c>
    </x:row>
    <x:row r="6">
      <x:c r="A6" s="19" t="str">
        <x:v>Out of Stock</x:v>
      </x:c>
      <x:c r="B6" s="19" t="n">
        <x:f>COUNTIF(Inventory_Snapshot!$V$2:$V$31,"Out of Stock")</x:f>
        <x:v>4</x:v>
      </x:c>
      <x:c r="C6" s="19" t="str">
        <x:v>COUNTIF(Status,"Out of Stock")</x:v>
      </x:c>
      <x:c r="D6" s="19" t="str">
        <x:v>KPI card</x:v>
      </x:c>
    </x:row>
    <x:row r="7">
      <x:c r="A7" s="19" t="str">
        <x:v>Overstocked</x:v>
      </x:c>
      <x:c r="B7" s="19" t="n">
        <x:f>COUNTIF(Inventory_Snapshot!$V$2:$V$31,"Overstock")</x:f>
        <x:v>5</x:v>
      </x:c>
      <x:c r="C7" s="19" t="str">
        <x:v>COUNTIF(Status,"Overstock")</x:v>
      </x:c>
      <x:c r="D7" s="19" t="str">
        <x:v>KPI card</x:v>
      </x:c>
    </x:row>
    <x:row r="8">
      <x:c r="A8" s="19" t="str">
        <x:v>Inventory Accuracy</x:v>
      </x:c>
      <x:c r="B8" s="33" t="n">
        <x:f>AVERAGE(Inventory_Snapshot!$T$2:$T$31)</x:f>
        <x:v>0.6333333333333333</x:v>
      </x:c>
      <x:c r="C8" s="19" t="str">
        <x:v>AVERAGE(CountMatch) = matched SKUs / total SKUs</x:v>
      </x:c>
      <x:c r="D8" s="19" t="str">
        <x:v>KPI card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14" hidden="0" customWidth="1"/>
  </x:cols>
  <x:sheetData>
    <x:row r="1">
      <x:c r="A1" s="13" t="str">
        <x:v>Check</x:v>
      </x:c>
      <x:c r="B1" s="13" t="str">
        <x:v>Expected</x:v>
      </x:c>
      <x:c r="C1" s="13" t="str">
        <x:v>Result</x:v>
      </x:c>
    </x:row>
    <x:row r="2">
      <x:c r="A2" t="str">
        <x:v>Sales amount relation</x:v>
      </x:c>
      <x:c r="B2" t="str">
        <x:v>0 mismatches</x:v>
      </x:c>
      <x:c r="C2" t="n">
        <x:v>0</x:v>
      </x:c>
    </x:row>
    <x:row r="3">
      <x:c r="A3" t="str">
        <x:v>Current stock balance</x:v>
      </x:c>
      <x:c r="B3" t="str">
        <x:v>0 mismatches</x:v>
      </x:c>
      <x:c r="C3" t="n">
        <x:v>0</x:v>
      </x:c>
    </x:row>
    <x:row r="4">
      <x:c r="A4" t="str">
        <x:v>Incoming stock vs pending deliveries</x:v>
      </x:c>
      <x:c r="B4" t="str">
        <x:v>0 mismatches</x:v>
      </x:c>
      <x:c r="C4" t="n">
        <x:v>0</x:v>
      </x:c>
    </x:row>
    <x:row r="5">
      <x:c r="A5" t="str">
        <x:v>Expected delivery date mapping</x:v>
      </x:c>
      <x:c r="B5" t="str">
        <x:v>0 mismatches</x:v>
      </x:c>
      <x:c r="C5" t="n">
        <x:v>0</x:v>
      </x:c>
    </x:row>
    <x:row r="6">
      <x:c r="A6" t="str">
        <x:v>Inventory discrepancy formula</x:v>
      </x:c>
      <x:c r="B6" t="str">
        <x:v>0 mismatches</x:v>
      </x:c>
      <x:c r="C6" t="n">
        <x:v>0</x:v>
      </x:c>
    </x:row>
    <x:row r="7">
      <x:c r="A7" t="str">
        <x:v>Negative current stock</x:v>
      </x:c>
      <x:c r="B7" t="str">
        <x:v>0 rows</x:v>
      </x:c>
      <x:c r="C7" t="n">
        <x:v>0</x:v>
      </x:c>
    </x:row>
    <x:row r="8">
      <x:c r="A8" t="str">
        <x:v>SKU/category/product mapping</x:v>
      </x:c>
      <x:c r="B8" t="str">
        <x:v>0 mismatches</x:v>
      </x:c>
      <x:c r="C8" t="n">
        <x:v>0</x:v>
      </x:c>
    </x:row>
    <x:row r="9">
      <x:c r="A9" t="str">
        <x:v>StoreID consistency</x:v>
      </x:c>
      <x:c r="B9" t="str">
        <x:v>0 mismatches</x:v>
      </x:c>
      <x:c r="C9" t="n">
        <x:v>0</x:v>
      </x:c>
    </x:row>
    <x:row r="10">
      <x:c r="A10" t="str">
        <x:v>Snapshot vs physical count date</x:v>
      </x:c>
      <x:c r="B10" t="str">
        <x:v>0 mismatches</x:v>
      </x:c>
      <x:c r="C10" t="n">
        <x:v>0</x:v>
      </x:c>
    </x:row>
  </x:sheetData>
  <x:conditionalFormatting sqref="C2:C10">
    <x:cfRule type="cellIs" dxfId="3" priority="1">
      <x:formula>0</x:formula>
    </x:cfRule>
  </x:conditionalFormatting>
  <x:pageMargins left="0.7" right="0.7" top="0.75" bottom="0.75" header="0.3" footer="0.3"/>
</x:worksheet>
</file>